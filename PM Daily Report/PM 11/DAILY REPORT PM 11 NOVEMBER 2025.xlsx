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930" activeTab="5"/>
  </bookViews>
  <sheets>
    <sheet name="eff all" sheetId="59" r:id="rId1"/>
    <sheet name="Report1" sheetId="48" r:id="rId2"/>
    <sheet name="GRAFIK" sheetId="50" r:id="rId3"/>
    <sheet name="Listrik" sheetId="45" r:id="rId4"/>
    <sheet name="Trim Rwd" sheetId="47" r:id="rId5"/>
    <sheet name="Efficiency1" sheetId="46" r:id="rId6"/>
    <sheet name="Efficiency2" sheetId="58" r:id="rId7"/>
    <sheet name="BB" sheetId="2" r:id="rId8"/>
    <sheet name="Chem" sheetId="1" r:id="rId9"/>
    <sheet name="RBP" sheetId="55" r:id="rId10"/>
    <sheet name="Sheet1" sheetId="54" r:id="rId11"/>
    <sheet name="summary" sheetId="5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  <sheet name="31" sheetId="43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_FilterDatabase" localSheetId="10" hidden="1">Sheet1!$C$1:$F$117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42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8">Chem!$CE$7:$CQ$16</definedName>
    <definedName name="_xlnm.Print_Area" localSheetId="0">'eff all'!$A$1:$Q$46</definedName>
    <definedName name="_xlnm.Print_Area" localSheetId="5">Efficiency1!$A$1:$AD$155</definedName>
    <definedName name="_xlnm.Print_Area" localSheetId="6">Efficiency2!$A$1:$AD$155</definedName>
    <definedName name="_xlnm.Print_Area" localSheetId="3">Listrik!$A$2:$AT$40</definedName>
    <definedName name="_xlnm.Print_Area" localSheetId="1">Report1!$A$3:$AE$41</definedName>
  </definedNames>
  <calcPr calcId="144525"/>
</workbook>
</file>

<file path=xl/calcChain.xml><?xml version="1.0" encoding="utf-8"?>
<calcChain xmlns="http://schemas.openxmlformats.org/spreadsheetml/2006/main">
  <c r="BG39" i="2" l="1"/>
  <c r="BG38" i="2"/>
  <c r="AI39" i="2"/>
  <c r="AI38" i="2"/>
  <c r="W39" i="2"/>
  <c r="W38" i="2"/>
  <c r="AE6" i="55"/>
  <c r="AD6" i="55"/>
  <c r="W149" i="58" l="1"/>
  <c r="O149" i="58"/>
  <c r="U149" i="58" s="1"/>
  <c r="N149" i="58"/>
  <c r="V149" i="58" s="1"/>
  <c r="M149" i="58"/>
  <c r="T149" i="58" s="1"/>
  <c r="K149" i="58"/>
  <c r="J149" i="58"/>
  <c r="W148" i="58"/>
  <c r="X148" i="58" s="1"/>
  <c r="O148" i="58"/>
  <c r="P148" i="58" s="1"/>
  <c r="N148" i="58"/>
  <c r="V148" i="58" s="1"/>
  <c r="M148" i="58"/>
  <c r="U148" i="58" s="1"/>
  <c r="K148" i="58"/>
  <c r="J148" i="58"/>
  <c r="W144" i="58"/>
  <c r="O144" i="58"/>
  <c r="P144" i="58" s="1"/>
  <c r="M144" i="58"/>
  <c r="U144" i="58" s="1"/>
  <c r="AA144" i="58" s="1"/>
  <c r="J144" i="58"/>
  <c r="AC149" i="46"/>
  <c r="L37" i="4"/>
  <c r="I110" i="47" s="1"/>
  <c r="L38" i="4"/>
  <c r="I111" i="47" s="1"/>
  <c r="F110" i="47"/>
  <c r="C25" i="4"/>
  <c r="AC149" i="58" l="1"/>
  <c r="P149" i="58"/>
  <c r="T148" i="58"/>
  <c r="AC148" i="58" s="1"/>
  <c r="T144" i="58"/>
  <c r="C148" i="58"/>
  <c r="C149" i="58"/>
  <c r="N144" i="58"/>
  <c r="C144" i="58"/>
  <c r="V144" i="58" l="1"/>
  <c r="K144" i="58"/>
  <c r="AC144" i="58" l="1"/>
  <c r="AB144" i="58"/>
  <c r="X144" i="58"/>
  <c r="K15" i="4" l="1"/>
  <c r="K14" i="4"/>
  <c r="K14" i="37"/>
  <c r="C35" i="37"/>
  <c r="F108" i="47"/>
  <c r="O149" i="46"/>
  <c r="E111" i="47"/>
  <c r="G111" i="47" s="1"/>
  <c r="H111" i="47" s="1"/>
  <c r="G110" i="47"/>
  <c r="H110" i="47" s="1"/>
  <c r="O148" i="46" s="1"/>
  <c r="E110" i="47"/>
  <c r="I108" i="47"/>
  <c r="E108" i="47"/>
  <c r="G108" i="47" l="1"/>
  <c r="H108" i="47" s="1"/>
  <c r="AF38" i="48"/>
  <c r="AF37" i="48"/>
  <c r="Z140" i="58"/>
  <c r="Z140" i="46"/>
  <c r="AR150" i="58"/>
  <c r="BA150" i="58" s="1"/>
  <c r="AD150" i="58" s="1"/>
  <c r="AM150" i="58"/>
  <c r="AR149" i="58"/>
  <c r="BA149" i="58" s="1"/>
  <c r="AD149" i="58" s="1"/>
  <c r="AM149" i="58"/>
  <c r="AR148" i="58"/>
  <c r="BA148" i="58" s="1"/>
  <c r="AD148" i="58" s="1"/>
  <c r="AM148" i="58"/>
  <c r="AR146" i="58"/>
  <c r="BA146" i="58" s="1"/>
  <c r="AD146" i="58" s="1"/>
  <c r="AM146" i="58"/>
  <c r="AR145" i="58"/>
  <c r="BA145" i="58" s="1"/>
  <c r="AD145" i="58" s="1"/>
  <c r="AM145" i="58"/>
  <c r="AR144" i="58"/>
  <c r="BA144" i="58" s="1"/>
  <c r="AD144" i="58" s="1"/>
  <c r="AM144" i="58"/>
  <c r="W149" i="46"/>
  <c r="W148" i="46"/>
  <c r="P149" i="46"/>
  <c r="M149" i="46"/>
  <c r="J149" i="46"/>
  <c r="AR150" i="46"/>
  <c r="BA150" i="46" s="1"/>
  <c r="AM150" i="46"/>
  <c r="BA149" i="46"/>
  <c r="AR149" i="46"/>
  <c r="AM149" i="46"/>
  <c r="AD149" i="46" s="1"/>
  <c r="AR148" i="46"/>
  <c r="BA148" i="46" s="1"/>
  <c r="AM148" i="46"/>
  <c r="AD148" i="46" s="1"/>
  <c r="T148" i="46"/>
  <c r="N148" i="46"/>
  <c r="K148" i="46" s="1"/>
  <c r="AC148" i="46" s="1"/>
  <c r="M148" i="46"/>
  <c r="U148" i="46" s="1"/>
  <c r="J148" i="46"/>
  <c r="AR146" i="46"/>
  <c r="BA146" i="46" s="1"/>
  <c r="AM146" i="46"/>
  <c r="AD146" i="46" s="1"/>
  <c r="AR145" i="46"/>
  <c r="BA145" i="46" s="1"/>
  <c r="AM145" i="46"/>
  <c r="AR144" i="46"/>
  <c r="BA144" i="46" s="1"/>
  <c r="AD144" i="46" s="1"/>
  <c r="AM144" i="46"/>
  <c r="O144" i="46"/>
  <c r="P144" i="46" s="1"/>
  <c r="M144" i="46"/>
  <c r="J144" i="46"/>
  <c r="I38" i="4"/>
  <c r="I37" i="4"/>
  <c r="G40" i="4"/>
  <c r="G39" i="4"/>
  <c r="G38" i="4"/>
  <c r="O25" i="4"/>
  <c r="O8" i="4"/>
  <c r="N6" i="4"/>
  <c r="I38" i="37"/>
  <c r="I37" i="37"/>
  <c r="O8" i="37"/>
  <c r="N6" i="37"/>
  <c r="U149" i="46" l="1"/>
  <c r="U144" i="46"/>
  <c r="N149" i="46"/>
  <c r="T149" i="46"/>
  <c r="C149" i="46"/>
  <c r="AD150" i="46"/>
  <c r="C148" i="46"/>
  <c r="N38" i="48" s="1"/>
  <c r="V148" i="46"/>
  <c r="P148" i="46"/>
  <c r="AD145" i="46"/>
  <c r="N144" i="46"/>
  <c r="T144" i="46"/>
  <c r="C144" i="46"/>
  <c r="N37" i="48" s="1"/>
  <c r="AH37" i="48" l="1"/>
  <c r="AH38" i="48"/>
  <c r="V149" i="46"/>
  <c r="K149" i="46"/>
  <c r="L38" i="48" s="1"/>
  <c r="V144" i="46"/>
  <c r="K144" i="46"/>
  <c r="L37" i="48" s="1"/>
  <c r="X148" i="46" l="1"/>
  <c r="AC144" i="46"/>
  <c r="AG4" i="55" l="1"/>
  <c r="AG3" i="55"/>
  <c r="AC6" i="55"/>
  <c r="AB6" i="55"/>
  <c r="AA6" i="55"/>
  <c r="T23" i="8"/>
  <c r="Q23" i="8"/>
  <c r="R23" i="8" s="1"/>
  <c r="V23" i="8"/>
  <c r="Y148" i="58" l="1"/>
  <c r="Y148" i="46"/>
  <c r="U23" i="8"/>
  <c r="W23" i="8" s="1"/>
  <c r="Z6" i="55"/>
  <c r="Y6" i="55"/>
  <c r="W10" i="55"/>
  <c r="W6" i="55"/>
  <c r="V6" i="55"/>
  <c r="U6" i="55"/>
  <c r="T10" i="55"/>
  <c r="T6" i="55"/>
  <c r="S6" i="55"/>
  <c r="AA148" i="46" l="1"/>
  <c r="AB148" i="46"/>
  <c r="AA148" i="58"/>
  <c r="AB148" i="58" s="1"/>
  <c r="O140" i="58"/>
  <c r="O140" i="46"/>
  <c r="I106" i="47"/>
  <c r="F106" i="47"/>
  <c r="E106" i="47"/>
  <c r="K14" i="6"/>
  <c r="BG37" i="2"/>
  <c r="AI37" i="2"/>
  <c r="W37" i="2"/>
  <c r="G106" i="47" l="1"/>
  <c r="H106" i="47" s="1"/>
  <c r="AF36" i="48" l="1"/>
  <c r="AR142" i="58"/>
  <c r="BA142" i="58" s="1"/>
  <c r="AM142" i="58"/>
  <c r="AR141" i="58"/>
  <c r="BA141" i="58" s="1"/>
  <c r="AM141" i="58"/>
  <c r="AD141" i="58" s="1"/>
  <c r="AR140" i="58"/>
  <c r="BA140" i="58" s="1"/>
  <c r="AM140" i="58"/>
  <c r="AD140" i="58" s="1"/>
  <c r="Y140" i="58"/>
  <c r="P140" i="58"/>
  <c r="M140" i="58"/>
  <c r="U140" i="58" s="1"/>
  <c r="J140" i="58"/>
  <c r="P140" i="46"/>
  <c r="M140" i="46"/>
  <c r="T140" i="46" s="1"/>
  <c r="J140" i="46"/>
  <c r="BA142" i="46"/>
  <c r="AR142" i="46"/>
  <c r="AM142" i="46"/>
  <c r="AD142" i="46" s="1"/>
  <c r="BA141" i="46"/>
  <c r="AR141" i="46"/>
  <c r="AM141" i="46"/>
  <c r="AD141" i="46" s="1"/>
  <c r="BA140" i="46"/>
  <c r="AR140" i="46"/>
  <c r="AM140" i="46"/>
  <c r="AD140" i="46" s="1"/>
  <c r="I38" i="6"/>
  <c r="I37" i="6"/>
  <c r="G40" i="6"/>
  <c r="G39" i="6"/>
  <c r="G38" i="6"/>
  <c r="O8" i="6"/>
  <c r="N6" i="6"/>
  <c r="AD142" i="58" l="1"/>
  <c r="N140" i="58"/>
  <c r="T140" i="58"/>
  <c r="C140" i="58"/>
  <c r="N140" i="46"/>
  <c r="C140" i="46"/>
  <c r="N36" i="48" s="1"/>
  <c r="U140" i="46"/>
  <c r="V140" i="58" l="1"/>
  <c r="K140" i="58"/>
  <c r="AH36" i="48" s="1"/>
  <c r="K140" i="46"/>
  <c r="V140" i="46"/>
  <c r="AC140" i="46" l="1"/>
  <c r="L36" i="48"/>
  <c r="AC140" i="58"/>
  <c r="BG36" i="2" l="1"/>
  <c r="AI36" i="2"/>
  <c r="W36" i="2"/>
  <c r="Z135" i="58" l="1"/>
  <c r="Z90" i="58"/>
  <c r="Z89" i="58"/>
  <c r="Z84" i="58"/>
  <c r="Z83" i="58"/>
  <c r="Z79" i="58"/>
  <c r="Z76" i="58"/>
  <c r="Z75" i="58"/>
  <c r="Z71" i="58"/>
  <c r="Z67" i="58"/>
  <c r="Z64" i="58"/>
  <c r="Z60" i="58"/>
  <c r="Z51" i="58"/>
  <c r="Z35" i="58"/>
  <c r="W34" i="58"/>
  <c r="Z29" i="58"/>
  <c r="Z27" i="58"/>
  <c r="Z24" i="58"/>
  <c r="Z23" i="58"/>
  <c r="Z22" i="58"/>
  <c r="Z21" i="58"/>
  <c r="Z60" i="46"/>
  <c r="C26" i="25"/>
  <c r="Z135" i="46"/>
  <c r="H101" i="47"/>
  <c r="O135" i="58" s="1"/>
  <c r="F102" i="47"/>
  <c r="F101" i="47"/>
  <c r="G102" i="47"/>
  <c r="O136" i="58"/>
  <c r="E104" i="47"/>
  <c r="G104" i="47" s="1"/>
  <c r="H104" i="47" s="1"/>
  <c r="O136" i="46" s="1"/>
  <c r="E103" i="47"/>
  <c r="G103" i="47" s="1"/>
  <c r="O135" i="46" l="1"/>
  <c r="G101" i="47"/>
  <c r="C26" i="7"/>
  <c r="K14" i="7" s="1"/>
  <c r="W136" i="58" s="1"/>
  <c r="C25" i="7"/>
  <c r="K13" i="7" s="1"/>
  <c r="W135" i="58" s="1"/>
  <c r="M136" i="58" l="1"/>
  <c r="U136" i="58" s="1"/>
  <c r="J136" i="58"/>
  <c r="C135" i="58"/>
  <c r="N135" i="58"/>
  <c r="J135" i="58"/>
  <c r="W136" i="46"/>
  <c r="M136" i="46"/>
  <c r="U136" i="46"/>
  <c r="T136" i="46"/>
  <c r="N136" i="46"/>
  <c r="K136" i="46" s="1"/>
  <c r="AC136" i="46" s="1"/>
  <c r="J136" i="46"/>
  <c r="C136" i="46"/>
  <c r="L38" i="7"/>
  <c r="I104" i="47" s="1"/>
  <c r="P10" i="7"/>
  <c r="O9" i="7"/>
  <c r="N136" i="58" l="1"/>
  <c r="K135" i="58"/>
  <c r="T135" i="58"/>
  <c r="T136" i="58"/>
  <c r="P135" i="58"/>
  <c r="P136" i="58"/>
  <c r="U135" i="58"/>
  <c r="C136" i="58"/>
  <c r="V135" i="58"/>
  <c r="V136" i="46"/>
  <c r="P136" i="46"/>
  <c r="AF35" i="48"/>
  <c r="AR138" i="58"/>
  <c r="BA138" i="58" s="1"/>
  <c r="AM138" i="58"/>
  <c r="AR137" i="58"/>
  <c r="BA137" i="58" s="1"/>
  <c r="AM137" i="58"/>
  <c r="AR136" i="58"/>
  <c r="BA136" i="58" s="1"/>
  <c r="AM136" i="58"/>
  <c r="AD136" i="58" s="1"/>
  <c r="AR135" i="58"/>
  <c r="BA135" i="58" s="1"/>
  <c r="AM135" i="58"/>
  <c r="AM138" i="46"/>
  <c r="AR138" i="46"/>
  <c r="BA138" i="46"/>
  <c r="AR137" i="46"/>
  <c r="BA137" i="46" s="1"/>
  <c r="AM137" i="46"/>
  <c r="AR136" i="46"/>
  <c r="BA136" i="46" s="1"/>
  <c r="AM136" i="46"/>
  <c r="AR135" i="46"/>
  <c r="BA135" i="46" s="1"/>
  <c r="AM135" i="46"/>
  <c r="AD135" i="46" s="1"/>
  <c r="C135" i="46"/>
  <c r="N35" i="48" s="1"/>
  <c r="N135" i="46"/>
  <c r="K135" i="46" s="1"/>
  <c r="L35" i="48" s="1"/>
  <c r="J135" i="46"/>
  <c r="AD138" i="58" l="1"/>
  <c r="AD138" i="46"/>
  <c r="AD137" i="46"/>
  <c r="V136" i="58"/>
  <c r="K136" i="58"/>
  <c r="AH35" i="48" s="1"/>
  <c r="AC135" i="58"/>
  <c r="AD135" i="58"/>
  <c r="AD137" i="58"/>
  <c r="AD136" i="46"/>
  <c r="P135" i="46"/>
  <c r="V135" i="46"/>
  <c r="T135" i="46"/>
  <c r="AC135" i="46" s="1"/>
  <c r="U135" i="46"/>
  <c r="X135" i="58" l="1"/>
  <c r="AC136" i="58"/>
  <c r="I38" i="7"/>
  <c r="L37" i="7" s="1"/>
  <c r="I101" i="47" s="1"/>
  <c r="F42" i="7"/>
  <c r="G38" i="7"/>
  <c r="G42" i="7" s="1"/>
  <c r="I37" i="7" s="1"/>
  <c r="O8" i="7"/>
  <c r="N6" i="7"/>
  <c r="AI35" i="2" l="1"/>
  <c r="W35" i="2"/>
  <c r="G99" i="47" l="1"/>
  <c r="H99" i="47" s="1"/>
  <c r="O131" i="46" l="1"/>
  <c r="O131" i="58"/>
  <c r="AF34" i="48" l="1"/>
  <c r="AR133" i="58"/>
  <c r="BA133" i="58" s="1"/>
  <c r="AM133" i="58"/>
  <c r="AR132" i="58"/>
  <c r="BA132" i="58" s="1"/>
  <c r="AM132" i="58"/>
  <c r="AD132" i="58" s="1"/>
  <c r="AR131" i="58"/>
  <c r="BA131" i="58" s="1"/>
  <c r="AM131" i="58"/>
  <c r="C131" i="58"/>
  <c r="N131" i="58"/>
  <c r="K131" i="58"/>
  <c r="AH34" i="48" s="1"/>
  <c r="J131" i="58"/>
  <c r="AR133" i="46"/>
  <c r="BA133" i="46" s="1"/>
  <c r="AM133" i="46"/>
  <c r="AD133" i="46" s="1"/>
  <c r="AR132" i="46"/>
  <c r="BA132" i="46" s="1"/>
  <c r="AM132" i="46"/>
  <c r="AR131" i="46"/>
  <c r="BA131" i="46" s="1"/>
  <c r="AM131" i="46"/>
  <c r="U131" i="46"/>
  <c r="N131" i="46"/>
  <c r="V131" i="46" s="1"/>
  <c r="J131" i="46"/>
  <c r="C131" i="46"/>
  <c r="N34" i="48" s="1"/>
  <c r="I38" i="8"/>
  <c r="I99" i="47" s="1"/>
  <c r="G42" i="8"/>
  <c r="I37" i="8" s="1"/>
  <c r="F42" i="8"/>
  <c r="AD133" i="58" l="1"/>
  <c r="AD131" i="58"/>
  <c r="V131" i="58"/>
  <c r="P131" i="58"/>
  <c r="T131" i="58"/>
  <c r="AC131" i="58" s="1"/>
  <c r="U131" i="58"/>
  <c r="AD132" i="46"/>
  <c r="AD131" i="46"/>
  <c r="K131" i="46"/>
  <c r="P131" i="46"/>
  <c r="T131" i="46"/>
  <c r="AC131" i="46" l="1"/>
  <c r="L34" i="48"/>
  <c r="P17" i="8"/>
  <c r="Q17" i="8" s="1"/>
  <c r="P16" i="8"/>
  <c r="P18" i="8" s="1"/>
  <c r="O17" i="8"/>
  <c r="R17" i="8" s="1"/>
  <c r="O16" i="8"/>
  <c r="O8" i="8"/>
  <c r="N6" i="8"/>
  <c r="Q16" i="8" l="1"/>
  <c r="R16" i="8"/>
  <c r="R18" i="8" s="1"/>
  <c r="R19" i="8" s="1"/>
  <c r="Q18" i="8"/>
  <c r="Q19" i="8" s="1"/>
  <c r="BL28" i="59" l="1"/>
  <c r="BG34" i="2" l="1"/>
  <c r="AI34" i="2"/>
  <c r="W34" i="2" l="1"/>
  <c r="F97" i="47"/>
  <c r="G97" i="47" s="1"/>
  <c r="E96" i="47"/>
  <c r="G96" i="47" s="1"/>
  <c r="H96" i="47" l="1"/>
  <c r="AF33" i="48"/>
  <c r="AR129" i="58"/>
  <c r="BA129" i="58" s="1"/>
  <c r="AM129" i="58"/>
  <c r="AR128" i="58"/>
  <c r="BA128" i="58" s="1"/>
  <c r="AM128" i="58"/>
  <c r="AR127" i="58"/>
  <c r="BA127" i="58" s="1"/>
  <c r="AM127" i="58"/>
  <c r="AD127" i="58" s="1"/>
  <c r="N127" i="58"/>
  <c r="J127" i="58"/>
  <c r="J127" i="46"/>
  <c r="AR129" i="46"/>
  <c r="BA129" i="46" s="1"/>
  <c r="AM129" i="46"/>
  <c r="AR128" i="46"/>
  <c r="BA128" i="46" s="1"/>
  <c r="AM128" i="46"/>
  <c r="AD128" i="46" s="1"/>
  <c r="BA127" i="46"/>
  <c r="AR127" i="46"/>
  <c r="AM127" i="46"/>
  <c r="I38" i="9"/>
  <c r="I96" i="47" s="1"/>
  <c r="G40" i="9"/>
  <c r="G39" i="9"/>
  <c r="G38" i="9"/>
  <c r="O9" i="9"/>
  <c r="O10" i="9"/>
  <c r="O8" i="9"/>
  <c r="N6" i="9"/>
  <c r="AD127" i="46" l="1"/>
  <c r="AD129" i="46"/>
  <c r="O127" i="58"/>
  <c r="U127" i="58" s="1"/>
  <c r="O127" i="46"/>
  <c r="P127" i="46" s="1"/>
  <c r="V127" i="58"/>
  <c r="U127" i="46"/>
  <c r="C127" i="58"/>
  <c r="AD128" i="58"/>
  <c r="AD129" i="58"/>
  <c r="N127" i="46"/>
  <c r="C127" i="46" l="1"/>
  <c r="N33" i="48" s="1"/>
  <c r="K127" i="58"/>
  <c r="AH33" i="48" s="1"/>
  <c r="T127" i="58"/>
  <c r="T127" i="46"/>
  <c r="P127" i="58"/>
  <c r="V127" i="46"/>
  <c r="K127" i="46"/>
  <c r="AC127" i="58" l="1"/>
  <c r="AC127" i="46"/>
  <c r="L33" i="48"/>
  <c r="BL27" i="59"/>
  <c r="E94" i="47" l="1"/>
  <c r="E93" i="47"/>
  <c r="G93" i="47" s="1"/>
  <c r="E92" i="47"/>
  <c r="G92" i="47" s="1"/>
  <c r="K13" i="10"/>
  <c r="W123" i="58" s="1"/>
  <c r="C25" i="10"/>
  <c r="C16" i="10"/>
  <c r="K15" i="10" s="1"/>
  <c r="W122" i="58" s="1"/>
  <c r="H92" i="47" l="1"/>
  <c r="O122" i="58" s="1"/>
  <c r="G94" i="47"/>
  <c r="H94" i="47" s="1"/>
  <c r="BG33" i="2"/>
  <c r="AI33" i="2"/>
  <c r="S33" i="2"/>
  <c r="O122" i="46" l="1"/>
  <c r="O123" i="58"/>
  <c r="O123" i="46"/>
  <c r="AF32" i="48"/>
  <c r="AR125" i="58"/>
  <c r="BA125" i="58" s="1"/>
  <c r="AM125" i="58"/>
  <c r="AR124" i="58"/>
  <c r="BA124" i="58" s="1"/>
  <c r="AM124" i="58"/>
  <c r="AR123" i="58"/>
  <c r="BA123" i="58" s="1"/>
  <c r="AM123" i="58"/>
  <c r="P123" i="58"/>
  <c r="M123" i="58"/>
  <c r="N123" i="58" s="1"/>
  <c r="J123" i="58"/>
  <c r="AR122" i="58"/>
  <c r="BA122" i="58" s="1"/>
  <c r="AM122" i="58"/>
  <c r="U122" i="58"/>
  <c r="P122" i="58"/>
  <c r="M122" i="58"/>
  <c r="N122" i="58" s="1"/>
  <c r="J122" i="58"/>
  <c r="C122" i="58"/>
  <c r="AM125" i="46"/>
  <c r="AR125" i="46"/>
  <c r="BA125" i="46" s="1"/>
  <c r="P123" i="46"/>
  <c r="J123" i="46"/>
  <c r="M123" i="46"/>
  <c r="M122" i="46"/>
  <c r="C122" i="46" s="1"/>
  <c r="AR124" i="46"/>
  <c r="BA124" i="46" s="1"/>
  <c r="AM124" i="46"/>
  <c r="AR123" i="46"/>
  <c r="BA123" i="46" s="1"/>
  <c r="AM123" i="46"/>
  <c r="AR122" i="46"/>
  <c r="BA122" i="46" s="1"/>
  <c r="AM122" i="46"/>
  <c r="AD122" i="46" s="1"/>
  <c r="U122" i="46"/>
  <c r="J122" i="46"/>
  <c r="L38" i="10"/>
  <c r="I94" i="47" s="1"/>
  <c r="I38" i="10"/>
  <c r="L37" i="10" s="1"/>
  <c r="I92" i="47" s="1"/>
  <c r="P18" i="10"/>
  <c r="Q17" i="10"/>
  <c r="R17" i="10"/>
  <c r="Q16" i="10"/>
  <c r="O17" i="10"/>
  <c r="O16" i="10"/>
  <c r="R16" i="10" s="1"/>
  <c r="O8" i="10"/>
  <c r="N6" i="10"/>
  <c r="S111" i="58"/>
  <c r="F42" i="12"/>
  <c r="P10" i="12"/>
  <c r="P11" i="12" s="1"/>
  <c r="T123" i="46" l="1"/>
  <c r="AD123" i="58"/>
  <c r="R18" i="10"/>
  <c r="R19" i="10" s="1"/>
  <c r="Q18" i="10"/>
  <c r="Q19" i="10" s="1"/>
  <c r="N122" i="46"/>
  <c r="V122" i="46" s="1"/>
  <c r="U123" i="46"/>
  <c r="AD125" i="58"/>
  <c r="AD122" i="58"/>
  <c r="N123" i="46"/>
  <c r="K123" i="46" s="1"/>
  <c r="AC123" i="46" s="1"/>
  <c r="AD124" i="46"/>
  <c r="T122" i="58"/>
  <c r="W123" i="46"/>
  <c r="W122" i="46"/>
  <c r="K122" i="58"/>
  <c r="V122" i="58"/>
  <c r="V123" i="58"/>
  <c r="K123" i="58"/>
  <c r="AD124" i="58"/>
  <c r="T123" i="58"/>
  <c r="C123" i="58"/>
  <c r="U123" i="58"/>
  <c r="AD125" i="46"/>
  <c r="C123" i="46"/>
  <c r="N32" i="48" s="1"/>
  <c r="AD123" i="46"/>
  <c r="K122" i="46"/>
  <c r="P122" i="46"/>
  <c r="T122" i="46"/>
  <c r="X122" i="58" l="1"/>
  <c r="V123" i="46"/>
  <c r="AC123" i="58"/>
  <c r="AC122" i="58"/>
  <c r="AH32" i="48"/>
  <c r="AC122" i="46"/>
  <c r="L32" i="48"/>
  <c r="X122" i="46"/>
  <c r="BL26" i="59" l="1"/>
  <c r="BL25" i="59"/>
  <c r="F90" i="47" l="1"/>
  <c r="E90" i="47"/>
  <c r="E88" i="47"/>
  <c r="G88" i="47"/>
  <c r="H88" i="47" s="1"/>
  <c r="O111" i="58" s="1"/>
  <c r="O111" i="46" l="1"/>
  <c r="G90" i="47"/>
  <c r="H90" i="47" s="1"/>
  <c r="BG32" i="2"/>
  <c r="BG31" i="2"/>
  <c r="AI32" i="2"/>
  <c r="AI31" i="2"/>
  <c r="S32" i="2"/>
  <c r="S31" i="2"/>
  <c r="O116" i="58" l="1"/>
  <c r="U116" i="58" s="1"/>
  <c r="O116" i="46"/>
  <c r="AF31" i="48"/>
  <c r="AF30" i="48"/>
  <c r="M33" i="53"/>
  <c r="D33" i="53"/>
  <c r="D40" i="53"/>
  <c r="M40" i="53"/>
  <c r="AR120" i="58"/>
  <c r="BA120" i="58" s="1"/>
  <c r="AM120" i="58"/>
  <c r="AR119" i="58"/>
  <c r="BA119" i="58" s="1"/>
  <c r="AM119" i="58"/>
  <c r="AR118" i="58"/>
  <c r="BA118" i="58" s="1"/>
  <c r="AM118" i="58"/>
  <c r="AR117" i="58"/>
  <c r="BA117" i="58" s="1"/>
  <c r="AM117" i="58"/>
  <c r="AR116" i="58"/>
  <c r="BA116" i="58" s="1"/>
  <c r="AM116" i="58"/>
  <c r="N116" i="58"/>
  <c r="K116" i="58" s="1"/>
  <c r="AH31" i="48" s="1"/>
  <c r="J116" i="58"/>
  <c r="C116" i="58"/>
  <c r="AR114" i="58"/>
  <c r="BA114" i="58" s="1"/>
  <c r="AM114" i="58"/>
  <c r="AR113" i="58"/>
  <c r="BA113" i="58" s="1"/>
  <c r="AM113" i="58"/>
  <c r="AR112" i="58"/>
  <c r="BA112" i="58" s="1"/>
  <c r="AM112" i="58"/>
  <c r="AR111" i="58"/>
  <c r="BA111" i="58" s="1"/>
  <c r="AM111" i="58"/>
  <c r="P111" i="58"/>
  <c r="U111" i="58"/>
  <c r="N111" i="58"/>
  <c r="K111" i="58" s="1"/>
  <c r="AH30" i="48" s="1"/>
  <c r="J111" i="58"/>
  <c r="AR120" i="46"/>
  <c r="BA120" i="46" s="1"/>
  <c r="AM120" i="46"/>
  <c r="AR119" i="46"/>
  <c r="BA119" i="46" s="1"/>
  <c r="AM119" i="46"/>
  <c r="AR118" i="46"/>
  <c r="BA118" i="46" s="1"/>
  <c r="AM118" i="46"/>
  <c r="AR117" i="46"/>
  <c r="BA117" i="46" s="1"/>
  <c r="AM117" i="46"/>
  <c r="AR116" i="46"/>
  <c r="BA116" i="46" s="1"/>
  <c r="AM116" i="46"/>
  <c r="U116" i="46"/>
  <c r="T116" i="46"/>
  <c r="P116" i="46"/>
  <c r="N116" i="46"/>
  <c r="V116" i="46" s="1"/>
  <c r="J116" i="46"/>
  <c r="C116" i="46"/>
  <c r="N31" i="48" s="1"/>
  <c r="AR114" i="46"/>
  <c r="BA114" i="46" s="1"/>
  <c r="AM114" i="46"/>
  <c r="AR113" i="46"/>
  <c r="BA113" i="46" s="1"/>
  <c r="AM113" i="46"/>
  <c r="AR112" i="46"/>
  <c r="BA112" i="46" s="1"/>
  <c r="AM112" i="46"/>
  <c r="AR111" i="46"/>
  <c r="BA111" i="46" s="1"/>
  <c r="AM111" i="46"/>
  <c r="C111" i="46"/>
  <c r="N30" i="48" s="1"/>
  <c r="N111" i="46"/>
  <c r="K111" i="46" s="1"/>
  <c r="L30" i="48" s="1"/>
  <c r="J111" i="46"/>
  <c r="I38" i="11"/>
  <c r="I90" i="47" s="1"/>
  <c r="F42" i="11"/>
  <c r="G40" i="11"/>
  <c r="G39" i="11"/>
  <c r="Q9" i="11"/>
  <c r="Q8" i="11"/>
  <c r="P10" i="11"/>
  <c r="O9" i="11"/>
  <c r="R9" i="11" s="1"/>
  <c r="O8" i="11"/>
  <c r="R8" i="11" s="1"/>
  <c r="I38" i="12"/>
  <c r="I88" i="47" s="1"/>
  <c r="G40" i="12"/>
  <c r="G39" i="12"/>
  <c r="G38" i="12"/>
  <c r="O9" i="12"/>
  <c r="O10" i="12"/>
  <c r="O8" i="12"/>
  <c r="N6" i="12"/>
  <c r="N6" i="11"/>
  <c r="G42" i="12" l="1"/>
  <c r="I37" i="12" s="1"/>
  <c r="G42" i="11"/>
  <c r="I37" i="11" s="1"/>
  <c r="K116" i="46"/>
  <c r="L31" i="48" s="1"/>
  <c r="V111" i="46"/>
  <c r="AD113" i="58"/>
  <c r="AD112" i="58"/>
  <c r="AD117" i="58"/>
  <c r="AD118" i="58"/>
  <c r="AD114" i="58"/>
  <c r="AD111" i="58"/>
  <c r="AD119" i="58"/>
  <c r="AD120" i="58"/>
  <c r="V116" i="58"/>
  <c r="AD116" i="58"/>
  <c r="T111" i="58"/>
  <c r="AC111" i="58" s="1"/>
  <c r="C111" i="58"/>
  <c r="P116" i="58"/>
  <c r="V111" i="58"/>
  <c r="T116" i="58"/>
  <c r="AC116" i="58" s="1"/>
  <c r="AD120" i="46"/>
  <c r="AD118" i="46"/>
  <c r="AD116" i="46"/>
  <c r="AD114" i="46"/>
  <c r="AD113" i="46"/>
  <c r="AD112" i="46"/>
  <c r="AD111" i="46"/>
  <c r="AD117" i="46"/>
  <c r="AD119" i="46"/>
  <c r="P111" i="46"/>
  <c r="T111" i="46"/>
  <c r="AC111" i="46" s="1"/>
  <c r="U111" i="46"/>
  <c r="Q10" i="11"/>
  <c r="Q11" i="11" s="1"/>
  <c r="R10" i="11"/>
  <c r="R11" i="11" s="1"/>
  <c r="AC116" i="46" l="1"/>
  <c r="F29" i="12"/>
  <c r="R7" i="55" l="1"/>
  <c r="R6" i="55"/>
  <c r="Q6" i="55"/>
  <c r="P7" i="55"/>
  <c r="P6" i="55"/>
  <c r="O6" i="55"/>
  <c r="O7" i="55"/>
  <c r="N6" i="55"/>
  <c r="M13" i="55"/>
  <c r="M7" i="55"/>
  <c r="M6" i="55"/>
  <c r="L7" i="55"/>
  <c r="L6" i="55"/>
  <c r="K7" i="55"/>
  <c r="K6" i="55"/>
  <c r="F86" i="47" l="1"/>
  <c r="E86" i="47"/>
  <c r="BG30" i="2"/>
  <c r="AI30" i="2"/>
  <c r="K30" i="2"/>
  <c r="G86" i="47" l="1"/>
  <c r="H86" i="47" s="1"/>
  <c r="O105" i="46" l="1"/>
  <c r="O105" i="58"/>
  <c r="S30" i="2"/>
  <c r="AA30" i="2"/>
  <c r="AF29" i="48" l="1"/>
  <c r="D39" i="53"/>
  <c r="M39" i="53"/>
  <c r="AR109" i="58"/>
  <c r="BA109" i="58" s="1"/>
  <c r="AM109" i="58"/>
  <c r="AR108" i="58"/>
  <c r="BA108" i="58" s="1"/>
  <c r="AM108" i="58"/>
  <c r="BA107" i="58"/>
  <c r="AD107" i="58" s="1"/>
  <c r="AR107" i="58"/>
  <c r="AM107" i="58"/>
  <c r="AR106" i="58"/>
  <c r="BA106" i="58" s="1"/>
  <c r="AM106" i="58"/>
  <c r="AR105" i="58"/>
  <c r="BA105" i="58" s="1"/>
  <c r="AM105" i="58"/>
  <c r="U105" i="58"/>
  <c r="T105" i="58"/>
  <c r="P105" i="58"/>
  <c r="N105" i="58"/>
  <c r="V105" i="58" s="1"/>
  <c r="K105" i="58"/>
  <c r="AH29" i="48" s="1"/>
  <c r="J105" i="58"/>
  <c r="C105" i="58"/>
  <c r="AM108" i="46"/>
  <c r="AR108" i="46"/>
  <c r="BA108" i="46" s="1"/>
  <c r="AM109" i="46"/>
  <c r="AR109" i="46"/>
  <c r="BA109" i="46"/>
  <c r="J105" i="46"/>
  <c r="N105" i="46"/>
  <c r="K105" i="46" s="1"/>
  <c r="U105" i="46"/>
  <c r="P105" i="46"/>
  <c r="T105" i="46"/>
  <c r="AM105" i="46"/>
  <c r="AR105" i="46"/>
  <c r="BA105" i="46"/>
  <c r="AM106" i="46"/>
  <c r="AR106" i="46"/>
  <c r="BA106" i="46"/>
  <c r="AM107" i="46"/>
  <c r="AR107" i="46"/>
  <c r="BA107" i="46" s="1"/>
  <c r="I38" i="13"/>
  <c r="I86" i="47" s="1"/>
  <c r="O9" i="13"/>
  <c r="O10" i="13"/>
  <c r="G38" i="13"/>
  <c r="G40" i="13"/>
  <c r="G39" i="13"/>
  <c r="O8" i="13"/>
  <c r="N6" i="13"/>
  <c r="AD108" i="58" l="1"/>
  <c r="AC105" i="46"/>
  <c r="AD105" i="58"/>
  <c r="AD106" i="58"/>
  <c r="AD109" i="58"/>
  <c r="AD105" i="46"/>
  <c r="AD106" i="46"/>
  <c r="AD108" i="46"/>
  <c r="AD107" i="46"/>
  <c r="AD109" i="46"/>
  <c r="L29" i="48"/>
  <c r="AC105" i="58"/>
  <c r="V105" i="46"/>
  <c r="C105" i="46"/>
  <c r="N29" i="48" s="1"/>
  <c r="F84" i="47"/>
  <c r="E84" i="47"/>
  <c r="G84" i="47" s="1"/>
  <c r="H84" i="47" s="1"/>
  <c r="O101" i="58" l="1"/>
  <c r="O101" i="46"/>
  <c r="BG29" i="2"/>
  <c r="AI29" i="2"/>
  <c r="AA29" i="2"/>
  <c r="AF28" i="48" l="1"/>
  <c r="AR103" i="58"/>
  <c r="BA103" i="58" s="1"/>
  <c r="AM103" i="58"/>
  <c r="AR102" i="58"/>
  <c r="BA102" i="58" s="1"/>
  <c r="AM102" i="58"/>
  <c r="AR101" i="58"/>
  <c r="BA101" i="58" s="1"/>
  <c r="AM101" i="58"/>
  <c r="U101" i="58"/>
  <c r="T101" i="58"/>
  <c r="P101" i="58"/>
  <c r="N101" i="58"/>
  <c r="V101" i="58" s="1"/>
  <c r="J101" i="58"/>
  <c r="C101" i="58"/>
  <c r="AR103" i="46"/>
  <c r="BA103" i="46" s="1"/>
  <c r="AM103" i="46"/>
  <c r="AR102" i="46"/>
  <c r="BA102" i="46" s="1"/>
  <c r="AM102" i="46"/>
  <c r="AR101" i="46"/>
  <c r="BA101" i="46" s="1"/>
  <c r="AM101" i="46"/>
  <c r="AD101" i="46" s="1"/>
  <c r="T101" i="46"/>
  <c r="N101" i="46"/>
  <c r="K101" i="46" s="1"/>
  <c r="AC101" i="46" s="1"/>
  <c r="J101" i="46"/>
  <c r="K101" i="58" l="1"/>
  <c r="AH28" i="48" s="1"/>
  <c r="AD101" i="58"/>
  <c r="AD103" i="46"/>
  <c r="AD102" i="58"/>
  <c r="AD103" i="58"/>
  <c r="L28" i="48"/>
  <c r="AD102" i="46"/>
  <c r="U101" i="46"/>
  <c r="C101" i="46"/>
  <c r="N28" i="48" s="1"/>
  <c r="V101" i="46"/>
  <c r="P101" i="46"/>
  <c r="AC101" i="58" l="1"/>
  <c r="I38" i="14"/>
  <c r="I84" i="47" s="1"/>
  <c r="G40" i="14"/>
  <c r="G39" i="14"/>
  <c r="O16" i="14"/>
  <c r="O15" i="14"/>
  <c r="Q8" i="14"/>
  <c r="Q9" i="14" s="1"/>
  <c r="Q7" i="14"/>
  <c r="O8" i="14"/>
  <c r="R8" i="14" s="1"/>
  <c r="R9" i="14" s="1"/>
  <c r="O7" i="14"/>
  <c r="R7" i="14" s="1"/>
  <c r="N6" i="14"/>
  <c r="BG28" i="2" l="1"/>
  <c r="AI28" i="2"/>
  <c r="AA28" i="2"/>
  <c r="F82" i="47" l="1"/>
  <c r="E82" i="47"/>
  <c r="G82" i="47" s="1"/>
  <c r="H82" i="47" s="1"/>
  <c r="O96" i="58" l="1"/>
  <c r="U96" i="58" s="1"/>
  <c r="O96" i="46"/>
  <c r="AR99" i="58"/>
  <c r="BA99" i="58" s="1"/>
  <c r="AM99" i="58"/>
  <c r="AR98" i="58"/>
  <c r="BA98" i="58" s="1"/>
  <c r="AM98" i="58"/>
  <c r="AR97" i="58"/>
  <c r="BA97" i="58" s="1"/>
  <c r="AM97" i="58"/>
  <c r="AD97" i="58" s="1"/>
  <c r="AR96" i="58"/>
  <c r="BA96" i="58" s="1"/>
  <c r="AM96" i="58"/>
  <c r="N96" i="58"/>
  <c r="K96" i="58" s="1"/>
  <c r="AH27" i="48" s="1"/>
  <c r="J96" i="58"/>
  <c r="C96" i="58"/>
  <c r="AM99" i="46"/>
  <c r="AR99" i="46"/>
  <c r="BA99" i="46" s="1"/>
  <c r="U96" i="46"/>
  <c r="T96" i="46"/>
  <c r="P96" i="46"/>
  <c r="N96" i="46"/>
  <c r="V96" i="46" s="1"/>
  <c r="J96" i="46"/>
  <c r="C96" i="46"/>
  <c r="N27" i="48" s="1"/>
  <c r="AR98" i="46"/>
  <c r="BA98" i="46" s="1"/>
  <c r="AM98" i="46"/>
  <c r="AR97" i="46"/>
  <c r="BA97" i="46" s="1"/>
  <c r="AM97" i="46"/>
  <c r="AR96" i="46"/>
  <c r="BA96" i="46" s="1"/>
  <c r="AM96" i="46"/>
  <c r="I38" i="15"/>
  <c r="I82" i="47" s="1"/>
  <c r="F42" i="15"/>
  <c r="G40" i="15"/>
  <c r="G39" i="15"/>
  <c r="G38" i="15"/>
  <c r="O9" i="15"/>
  <c r="O8" i="15"/>
  <c r="K96" i="46" l="1"/>
  <c r="L27" i="48" s="1"/>
  <c r="AD99" i="46"/>
  <c r="T96" i="58"/>
  <c r="G42" i="15"/>
  <c r="I37" i="15" s="1"/>
  <c r="AD98" i="46"/>
  <c r="AD99" i="58"/>
  <c r="AD96" i="58"/>
  <c r="AC96" i="58"/>
  <c r="AD98" i="58"/>
  <c r="P96" i="58"/>
  <c r="V96" i="58"/>
  <c r="AD97" i="46"/>
  <c r="AD96" i="46"/>
  <c r="AC96" i="46"/>
  <c r="N6" i="15"/>
  <c r="BG27" i="2" l="1"/>
  <c r="AI27" i="2"/>
  <c r="AA27" i="2"/>
  <c r="Z90" i="46" l="1"/>
  <c r="F80" i="47"/>
  <c r="E79" i="47"/>
  <c r="G79" i="47" s="1"/>
  <c r="H79" i="47" s="1"/>
  <c r="E80" i="47"/>
  <c r="C7" i="16"/>
  <c r="K14" i="16" s="1"/>
  <c r="W89" i="58" s="1"/>
  <c r="C8" i="16"/>
  <c r="K15" i="16" s="1"/>
  <c r="W90" i="58" s="1"/>
  <c r="O89" i="46" l="1"/>
  <c r="O89" i="58"/>
  <c r="G80" i="47"/>
  <c r="H80" i="47" s="1"/>
  <c r="S90" i="58"/>
  <c r="S90" i="46"/>
  <c r="O90" i="58" l="1"/>
  <c r="O90" i="46"/>
  <c r="AF26" i="48"/>
  <c r="D32" i="53"/>
  <c r="M32" i="53"/>
  <c r="AR94" i="58"/>
  <c r="BA94" i="58" s="1"/>
  <c r="AM94" i="58"/>
  <c r="AR93" i="58"/>
  <c r="BA93" i="58" s="1"/>
  <c r="AM93" i="58"/>
  <c r="AR92" i="58"/>
  <c r="BA92" i="58" s="1"/>
  <c r="AM92" i="58"/>
  <c r="AR91" i="58"/>
  <c r="BA91" i="58" s="1"/>
  <c r="AM91" i="58"/>
  <c r="AR90" i="58"/>
  <c r="BA90" i="58" s="1"/>
  <c r="AM90" i="58"/>
  <c r="U90" i="58"/>
  <c r="T90" i="58"/>
  <c r="N90" i="58"/>
  <c r="V90" i="58" s="1"/>
  <c r="J90" i="58"/>
  <c r="AR89" i="58"/>
  <c r="BA89" i="58" s="1"/>
  <c r="AM89" i="58"/>
  <c r="P89" i="58"/>
  <c r="N89" i="58"/>
  <c r="V89" i="58" s="1"/>
  <c r="K89" i="58"/>
  <c r="J89" i="58"/>
  <c r="AR94" i="46"/>
  <c r="BA94" i="46" s="1"/>
  <c r="AM94" i="46"/>
  <c r="W90" i="46"/>
  <c r="W89" i="46"/>
  <c r="Q17" i="16"/>
  <c r="U90" i="46"/>
  <c r="N90" i="46"/>
  <c r="V90" i="46" s="1"/>
  <c r="J90" i="46"/>
  <c r="C89" i="46"/>
  <c r="N89" i="46"/>
  <c r="V89" i="46" s="1"/>
  <c r="J89" i="46"/>
  <c r="AR93" i="46"/>
  <c r="BA93" i="46" s="1"/>
  <c r="AM93" i="46"/>
  <c r="AR92" i="46"/>
  <c r="BA92" i="46" s="1"/>
  <c r="AM92" i="46"/>
  <c r="AR91" i="46"/>
  <c r="BA91" i="46" s="1"/>
  <c r="AM91" i="46"/>
  <c r="AR90" i="46"/>
  <c r="BA90" i="46" s="1"/>
  <c r="AM90" i="46"/>
  <c r="AR89" i="46"/>
  <c r="BA89" i="46" s="1"/>
  <c r="AM89" i="46"/>
  <c r="Z89" i="46"/>
  <c r="N37" i="16"/>
  <c r="I79" i="47" s="1"/>
  <c r="I38" i="16"/>
  <c r="F42" i="16"/>
  <c r="P16" i="16"/>
  <c r="P18" i="16" s="1"/>
  <c r="F19" i="16"/>
  <c r="G40" i="16"/>
  <c r="G39" i="16"/>
  <c r="O17" i="16"/>
  <c r="R17" i="16" s="1"/>
  <c r="O16" i="16"/>
  <c r="P9" i="16"/>
  <c r="Q9" i="16" s="1"/>
  <c r="R16" i="16" l="1"/>
  <c r="R18" i="16" s="1"/>
  <c r="R19" i="16" s="1"/>
  <c r="G42" i="16"/>
  <c r="I37" i="16" s="1"/>
  <c r="AD89" i="58"/>
  <c r="N38" i="16"/>
  <c r="I80" i="47" s="1"/>
  <c r="AD94" i="58"/>
  <c r="AD91" i="46"/>
  <c r="AD92" i="58"/>
  <c r="AD90" i="58"/>
  <c r="AD89" i="46"/>
  <c r="Q16" i="16"/>
  <c r="Q18" i="16" s="1"/>
  <c r="Q19" i="16" s="1"/>
  <c r="AD93" i="58"/>
  <c r="K90" i="58"/>
  <c r="AH26" i="48" s="1"/>
  <c r="AD91" i="58"/>
  <c r="C90" i="58"/>
  <c r="T89" i="58"/>
  <c r="AC89" i="58" s="1"/>
  <c r="U89" i="58"/>
  <c r="AA89" i="58" s="1"/>
  <c r="C89" i="58"/>
  <c r="P90" i="58"/>
  <c r="AD94" i="46"/>
  <c r="AD93" i="46"/>
  <c r="P90" i="46"/>
  <c r="K90" i="46"/>
  <c r="T90" i="46"/>
  <c r="C90" i="46"/>
  <c r="N26" i="48" s="1"/>
  <c r="K89" i="46"/>
  <c r="T89" i="46"/>
  <c r="P89" i="46"/>
  <c r="U89" i="46"/>
  <c r="AA89" i="46" s="1"/>
  <c r="AD90" i="46"/>
  <c r="AD92" i="46"/>
  <c r="P8" i="16"/>
  <c r="O9" i="16"/>
  <c r="R9" i="16" s="1"/>
  <c r="O8" i="16"/>
  <c r="N6" i="16"/>
  <c r="X89" i="58" l="1"/>
  <c r="AC90" i="58"/>
  <c r="L26" i="48"/>
  <c r="Q8" i="16"/>
  <c r="Q10" i="16" s="1"/>
  <c r="P10" i="16"/>
  <c r="R8" i="16"/>
  <c r="R10" i="16" s="1"/>
  <c r="AC90" i="46"/>
  <c r="AB89" i="58"/>
  <c r="X89" i="46"/>
  <c r="AC89" i="46"/>
  <c r="R11" i="16" l="1"/>
  <c r="Q11" i="16"/>
  <c r="AB89" i="46"/>
  <c r="Z84" i="46"/>
  <c r="Z83" i="46"/>
  <c r="F76" i="47"/>
  <c r="E77" i="47"/>
  <c r="G77" i="47" s="1"/>
  <c r="E76" i="47"/>
  <c r="F75" i="47"/>
  <c r="E75" i="47"/>
  <c r="C17" i="17"/>
  <c r="C16" i="17"/>
  <c r="G75" i="47" l="1"/>
  <c r="H75" i="47" s="1"/>
  <c r="O83" i="46" s="1"/>
  <c r="G76" i="47"/>
  <c r="H76" i="47"/>
  <c r="O84" i="58" s="1"/>
  <c r="K14" i="17"/>
  <c r="W84" i="58" s="1"/>
  <c r="K15" i="17"/>
  <c r="W83" i="58" s="1"/>
  <c r="BG26" i="2"/>
  <c r="AI26" i="2"/>
  <c r="K26" i="2"/>
  <c r="O83" i="58" l="1"/>
  <c r="O84" i="46"/>
  <c r="W84" i="46"/>
  <c r="G42" i="17"/>
  <c r="F42" i="17"/>
  <c r="AF25" i="48" l="1"/>
  <c r="M6" i="54"/>
  <c r="Q83" i="46"/>
  <c r="Q83" i="58"/>
  <c r="P83" i="58" s="1"/>
  <c r="AR87" i="58"/>
  <c r="BA87" i="58" s="1"/>
  <c r="AM87" i="58"/>
  <c r="AR86" i="58"/>
  <c r="BA86" i="58" s="1"/>
  <c r="AM86" i="58"/>
  <c r="AR85" i="58"/>
  <c r="BA85" i="58" s="1"/>
  <c r="AM85" i="58"/>
  <c r="AR84" i="58"/>
  <c r="BA84" i="58" s="1"/>
  <c r="AM84" i="58"/>
  <c r="AD84" i="58" s="1"/>
  <c r="U84" i="58"/>
  <c r="N84" i="58"/>
  <c r="J84" i="58"/>
  <c r="AR83" i="58"/>
  <c r="BA83" i="58" s="1"/>
  <c r="AM83" i="58"/>
  <c r="N83" i="58"/>
  <c r="J83" i="58"/>
  <c r="AR81" i="58"/>
  <c r="BA81" i="58" s="1"/>
  <c r="AM81" i="58"/>
  <c r="AR80" i="58"/>
  <c r="BA80" i="58" s="1"/>
  <c r="AM80" i="58"/>
  <c r="M80" i="58"/>
  <c r="N80" i="58" s="1"/>
  <c r="J80" i="58"/>
  <c r="AR79" i="58"/>
  <c r="BA79" i="58" s="1"/>
  <c r="AM79" i="58"/>
  <c r="M79" i="58"/>
  <c r="J79" i="58"/>
  <c r="AM87" i="46"/>
  <c r="AR87" i="46"/>
  <c r="BA87" i="46" s="1"/>
  <c r="AM86" i="46"/>
  <c r="AR86" i="46"/>
  <c r="BA86" i="46" s="1"/>
  <c r="W83" i="46"/>
  <c r="P8" i="17"/>
  <c r="P25" i="17"/>
  <c r="J83" i="46"/>
  <c r="N83" i="46"/>
  <c r="T83" i="46"/>
  <c r="J84" i="46"/>
  <c r="N84" i="46"/>
  <c r="P84" i="46"/>
  <c r="AM83" i="46"/>
  <c r="AR83" i="46"/>
  <c r="BA83" i="46" s="1"/>
  <c r="AM84" i="46"/>
  <c r="AR84" i="46"/>
  <c r="BA84" i="46" s="1"/>
  <c r="AM85" i="46"/>
  <c r="AR85" i="46"/>
  <c r="BA85" i="46" s="1"/>
  <c r="AD79" i="58" l="1"/>
  <c r="AD81" i="58"/>
  <c r="AD83" i="58"/>
  <c r="AD80" i="58"/>
  <c r="AD85" i="58"/>
  <c r="AD85" i="46"/>
  <c r="C84" i="46"/>
  <c r="V84" i="58"/>
  <c r="U84" i="46"/>
  <c r="T84" i="46"/>
  <c r="C84" i="58"/>
  <c r="U83" i="58"/>
  <c r="AA83" i="58" s="1"/>
  <c r="C83" i="58"/>
  <c r="K83" i="58"/>
  <c r="X83" i="58" s="1"/>
  <c r="V83" i="58"/>
  <c r="T83" i="58"/>
  <c r="AD86" i="58"/>
  <c r="AD87" i="58"/>
  <c r="N79" i="58"/>
  <c r="K84" i="58"/>
  <c r="P84" i="58"/>
  <c r="T84" i="58"/>
  <c r="AD87" i="46"/>
  <c r="AD86" i="46"/>
  <c r="P83" i="46"/>
  <c r="V83" i="46"/>
  <c r="V84" i="46"/>
  <c r="K84" i="46"/>
  <c r="U83" i="46"/>
  <c r="C83" i="46"/>
  <c r="K83" i="46"/>
  <c r="AD83" i="46"/>
  <c r="AD84" i="46"/>
  <c r="L37" i="17"/>
  <c r="I75" i="47" s="1"/>
  <c r="I38" i="17"/>
  <c r="I37" i="17"/>
  <c r="Q26" i="17"/>
  <c r="R26" i="17"/>
  <c r="R25" i="17"/>
  <c r="Q25" i="17"/>
  <c r="P27" i="17"/>
  <c r="Q27" i="17" s="1"/>
  <c r="O27" i="17"/>
  <c r="O26" i="17"/>
  <c r="O25" i="17"/>
  <c r="P16" i="17"/>
  <c r="Q16" i="17" s="1"/>
  <c r="P15" i="17"/>
  <c r="Q15" i="17" s="1"/>
  <c r="O16" i="17"/>
  <c r="R16" i="17" s="1"/>
  <c r="O15" i="17"/>
  <c r="O8" i="17"/>
  <c r="N6" i="17"/>
  <c r="R27" i="17" l="1"/>
  <c r="R15" i="17"/>
  <c r="AA83" i="46"/>
  <c r="AC84" i="46"/>
  <c r="L38" i="17"/>
  <c r="I76" i="47" s="1"/>
  <c r="P28" i="17"/>
  <c r="Q17" i="17"/>
  <c r="P17" i="17"/>
  <c r="N25" i="48"/>
  <c r="AC84" i="58"/>
  <c r="AH25" i="48"/>
  <c r="AC83" i="58"/>
  <c r="AB83" i="58" s="1"/>
  <c r="AC83" i="46"/>
  <c r="AB83" i="46" s="1"/>
  <c r="L25" i="48"/>
  <c r="X83" i="46"/>
  <c r="Q28" i="17"/>
  <c r="R28" i="17"/>
  <c r="R17" i="17"/>
  <c r="Q29" i="17" l="1"/>
  <c r="R29" i="17"/>
  <c r="Q18" i="17"/>
  <c r="R18" i="17"/>
  <c r="BG25" i="2" l="1"/>
  <c r="BG24" i="2"/>
  <c r="AI25" i="2"/>
  <c r="AI24" i="2"/>
  <c r="K24" i="2"/>
  <c r="AA25" i="2"/>
  <c r="AA24" i="2"/>
  <c r="Z79" i="46" l="1"/>
  <c r="Z76" i="46"/>
  <c r="Z75" i="46"/>
  <c r="C16" i="18"/>
  <c r="C8" i="18"/>
  <c r="K15" i="18" s="1"/>
  <c r="W80" i="58" s="1"/>
  <c r="C7" i="18"/>
  <c r="K14" i="18" s="1"/>
  <c r="W79" i="58" s="1"/>
  <c r="F73" i="47"/>
  <c r="E73" i="47"/>
  <c r="E72" i="47"/>
  <c r="G72" i="47" s="1"/>
  <c r="H72" i="47" s="1"/>
  <c r="F70" i="47"/>
  <c r="E70" i="47"/>
  <c r="F69" i="47"/>
  <c r="E69" i="47"/>
  <c r="G69" i="47" s="1"/>
  <c r="H69" i="47" s="1"/>
  <c r="K14" i="19"/>
  <c r="W76" i="58" s="1"/>
  <c r="C16" i="19"/>
  <c r="K16" i="19" s="1"/>
  <c r="W75" i="58" s="1"/>
  <c r="O75" i="46" l="1"/>
  <c r="O75" i="58"/>
  <c r="O79" i="58"/>
  <c r="O79" i="46"/>
  <c r="G73" i="47"/>
  <c r="H73" i="47" s="1"/>
  <c r="G70" i="47"/>
  <c r="H70" i="47" s="1"/>
  <c r="O80" i="58" l="1"/>
  <c r="O80" i="46"/>
  <c r="O76" i="46"/>
  <c r="O76" i="58"/>
  <c r="P79" i="58"/>
  <c r="U79" i="58"/>
  <c r="C79" i="58"/>
  <c r="T79" i="58"/>
  <c r="V79" i="58"/>
  <c r="K79" i="58"/>
  <c r="AF24" i="48"/>
  <c r="AF23" i="48"/>
  <c r="AC79" i="58" l="1"/>
  <c r="P80" i="58"/>
  <c r="V80" i="58"/>
  <c r="T80" i="58"/>
  <c r="C80" i="58"/>
  <c r="U80" i="58"/>
  <c r="AA79" i="58" s="1"/>
  <c r="K80" i="58"/>
  <c r="AR77" i="58"/>
  <c r="BA77" i="58" s="1"/>
  <c r="AM77" i="58"/>
  <c r="AR76" i="58"/>
  <c r="BA76" i="58" s="1"/>
  <c r="AM76" i="58"/>
  <c r="M76" i="58"/>
  <c r="N76" i="58" s="1"/>
  <c r="K76" i="58" s="1"/>
  <c r="J76" i="58"/>
  <c r="AR75" i="58"/>
  <c r="BA75" i="58" s="1"/>
  <c r="AM75" i="58"/>
  <c r="U75" i="58"/>
  <c r="N75" i="58"/>
  <c r="V75" i="58" s="1"/>
  <c r="J75" i="58"/>
  <c r="W80" i="46"/>
  <c r="W79" i="46"/>
  <c r="P79" i="46"/>
  <c r="M79" i="46"/>
  <c r="N79" i="46" s="1"/>
  <c r="J79" i="46"/>
  <c r="AR81" i="46"/>
  <c r="BA81" i="46" s="1"/>
  <c r="AM81" i="46"/>
  <c r="AR80" i="46"/>
  <c r="BA80" i="46" s="1"/>
  <c r="AM80" i="46"/>
  <c r="P80" i="46"/>
  <c r="M80" i="46"/>
  <c r="T80" i="46" s="1"/>
  <c r="J80" i="46"/>
  <c r="AR79" i="46"/>
  <c r="BA79" i="46" s="1"/>
  <c r="AM79" i="46"/>
  <c r="W76" i="46"/>
  <c r="W75" i="46"/>
  <c r="M76" i="46"/>
  <c r="P10" i="19"/>
  <c r="C75" i="46"/>
  <c r="N75" i="46"/>
  <c r="J75" i="46"/>
  <c r="AR77" i="46"/>
  <c r="BA77" i="46" s="1"/>
  <c r="AM77" i="46"/>
  <c r="AR76" i="46"/>
  <c r="BA76" i="46" s="1"/>
  <c r="AM76" i="46"/>
  <c r="P76" i="46"/>
  <c r="J76" i="46"/>
  <c r="AR75" i="46"/>
  <c r="BA75" i="46" s="1"/>
  <c r="AM75" i="46"/>
  <c r="N38" i="19"/>
  <c r="I70" i="47" s="1"/>
  <c r="I38" i="19"/>
  <c r="F42" i="19"/>
  <c r="G40" i="19"/>
  <c r="G42" i="19" s="1"/>
  <c r="I37" i="19" s="1"/>
  <c r="Q17" i="19"/>
  <c r="Q16" i="19"/>
  <c r="P18" i="19"/>
  <c r="O17" i="19"/>
  <c r="R17" i="19" s="1"/>
  <c r="O16" i="19"/>
  <c r="R16" i="19" s="1"/>
  <c r="P9" i="19"/>
  <c r="Q9" i="19" s="1"/>
  <c r="P8" i="19"/>
  <c r="Q8" i="19" s="1"/>
  <c r="O10" i="19"/>
  <c r="O9" i="19"/>
  <c r="O8" i="19"/>
  <c r="N6" i="19"/>
  <c r="L37" i="18"/>
  <c r="I72" i="47" s="1"/>
  <c r="I38" i="18"/>
  <c r="G38" i="18"/>
  <c r="P18" i="18"/>
  <c r="P16" i="18"/>
  <c r="Q16" i="18" s="1"/>
  <c r="P9" i="18"/>
  <c r="Q17" i="18"/>
  <c r="O18" i="18"/>
  <c r="O17" i="18"/>
  <c r="R17" i="18" s="1"/>
  <c r="O16" i="18"/>
  <c r="O9" i="18"/>
  <c r="N6" i="18"/>
  <c r="AC80" i="58" l="1"/>
  <c r="X79" i="58"/>
  <c r="R8" i="19"/>
  <c r="R9" i="19"/>
  <c r="AD76" i="46"/>
  <c r="AD75" i="46"/>
  <c r="AD79" i="46"/>
  <c r="R10" i="19"/>
  <c r="AD80" i="46"/>
  <c r="R18" i="18"/>
  <c r="N37" i="19"/>
  <c r="I69" i="47" s="1"/>
  <c r="L38" i="18"/>
  <c r="I73" i="47" s="1"/>
  <c r="Q18" i="19"/>
  <c r="Q19" i="19" s="1"/>
  <c r="AD76" i="58"/>
  <c r="R16" i="18"/>
  <c r="C80" i="46"/>
  <c r="AD77" i="58"/>
  <c r="R18" i="19"/>
  <c r="R19" i="19" s="1"/>
  <c r="U80" i="46"/>
  <c r="AD81" i="46"/>
  <c r="P19" i="18"/>
  <c r="Q18" i="18"/>
  <c r="Q19" i="18" s="1"/>
  <c r="AB79" i="58"/>
  <c r="K79" i="46"/>
  <c r="U79" i="46"/>
  <c r="V79" i="46"/>
  <c r="V76" i="58"/>
  <c r="P76" i="58"/>
  <c r="U76" i="46"/>
  <c r="U76" i="58"/>
  <c r="AA75" i="58" s="1"/>
  <c r="C75" i="58"/>
  <c r="V75" i="46"/>
  <c r="K75" i="58"/>
  <c r="X75" i="58" s="1"/>
  <c r="AD75" i="58"/>
  <c r="P75" i="58"/>
  <c r="T75" i="58"/>
  <c r="T76" i="58"/>
  <c r="AC76" i="58" s="1"/>
  <c r="C76" i="58"/>
  <c r="N80" i="46"/>
  <c r="K80" i="46" s="1"/>
  <c r="AC80" i="46" s="1"/>
  <c r="T79" i="46"/>
  <c r="C79" i="46"/>
  <c r="T76" i="46"/>
  <c r="N76" i="46"/>
  <c r="C76" i="46"/>
  <c r="N23" i="48" s="1"/>
  <c r="Q10" i="19"/>
  <c r="Q11" i="19" s="1"/>
  <c r="P11" i="19"/>
  <c r="K75" i="46"/>
  <c r="P75" i="46"/>
  <c r="T75" i="46"/>
  <c r="U75" i="46"/>
  <c r="AD77" i="46"/>
  <c r="J6" i="55"/>
  <c r="I6" i="55"/>
  <c r="F6" i="55"/>
  <c r="F7" i="55"/>
  <c r="H6" i="55"/>
  <c r="G6" i="55"/>
  <c r="E7" i="55"/>
  <c r="E6" i="55"/>
  <c r="D7" i="55"/>
  <c r="D6" i="55"/>
  <c r="C7" i="55"/>
  <c r="C6" i="55"/>
  <c r="B7" i="55"/>
  <c r="B6" i="55"/>
  <c r="N24" i="48" l="1"/>
  <c r="R11" i="19"/>
  <c r="Q20" i="18"/>
  <c r="R19" i="18"/>
  <c r="R20" i="18" s="1"/>
  <c r="AA79" i="46"/>
  <c r="Q12" i="19"/>
  <c r="R12" i="19"/>
  <c r="V80" i="46"/>
  <c r="AH23" i="48"/>
  <c r="AC75" i="58"/>
  <c r="AB75" i="58" s="1"/>
  <c r="L24" i="48"/>
  <c r="AA75" i="46"/>
  <c r="AH24" i="48"/>
  <c r="AC79" i="46"/>
  <c r="X79" i="46"/>
  <c r="V76" i="46"/>
  <c r="K76" i="46"/>
  <c r="AC76" i="46" s="1"/>
  <c r="AC75" i="46"/>
  <c r="N6" i="20"/>
  <c r="AB79" i="46" l="1"/>
  <c r="L23" i="48"/>
  <c r="AB75" i="46"/>
  <c r="X75" i="46"/>
  <c r="AF22" i="48"/>
  <c r="AR73" i="58"/>
  <c r="BA73" i="58" s="1"/>
  <c r="AM73" i="58"/>
  <c r="AR72" i="58"/>
  <c r="BA72" i="58" s="1"/>
  <c r="AM72" i="58"/>
  <c r="AR71" i="58"/>
  <c r="BA71" i="58" s="1"/>
  <c r="AM71" i="58"/>
  <c r="N71" i="58"/>
  <c r="J71" i="58"/>
  <c r="AR70" i="58"/>
  <c r="BA70" i="58" s="1"/>
  <c r="AM70" i="58"/>
  <c r="N70" i="58"/>
  <c r="J70" i="58"/>
  <c r="AR67" i="58"/>
  <c r="BA67" i="58" s="1"/>
  <c r="AM67" i="58"/>
  <c r="AR66" i="58"/>
  <c r="BA66" i="58" s="1"/>
  <c r="AM66" i="58"/>
  <c r="M66" i="58"/>
  <c r="J66" i="58"/>
  <c r="AR65" i="58"/>
  <c r="BA65" i="58" s="1"/>
  <c r="AM65" i="58"/>
  <c r="Q65" i="58"/>
  <c r="M65" i="58"/>
  <c r="N65" i="58" s="1"/>
  <c r="J65" i="58"/>
  <c r="AR64" i="58"/>
  <c r="BA64" i="58" s="1"/>
  <c r="AM64" i="58"/>
  <c r="M64" i="58"/>
  <c r="N64" i="58" s="1"/>
  <c r="J64" i="58"/>
  <c r="N37" i="20"/>
  <c r="I64" i="47" s="1"/>
  <c r="F67" i="47"/>
  <c r="F66" i="47"/>
  <c r="E67" i="47"/>
  <c r="F65" i="47"/>
  <c r="E66" i="47"/>
  <c r="E65" i="47"/>
  <c r="E64" i="47"/>
  <c r="G64" i="47" s="1"/>
  <c r="C17" i="20"/>
  <c r="C8" i="20"/>
  <c r="C7" i="20"/>
  <c r="K15" i="20" s="1"/>
  <c r="W70" i="58" s="1"/>
  <c r="BG23" i="2"/>
  <c r="AI23" i="2"/>
  <c r="K23" i="2"/>
  <c r="G66" i="47" l="1"/>
  <c r="W70" i="46"/>
  <c r="K16" i="20"/>
  <c r="W71" i="58" s="1"/>
  <c r="AD71" i="58"/>
  <c r="G67" i="47"/>
  <c r="H66" i="47"/>
  <c r="O71" i="58" s="1"/>
  <c r="U71" i="58" s="1"/>
  <c r="AD72" i="58"/>
  <c r="AD64" i="58"/>
  <c r="AD65" i="58"/>
  <c r="AD67" i="58"/>
  <c r="G65" i="47"/>
  <c r="AD70" i="58"/>
  <c r="AD66" i="58"/>
  <c r="AD73" i="58"/>
  <c r="N66" i="58"/>
  <c r="H64" i="47"/>
  <c r="C71" i="58" l="1"/>
  <c r="W71" i="46"/>
  <c r="V71" i="58"/>
  <c r="T71" i="58"/>
  <c r="P71" i="58"/>
  <c r="K71" i="58"/>
  <c r="O70" i="46"/>
  <c r="O70" i="58"/>
  <c r="AC71" i="58" l="1"/>
  <c r="C70" i="58"/>
  <c r="T70" i="58"/>
  <c r="U70" i="58"/>
  <c r="AA70" i="58" s="1"/>
  <c r="K70" i="58"/>
  <c r="X70" i="58" s="1"/>
  <c r="V70" i="58"/>
  <c r="P70" i="58"/>
  <c r="AH22" i="48" l="1"/>
  <c r="AC70" i="58"/>
  <c r="AB70" i="58" s="1"/>
  <c r="AM73" i="46"/>
  <c r="AR73" i="46"/>
  <c r="BA73" i="46" s="1"/>
  <c r="O71" i="46"/>
  <c r="P71" i="46" s="1"/>
  <c r="N71" i="46"/>
  <c r="J71" i="46"/>
  <c r="P70" i="46"/>
  <c r="J70" i="46"/>
  <c r="AR72" i="46"/>
  <c r="BA72" i="46" s="1"/>
  <c r="AM72" i="46"/>
  <c r="AR71" i="46"/>
  <c r="BA71" i="46" s="1"/>
  <c r="AM71" i="46"/>
  <c r="Z71" i="46"/>
  <c r="AR70" i="46"/>
  <c r="BA70" i="46" s="1"/>
  <c r="AM70" i="46"/>
  <c r="I38" i="20"/>
  <c r="N38" i="20" s="1"/>
  <c r="I66" i="47" s="1"/>
  <c r="Q48" i="20"/>
  <c r="X33" i="20"/>
  <c r="Y33" i="20"/>
  <c r="X34" i="20"/>
  <c r="Y34" i="20"/>
  <c r="X35" i="20"/>
  <c r="Y35" i="20"/>
  <c r="W42" i="20"/>
  <c r="W43" i="20" s="1"/>
  <c r="X32" i="20"/>
  <c r="Y32" i="20"/>
  <c r="G42" i="20"/>
  <c r="I37" i="20" s="1"/>
  <c r="F42" i="20"/>
  <c r="Q42" i="20"/>
  <c r="Q43" i="20" s="1"/>
  <c r="R32" i="20"/>
  <c r="R42" i="20" s="1"/>
  <c r="P32" i="20"/>
  <c r="S32" i="20" s="1"/>
  <c r="S42" i="20" s="1"/>
  <c r="P19" i="20"/>
  <c r="S19" i="20" s="1"/>
  <c r="Q7" i="20"/>
  <c r="R7" i="20" s="1"/>
  <c r="P8" i="20"/>
  <c r="P7" i="20"/>
  <c r="AD70" i="46" l="1"/>
  <c r="S43" i="20"/>
  <c r="R43" i="20"/>
  <c r="X42" i="20"/>
  <c r="X43" i="20" s="1"/>
  <c r="AD73" i="46"/>
  <c r="Q8" i="20"/>
  <c r="Q16" i="20" s="1"/>
  <c r="Q17" i="20" s="1"/>
  <c r="S7" i="20"/>
  <c r="AD72" i="46"/>
  <c r="U70" i="46"/>
  <c r="V71" i="46"/>
  <c r="U71" i="46"/>
  <c r="AD71" i="46"/>
  <c r="C71" i="46"/>
  <c r="N22" i="48" s="1"/>
  <c r="T71" i="46"/>
  <c r="K71" i="46"/>
  <c r="N70" i="46"/>
  <c r="T70" i="46"/>
  <c r="C70" i="46"/>
  <c r="Y42" i="20"/>
  <c r="Y43" i="20" s="1"/>
  <c r="S29" i="20"/>
  <c r="Q29" i="20"/>
  <c r="Q30" i="20" s="1"/>
  <c r="R19" i="20"/>
  <c r="R29" i="20" s="1"/>
  <c r="AA70" i="46" l="1"/>
  <c r="R8" i="20"/>
  <c r="R16" i="20" s="1"/>
  <c r="R17" i="20" s="1"/>
  <c r="S8" i="20"/>
  <c r="S16" i="20" s="1"/>
  <c r="S17" i="20" s="1"/>
  <c r="AC71" i="46"/>
  <c r="K70" i="46"/>
  <c r="AC70" i="46" s="1"/>
  <c r="V70" i="46"/>
  <c r="R30" i="20"/>
  <c r="S30" i="20"/>
  <c r="L22" i="48" l="1"/>
  <c r="X70" i="46"/>
  <c r="AB70" i="46"/>
  <c r="AI22" i="2" l="1"/>
  <c r="BG22" i="2"/>
  <c r="AA22" i="2"/>
  <c r="K22" i="2"/>
  <c r="Z67" i="46"/>
  <c r="Z64" i="46"/>
  <c r="E61" i="47"/>
  <c r="E62" i="47"/>
  <c r="G62" i="47" s="1"/>
  <c r="E60" i="47"/>
  <c r="G60" i="47"/>
  <c r="E57" i="47"/>
  <c r="G57" i="47" s="1"/>
  <c r="E58" i="47"/>
  <c r="G58" i="47"/>
  <c r="H58" i="47" s="1"/>
  <c r="E59" i="47"/>
  <c r="G59" i="47"/>
  <c r="H59" i="47" s="1"/>
  <c r="F56" i="47"/>
  <c r="F55" i="47"/>
  <c r="E56" i="47"/>
  <c r="E55" i="47"/>
  <c r="K17" i="22"/>
  <c r="W67" i="58" s="1"/>
  <c r="K15" i="22"/>
  <c r="W66" i="58" s="1"/>
  <c r="C17" i="22"/>
  <c r="C18" i="22" s="1"/>
  <c r="K19" i="22" s="1"/>
  <c r="W64" i="58" s="1"/>
  <c r="C8" i="22"/>
  <c r="K18" i="22" s="1"/>
  <c r="W68" i="58" s="1"/>
  <c r="G56" i="47" l="1"/>
  <c r="W67" i="46"/>
  <c r="K16" i="22"/>
  <c r="W65" i="58" s="1"/>
  <c r="G55" i="47"/>
  <c r="W68" i="46"/>
  <c r="H55" i="47"/>
  <c r="O64" i="58" s="1"/>
  <c r="H61" i="47"/>
  <c r="O66" i="58" s="1"/>
  <c r="G61" i="47"/>
  <c r="H60" i="47"/>
  <c r="O65" i="58" s="1"/>
  <c r="AF21" i="48"/>
  <c r="P66" i="58" l="1"/>
  <c r="C66" i="58"/>
  <c r="U66" i="58"/>
  <c r="T66" i="58"/>
  <c r="K66" i="58"/>
  <c r="AC66" i="58" s="1"/>
  <c r="V66" i="58"/>
  <c r="P65" i="58"/>
  <c r="K65" i="58"/>
  <c r="U65" i="58"/>
  <c r="C65" i="58"/>
  <c r="T65" i="58"/>
  <c r="V65" i="58"/>
  <c r="P64" i="58"/>
  <c r="C64" i="58"/>
  <c r="T64" i="58"/>
  <c r="U64" i="58"/>
  <c r="K64" i="58"/>
  <c r="V64" i="58"/>
  <c r="O64" i="46"/>
  <c r="O65" i="46"/>
  <c r="O66" i="46"/>
  <c r="AR62" i="58"/>
  <c r="BA62" i="58" s="1"/>
  <c r="AM62" i="58"/>
  <c r="M62" i="58"/>
  <c r="J62" i="58"/>
  <c r="AR61" i="58"/>
  <c r="BA61" i="58" s="1"/>
  <c r="AM61" i="58"/>
  <c r="N61" i="58"/>
  <c r="J61" i="58"/>
  <c r="AR60" i="58"/>
  <c r="BA60" i="58" s="1"/>
  <c r="AM60" i="58"/>
  <c r="N60" i="58"/>
  <c r="J60" i="58"/>
  <c r="X64" i="58" l="1"/>
  <c r="AD60" i="58"/>
  <c r="AA64" i="58"/>
  <c r="AC65" i="58"/>
  <c r="AC64" i="58"/>
  <c r="N62" i="58"/>
  <c r="AD62" i="58"/>
  <c r="AD61" i="58"/>
  <c r="AB64" i="58" l="1"/>
  <c r="AH21" i="48"/>
  <c r="AM67" i="46" l="1"/>
  <c r="AR67" i="46"/>
  <c r="BA67" i="46" s="1"/>
  <c r="W66" i="46"/>
  <c r="W65" i="46"/>
  <c r="W64" i="46"/>
  <c r="Q65" i="46"/>
  <c r="M66" i="46"/>
  <c r="C66" i="46" s="1"/>
  <c r="M65" i="46"/>
  <c r="C65" i="46" s="1"/>
  <c r="M64" i="46"/>
  <c r="C64" i="46" s="1"/>
  <c r="J65" i="46"/>
  <c r="J66" i="46"/>
  <c r="P64" i="46"/>
  <c r="J64" i="46"/>
  <c r="AM64" i="46"/>
  <c r="AR64" i="46"/>
  <c r="BA64" i="46" s="1"/>
  <c r="AM65" i="46"/>
  <c r="AR65" i="46"/>
  <c r="BA65" i="46" s="1"/>
  <c r="AM66" i="46"/>
  <c r="AR66" i="46"/>
  <c r="BA66" i="46" s="1"/>
  <c r="N39" i="22"/>
  <c r="I61" i="47" s="1"/>
  <c r="N37" i="22"/>
  <c r="I55" i="47" s="1"/>
  <c r="F42" i="22"/>
  <c r="P15" i="22"/>
  <c r="F18" i="22"/>
  <c r="I38" i="22"/>
  <c r="AD64" i="46" l="1"/>
  <c r="N66" i="46"/>
  <c r="K66" i="46" s="1"/>
  <c r="AD65" i="46"/>
  <c r="AD66" i="46"/>
  <c r="N38" i="22"/>
  <c r="I60" i="47" s="1"/>
  <c r="U65" i="46"/>
  <c r="U64" i="46"/>
  <c r="AD67" i="46"/>
  <c r="U66" i="46"/>
  <c r="P65" i="46"/>
  <c r="N65" i="46"/>
  <c r="T65" i="46"/>
  <c r="P66" i="46"/>
  <c r="T66" i="46"/>
  <c r="N64" i="46"/>
  <c r="T64" i="46"/>
  <c r="P9" i="22"/>
  <c r="P10" i="22" s="1"/>
  <c r="P16" i="22" s="1"/>
  <c r="G40" i="22"/>
  <c r="G39" i="22"/>
  <c r="O15" i="22"/>
  <c r="Q8" i="22"/>
  <c r="O9" i="22"/>
  <c r="O8" i="22"/>
  <c r="R8" i="22" s="1"/>
  <c r="N6" i="22"/>
  <c r="G42" i="22" l="1"/>
  <c r="I37" i="22" s="1"/>
  <c r="V66" i="46"/>
  <c r="AA64" i="46"/>
  <c r="N21" i="48"/>
  <c r="K65" i="46"/>
  <c r="AC65" i="46" s="1"/>
  <c r="V65" i="46"/>
  <c r="K64" i="46"/>
  <c r="V64" i="46"/>
  <c r="AC66" i="46"/>
  <c r="Q9" i="22"/>
  <c r="Q10" i="22" s="1"/>
  <c r="Q11" i="22" s="1"/>
  <c r="R9" i="22"/>
  <c r="R10" i="22" s="1"/>
  <c r="R11" i="22" s="1"/>
  <c r="S39" i="58"/>
  <c r="S33" i="58"/>
  <c r="D17" i="21"/>
  <c r="Z61" i="58" s="1"/>
  <c r="I50" i="47"/>
  <c r="F52" i="47"/>
  <c r="E53" i="47"/>
  <c r="G53" i="47" s="1"/>
  <c r="H53" i="47" s="1"/>
  <c r="F51" i="47"/>
  <c r="E52" i="47"/>
  <c r="F50" i="47"/>
  <c r="E51" i="47"/>
  <c r="E50" i="47"/>
  <c r="G50" i="47" s="1"/>
  <c r="K17" i="21"/>
  <c r="W60" i="58" s="1"/>
  <c r="C27" i="21"/>
  <c r="K19" i="21" s="1"/>
  <c r="W62" i="58" s="1"/>
  <c r="C26" i="21"/>
  <c r="C17" i="21"/>
  <c r="K18" i="21" s="1"/>
  <c r="W61" i="58" s="1"/>
  <c r="AA21" i="2"/>
  <c r="BG21" i="2"/>
  <c r="G51" i="47" l="1"/>
  <c r="O62" i="58"/>
  <c r="O62" i="46"/>
  <c r="P62" i="46" s="1"/>
  <c r="AC64" i="46"/>
  <c r="AB64" i="46" s="1"/>
  <c r="X64" i="46"/>
  <c r="Z61" i="46"/>
  <c r="H50" i="47"/>
  <c r="G52" i="47"/>
  <c r="H52" i="47" s="1"/>
  <c r="L21" i="48"/>
  <c r="AF20" i="48"/>
  <c r="W62" i="46"/>
  <c r="W61" i="46"/>
  <c r="W60" i="46"/>
  <c r="J61" i="46"/>
  <c r="N61" i="46"/>
  <c r="J62" i="46"/>
  <c r="M62" i="46"/>
  <c r="AR62" i="46"/>
  <c r="BA62" i="46" s="1"/>
  <c r="AM62" i="46"/>
  <c r="AD62" i="46" s="1"/>
  <c r="AR61" i="46"/>
  <c r="BA61" i="46" s="1"/>
  <c r="AM61" i="46"/>
  <c r="AR60" i="46"/>
  <c r="BA60" i="46" s="1"/>
  <c r="AM60" i="46"/>
  <c r="AD60" i="46" s="1"/>
  <c r="J60" i="46"/>
  <c r="L38" i="21"/>
  <c r="I52" i="47" s="1"/>
  <c r="F42" i="21"/>
  <c r="I38" i="21"/>
  <c r="P25" i="21"/>
  <c r="P16" i="21"/>
  <c r="Q16" i="21" s="1"/>
  <c r="G40" i="21"/>
  <c r="G42" i="21" s="1"/>
  <c r="I37" i="21" s="1"/>
  <c r="O25" i="21"/>
  <c r="Q9" i="21"/>
  <c r="Q18" i="21"/>
  <c r="O18" i="21"/>
  <c r="R18" i="21" s="1"/>
  <c r="P17" i="21"/>
  <c r="Q17" i="21" s="1"/>
  <c r="O17" i="21"/>
  <c r="R17" i="21" s="1"/>
  <c r="O16" i="21"/>
  <c r="O9" i="21"/>
  <c r="R9" i="21" s="1"/>
  <c r="O8" i="21"/>
  <c r="R8" i="21" s="1"/>
  <c r="N6" i="21"/>
  <c r="AD61" i="46" l="1"/>
  <c r="C62" i="46"/>
  <c r="O60" i="58"/>
  <c r="O60" i="46"/>
  <c r="U60" i="46" s="1"/>
  <c r="L39" i="21"/>
  <c r="I53" i="47" s="1"/>
  <c r="O61" i="58"/>
  <c r="O61" i="46"/>
  <c r="C61" i="46" s="1"/>
  <c r="P19" i="21"/>
  <c r="P62" i="58"/>
  <c r="C62" i="58"/>
  <c r="U62" i="58"/>
  <c r="T62" i="58"/>
  <c r="V62" i="58"/>
  <c r="K62" i="58"/>
  <c r="AC62" i="58" s="1"/>
  <c r="T62" i="46"/>
  <c r="N62" i="46"/>
  <c r="U62" i="46"/>
  <c r="N60" i="46"/>
  <c r="R10" i="21"/>
  <c r="Q8" i="21"/>
  <c r="Q10" i="21" s="1"/>
  <c r="P10" i="21"/>
  <c r="R16" i="21"/>
  <c r="R19" i="21" s="1"/>
  <c r="Q19" i="21"/>
  <c r="C60" i="46" l="1"/>
  <c r="T60" i="46"/>
  <c r="P61" i="46"/>
  <c r="N20" i="48"/>
  <c r="V61" i="46"/>
  <c r="T61" i="46"/>
  <c r="Q20" i="21"/>
  <c r="R20" i="21"/>
  <c r="K61" i="46"/>
  <c r="U61" i="58"/>
  <c r="K61" i="58"/>
  <c r="T61" i="58"/>
  <c r="C61" i="58"/>
  <c r="V61" i="58"/>
  <c r="P61" i="58"/>
  <c r="U61" i="46"/>
  <c r="AA60" i="46" s="1"/>
  <c r="Q11" i="21"/>
  <c r="P60" i="46"/>
  <c r="C60" i="58"/>
  <c r="V60" i="58"/>
  <c r="P60" i="58"/>
  <c r="T60" i="58"/>
  <c r="K60" i="58"/>
  <c r="X60" i="58" s="1"/>
  <c r="U60" i="58"/>
  <c r="V62" i="46"/>
  <c r="K62" i="46"/>
  <c r="AC62" i="46" s="1"/>
  <c r="V60" i="46"/>
  <c r="K60" i="46"/>
  <c r="R11" i="21"/>
  <c r="AC61" i="46" l="1"/>
  <c r="AC61" i="58"/>
  <c r="AA60" i="58"/>
  <c r="AH20" i="48"/>
  <c r="AC60" i="58"/>
  <c r="AB60" i="58" s="1"/>
  <c r="L20" i="48"/>
  <c r="AC60" i="46"/>
  <c r="AB60" i="46" s="1"/>
  <c r="X60" i="46"/>
  <c r="AR58" i="58" l="1"/>
  <c r="BA58" i="58" s="1"/>
  <c r="AM58" i="58"/>
  <c r="AR57" i="58"/>
  <c r="BA57" i="58" s="1"/>
  <c r="AM57" i="58"/>
  <c r="AR56" i="58"/>
  <c r="BA56" i="58" s="1"/>
  <c r="AM56" i="58"/>
  <c r="AR55" i="58"/>
  <c r="BA55" i="58" s="1"/>
  <c r="AM55" i="58"/>
  <c r="M55" i="58"/>
  <c r="N55" i="58" s="1"/>
  <c r="J55" i="58"/>
  <c r="AR53" i="58"/>
  <c r="BA53" i="58" s="1"/>
  <c r="AM53" i="58"/>
  <c r="AR52" i="58"/>
  <c r="BA52" i="58" s="1"/>
  <c r="AM52" i="58"/>
  <c r="AR51" i="58"/>
  <c r="BA51" i="58" s="1"/>
  <c r="AM51" i="58"/>
  <c r="M51" i="58"/>
  <c r="N51" i="58" s="1"/>
  <c r="J51" i="58"/>
  <c r="AR50" i="58"/>
  <c r="BA50" i="58" s="1"/>
  <c r="AM50" i="58"/>
  <c r="M50" i="58"/>
  <c r="J50" i="58"/>
  <c r="E48" i="47"/>
  <c r="G48" i="47" s="1"/>
  <c r="H48" i="47" s="1"/>
  <c r="BG20" i="2"/>
  <c r="AA20" i="2"/>
  <c r="AD51" i="58" l="1"/>
  <c r="AD53" i="58"/>
  <c r="AD58" i="58"/>
  <c r="AD56" i="58"/>
  <c r="AD50" i="58"/>
  <c r="O55" i="46"/>
  <c r="O55" i="58"/>
  <c r="P55" i="58" s="1"/>
  <c r="AD52" i="58"/>
  <c r="AD55" i="58"/>
  <c r="AD57" i="58"/>
  <c r="N50" i="58"/>
  <c r="V55" i="58" l="1"/>
  <c r="U55" i="58"/>
  <c r="T55" i="58"/>
  <c r="C55" i="58"/>
  <c r="K55" i="58"/>
  <c r="AC55" i="58" s="1"/>
  <c r="AF19" i="48" l="1"/>
  <c r="G40" i="23"/>
  <c r="G39" i="23"/>
  <c r="G38" i="23"/>
  <c r="P55" i="46"/>
  <c r="M55" i="46"/>
  <c r="U55" i="46" s="1"/>
  <c r="J55" i="46"/>
  <c r="AR58" i="46"/>
  <c r="BA58" i="46" s="1"/>
  <c r="AM58" i="46"/>
  <c r="AR57" i="46"/>
  <c r="BA57" i="46" s="1"/>
  <c r="AM57" i="46"/>
  <c r="AR56" i="46"/>
  <c r="BA56" i="46" s="1"/>
  <c r="AM56" i="46"/>
  <c r="AR55" i="46"/>
  <c r="BA55" i="46" s="1"/>
  <c r="AM55" i="46"/>
  <c r="I38" i="23"/>
  <c r="I48" i="47" s="1"/>
  <c r="F42" i="23"/>
  <c r="P10" i="23"/>
  <c r="P11" i="23" s="1"/>
  <c r="O10" i="23"/>
  <c r="O9" i="23"/>
  <c r="O8" i="23"/>
  <c r="N6" i="23"/>
  <c r="R12" i="59"/>
  <c r="R11" i="59"/>
  <c r="R10" i="59"/>
  <c r="R9" i="59"/>
  <c r="R8" i="59"/>
  <c r="R7" i="59"/>
  <c r="R6" i="59"/>
  <c r="G42" i="23" l="1"/>
  <c r="I37" i="23" s="1"/>
  <c r="AD56" i="46"/>
  <c r="AD58" i="46"/>
  <c r="AH19" i="48"/>
  <c r="AD55" i="46"/>
  <c r="N55" i="46"/>
  <c r="C55" i="46"/>
  <c r="N19" i="48" s="1"/>
  <c r="T55" i="46"/>
  <c r="AD57" i="46"/>
  <c r="K55" i="46" l="1"/>
  <c r="L19" i="48" s="1"/>
  <c r="V55" i="46"/>
  <c r="AC55" i="46" l="1"/>
  <c r="F28" i="23" l="1"/>
  <c r="M51" i="46" l="1"/>
  <c r="O18" i="24"/>
  <c r="O19" i="24"/>
  <c r="Z51" i="46" l="1"/>
  <c r="F46" i="47"/>
  <c r="E46" i="47"/>
  <c r="E45" i="47"/>
  <c r="G45" i="47" s="1"/>
  <c r="H45" i="47" s="1"/>
  <c r="D7" i="24"/>
  <c r="Z50" i="58" s="1"/>
  <c r="K17" i="24"/>
  <c r="W51" i="58" s="1"/>
  <c r="C7" i="24"/>
  <c r="K16" i="24" s="1"/>
  <c r="W50" i="58" s="1"/>
  <c r="BG19" i="2"/>
  <c r="AA19" i="2"/>
  <c r="K19" i="2"/>
  <c r="O50" i="58" l="1"/>
  <c r="O50" i="46"/>
  <c r="G46" i="47"/>
  <c r="H46" i="47" s="1"/>
  <c r="Z50" i="46"/>
  <c r="AF18" i="48"/>
  <c r="AM53" i="46"/>
  <c r="AR53" i="46"/>
  <c r="BA53" i="46" s="1"/>
  <c r="W51" i="46"/>
  <c r="W50" i="46"/>
  <c r="P50" i="46"/>
  <c r="M50" i="46"/>
  <c r="J50" i="46"/>
  <c r="AR52" i="46"/>
  <c r="BA52" i="46" s="1"/>
  <c r="AM52" i="46"/>
  <c r="AR51" i="46"/>
  <c r="BA51" i="46" s="1"/>
  <c r="AM51" i="46"/>
  <c r="J51" i="46"/>
  <c r="AR50" i="46"/>
  <c r="BA50" i="46" s="1"/>
  <c r="AM50" i="46"/>
  <c r="N37" i="24"/>
  <c r="I45" i="47" s="1"/>
  <c r="I38" i="24"/>
  <c r="N38" i="24" s="1"/>
  <c r="I46" i="47" s="1"/>
  <c r="G40" i="24"/>
  <c r="G39" i="24"/>
  <c r="P20" i="24"/>
  <c r="R19" i="24"/>
  <c r="Q19" i="24"/>
  <c r="Q18" i="24"/>
  <c r="R18" i="24"/>
  <c r="Q17" i="24"/>
  <c r="O17" i="24"/>
  <c r="R17" i="24" s="1"/>
  <c r="Q9" i="24"/>
  <c r="Q8" i="24"/>
  <c r="P10" i="24"/>
  <c r="O9" i="24"/>
  <c r="R9" i="24" s="1"/>
  <c r="O8" i="24"/>
  <c r="R8" i="24" s="1"/>
  <c r="N6" i="24"/>
  <c r="Q20" i="24" l="1"/>
  <c r="Q21" i="24" s="1"/>
  <c r="AD50" i="46"/>
  <c r="AD51" i="46"/>
  <c r="O51" i="58"/>
  <c r="O51" i="46"/>
  <c r="C51" i="46" s="1"/>
  <c r="R20" i="24"/>
  <c r="R21" i="24" s="1"/>
  <c r="P50" i="58"/>
  <c r="U50" i="58"/>
  <c r="C50" i="58"/>
  <c r="T50" i="58"/>
  <c r="K50" i="58"/>
  <c r="V50" i="58"/>
  <c r="U50" i="46"/>
  <c r="AD53" i="46"/>
  <c r="AD52" i="46"/>
  <c r="N50" i="46"/>
  <c r="T50" i="46"/>
  <c r="C50" i="46"/>
  <c r="N51" i="46"/>
  <c r="Q10" i="24"/>
  <c r="Q11" i="24" s="1"/>
  <c r="R10" i="24"/>
  <c r="R11" i="24" s="1"/>
  <c r="T51" i="46" l="1"/>
  <c r="N18" i="48"/>
  <c r="AC50" i="58"/>
  <c r="U51" i="46"/>
  <c r="AA50" i="46" s="1"/>
  <c r="P51" i="58"/>
  <c r="C51" i="58"/>
  <c r="T51" i="58"/>
  <c r="V51" i="58"/>
  <c r="K51" i="58"/>
  <c r="X50" i="58" s="1"/>
  <c r="U51" i="58"/>
  <c r="AA50" i="58" s="1"/>
  <c r="P51" i="46"/>
  <c r="V50" i="46"/>
  <c r="K50" i="46"/>
  <c r="K51" i="46"/>
  <c r="AC51" i="46" s="1"/>
  <c r="V51" i="46"/>
  <c r="AC51" i="58" l="1"/>
  <c r="AH18" i="48"/>
  <c r="AB50" i="58"/>
  <c r="AC50" i="46"/>
  <c r="L18" i="48"/>
  <c r="X50" i="46"/>
  <c r="AB50" i="46"/>
  <c r="BG18" i="2" l="1"/>
  <c r="BG17" i="2"/>
  <c r="K18" i="2"/>
  <c r="K17" i="2"/>
  <c r="M47" i="58"/>
  <c r="N47" i="58" s="1"/>
  <c r="J47" i="58"/>
  <c r="M46" i="58"/>
  <c r="J46" i="58"/>
  <c r="N42" i="58"/>
  <c r="J42" i="58"/>
  <c r="K16" i="25"/>
  <c r="W47" i="58" s="1"/>
  <c r="K13" i="25"/>
  <c r="W46" i="58" s="1"/>
  <c r="N38" i="25"/>
  <c r="I43" i="47"/>
  <c r="F39" i="47"/>
  <c r="F40" i="47"/>
  <c r="E40" i="47"/>
  <c r="E43" i="47"/>
  <c r="G43" i="47" s="1"/>
  <c r="H43" i="47" s="1"/>
  <c r="F42" i="47"/>
  <c r="E42" i="47"/>
  <c r="E39" i="47"/>
  <c r="G40" i="47" l="1"/>
  <c r="G39" i="47"/>
  <c r="O47" i="58"/>
  <c r="U47" i="58" s="1"/>
  <c r="O47" i="46"/>
  <c r="P47" i="58"/>
  <c r="C47" i="58"/>
  <c r="T47" i="58"/>
  <c r="H39" i="47"/>
  <c r="O42" i="58" s="1"/>
  <c r="C42" i="58" s="1"/>
  <c r="G42" i="47"/>
  <c r="H42" i="47" s="1"/>
  <c r="N46" i="58"/>
  <c r="AR48" i="58"/>
  <c r="BA48" i="58" s="1"/>
  <c r="AM48" i="58"/>
  <c r="AR47" i="58"/>
  <c r="BA47" i="58" s="1"/>
  <c r="AM47" i="58"/>
  <c r="AR46" i="58"/>
  <c r="BA46" i="58" s="1"/>
  <c r="AM46" i="58"/>
  <c r="AR44" i="58"/>
  <c r="BA44" i="58" s="1"/>
  <c r="AM44" i="58"/>
  <c r="AR43" i="58"/>
  <c r="BA43" i="58" s="1"/>
  <c r="AM43" i="58"/>
  <c r="AR42" i="58"/>
  <c r="BA42" i="58" s="1"/>
  <c r="AM42" i="58"/>
  <c r="W47" i="46"/>
  <c r="W46" i="46"/>
  <c r="M47" i="46"/>
  <c r="M46" i="46"/>
  <c r="N46" i="46" s="1"/>
  <c r="J47" i="46"/>
  <c r="AR48" i="46"/>
  <c r="BA48" i="46" s="1"/>
  <c r="AM48" i="46"/>
  <c r="AR47" i="46"/>
  <c r="BA47" i="46" s="1"/>
  <c r="AM47" i="46"/>
  <c r="AR46" i="46"/>
  <c r="BA46" i="46" s="1"/>
  <c r="AM46" i="46"/>
  <c r="J46" i="46"/>
  <c r="N42" i="46"/>
  <c r="J42" i="46"/>
  <c r="AM42" i="46"/>
  <c r="AR42" i="46"/>
  <c r="BA42" i="46" s="1"/>
  <c r="AM43" i="46"/>
  <c r="AR43" i="46"/>
  <c r="BA43" i="46" s="1"/>
  <c r="AM44" i="46"/>
  <c r="AR44" i="46"/>
  <c r="BA44" i="46" s="1"/>
  <c r="K47" i="58" l="1"/>
  <c r="U47" i="46"/>
  <c r="V47" i="58"/>
  <c r="T42" i="58"/>
  <c r="AD48" i="46"/>
  <c r="O46" i="46"/>
  <c r="K46" i="46" s="1"/>
  <c r="O46" i="58"/>
  <c r="V46" i="58" s="1"/>
  <c r="P42" i="58"/>
  <c r="AD46" i="58"/>
  <c r="N47" i="46"/>
  <c r="K47" i="46" s="1"/>
  <c r="V42" i="58"/>
  <c r="K42" i="58"/>
  <c r="AH16" i="48" s="1"/>
  <c r="AD42" i="46"/>
  <c r="AD44" i="46"/>
  <c r="AD47" i="46"/>
  <c r="U42" i="58"/>
  <c r="AD43" i="46"/>
  <c r="AD46" i="46"/>
  <c r="O42" i="46"/>
  <c r="U42" i="46" s="1"/>
  <c r="AD42" i="58"/>
  <c r="AD44" i="58"/>
  <c r="AD43" i="58"/>
  <c r="AD47" i="58"/>
  <c r="AD48" i="58"/>
  <c r="P47" i="46"/>
  <c r="T47" i="46"/>
  <c r="C47" i="46"/>
  <c r="I38" i="25"/>
  <c r="N37" i="25" s="1"/>
  <c r="I42" i="47" s="1"/>
  <c r="G40" i="25"/>
  <c r="G38" i="25"/>
  <c r="P8" i="25"/>
  <c r="P27" i="25"/>
  <c r="O27" i="25"/>
  <c r="P18" i="25"/>
  <c r="Q18" i="25" s="1"/>
  <c r="P17" i="25"/>
  <c r="Q17" i="25" s="1"/>
  <c r="O18" i="25"/>
  <c r="O17" i="25"/>
  <c r="O8" i="25"/>
  <c r="N6" i="25"/>
  <c r="I38" i="26"/>
  <c r="I39" i="47" s="1"/>
  <c r="G40" i="26"/>
  <c r="G39" i="26"/>
  <c r="G38" i="26"/>
  <c r="O16" i="26"/>
  <c r="O8" i="26"/>
  <c r="N6" i="26"/>
  <c r="C46" i="46" l="1"/>
  <c r="T46" i="46"/>
  <c r="P46" i="46"/>
  <c r="K46" i="58"/>
  <c r="X46" i="58" s="1"/>
  <c r="X46" i="46"/>
  <c r="Q19" i="25"/>
  <c r="V46" i="46"/>
  <c r="R18" i="25"/>
  <c r="R19" i="25" s="1"/>
  <c r="U46" i="46"/>
  <c r="V47" i="46"/>
  <c r="C42" i="46"/>
  <c r="N16" i="48" s="1"/>
  <c r="T42" i="46"/>
  <c r="P42" i="46"/>
  <c r="P19" i="25"/>
  <c r="P46" i="58"/>
  <c r="C46" i="58"/>
  <c r="T46" i="58"/>
  <c r="U46" i="58"/>
  <c r="V42" i="46"/>
  <c r="R17" i="25"/>
  <c r="AC46" i="46"/>
  <c r="K42" i="46"/>
  <c r="L16" i="48" s="1"/>
  <c r="AC47" i="58"/>
  <c r="L17" i="48"/>
  <c r="AC42" i="58"/>
  <c r="N17" i="48"/>
  <c r="AC47" i="46"/>
  <c r="Q20" i="25" l="1"/>
  <c r="AC46" i="58"/>
  <c r="AH17" i="48"/>
  <c r="R20" i="25"/>
  <c r="AC42" i="46"/>
  <c r="BG16" i="2"/>
  <c r="K16" i="2"/>
  <c r="N39" i="58" l="1"/>
  <c r="J39" i="58"/>
  <c r="N38" i="58"/>
  <c r="J38" i="58"/>
  <c r="E37" i="47" l="1"/>
  <c r="G37" i="47" s="1"/>
  <c r="H37" i="47" s="1"/>
  <c r="E36" i="47"/>
  <c r="G36" i="47" s="1"/>
  <c r="H36" i="47" s="1"/>
  <c r="F35" i="47"/>
  <c r="E35" i="47"/>
  <c r="G35" i="47" s="1"/>
  <c r="H35" i="47" s="1"/>
  <c r="K14" i="28"/>
  <c r="W40" i="58" s="1"/>
  <c r="K13" i="28"/>
  <c r="W39" i="58" s="1"/>
  <c r="C25" i="28"/>
  <c r="C7" i="28"/>
  <c r="K15" i="28" l="1"/>
  <c r="W38" i="58" s="1"/>
  <c r="O38" i="46"/>
  <c r="O38" i="58"/>
  <c r="W38" i="46"/>
  <c r="O39" i="46"/>
  <c r="O39" i="58"/>
  <c r="W39" i="46"/>
  <c r="W40" i="46"/>
  <c r="AF15" i="48"/>
  <c r="AR40" i="58"/>
  <c r="BA40" i="58" s="1"/>
  <c r="AM40" i="58"/>
  <c r="AR39" i="58"/>
  <c r="BA39" i="58" s="1"/>
  <c r="AM39" i="58"/>
  <c r="AR38" i="58"/>
  <c r="BA38" i="58" s="1"/>
  <c r="AM38" i="58"/>
  <c r="AR36" i="58"/>
  <c r="BA36" i="58" s="1"/>
  <c r="AM36" i="58"/>
  <c r="AR35" i="58"/>
  <c r="BA35" i="58" s="1"/>
  <c r="AM35" i="58"/>
  <c r="AR34" i="58"/>
  <c r="BA34" i="58" s="1"/>
  <c r="AM34" i="58"/>
  <c r="N34" i="58"/>
  <c r="J34" i="58"/>
  <c r="AR33" i="58"/>
  <c r="BA33" i="58" s="1"/>
  <c r="AM33" i="58"/>
  <c r="N33" i="58"/>
  <c r="J33" i="58"/>
  <c r="Z35" i="46"/>
  <c r="S39" i="46"/>
  <c r="N38" i="28"/>
  <c r="I36" i="47" s="1"/>
  <c r="I38" i="28"/>
  <c r="N37" i="28" s="1"/>
  <c r="I35" i="47" s="1"/>
  <c r="P26" i="28"/>
  <c r="P28" i="28" s="1"/>
  <c r="O27" i="28"/>
  <c r="O26" i="28"/>
  <c r="O17" i="28"/>
  <c r="R17" i="28" s="1"/>
  <c r="U38" i="46"/>
  <c r="N38" i="46"/>
  <c r="J38" i="46"/>
  <c r="AR40" i="46"/>
  <c r="BA40" i="46" s="1"/>
  <c r="AM40" i="46"/>
  <c r="AR39" i="46"/>
  <c r="BA39" i="46" s="1"/>
  <c r="AM39" i="46"/>
  <c r="N39" i="46"/>
  <c r="J39" i="46"/>
  <c r="AR38" i="46"/>
  <c r="BA38" i="46" s="1"/>
  <c r="AM38" i="46"/>
  <c r="P8" i="28"/>
  <c r="G38" i="28"/>
  <c r="Q17" i="28"/>
  <c r="P16" i="28"/>
  <c r="Q16" i="28" s="1"/>
  <c r="O16" i="28"/>
  <c r="O8" i="28"/>
  <c r="N6" i="28"/>
  <c r="P39" i="46" l="1"/>
  <c r="R16" i="28"/>
  <c r="AD40" i="46"/>
  <c r="U38" i="58"/>
  <c r="K38" i="58"/>
  <c r="X38" i="58" s="1"/>
  <c r="V38" i="58"/>
  <c r="C38" i="58"/>
  <c r="P38" i="58"/>
  <c r="T38" i="58"/>
  <c r="U39" i="58"/>
  <c r="K39" i="58"/>
  <c r="C39" i="58"/>
  <c r="T39" i="58"/>
  <c r="V39" i="58"/>
  <c r="P39" i="58"/>
  <c r="P18" i="28"/>
  <c r="AD39" i="58"/>
  <c r="AD35" i="58"/>
  <c r="AD34" i="58"/>
  <c r="AD36" i="58"/>
  <c r="AD40" i="58"/>
  <c r="AD33" i="58"/>
  <c r="AD38" i="58"/>
  <c r="C39" i="46"/>
  <c r="K39" i="46"/>
  <c r="T39" i="46"/>
  <c r="U39" i="46"/>
  <c r="AA38" i="46" s="1"/>
  <c r="V38" i="46"/>
  <c r="C38" i="46"/>
  <c r="AD39" i="46"/>
  <c r="AD38" i="46"/>
  <c r="V39" i="46"/>
  <c r="Q26" i="28"/>
  <c r="R26" i="28"/>
  <c r="R27" i="28"/>
  <c r="K38" i="46"/>
  <c r="P38" i="46"/>
  <c r="T38" i="46"/>
  <c r="Q27" i="28"/>
  <c r="Q18" i="28"/>
  <c r="R18" i="28"/>
  <c r="R19" i="28" l="1"/>
  <c r="AC38" i="58"/>
  <c r="Q19" i="28"/>
  <c r="AH15" i="48"/>
  <c r="AA38" i="58"/>
  <c r="R28" i="28"/>
  <c r="R29" i="28" s="1"/>
  <c r="N15" i="48"/>
  <c r="Q28" i="28"/>
  <c r="Q29" i="28" s="1"/>
  <c r="AC39" i="46"/>
  <c r="AC39" i="58"/>
  <c r="X38" i="46"/>
  <c r="L15" i="48"/>
  <c r="AC38" i="46"/>
  <c r="AB38" i="58" l="1"/>
  <c r="AB38" i="46"/>
  <c r="BK15" i="2"/>
  <c r="BG15" i="2"/>
  <c r="BH15" i="2" s="1"/>
  <c r="BH14" i="2"/>
  <c r="BH13" i="2"/>
  <c r="BH12" i="2"/>
  <c r="BH11" i="2"/>
  <c r="BI10" i="2"/>
  <c r="BI11" i="2" s="1"/>
  <c r="BH10" i="2"/>
  <c r="AI15" i="2"/>
  <c r="K15" i="2"/>
  <c r="BJ10" i="2" l="1"/>
  <c r="BJ11" i="2"/>
  <c r="BI12" i="2"/>
  <c r="BJ12" i="2" l="1"/>
  <c r="BI13" i="2"/>
  <c r="BI14" i="2" l="1"/>
  <c r="BJ13" i="2"/>
  <c r="BI15" i="2" l="1"/>
  <c r="BJ15" i="2" s="1"/>
  <c r="BJ14" i="2"/>
  <c r="S33" i="46" l="1"/>
  <c r="E33" i="47"/>
  <c r="H33" i="47" s="1"/>
  <c r="E32" i="47"/>
  <c r="G32" i="47" s="1"/>
  <c r="E31" i="47"/>
  <c r="G31" i="47" s="1"/>
  <c r="E30" i="47"/>
  <c r="E29" i="47"/>
  <c r="F30" i="47"/>
  <c r="H30" i="47" l="1"/>
  <c r="O33" i="58" s="1"/>
  <c r="O34" i="58"/>
  <c r="O34" i="46"/>
  <c r="G33" i="47"/>
  <c r="G30" i="47"/>
  <c r="G29" i="47"/>
  <c r="H29" i="47" s="1"/>
  <c r="C7" i="27"/>
  <c r="K14" i="27" s="1"/>
  <c r="W33" i="58" s="1"/>
  <c r="C8" i="27"/>
  <c r="K13" i="27" s="1"/>
  <c r="W35" i="58" s="1"/>
  <c r="O33" i="46" l="1"/>
  <c r="W35" i="46"/>
  <c r="P34" i="58"/>
  <c r="K34" i="58"/>
  <c r="T34" i="58"/>
  <c r="U34" i="58"/>
  <c r="V34" i="58"/>
  <c r="C34" i="58"/>
  <c r="P33" i="58"/>
  <c r="T33" i="58"/>
  <c r="C33" i="58"/>
  <c r="V33" i="58"/>
  <c r="K33" i="58"/>
  <c r="AC33" i="58" s="1"/>
  <c r="U33" i="58"/>
  <c r="AA33" i="58" s="1"/>
  <c r="AF14" i="48"/>
  <c r="W34" i="46"/>
  <c r="W33" i="46"/>
  <c r="P16" i="27"/>
  <c r="P17" i="27"/>
  <c r="Q17" i="27" s="1"/>
  <c r="I38" i="27"/>
  <c r="I30" i="47" s="1"/>
  <c r="C33" i="46"/>
  <c r="N33" i="46"/>
  <c r="K33" i="46" s="1"/>
  <c r="J33" i="46"/>
  <c r="AR36" i="46"/>
  <c r="BA36" i="46" s="1"/>
  <c r="AM36" i="46"/>
  <c r="AR35" i="46"/>
  <c r="BA35" i="46" s="1"/>
  <c r="AM35" i="46"/>
  <c r="AR34" i="46"/>
  <c r="BA34" i="46" s="1"/>
  <c r="AM34" i="46"/>
  <c r="U34" i="46"/>
  <c r="N34" i="46"/>
  <c r="K34" i="46" s="1"/>
  <c r="J34" i="46"/>
  <c r="AR33" i="46"/>
  <c r="BA33" i="46" s="1"/>
  <c r="AM33" i="46"/>
  <c r="G42" i="27"/>
  <c r="I37" i="27" s="1"/>
  <c r="F42" i="27"/>
  <c r="P26" i="27"/>
  <c r="O27" i="27"/>
  <c r="O26" i="27"/>
  <c r="O17" i="27"/>
  <c r="O16" i="27"/>
  <c r="O8" i="27"/>
  <c r="N6" i="27"/>
  <c r="X33" i="58" l="1"/>
  <c r="R16" i="27"/>
  <c r="AD35" i="46"/>
  <c r="AC34" i="58"/>
  <c r="AB33" i="58"/>
  <c r="AD34" i="46"/>
  <c r="V33" i="46"/>
  <c r="C34" i="46"/>
  <c r="N14" i="48" s="1"/>
  <c r="T34" i="46"/>
  <c r="AC34" i="46" s="1"/>
  <c r="V34" i="46"/>
  <c r="L14" i="48"/>
  <c r="P33" i="46"/>
  <c r="AD36" i="46"/>
  <c r="AD33" i="46"/>
  <c r="U33" i="46"/>
  <c r="AA33" i="46" s="1"/>
  <c r="Q16" i="27"/>
  <c r="Q18" i="27" s="1"/>
  <c r="P18" i="27"/>
  <c r="R17" i="27"/>
  <c r="R18" i="27" s="1"/>
  <c r="X33" i="46"/>
  <c r="T33" i="46"/>
  <c r="AC33" i="46" s="1"/>
  <c r="P34" i="46"/>
  <c r="P28" i="27"/>
  <c r="Q27" i="27"/>
  <c r="R26" i="27"/>
  <c r="Q26" i="27"/>
  <c r="R27" i="27"/>
  <c r="Q28" i="27" l="1"/>
  <c r="Q29" i="27" s="1"/>
  <c r="R28" i="27"/>
  <c r="AH14" i="48"/>
  <c r="R19" i="27"/>
  <c r="Q19" i="27"/>
  <c r="AB33" i="46"/>
  <c r="R29" i="27"/>
  <c r="N28" i="58" l="1"/>
  <c r="J28" i="58"/>
  <c r="M27" i="58"/>
  <c r="N27" i="58" s="1"/>
  <c r="J27" i="58"/>
  <c r="M24" i="58"/>
  <c r="J24" i="58"/>
  <c r="M23" i="58"/>
  <c r="N23" i="58" s="1"/>
  <c r="J23" i="58"/>
  <c r="M22" i="58"/>
  <c r="N22" i="58" s="1"/>
  <c r="J22" i="58"/>
  <c r="M21" i="58"/>
  <c r="J21" i="58"/>
  <c r="M20" i="58"/>
  <c r="J20" i="58"/>
  <c r="N15" i="58"/>
  <c r="J15" i="58"/>
  <c r="N11" i="58"/>
  <c r="J11" i="58"/>
  <c r="N10" i="58"/>
  <c r="J10" i="58"/>
  <c r="M6" i="58"/>
  <c r="N6" i="58" s="1"/>
  <c r="J6" i="58"/>
  <c r="A6" i="58"/>
  <c r="N21" i="58" l="1"/>
  <c r="N20" i="58"/>
  <c r="N24" i="58"/>
  <c r="AI14" i="2"/>
  <c r="K14" i="2"/>
  <c r="Z29" i="46" l="1"/>
  <c r="Z27" i="46"/>
  <c r="N37" i="29"/>
  <c r="I25" i="47" s="1"/>
  <c r="F26" i="47"/>
  <c r="E26" i="47"/>
  <c r="E27" i="47"/>
  <c r="G27" i="47" s="1"/>
  <c r="H27" i="47" s="1"/>
  <c r="F25" i="47"/>
  <c r="E25" i="47"/>
  <c r="G25" i="47" s="1"/>
  <c r="H25" i="47" s="1"/>
  <c r="O27" i="58" s="1"/>
  <c r="C8" i="29"/>
  <c r="K11" i="29" s="1"/>
  <c r="W29" i="58" s="1"/>
  <c r="C26" i="29"/>
  <c r="C25" i="29"/>
  <c r="C17" i="29"/>
  <c r="C16" i="29"/>
  <c r="C7" i="29"/>
  <c r="K13" i="29" l="1"/>
  <c r="W28" i="58" s="1"/>
  <c r="K7" i="29"/>
  <c r="W27" i="58" s="1"/>
  <c r="W29" i="46"/>
  <c r="C27" i="58"/>
  <c r="K27" i="58"/>
  <c r="P27" i="58"/>
  <c r="O27" i="46"/>
  <c r="T27" i="58"/>
  <c r="U27" i="58"/>
  <c r="V27" i="58"/>
  <c r="G26" i="47"/>
  <c r="H26" i="47" s="1"/>
  <c r="O28" i="58" s="1"/>
  <c r="C28" i="58" l="1"/>
  <c r="K28" i="58"/>
  <c r="AH13" i="48" s="1"/>
  <c r="O28" i="46"/>
  <c r="AF13" i="48"/>
  <c r="AR31" i="58"/>
  <c r="BA31" i="58" s="1"/>
  <c r="AM31" i="58"/>
  <c r="AR30" i="58"/>
  <c r="BA30" i="58" s="1"/>
  <c r="AM30" i="58"/>
  <c r="AR29" i="58"/>
  <c r="BA29" i="58" s="1"/>
  <c r="AM29" i="58"/>
  <c r="AD29" i="58" s="1"/>
  <c r="AR28" i="58"/>
  <c r="BA28" i="58" s="1"/>
  <c r="AM28" i="58"/>
  <c r="AR27" i="58"/>
  <c r="BA27" i="58" s="1"/>
  <c r="AM27" i="58"/>
  <c r="AM30" i="46"/>
  <c r="AR30" i="46"/>
  <c r="BA30" i="46" s="1"/>
  <c r="AM31" i="46"/>
  <c r="AR31" i="46"/>
  <c r="BA31" i="46" s="1"/>
  <c r="AD31" i="46" s="1"/>
  <c r="W28" i="46"/>
  <c r="W27" i="46"/>
  <c r="F42" i="29"/>
  <c r="P7" i="29"/>
  <c r="Q7" i="29" s="1"/>
  <c r="C28" i="46"/>
  <c r="J28" i="46"/>
  <c r="P27" i="46"/>
  <c r="M27" i="46"/>
  <c r="J27" i="46"/>
  <c r="AR29" i="46"/>
  <c r="BA29" i="46" s="1"/>
  <c r="AM29" i="46"/>
  <c r="AR28" i="46"/>
  <c r="BA28" i="46" s="1"/>
  <c r="AM28" i="46"/>
  <c r="AR27" i="46"/>
  <c r="BA27" i="46" s="1"/>
  <c r="AM27" i="46"/>
  <c r="I38" i="29"/>
  <c r="N38" i="29" s="1"/>
  <c r="I26" i="47" s="1"/>
  <c r="G40" i="29"/>
  <c r="G39" i="29"/>
  <c r="Q16" i="29"/>
  <c r="P17" i="29"/>
  <c r="Q17" i="29" s="1"/>
  <c r="Q18" i="29" s="1"/>
  <c r="O16" i="29"/>
  <c r="R16" i="29" s="1"/>
  <c r="O8" i="29"/>
  <c r="R8" i="29" s="1"/>
  <c r="O17" i="29"/>
  <c r="Q8" i="29"/>
  <c r="O7" i="29"/>
  <c r="N6" i="29"/>
  <c r="X27" i="58" l="1"/>
  <c r="G42" i="29"/>
  <c r="AD28" i="58"/>
  <c r="R7" i="29"/>
  <c r="P9" i="29"/>
  <c r="R17" i="29"/>
  <c r="R18" i="29"/>
  <c r="AD30" i="58"/>
  <c r="AD27" i="58"/>
  <c r="AD31" i="58"/>
  <c r="U28" i="58"/>
  <c r="AA27" i="58" s="1"/>
  <c r="T28" i="58"/>
  <c r="P28" i="58"/>
  <c r="V28" i="58"/>
  <c r="P18" i="29"/>
  <c r="Q19" i="29" s="1"/>
  <c r="AD28" i="46"/>
  <c r="U27" i="46"/>
  <c r="AD30" i="46"/>
  <c r="AD29" i="46"/>
  <c r="AD27" i="46"/>
  <c r="P28" i="46"/>
  <c r="U28" i="46"/>
  <c r="T28" i="46"/>
  <c r="R9" i="29"/>
  <c r="R10" i="29" s="1"/>
  <c r="N28" i="46"/>
  <c r="N27" i="46"/>
  <c r="T27" i="46"/>
  <c r="C27" i="46"/>
  <c r="N13" i="48" s="1"/>
  <c r="Q9" i="29"/>
  <c r="Q10" i="29" s="1"/>
  <c r="AA27" i="46" l="1"/>
  <c r="AC28" i="58"/>
  <c r="R19" i="29"/>
  <c r="AC27" i="58"/>
  <c r="AB27" i="58" s="1"/>
  <c r="K28" i="46"/>
  <c r="V28" i="46"/>
  <c r="K27" i="46"/>
  <c r="V27" i="46"/>
  <c r="AC28" i="46" l="1"/>
  <c r="L13" i="48"/>
  <c r="AC27" i="46"/>
  <c r="AB27" i="46" s="1"/>
  <c r="X27" i="46"/>
  <c r="AI13" i="2" l="1"/>
  <c r="K13" i="2"/>
  <c r="Z24" i="46"/>
  <c r="Z23" i="46"/>
  <c r="Z22" i="46"/>
  <c r="Z21" i="46"/>
  <c r="K12" i="30"/>
  <c r="W25" i="58" s="1"/>
  <c r="C25" i="30"/>
  <c r="C26" i="30"/>
  <c r="C27" i="30"/>
  <c r="K7" i="30" s="1"/>
  <c r="W24" i="58" s="1"/>
  <c r="C19" i="30"/>
  <c r="C18" i="30"/>
  <c r="K9" i="30" s="1"/>
  <c r="W21" i="58" s="1"/>
  <c r="C17" i="30"/>
  <c r="C16" i="30"/>
  <c r="C8" i="30"/>
  <c r="C7" i="30"/>
  <c r="K8" i="30" s="1"/>
  <c r="W20" i="58" s="1"/>
  <c r="E23" i="47"/>
  <c r="G23" i="47" s="1"/>
  <c r="H23" i="47" s="1"/>
  <c r="F21" i="47"/>
  <c r="E22" i="47"/>
  <c r="G22" i="47" s="1"/>
  <c r="H22" i="47" s="1"/>
  <c r="O24" i="58" s="1"/>
  <c r="E20" i="47"/>
  <c r="G20" i="47" s="1"/>
  <c r="E21" i="47"/>
  <c r="E18" i="47"/>
  <c r="G18" i="47" s="1"/>
  <c r="E17" i="47"/>
  <c r="H17" i="47" s="1"/>
  <c r="O21" i="58" s="1"/>
  <c r="F19" i="47"/>
  <c r="E19" i="47"/>
  <c r="E16" i="47"/>
  <c r="G16" i="47" s="1"/>
  <c r="H16" i="47" s="1"/>
  <c r="O20" i="58" s="1"/>
  <c r="G19" i="47" l="1"/>
  <c r="K10" i="30"/>
  <c r="W22" i="58" s="1"/>
  <c r="K11" i="30"/>
  <c r="W23" i="58" s="1"/>
  <c r="C21" i="58"/>
  <c r="K21" i="58"/>
  <c r="C24" i="58"/>
  <c r="K24" i="58"/>
  <c r="G17" i="47"/>
  <c r="C20" i="58"/>
  <c r="K20" i="58"/>
  <c r="O24" i="46"/>
  <c r="T24" i="58"/>
  <c r="O20" i="46"/>
  <c r="P20" i="58"/>
  <c r="O21" i="46"/>
  <c r="U20" i="58"/>
  <c r="W25" i="46"/>
  <c r="G21" i="47"/>
  <c r="H21" i="47" s="1"/>
  <c r="O23" i="58" s="1"/>
  <c r="H19" i="47"/>
  <c r="O22" i="58" s="1"/>
  <c r="V24" i="58"/>
  <c r="P24" i="58"/>
  <c r="C22" i="58" l="1"/>
  <c r="K22" i="58"/>
  <c r="C23" i="58"/>
  <c r="K23" i="58"/>
  <c r="AH12" i="48" s="1"/>
  <c r="AC24" i="58"/>
  <c r="T21" i="58"/>
  <c r="AC21" i="58" s="1"/>
  <c r="U21" i="58"/>
  <c r="V21" i="58"/>
  <c r="O23" i="46"/>
  <c r="P21" i="58"/>
  <c r="O22" i="46"/>
  <c r="T20" i="58"/>
  <c r="U24" i="58"/>
  <c r="V20" i="58"/>
  <c r="V23" i="58"/>
  <c r="X20" i="58" l="1"/>
  <c r="P22" i="58"/>
  <c r="U22" i="58"/>
  <c r="T22" i="58"/>
  <c r="AC22" i="58" s="1"/>
  <c r="V22" i="58"/>
  <c r="P23" i="58"/>
  <c r="U23" i="58"/>
  <c r="T23" i="58"/>
  <c r="AC23" i="58" s="1"/>
  <c r="AC20" i="58"/>
  <c r="AA20" i="58" l="1"/>
  <c r="AB20" i="58" s="1"/>
  <c r="AF12" i="48"/>
  <c r="AR23" i="58" l="1"/>
  <c r="BA23" i="58" s="1"/>
  <c r="AM23" i="58"/>
  <c r="AR22" i="58"/>
  <c r="BA22" i="58" s="1"/>
  <c r="AM22" i="58"/>
  <c r="AR21" i="58"/>
  <c r="BA21" i="58" s="1"/>
  <c r="AM21" i="58"/>
  <c r="AR20" i="58"/>
  <c r="BA20" i="58" s="1"/>
  <c r="AM20" i="58"/>
  <c r="W24" i="46"/>
  <c r="W21" i="46"/>
  <c r="W22" i="46"/>
  <c r="W23" i="46"/>
  <c r="W20" i="46"/>
  <c r="M21" i="46"/>
  <c r="M22" i="46"/>
  <c r="U22" i="46" s="1"/>
  <c r="M23" i="46"/>
  <c r="M24" i="46"/>
  <c r="T24" i="46" s="1"/>
  <c r="M20" i="46"/>
  <c r="C24" i="46"/>
  <c r="J24" i="46"/>
  <c r="P23" i="46"/>
  <c r="J23" i="46"/>
  <c r="J22" i="46"/>
  <c r="J21" i="46"/>
  <c r="AR23" i="46"/>
  <c r="BA23" i="46" s="1"/>
  <c r="AM23" i="46"/>
  <c r="AR22" i="46"/>
  <c r="BA22" i="46" s="1"/>
  <c r="AM22" i="46"/>
  <c r="AR21" i="46"/>
  <c r="BA21" i="46" s="1"/>
  <c r="AM21" i="46"/>
  <c r="AR20" i="46"/>
  <c r="BA20" i="46" s="1"/>
  <c r="AM20" i="46"/>
  <c r="P20" i="46"/>
  <c r="N20" i="46"/>
  <c r="K20" i="46" s="1"/>
  <c r="J20" i="46"/>
  <c r="Q17" i="30"/>
  <c r="O17" i="30"/>
  <c r="R17" i="30" s="1"/>
  <c r="P16" i="30"/>
  <c r="Q16" i="30" s="1"/>
  <c r="N41" i="30"/>
  <c r="I22" i="47" s="1"/>
  <c r="N40" i="30"/>
  <c r="I21" i="47" s="1"/>
  <c r="N39" i="30"/>
  <c r="I19" i="47" s="1"/>
  <c r="N38" i="30"/>
  <c r="I17" i="47" s="1"/>
  <c r="I38" i="30"/>
  <c r="P27" i="30"/>
  <c r="O25" i="30"/>
  <c r="R25" i="30" s="1"/>
  <c r="Q24" i="30"/>
  <c r="O24" i="30"/>
  <c r="R24" i="30" s="1"/>
  <c r="O16" i="30"/>
  <c r="O15" i="30"/>
  <c r="P10" i="30"/>
  <c r="Q10" i="30" s="1"/>
  <c r="P9" i="30"/>
  <c r="Q9" i="30" s="1"/>
  <c r="P8" i="30"/>
  <c r="Q8" i="30" s="1"/>
  <c r="O10" i="30"/>
  <c r="R10" i="30" s="1"/>
  <c r="O9" i="30"/>
  <c r="O8" i="30"/>
  <c r="N6" i="30"/>
  <c r="N37" i="30" l="1"/>
  <c r="I16" i="47" s="1"/>
  <c r="R8" i="30"/>
  <c r="R9" i="30"/>
  <c r="P11" i="30"/>
  <c r="U23" i="46"/>
  <c r="AD22" i="46"/>
  <c r="T22" i="46"/>
  <c r="C22" i="46"/>
  <c r="N24" i="46"/>
  <c r="U21" i="46"/>
  <c r="AD23" i="46"/>
  <c r="P22" i="46"/>
  <c r="P24" i="46"/>
  <c r="AD21" i="46"/>
  <c r="U20" i="46"/>
  <c r="AD20" i="58"/>
  <c r="AD21" i="58"/>
  <c r="AD22" i="58"/>
  <c r="AD23" i="58"/>
  <c r="AD20" i="46"/>
  <c r="C21" i="46"/>
  <c r="N23" i="46"/>
  <c r="K23" i="46" s="1"/>
  <c r="N22" i="46"/>
  <c r="N21" i="46"/>
  <c r="K21" i="46" s="1"/>
  <c r="T21" i="46"/>
  <c r="C20" i="46"/>
  <c r="T20" i="46"/>
  <c r="AC20" i="46" s="1"/>
  <c r="T23" i="46"/>
  <c r="P21" i="46"/>
  <c r="U24" i="46"/>
  <c r="C23" i="46"/>
  <c r="V20" i="46"/>
  <c r="R16" i="30"/>
  <c r="R27" i="30"/>
  <c r="R28" i="30" s="1"/>
  <c r="Q25" i="30"/>
  <c r="Q27" i="30" s="1"/>
  <c r="Q28" i="30" s="1"/>
  <c r="R15" i="30"/>
  <c r="P18" i="30"/>
  <c r="Q15" i="30"/>
  <c r="Q18" i="30" s="1"/>
  <c r="Q19" i="30" s="1"/>
  <c r="R11" i="30"/>
  <c r="R12" i="30" s="1"/>
  <c r="Q11" i="30"/>
  <c r="Q12" i="30" s="1"/>
  <c r="AA20" i="46" l="1"/>
  <c r="R18" i="30"/>
  <c r="AC21" i="46"/>
  <c r="AC23" i="46"/>
  <c r="V24" i="46"/>
  <c r="K24" i="46"/>
  <c r="AC24" i="46" s="1"/>
  <c r="V21" i="46"/>
  <c r="V23" i="46"/>
  <c r="N12" i="48"/>
  <c r="V22" i="46"/>
  <c r="K22" i="46"/>
  <c r="AC22" i="46" s="1"/>
  <c r="R19" i="30"/>
  <c r="AB20" i="46" l="1"/>
  <c r="X20" i="46"/>
  <c r="L12" i="48"/>
  <c r="KV38" i="1"/>
  <c r="KV37" i="1"/>
  <c r="KV36" i="1"/>
  <c r="KV35" i="1"/>
  <c r="KV34" i="1"/>
  <c r="KV33" i="1"/>
  <c r="KV32" i="1"/>
  <c r="KV31" i="1"/>
  <c r="KV30" i="1"/>
  <c r="KV29" i="1"/>
  <c r="KV28" i="1"/>
  <c r="KV27" i="1"/>
  <c r="KV26" i="1"/>
  <c r="KV25" i="1"/>
  <c r="KV24" i="1"/>
  <c r="KV23" i="1"/>
  <c r="KV22" i="1"/>
  <c r="KV21" i="1"/>
  <c r="KV20" i="1"/>
  <c r="KV19" i="1"/>
  <c r="KV17" i="1"/>
  <c r="KV16" i="1"/>
  <c r="KV15" i="1"/>
  <c r="KV14" i="1"/>
  <c r="KV13" i="1"/>
  <c r="KV12" i="1"/>
  <c r="KV11" i="1"/>
  <c r="KV10" i="1"/>
  <c r="KV9" i="1"/>
  <c r="AI12" i="2" l="1"/>
  <c r="K12" i="2"/>
  <c r="F11" i="47" l="1"/>
  <c r="F14" i="47"/>
  <c r="E14" i="47"/>
  <c r="F13" i="47"/>
  <c r="E13" i="47"/>
  <c r="E12" i="47"/>
  <c r="G12" i="47" s="1"/>
  <c r="E11" i="47"/>
  <c r="E10" i="47"/>
  <c r="G10" i="47" s="1"/>
  <c r="H10" i="47" s="1"/>
  <c r="C8" i="31"/>
  <c r="K7" i="31" s="1"/>
  <c r="W16" i="58" s="1"/>
  <c r="C7" i="31"/>
  <c r="K8" i="31" s="1"/>
  <c r="W15" i="58" s="1"/>
  <c r="W15" i="46" l="1"/>
  <c r="G13" i="47"/>
  <c r="G14" i="47"/>
  <c r="G11" i="47"/>
  <c r="W16" i="46"/>
  <c r="H11" i="47"/>
  <c r="O15" i="58" s="1"/>
  <c r="K15" i="58" l="1"/>
  <c r="X15" i="58" s="1"/>
  <c r="C15" i="58"/>
  <c r="O15" i="46"/>
  <c r="C15" i="46" s="1"/>
  <c r="N11" i="48" s="1"/>
  <c r="AF11" i="48"/>
  <c r="AR18" i="58"/>
  <c r="BA18" i="58" s="1"/>
  <c r="AM18" i="58"/>
  <c r="AR17" i="58"/>
  <c r="BA17" i="58" s="1"/>
  <c r="AM17" i="58"/>
  <c r="AR16" i="58"/>
  <c r="BA16" i="58" s="1"/>
  <c r="AM16" i="58"/>
  <c r="AR15" i="58"/>
  <c r="BA15" i="58" s="1"/>
  <c r="AM15" i="58"/>
  <c r="N15" i="46"/>
  <c r="J15" i="46"/>
  <c r="AR18" i="46"/>
  <c r="BA18" i="46" s="1"/>
  <c r="AM18" i="46"/>
  <c r="AR17" i="46"/>
  <c r="BA17" i="46" s="1"/>
  <c r="AM17" i="46"/>
  <c r="AR16" i="46"/>
  <c r="BA16" i="46" s="1"/>
  <c r="AM16" i="46"/>
  <c r="AR15" i="46"/>
  <c r="BA15" i="46" s="1"/>
  <c r="AM15" i="46"/>
  <c r="I38" i="31"/>
  <c r="I11" i="47" s="1"/>
  <c r="G40" i="31"/>
  <c r="G38" i="31"/>
  <c r="O25" i="31"/>
  <c r="Q18" i="31"/>
  <c r="Q17" i="31"/>
  <c r="O18" i="31"/>
  <c r="R18" i="31" s="1"/>
  <c r="P16" i="31"/>
  <c r="Q16" i="31" s="1"/>
  <c r="Q19" i="31" s="1"/>
  <c r="O17" i="31"/>
  <c r="R17" i="31" s="1"/>
  <c r="O16" i="31"/>
  <c r="O8" i="31"/>
  <c r="N6" i="31"/>
  <c r="AD16" i="58" l="1"/>
  <c r="AD18" i="58"/>
  <c r="AD17" i="58"/>
  <c r="AD15" i="58"/>
  <c r="R16" i="31"/>
  <c r="R19" i="31" s="1"/>
  <c r="AD16" i="46"/>
  <c r="AD18" i="46"/>
  <c r="AD17" i="46"/>
  <c r="P19" i="31"/>
  <c r="Q20" i="31" s="1"/>
  <c r="P15" i="58"/>
  <c r="V15" i="58"/>
  <c r="T15" i="58"/>
  <c r="U15" i="58"/>
  <c r="K15" i="46"/>
  <c r="L11" i="48" s="1"/>
  <c r="V15" i="46"/>
  <c r="AD15" i="46"/>
  <c r="P15" i="46"/>
  <c r="T15" i="46"/>
  <c r="U15" i="46"/>
  <c r="R20" i="31" l="1"/>
  <c r="AC15" i="46"/>
  <c r="AC15" i="58"/>
  <c r="AH11" i="48"/>
  <c r="AO38" i="45"/>
  <c r="AO37" i="45"/>
  <c r="AO36" i="45"/>
  <c r="AO35" i="45"/>
  <c r="AO34" i="45"/>
  <c r="AO33" i="45"/>
  <c r="AO32" i="45"/>
  <c r="AO31" i="45"/>
  <c r="AO30" i="45"/>
  <c r="AO29" i="45"/>
  <c r="AO28" i="45"/>
  <c r="AO27" i="45"/>
  <c r="AO26" i="45"/>
  <c r="AO25" i="45"/>
  <c r="AO24" i="45"/>
  <c r="AO23" i="45"/>
  <c r="AO22" i="45"/>
  <c r="AO21" i="45"/>
  <c r="AO20" i="45"/>
  <c r="AO19" i="45"/>
  <c r="AO18" i="45"/>
  <c r="AO17" i="45"/>
  <c r="AO16" i="45"/>
  <c r="AO15" i="45"/>
  <c r="AO14" i="45"/>
  <c r="AO13" i="45"/>
  <c r="AO12" i="45"/>
  <c r="AO11" i="45"/>
  <c r="AO10" i="45"/>
  <c r="AO9" i="45"/>
  <c r="AO8" i="45"/>
  <c r="AK38" i="45"/>
  <c r="AK37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C38" i="45"/>
  <c r="AC37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10" i="45"/>
  <c r="AC9" i="45"/>
  <c r="AC8" i="45"/>
  <c r="Y38" i="45"/>
  <c r="Y37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10" i="45"/>
  <c r="Y9" i="45"/>
  <c r="Y8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Q38" i="45"/>
  <c r="Q37" i="45"/>
  <c r="Q36" i="45"/>
  <c r="Q35" i="45"/>
  <c r="Q34" i="45"/>
  <c r="Q33" i="45"/>
  <c r="Q32" i="45"/>
  <c r="Q31" i="45"/>
  <c r="Q30" i="45"/>
  <c r="Q29" i="45"/>
  <c r="Q28" i="45"/>
  <c r="Q27" i="45"/>
  <c r="Q26" i="45"/>
  <c r="Q25" i="45"/>
  <c r="Q24" i="45"/>
  <c r="Q23" i="45"/>
  <c r="Q22" i="45"/>
  <c r="Q21" i="45"/>
  <c r="Q20" i="45"/>
  <c r="Q19" i="45"/>
  <c r="Q18" i="45"/>
  <c r="Q17" i="45"/>
  <c r="Q16" i="45"/>
  <c r="Q15" i="45"/>
  <c r="Q14" i="45"/>
  <c r="Q13" i="45"/>
  <c r="Q12" i="45"/>
  <c r="Q11" i="45"/>
  <c r="Q10" i="45"/>
  <c r="Q9" i="45"/>
  <c r="Q8" i="45"/>
  <c r="M38" i="45"/>
  <c r="M37" i="45"/>
  <c r="M36" i="45"/>
  <c r="M35" i="45"/>
  <c r="M34" i="45"/>
  <c r="M33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20" i="45"/>
  <c r="M19" i="45"/>
  <c r="M18" i="45"/>
  <c r="M17" i="45"/>
  <c r="M16" i="45"/>
  <c r="M15" i="45"/>
  <c r="M14" i="45"/>
  <c r="M13" i="45"/>
  <c r="M12" i="45"/>
  <c r="M11" i="45"/>
  <c r="M10" i="45"/>
  <c r="M9" i="45"/>
  <c r="M8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AI11" i="2"/>
  <c r="AI10" i="2"/>
  <c r="K11" i="2"/>
  <c r="K10" i="2"/>
  <c r="C26" i="32" l="1"/>
  <c r="K8" i="32" s="1"/>
  <c r="W11" i="58" s="1"/>
  <c r="C25" i="32"/>
  <c r="K7" i="32" s="1"/>
  <c r="W10" i="58" s="1"/>
  <c r="M6" i="46"/>
  <c r="N38" i="32"/>
  <c r="I8" i="47" s="1"/>
  <c r="E8" i="47"/>
  <c r="G8" i="47" s="1"/>
  <c r="H8" i="47" s="1"/>
  <c r="E7" i="47"/>
  <c r="G7" i="47" s="1"/>
  <c r="F6" i="47"/>
  <c r="E6" i="47"/>
  <c r="F4" i="47"/>
  <c r="E4" i="47"/>
  <c r="O11" i="46" l="1"/>
  <c r="O11" i="58"/>
  <c r="G6" i="47"/>
  <c r="H6" i="47"/>
  <c r="O10" i="58" s="1"/>
  <c r="G4" i="47"/>
  <c r="H4" i="47" s="1"/>
  <c r="O6" i="58" s="1"/>
  <c r="C32" i="32"/>
  <c r="C23" i="32"/>
  <c r="C14" i="32"/>
  <c r="O10" i="46" l="1"/>
  <c r="C10" i="58"/>
  <c r="K10" i="58"/>
  <c r="C6" i="58"/>
  <c r="K6" i="58"/>
  <c r="C11" i="58"/>
  <c r="K11" i="58"/>
  <c r="O6" i="46"/>
  <c r="CE33" i="59"/>
  <c r="CE32" i="59"/>
  <c r="CE31" i="59"/>
  <c r="CE30" i="59"/>
  <c r="CE29" i="59"/>
  <c r="CE28" i="59"/>
  <c r="CE27" i="59"/>
  <c r="CE26" i="59"/>
  <c r="CE25" i="59"/>
  <c r="CE24" i="59"/>
  <c r="CE23" i="59"/>
  <c r="CE22" i="59"/>
  <c r="CE21" i="59"/>
  <c r="CE20" i="59"/>
  <c r="CE19" i="59"/>
  <c r="CE18" i="59"/>
  <c r="CE17" i="59"/>
  <c r="CE16" i="59"/>
  <c r="CE15" i="59"/>
  <c r="CE14" i="59"/>
  <c r="CE13" i="59"/>
  <c r="CE12" i="59"/>
  <c r="CE11" i="59"/>
  <c r="CE10" i="59"/>
  <c r="CE9" i="59"/>
  <c r="CE8" i="59"/>
  <c r="CE7" i="59"/>
  <c r="CE6" i="59"/>
  <c r="CE5" i="59"/>
  <c r="CE4" i="59"/>
  <c r="CD33" i="59"/>
  <c r="CD32" i="59"/>
  <c r="CD31" i="59"/>
  <c r="CD30" i="59"/>
  <c r="CD29" i="59"/>
  <c r="CD28" i="59"/>
  <c r="CD27" i="59"/>
  <c r="CD26" i="59"/>
  <c r="CD25" i="59"/>
  <c r="CD24" i="59"/>
  <c r="CD23" i="59"/>
  <c r="CD22" i="59"/>
  <c r="CD21" i="59"/>
  <c r="CD20" i="59"/>
  <c r="CD19" i="59"/>
  <c r="CD18" i="59"/>
  <c r="CD17" i="59"/>
  <c r="CD16" i="59"/>
  <c r="CD15" i="59"/>
  <c r="CD14" i="59"/>
  <c r="CD13" i="59"/>
  <c r="CD12" i="59"/>
  <c r="CD11" i="59"/>
  <c r="CD10" i="59"/>
  <c r="CD9" i="59"/>
  <c r="CD8" i="59"/>
  <c r="CD7" i="59"/>
  <c r="CD6" i="59"/>
  <c r="CD5" i="59"/>
  <c r="CD4" i="59"/>
  <c r="CC33" i="59"/>
  <c r="CC32" i="59"/>
  <c r="CC31" i="59"/>
  <c r="CC30" i="59"/>
  <c r="CC29" i="59"/>
  <c r="CC28" i="59"/>
  <c r="CC27" i="59"/>
  <c r="CC26" i="59"/>
  <c r="CC25" i="59"/>
  <c r="CC24" i="59"/>
  <c r="CC23" i="59"/>
  <c r="CC22" i="59"/>
  <c r="CC21" i="59"/>
  <c r="CC20" i="59"/>
  <c r="CC19" i="59"/>
  <c r="CC18" i="59"/>
  <c r="CC17" i="59"/>
  <c r="CC16" i="59"/>
  <c r="CC15" i="59"/>
  <c r="CC14" i="59"/>
  <c r="CC13" i="59"/>
  <c r="CC12" i="59"/>
  <c r="CC11" i="59"/>
  <c r="CC10" i="59"/>
  <c r="CC9" i="59"/>
  <c r="CC8" i="59"/>
  <c r="CC7" i="59"/>
  <c r="CC6" i="59"/>
  <c r="CC5" i="59"/>
  <c r="CC4" i="59"/>
  <c r="CB33" i="59"/>
  <c r="CB32" i="59"/>
  <c r="CB31" i="59"/>
  <c r="CB30" i="59"/>
  <c r="CB29" i="59"/>
  <c r="CB28" i="59"/>
  <c r="CB27" i="59"/>
  <c r="CB26" i="59"/>
  <c r="CB25" i="59"/>
  <c r="CB24" i="59"/>
  <c r="CB23" i="59"/>
  <c r="CB22" i="59"/>
  <c r="CB21" i="59"/>
  <c r="CB20" i="59"/>
  <c r="CB19" i="59"/>
  <c r="CB18" i="59"/>
  <c r="CB17" i="59"/>
  <c r="CB16" i="59"/>
  <c r="CB15" i="59"/>
  <c r="CB14" i="59"/>
  <c r="CB13" i="59"/>
  <c r="CB12" i="59"/>
  <c r="CB11" i="59"/>
  <c r="CB10" i="59"/>
  <c r="CB9" i="59"/>
  <c r="CB8" i="59"/>
  <c r="CB7" i="59"/>
  <c r="CB6" i="59"/>
  <c r="CB5" i="59"/>
  <c r="CB4" i="59"/>
  <c r="BZ33" i="59"/>
  <c r="BZ32" i="59"/>
  <c r="BZ31" i="59"/>
  <c r="BY33" i="59"/>
  <c r="BY32" i="59"/>
  <c r="BY31" i="59"/>
  <c r="BY30" i="59"/>
  <c r="BY29" i="59"/>
  <c r="BY28" i="59"/>
  <c r="BY27" i="59"/>
  <c r="BY26" i="59"/>
  <c r="BY25" i="59"/>
  <c r="BY24" i="59"/>
  <c r="BY23" i="59"/>
  <c r="BY22" i="59"/>
  <c r="BY21" i="59"/>
  <c r="BY20" i="59"/>
  <c r="BY19" i="59"/>
  <c r="BY18" i="59"/>
  <c r="BY17" i="59"/>
  <c r="BY16" i="59"/>
  <c r="BY15" i="59"/>
  <c r="BY14" i="59"/>
  <c r="BY13" i="59"/>
  <c r="BY12" i="59"/>
  <c r="BY11" i="59"/>
  <c r="BY10" i="59"/>
  <c r="BY9" i="59"/>
  <c r="BY8" i="59"/>
  <c r="BY7" i="59"/>
  <c r="BY6" i="59"/>
  <c r="BY5" i="59"/>
  <c r="BY4" i="59"/>
  <c r="BX33" i="59"/>
  <c r="BX32" i="59"/>
  <c r="BX31" i="59"/>
  <c r="BX30" i="59"/>
  <c r="BX29" i="59"/>
  <c r="BX28" i="59"/>
  <c r="BX27" i="59"/>
  <c r="BX26" i="59"/>
  <c r="BX25" i="59"/>
  <c r="BX24" i="59"/>
  <c r="BX23" i="59"/>
  <c r="BX22" i="59"/>
  <c r="BX21" i="59"/>
  <c r="BX20" i="59"/>
  <c r="BX19" i="59"/>
  <c r="BX18" i="59"/>
  <c r="BX17" i="59"/>
  <c r="BX16" i="59"/>
  <c r="BX15" i="59"/>
  <c r="BX14" i="59"/>
  <c r="BX13" i="59"/>
  <c r="BX12" i="59"/>
  <c r="BX11" i="59"/>
  <c r="BX10" i="59"/>
  <c r="BX9" i="59"/>
  <c r="BX8" i="59"/>
  <c r="BX7" i="59"/>
  <c r="BX6" i="59"/>
  <c r="BX5" i="59"/>
  <c r="BX4" i="59"/>
  <c r="BW23" i="59"/>
  <c r="BW22" i="59"/>
  <c r="BW21" i="59"/>
  <c r="BW20" i="59"/>
  <c r="BW19" i="59"/>
  <c r="BW18" i="59"/>
  <c r="BW17" i="59"/>
  <c r="BW16" i="59"/>
  <c r="BW15" i="59"/>
  <c r="BW14" i="59"/>
  <c r="BW13" i="59"/>
  <c r="BW12" i="59"/>
  <c r="BW11" i="59"/>
  <c r="BW10" i="59"/>
  <c r="BW9" i="59"/>
  <c r="BW8" i="59"/>
  <c r="BW7" i="59"/>
  <c r="BW6" i="59"/>
  <c r="BW5" i="59"/>
  <c r="BW4" i="59"/>
  <c r="BV33" i="59"/>
  <c r="BV32" i="59"/>
  <c r="BV31" i="59"/>
  <c r="BV30" i="59"/>
  <c r="BV29" i="59"/>
  <c r="BV28" i="59"/>
  <c r="BV27" i="59"/>
  <c r="BV26" i="59"/>
  <c r="BV25" i="59"/>
  <c r="BV23" i="59"/>
  <c r="BV22" i="59"/>
  <c r="BV21" i="59"/>
  <c r="BV20" i="59"/>
  <c r="BV19" i="59"/>
  <c r="BV18" i="59"/>
  <c r="BV17" i="59"/>
  <c r="BV16" i="59"/>
  <c r="BV15" i="59"/>
  <c r="BV14" i="59"/>
  <c r="BV13" i="59"/>
  <c r="BV12" i="59"/>
  <c r="BV11" i="59"/>
  <c r="BV10" i="59"/>
  <c r="BV9" i="59"/>
  <c r="BV8" i="59"/>
  <c r="BV7" i="59"/>
  <c r="BV6" i="59"/>
  <c r="BV5" i="59"/>
  <c r="BV4" i="59"/>
  <c r="BU33" i="59"/>
  <c r="BU32" i="59"/>
  <c r="BU31" i="59"/>
  <c r="BU30" i="59"/>
  <c r="BU29" i="59"/>
  <c r="BU28" i="59"/>
  <c r="BU27" i="59"/>
  <c r="BU26" i="59"/>
  <c r="BU25" i="59"/>
  <c r="BU24" i="59"/>
  <c r="BU23" i="59"/>
  <c r="BU22" i="59"/>
  <c r="BU21" i="59"/>
  <c r="BU20" i="59"/>
  <c r="BU19" i="59"/>
  <c r="BU18" i="59"/>
  <c r="BU17" i="59"/>
  <c r="BU16" i="59"/>
  <c r="BU15" i="59"/>
  <c r="BU14" i="59"/>
  <c r="BU13" i="59"/>
  <c r="BU12" i="59"/>
  <c r="BU11" i="59"/>
  <c r="BU10" i="59"/>
  <c r="BU9" i="59"/>
  <c r="BU8" i="59"/>
  <c r="BU7" i="59"/>
  <c r="BU6" i="59"/>
  <c r="BU5" i="59"/>
  <c r="BU4" i="59"/>
  <c r="BT33" i="59"/>
  <c r="BT32" i="59"/>
  <c r="BT31" i="59"/>
  <c r="BT30" i="59"/>
  <c r="BT29" i="59"/>
  <c r="BT28" i="59"/>
  <c r="BT27" i="59"/>
  <c r="BT26" i="59"/>
  <c r="BT25" i="59"/>
  <c r="BT24" i="59"/>
  <c r="BT23" i="59"/>
  <c r="BT22" i="59"/>
  <c r="BT21" i="59"/>
  <c r="BT20" i="59"/>
  <c r="BT19" i="59"/>
  <c r="BT18" i="59"/>
  <c r="BT17" i="59"/>
  <c r="BT16" i="59"/>
  <c r="BT15" i="59"/>
  <c r="BT14" i="59"/>
  <c r="BT13" i="59"/>
  <c r="BT12" i="59"/>
  <c r="BT11" i="59"/>
  <c r="BT10" i="59"/>
  <c r="BT9" i="59"/>
  <c r="BT8" i="59"/>
  <c r="BT7" i="59"/>
  <c r="BT6" i="59"/>
  <c r="BT5" i="59"/>
  <c r="BT4" i="59"/>
  <c r="AY33" i="59"/>
  <c r="AY32" i="59"/>
  <c r="AY31" i="59"/>
  <c r="AY30" i="59"/>
  <c r="AY29" i="59"/>
  <c r="AY28" i="59"/>
  <c r="AY27" i="59"/>
  <c r="AY26" i="59"/>
  <c r="AY25" i="59"/>
  <c r="AY24" i="59"/>
  <c r="AY23" i="59"/>
  <c r="AY22" i="59"/>
  <c r="AY21" i="59"/>
  <c r="AY20" i="59"/>
  <c r="AY19" i="59"/>
  <c r="AY18" i="59"/>
  <c r="AY17" i="59"/>
  <c r="AY16" i="59"/>
  <c r="AY15" i="59"/>
  <c r="AY14" i="59"/>
  <c r="AY13" i="59"/>
  <c r="AY12" i="59"/>
  <c r="AY11" i="59"/>
  <c r="AY10" i="59"/>
  <c r="AY9" i="59"/>
  <c r="AY8" i="59"/>
  <c r="AY7" i="59"/>
  <c r="AY6" i="59"/>
  <c r="AY5" i="59"/>
  <c r="AY4" i="59"/>
  <c r="AX33" i="59"/>
  <c r="AX32" i="59"/>
  <c r="AX31" i="59"/>
  <c r="AX30" i="59"/>
  <c r="AX29" i="59"/>
  <c r="AX28" i="59"/>
  <c r="AX27" i="59"/>
  <c r="AX26" i="59"/>
  <c r="AX25" i="59"/>
  <c r="AX24" i="59"/>
  <c r="AX23" i="59"/>
  <c r="AX22" i="59"/>
  <c r="AX21" i="59"/>
  <c r="AX20" i="59"/>
  <c r="AX19" i="59"/>
  <c r="AX18" i="59"/>
  <c r="AX17" i="59"/>
  <c r="AX16" i="59"/>
  <c r="AX15" i="59"/>
  <c r="AX14" i="59"/>
  <c r="AX13" i="59"/>
  <c r="AX12" i="59"/>
  <c r="AX11" i="59"/>
  <c r="AX10" i="59"/>
  <c r="AX9" i="59"/>
  <c r="AX8" i="59"/>
  <c r="AX7" i="59"/>
  <c r="AX6" i="59"/>
  <c r="AX5" i="59"/>
  <c r="AX4" i="59"/>
  <c r="AW33" i="59"/>
  <c r="AW32" i="59"/>
  <c r="AW31" i="59"/>
  <c r="AW30" i="59"/>
  <c r="AW29" i="59"/>
  <c r="AW28" i="59"/>
  <c r="AW27" i="59"/>
  <c r="AW26" i="59"/>
  <c r="AW25" i="59"/>
  <c r="AW24" i="59"/>
  <c r="AW23" i="59"/>
  <c r="AW22" i="59"/>
  <c r="AW21" i="59"/>
  <c r="AW20" i="59"/>
  <c r="AW19" i="59"/>
  <c r="AW18" i="59"/>
  <c r="AW17" i="59"/>
  <c r="AW16" i="59"/>
  <c r="AW15" i="59"/>
  <c r="AW14" i="59"/>
  <c r="AW13" i="59"/>
  <c r="AW12" i="59"/>
  <c r="AW11" i="59"/>
  <c r="AW10" i="59"/>
  <c r="AW9" i="59"/>
  <c r="AW8" i="59"/>
  <c r="AW7" i="59"/>
  <c r="AW6" i="59"/>
  <c r="AW5" i="59"/>
  <c r="AW4" i="59"/>
  <c r="AV33" i="59"/>
  <c r="AV32" i="59"/>
  <c r="AV31" i="59"/>
  <c r="AV30" i="59"/>
  <c r="AV29" i="59"/>
  <c r="AV28" i="59"/>
  <c r="AV27" i="59"/>
  <c r="AV26" i="59"/>
  <c r="AV25" i="59"/>
  <c r="AV24" i="59"/>
  <c r="AV23" i="59"/>
  <c r="AV22" i="59"/>
  <c r="AV21" i="59"/>
  <c r="AV20" i="59"/>
  <c r="AV19" i="59"/>
  <c r="AV18" i="59"/>
  <c r="AV17" i="59"/>
  <c r="AV16" i="59"/>
  <c r="AV15" i="59"/>
  <c r="AV14" i="59"/>
  <c r="AV13" i="59"/>
  <c r="AV12" i="59"/>
  <c r="AV11" i="59"/>
  <c r="AV10" i="59"/>
  <c r="AV9" i="59"/>
  <c r="AV8" i="59"/>
  <c r="AV7" i="59"/>
  <c r="AV6" i="59"/>
  <c r="AV5" i="59"/>
  <c r="AV4" i="59"/>
  <c r="AU33" i="59"/>
  <c r="AU32" i="59"/>
  <c r="AU31" i="59"/>
  <c r="AU30" i="59"/>
  <c r="AU29" i="59"/>
  <c r="AU28" i="59"/>
  <c r="AU27" i="59"/>
  <c r="AU26" i="59"/>
  <c r="AU25" i="59"/>
  <c r="AU24" i="59"/>
  <c r="AU23" i="59"/>
  <c r="AU22" i="59"/>
  <c r="AU21" i="59"/>
  <c r="AU20" i="59"/>
  <c r="AU19" i="59"/>
  <c r="AU18" i="59"/>
  <c r="AU17" i="59"/>
  <c r="AU16" i="59"/>
  <c r="AU15" i="59"/>
  <c r="AU14" i="59"/>
  <c r="AU13" i="59"/>
  <c r="AU12" i="59"/>
  <c r="AU11" i="59"/>
  <c r="AU10" i="59"/>
  <c r="AU9" i="59"/>
  <c r="AU8" i="59"/>
  <c r="AU7" i="59"/>
  <c r="AU6" i="59"/>
  <c r="AU5" i="59"/>
  <c r="AU4" i="59"/>
  <c r="AT33" i="59"/>
  <c r="AT32" i="59"/>
  <c r="AT31" i="59"/>
  <c r="AT30" i="59"/>
  <c r="AT29" i="59"/>
  <c r="AT28" i="59"/>
  <c r="AT27" i="59"/>
  <c r="AT26" i="59"/>
  <c r="AT25" i="59"/>
  <c r="AT24" i="59"/>
  <c r="AT23" i="59"/>
  <c r="AT22" i="59"/>
  <c r="AT21" i="59"/>
  <c r="AT20" i="59"/>
  <c r="AT19" i="59"/>
  <c r="AT18" i="59"/>
  <c r="AT17" i="59"/>
  <c r="AT16" i="59"/>
  <c r="AT15" i="59"/>
  <c r="AT14" i="59"/>
  <c r="AT13" i="59"/>
  <c r="AT12" i="59"/>
  <c r="AT11" i="59"/>
  <c r="AT10" i="59"/>
  <c r="AT9" i="59"/>
  <c r="AT8" i="59"/>
  <c r="AT7" i="59"/>
  <c r="AT6" i="59"/>
  <c r="AT5" i="59"/>
  <c r="AT4" i="59"/>
  <c r="AS33" i="59"/>
  <c r="AS32" i="59"/>
  <c r="AS31" i="59"/>
  <c r="AS30" i="59"/>
  <c r="AS29" i="59"/>
  <c r="AS28" i="59"/>
  <c r="AS27" i="59"/>
  <c r="AS26" i="59"/>
  <c r="AS25" i="59"/>
  <c r="AS24" i="59"/>
  <c r="AS23" i="59"/>
  <c r="AS22" i="59"/>
  <c r="AS21" i="59"/>
  <c r="AS20" i="59"/>
  <c r="AS19" i="59"/>
  <c r="AS18" i="59"/>
  <c r="AS17" i="59"/>
  <c r="AS16" i="59"/>
  <c r="AS15" i="59"/>
  <c r="AS14" i="59"/>
  <c r="AS13" i="59"/>
  <c r="AS12" i="59"/>
  <c r="AS11" i="59"/>
  <c r="AS10" i="59"/>
  <c r="AS9" i="59"/>
  <c r="AS8" i="59"/>
  <c r="AS7" i="59"/>
  <c r="AS6" i="59"/>
  <c r="AS5" i="59"/>
  <c r="AS4" i="59"/>
  <c r="AR33" i="59"/>
  <c r="AR32" i="59"/>
  <c r="AR31" i="59"/>
  <c r="AR30" i="59"/>
  <c r="AR29" i="59"/>
  <c r="AR28" i="59"/>
  <c r="AR27" i="59"/>
  <c r="AR26" i="59"/>
  <c r="AR25" i="59"/>
  <c r="AR24" i="59"/>
  <c r="AR23" i="59"/>
  <c r="AR22" i="59"/>
  <c r="AR21" i="59"/>
  <c r="AR20" i="59"/>
  <c r="AR19" i="59"/>
  <c r="AR18" i="59"/>
  <c r="AR17" i="59"/>
  <c r="AR16" i="59"/>
  <c r="AR15" i="59"/>
  <c r="AR14" i="59"/>
  <c r="AR13" i="59"/>
  <c r="AR12" i="59"/>
  <c r="AR11" i="59"/>
  <c r="AR10" i="59"/>
  <c r="AR9" i="59"/>
  <c r="AR8" i="59"/>
  <c r="AR7" i="59"/>
  <c r="AR6" i="59"/>
  <c r="AR5" i="59"/>
  <c r="AR4" i="59"/>
  <c r="AQ23" i="59"/>
  <c r="AQ22" i="59"/>
  <c r="AQ21" i="59"/>
  <c r="AQ20" i="59"/>
  <c r="AQ19" i="59"/>
  <c r="AQ18" i="59"/>
  <c r="AQ17" i="59"/>
  <c r="AQ16" i="59"/>
  <c r="AQ15" i="59"/>
  <c r="AQ14" i="59"/>
  <c r="AQ13" i="59"/>
  <c r="AQ12" i="59"/>
  <c r="AQ11" i="59"/>
  <c r="AQ10" i="59"/>
  <c r="AQ9" i="59"/>
  <c r="AQ8" i="59"/>
  <c r="AQ7" i="59"/>
  <c r="AQ6" i="59"/>
  <c r="AQ5" i="59"/>
  <c r="AQ4" i="59"/>
  <c r="AP33" i="59"/>
  <c r="AP32" i="59"/>
  <c r="AP31" i="59"/>
  <c r="AP30" i="59"/>
  <c r="AP29" i="59"/>
  <c r="AP28" i="59"/>
  <c r="AP27" i="59"/>
  <c r="AP26" i="59"/>
  <c r="AP25" i="59"/>
  <c r="AP23" i="59"/>
  <c r="AP22" i="59"/>
  <c r="AP21" i="59"/>
  <c r="AP20" i="59"/>
  <c r="AP19" i="59"/>
  <c r="AP18" i="59"/>
  <c r="AP17" i="59"/>
  <c r="AP16" i="59"/>
  <c r="AP15" i="59"/>
  <c r="AP14" i="59"/>
  <c r="AP13" i="59"/>
  <c r="AP12" i="59"/>
  <c r="AP11" i="59"/>
  <c r="AP10" i="59"/>
  <c r="AP9" i="59"/>
  <c r="AP8" i="59"/>
  <c r="AP7" i="59"/>
  <c r="AP6" i="59"/>
  <c r="AP5" i="59"/>
  <c r="AP4" i="59"/>
  <c r="AO33" i="59"/>
  <c r="AO32" i="59"/>
  <c r="AO31" i="59"/>
  <c r="AO30" i="59"/>
  <c r="AO29" i="59"/>
  <c r="AO28" i="59"/>
  <c r="AO27" i="59"/>
  <c r="AO26" i="59"/>
  <c r="AO25" i="59"/>
  <c r="AO24" i="59"/>
  <c r="AO23" i="59"/>
  <c r="AO22" i="59"/>
  <c r="AO21" i="59"/>
  <c r="AO20" i="59"/>
  <c r="AO19" i="59"/>
  <c r="AO18" i="59"/>
  <c r="AO17" i="59"/>
  <c r="AO16" i="59"/>
  <c r="AO15" i="59"/>
  <c r="AO14" i="59"/>
  <c r="AO13" i="59"/>
  <c r="AO12" i="59"/>
  <c r="AO11" i="59"/>
  <c r="AO10" i="59"/>
  <c r="AO9" i="59"/>
  <c r="AO8" i="59"/>
  <c r="AO7" i="59"/>
  <c r="AO6" i="59"/>
  <c r="AO5" i="59"/>
  <c r="AO4" i="59"/>
  <c r="AN33" i="59"/>
  <c r="AN32" i="59"/>
  <c r="AN31" i="59"/>
  <c r="AN30" i="59"/>
  <c r="AN29" i="59"/>
  <c r="AN28" i="59"/>
  <c r="AN27" i="59"/>
  <c r="AN26" i="59"/>
  <c r="AN25" i="59"/>
  <c r="AN24" i="59"/>
  <c r="AN23" i="59"/>
  <c r="AN22" i="59"/>
  <c r="AN21" i="59"/>
  <c r="AN20" i="59"/>
  <c r="AN19" i="59"/>
  <c r="AN18" i="59"/>
  <c r="AN17" i="59"/>
  <c r="AN16" i="59"/>
  <c r="AN15" i="59"/>
  <c r="AN14" i="59"/>
  <c r="AN13" i="59"/>
  <c r="AN12" i="59"/>
  <c r="AN11" i="59"/>
  <c r="AN10" i="59"/>
  <c r="AN9" i="59"/>
  <c r="AN8" i="59"/>
  <c r="AN7" i="59"/>
  <c r="AN6" i="59"/>
  <c r="AN5" i="59"/>
  <c r="AN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I6" i="59"/>
  <c r="AI5" i="59"/>
  <c r="AI4" i="59"/>
  <c r="AH33" i="59"/>
  <c r="AH32" i="59"/>
  <c r="AH31" i="59"/>
  <c r="AH30" i="59"/>
  <c r="AH29" i="59"/>
  <c r="AH28" i="59"/>
  <c r="AH27" i="59"/>
  <c r="AH26" i="59"/>
  <c r="AH25" i="59"/>
  <c r="AH24" i="59"/>
  <c r="AH23" i="59"/>
  <c r="AH22" i="59"/>
  <c r="AH21" i="59"/>
  <c r="AH20" i="59"/>
  <c r="AH19" i="59"/>
  <c r="AH18" i="59"/>
  <c r="AH17" i="59"/>
  <c r="AH16" i="59"/>
  <c r="AH15" i="59"/>
  <c r="AH14" i="59"/>
  <c r="AH13" i="59"/>
  <c r="AH12" i="59"/>
  <c r="AH11" i="59"/>
  <c r="AH10" i="59"/>
  <c r="AH9" i="59"/>
  <c r="AH8" i="59"/>
  <c r="AH7" i="59"/>
  <c r="AH6" i="59"/>
  <c r="AH5" i="59"/>
  <c r="AH4" i="59"/>
  <c r="AG33" i="59"/>
  <c r="AG32" i="59"/>
  <c r="AG31" i="59"/>
  <c r="AG30" i="59"/>
  <c r="AG29" i="59"/>
  <c r="AG28" i="59"/>
  <c r="AG27" i="59"/>
  <c r="AG26" i="59"/>
  <c r="AG25" i="59"/>
  <c r="AG24" i="59"/>
  <c r="AG23" i="59"/>
  <c r="AG22" i="59"/>
  <c r="AG21" i="59"/>
  <c r="AG20" i="59"/>
  <c r="AG19" i="59"/>
  <c r="AG18" i="59"/>
  <c r="AG17" i="59"/>
  <c r="AG16" i="59"/>
  <c r="AG15" i="59"/>
  <c r="AG14" i="59"/>
  <c r="AG13" i="59"/>
  <c r="AG12" i="59"/>
  <c r="AG11" i="59"/>
  <c r="AG10" i="59"/>
  <c r="AG9" i="59"/>
  <c r="AG8" i="59"/>
  <c r="AG7" i="59"/>
  <c r="AG6" i="59"/>
  <c r="AG5" i="59"/>
  <c r="AG4" i="59"/>
  <c r="AF33" i="59"/>
  <c r="AF32" i="59"/>
  <c r="AF31" i="59"/>
  <c r="AF30" i="59"/>
  <c r="AF29" i="59"/>
  <c r="AF28" i="59"/>
  <c r="AF27" i="59"/>
  <c r="AF26" i="59"/>
  <c r="AF25" i="59"/>
  <c r="AF24" i="59"/>
  <c r="AF23" i="59"/>
  <c r="AF22" i="59"/>
  <c r="AF21" i="59"/>
  <c r="AF20" i="59"/>
  <c r="AF19" i="59"/>
  <c r="AF18" i="59"/>
  <c r="AF17" i="59"/>
  <c r="AF16" i="59"/>
  <c r="AF15" i="59"/>
  <c r="AF14" i="59"/>
  <c r="AF13" i="59"/>
  <c r="AF12" i="59"/>
  <c r="AF11" i="59"/>
  <c r="AF10" i="59"/>
  <c r="AF9" i="59"/>
  <c r="AF8" i="59"/>
  <c r="AF7" i="59"/>
  <c r="AF6" i="59"/>
  <c r="AF5" i="59"/>
  <c r="AF4" i="59"/>
  <c r="AE33" i="59"/>
  <c r="AE32" i="59"/>
  <c r="AE31" i="59"/>
  <c r="AE30" i="59"/>
  <c r="AE29" i="59"/>
  <c r="AE28" i="59"/>
  <c r="AE27" i="59"/>
  <c r="AE26" i="59"/>
  <c r="AE25" i="59"/>
  <c r="AE24" i="59"/>
  <c r="AE23" i="59"/>
  <c r="AE22" i="59"/>
  <c r="AE21" i="59"/>
  <c r="AE20" i="59"/>
  <c r="AE19" i="59"/>
  <c r="AE18" i="59"/>
  <c r="AE17" i="59"/>
  <c r="AE16" i="59"/>
  <c r="AE15" i="59"/>
  <c r="AE14" i="59"/>
  <c r="AE13" i="59"/>
  <c r="AE12" i="59"/>
  <c r="AE11" i="59"/>
  <c r="AE10" i="59"/>
  <c r="AE9" i="59"/>
  <c r="AE8" i="59"/>
  <c r="AE7" i="59"/>
  <c r="AE6" i="59"/>
  <c r="AE5" i="59"/>
  <c r="AE4" i="59"/>
  <c r="AD33" i="59"/>
  <c r="AD32" i="59"/>
  <c r="AD31" i="59"/>
  <c r="AD30" i="59"/>
  <c r="AD29" i="59"/>
  <c r="AD28" i="59"/>
  <c r="AD27" i="59"/>
  <c r="AD26" i="59"/>
  <c r="AD25" i="59"/>
  <c r="AD24" i="59"/>
  <c r="AD23" i="59"/>
  <c r="AD22" i="59"/>
  <c r="AD21" i="59"/>
  <c r="AD20" i="59"/>
  <c r="AD19" i="59"/>
  <c r="AD18" i="59"/>
  <c r="AD17" i="59"/>
  <c r="AD16" i="59"/>
  <c r="AD15" i="59"/>
  <c r="AD14" i="59"/>
  <c r="AD13" i="59"/>
  <c r="AD12" i="59"/>
  <c r="AD11" i="59"/>
  <c r="AD10" i="59"/>
  <c r="AD9" i="59"/>
  <c r="AD8" i="59"/>
  <c r="AD7" i="59"/>
  <c r="AD6" i="59"/>
  <c r="AD5" i="59"/>
  <c r="AD4" i="59"/>
  <c r="AB33" i="59"/>
  <c r="AB32" i="59"/>
  <c r="AB31" i="59"/>
  <c r="AB30" i="59"/>
  <c r="AB29" i="59"/>
  <c r="AB28" i="59"/>
  <c r="AB27" i="59"/>
  <c r="AA33" i="59"/>
  <c r="AA32" i="59"/>
  <c r="AA31" i="59"/>
  <c r="AA30" i="59"/>
  <c r="AA29" i="59"/>
  <c r="AA28" i="59"/>
  <c r="AA27" i="59"/>
  <c r="AA26" i="59"/>
  <c r="AA25" i="59"/>
  <c r="AA24" i="59"/>
  <c r="AA23" i="59"/>
  <c r="AA22" i="59"/>
  <c r="AA21" i="59"/>
  <c r="AA20" i="59"/>
  <c r="AA19" i="59"/>
  <c r="AA18" i="59"/>
  <c r="AA17" i="59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Z33" i="59"/>
  <c r="Z32" i="59"/>
  <c r="Z31" i="59"/>
  <c r="Z30" i="59"/>
  <c r="Z29" i="59"/>
  <c r="Z28" i="59"/>
  <c r="Z27" i="59"/>
  <c r="Z26" i="59"/>
  <c r="Z25" i="59"/>
  <c r="Z24" i="59"/>
  <c r="Z23" i="59"/>
  <c r="Z22" i="59"/>
  <c r="Z21" i="59"/>
  <c r="Z20" i="59"/>
  <c r="Z19" i="59"/>
  <c r="Z18" i="59"/>
  <c r="Z17" i="59"/>
  <c r="Z16" i="59"/>
  <c r="Z15" i="59"/>
  <c r="Z14" i="59"/>
  <c r="Z13" i="59"/>
  <c r="Z12" i="59"/>
  <c r="Z11" i="59"/>
  <c r="Z10" i="59"/>
  <c r="Z9" i="59"/>
  <c r="Z8" i="59"/>
  <c r="Z7" i="59"/>
  <c r="Z6" i="59"/>
  <c r="Z5" i="59"/>
  <c r="Z4" i="59"/>
  <c r="X10" i="58" l="1"/>
  <c r="BL33" i="59"/>
  <c r="BJ33" i="59"/>
  <c r="BH33" i="59"/>
  <c r="BF33" i="59"/>
  <c r="BL32" i="59"/>
  <c r="BJ32" i="59"/>
  <c r="BH32" i="59"/>
  <c r="BF32" i="59"/>
  <c r="BJ30" i="59"/>
  <c r="BL29" i="59"/>
  <c r="BJ29" i="59"/>
  <c r="BH29" i="59"/>
  <c r="BJ27" i="59"/>
  <c r="BL23" i="59"/>
  <c r="BJ23" i="59"/>
  <c r="BL21" i="59"/>
  <c r="BJ21" i="59"/>
  <c r="BL16" i="59"/>
  <c r="BJ16" i="59"/>
  <c r="BL12" i="59"/>
  <c r="BJ12" i="59"/>
  <c r="BL11" i="59"/>
  <c r="BJ11" i="59"/>
  <c r="BL7" i="59"/>
  <c r="BJ7" i="59"/>
  <c r="BM5" i="59"/>
  <c r="BL5" i="59"/>
  <c r="BK5" i="59"/>
  <c r="BJ5" i="59"/>
  <c r="BM4" i="59"/>
  <c r="BL4" i="59"/>
  <c r="BK4" i="59"/>
  <c r="BJ4" i="59"/>
  <c r="CJ37" i="59" l="1"/>
  <c r="CD37" i="59"/>
  <c r="BR37" i="59"/>
  <c r="BN37" i="59"/>
  <c r="CJ38" i="59"/>
  <c r="CH38" i="59"/>
  <c r="CF38" i="59"/>
  <c r="CD38" i="59"/>
  <c r="CB38" i="59"/>
  <c r="BZ38" i="59"/>
  <c r="BX38" i="59"/>
  <c r="BV38" i="59"/>
  <c r="BT38" i="59"/>
  <c r="BR38" i="59"/>
  <c r="BP38" i="59"/>
  <c r="BN38" i="59"/>
  <c r="BL38" i="59"/>
  <c r="BJ38" i="59"/>
  <c r="BH38" i="59"/>
  <c r="BF38" i="59"/>
  <c r="BD38" i="59"/>
  <c r="BB38" i="59"/>
  <c r="AZ38" i="59"/>
  <c r="AX38" i="59"/>
  <c r="AV38" i="59"/>
  <c r="AT38" i="59"/>
  <c r="AR38" i="59"/>
  <c r="AP38" i="59"/>
  <c r="AN38" i="59"/>
  <c r="AL38" i="59"/>
  <c r="AJ38" i="59"/>
  <c r="AH38" i="59"/>
  <c r="AF38" i="59"/>
  <c r="AD38" i="59"/>
  <c r="AB38" i="59"/>
  <c r="Z38" i="59"/>
  <c r="X38" i="59"/>
  <c r="V38" i="59"/>
  <c r="T38" i="59"/>
  <c r="R38" i="59"/>
  <c r="P38" i="59"/>
  <c r="N38" i="59"/>
  <c r="L38" i="59"/>
  <c r="J38" i="59"/>
  <c r="H38" i="59"/>
  <c r="F38" i="59"/>
  <c r="D38" i="59"/>
  <c r="B38" i="59"/>
  <c r="CJ47" i="59"/>
  <c r="CH47" i="59"/>
  <c r="CF47" i="59"/>
  <c r="CD47" i="59"/>
  <c r="CB47" i="59"/>
  <c r="BZ47" i="59"/>
  <c r="BX47" i="59"/>
  <c r="BV47" i="59"/>
  <c r="BT47" i="59"/>
  <c r="BR47" i="59"/>
  <c r="BP47" i="59"/>
  <c r="BN47" i="59"/>
  <c r="BL47" i="59"/>
  <c r="BJ47" i="59"/>
  <c r="BH47" i="59"/>
  <c r="BF47" i="59"/>
  <c r="BD47" i="59"/>
  <c r="BB47" i="59"/>
  <c r="AZ47" i="59"/>
  <c r="AX47" i="59"/>
  <c r="AV47" i="59"/>
  <c r="AT47" i="59"/>
  <c r="AR47" i="59"/>
  <c r="AP47" i="59"/>
  <c r="AN47" i="59"/>
  <c r="AL47" i="59"/>
  <c r="AJ47" i="59"/>
  <c r="AH47" i="59"/>
  <c r="AF47" i="59"/>
  <c r="AD47" i="59"/>
  <c r="AB47" i="59"/>
  <c r="Z47" i="59"/>
  <c r="X47" i="59"/>
  <c r="V47" i="59"/>
  <c r="T47" i="59"/>
  <c r="R47" i="59"/>
  <c r="P47" i="59"/>
  <c r="N47" i="59"/>
  <c r="L47" i="59"/>
  <c r="J47" i="59"/>
  <c r="H47" i="59"/>
  <c r="F47" i="59"/>
  <c r="D47" i="59"/>
  <c r="B47" i="59"/>
  <c r="CJ46" i="59"/>
  <c r="CH46" i="59"/>
  <c r="CF46" i="59"/>
  <c r="CD46" i="59"/>
  <c r="CB46" i="59"/>
  <c r="BZ46" i="59"/>
  <c r="BX46" i="59"/>
  <c r="BV46" i="59"/>
  <c r="BT46" i="59"/>
  <c r="BR46" i="59"/>
  <c r="BP46" i="59"/>
  <c r="BN46" i="59"/>
  <c r="BL46" i="59"/>
  <c r="BJ46" i="59"/>
  <c r="BH46" i="59"/>
  <c r="BF46" i="59"/>
  <c r="BD46" i="59"/>
  <c r="BB46" i="59"/>
  <c r="AZ46" i="59"/>
  <c r="AX46" i="59"/>
  <c r="AV46" i="59"/>
  <c r="AT46" i="59"/>
  <c r="AR46" i="59"/>
  <c r="AP46" i="59"/>
  <c r="AN46" i="59"/>
  <c r="AL46" i="59"/>
  <c r="AJ46" i="59"/>
  <c r="AH46" i="59"/>
  <c r="AF46" i="59"/>
  <c r="AD46" i="59"/>
  <c r="AB46" i="59"/>
  <c r="Z46" i="59"/>
  <c r="X46" i="59"/>
  <c r="V46" i="59"/>
  <c r="T46" i="59"/>
  <c r="R46" i="59"/>
  <c r="P46" i="59"/>
  <c r="N46" i="59"/>
  <c r="L46" i="59"/>
  <c r="J46" i="59"/>
  <c r="H46" i="59"/>
  <c r="F46" i="59"/>
  <c r="D46" i="59"/>
  <c r="B46" i="59"/>
  <c r="CJ45" i="59"/>
  <c r="CH45" i="59"/>
  <c r="CF45" i="59"/>
  <c r="CD45" i="59"/>
  <c r="CB45" i="59"/>
  <c r="BZ45" i="59"/>
  <c r="BX45" i="59"/>
  <c r="BV45" i="59"/>
  <c r="BT45" i="59"/>
  <c r="BR45" i="59"/>
  <c r="BP45" i="59"/>
  <c r="BN45" i="59"/>
  <c r="BL45" i="59"/>
  <c r="BJ45" i="59"/>
  <c r="BH45" i="59"/>
  <c r="BF45" i="59"/>
  <c r="BD45" i="59"/>
  <c r="BB45" i="59"/>
  <c r="AZ45" i="59"/>
  <c r="AX45" i="59"/>
  <c r="AV45" i="59"/>
  <c r="AT45" i="59"/>
  <c r="AR45" i="59"/>
  <c r="AP45" i="59"/>
  <c r="AN45" i="59"/>
  <c r="AL45" i="59"/>
  <c r="AJ45" i="59"/>
  <c r="AH45" i="59"/>
  <c r="AF45" i="59"/>
  <c r="AD45" i="59"/>
  <c r="AB45" i="59"/>
  <c r="Z45" i="59"/>
  <c r="X45" i="59"/>
  <c r="V45" i="59"/>
  <c r="T45" i="59"/>
  <c r="R45" i="59"/>
  <c r="P45" i="59"/>
  <c r="N45" i="59"/>
  <c r="L45" i="59"/>
  <c r="J45" i="59"/>
  <c r="H45" i="59"/>
  <c r="F45" i="59"/>
  <c r="D45" i="59"/>
  <c r="B45" i="59"/>
  <c r="CJ44" i="59"/>
  <c r="CH44" i="59"/>
  <c r="CF44" i="59"/>
  <c r="CD44" i="59"/>
  <c r="CB44" i="59"/>
  <c r="BZ44" i="59"/>
  <c r="BX44" i="59"/>
  <c r="BV44" i="59"/>
  <c r="BT44" i="59"/>
  <c r="BR44" i="59"/>
  <c r="BP44" i="59"/>
  <c r="BN44" i="59"/>
  <c r="BL44" i="59"/>
  <c r="BJ44" i="59"/>
  <c r="BH44" i="59"/>
  <c r="BF44" i="59"/>
  <c r="BD44" i="59"/>
  <c r="BB44" i="59"/>
  <c r="AZ44" i="59"/>
  <c r="AX44" i="59"/>
  <c r="AV44" i="59"/>
  <c r="AT44" i="59"/>
  <c r="AR44" i="59"/>
  <c r="AP44" i="59"/>
  <c r="AN44" i="59"/>
  <c r="AL44" i="59"/>
  <c r="AJ44" i="59"/>
  <c r="AH44" i="59"/>
  <c r="AF44" i="59"/>
  <c r="AD44" i="59"/>
  <c r="AB44" i="59"/>
  <c r="Z44" i="59"/>
  <c r="X44" i="59"/>
  <c r="V44" i="59"/>
  <c r="T44" i="59"/>
  <c r="R44" i="59"/>
  <c r="P44" i="59"/>
  <c r="N44" i="59"/>
  <c r="L44" i="59"/>
  <c r="J44" i="59"/>
  <c r="H44" i="59"/>
  <c r="F44" i="59"/>
  <c r="D44" i="59"/>
  <c r="B44" i="59"/>
  <c r="CJ43" i="59"/>
  <c r="CH43" i="59"/>
  <c r="CF43" i="59"/>
  <c r="CD43" i="59"/>
  <c r="CB43" i="59"/>
  <c r="BZ43" i="59"/>
  <c r="BX43" i="59"/>
  <c r="BV43" i="59"/>
  <c r="BT43" i="59"/>
  <c r="BR43" i="59"/>
  <c r="BP43" i="59"/>
  <c r="BN43" i="59"/>
  <c r="BL43" i="59"/>
  <c r="BJ43" i="59"/>
  <c r="BH43" i="59"/>
  <c r="BF43" i="59"/>
  <c r="BD43" i="59"/>
  <c r="BB43" i="59"/>
  <c r="AZ43" i="59"/>
  <c r="AX43" i="59"/>
  <c r="AV43" i="59"/>
  <c r="AT43" i="59"/>
  <c r="AR43" i="59"/>
  <c r="AP43" i="59"/>
  <c r="AN43" i="59"/>
  <c r="AL43" i="59"/>
  <c r="AJ43" i="59"/>
  <c r="AH43" i="59"/>
  <c r="AF43" i="59"/>
  <c r="AD43" i="59"/>
  <c r="AB43" i="59"/>
  <c r="Z43" i="59"/>
  <c r="X43" i="59"/>
  <c r="V43" i="59"/>
  <c r="T43" i="59"/>
  <c r="R43" i="59"/>
  <c r="P43" i="59"/>
  <c r="N43" i="59"/>
  <c r="L43" i="59"/>
  <c r="J43" i="59"/>
  <c r="H43" i="59"/>
  <c r="F43" i="59"/>
  <c r="D43" i="59"/>
  <c r="B43" i="59"/>
  <c r="CH42" i="59"/>
  <c r="CF42" i="59"/>
  <c r="CD42" i="59"/>
  <c r="CB42" i="59"/>
  <c r="BZ42" i="59"/>
  <c r="BX42" i="59"/>
  <c r="BV42" i="59"/>
  <c r="BT42" i="59"/>
  <c r="BR42" i="59"/>
  <c r="BP42" i="59"/>
  <c r="BN42" i="59"/>
  <c r="BL42" i="59"/>
  <c r="BJ42" i="59"/>
  <c r="BH42" i="59"/>
  <c r="BF42" i="59"/>
  <c r="BD42" i="59"/>
  <c r="BB42" i="59"/>
  <c r="AZ42" i="59"/>
  <c r="AX42" i="59"/>
  <c r="AV42" i="59"/>
  <c r="AT42" i="59"/>
  <c r="AR42" i="59"/>
  <c r="AP42" i="59"/>
  <c r="AN42" i="59"/>
  <c r="AL42" i="59"/>
  <c r="AJ42" i="59"/>
  <c r="AH42" i="59"/>
  <c r="AF42" i="59"/>
  <c r="AD42" i="59"/>
  <c r="AB42" i="59"/>
  <c r="Z42" i="59"/>
  <c r="X42" i="59"/>
  <c r="V42" i="59"/>
  <c r="T42" i="59"/>
  <c r="R42" i="59"/>
  <c r="P42" i="59"/>
  <c r="N42" i="59"/>
  <c r="L42" i="59"/>
  <c r="J42" i="59"/>
  <c r="H42" i="59"/>
  <c r="F42" i="59"/>
  <c r="D42" i="59"/>
  <c r="B42" i="59"/>
  <c r="CJ41" i="59"/>
  <c r="CH41" i="59"/>
  <c r="CF41" i="59"/>
  <c r="CD41" i="59"/>
  <c r="CB41" i="59"/>
  <c r="BZ41" i="59"/>
  <c r="BX41" i="59"/>
  <c r="BV41" i="59"/>
  <c r="BT41" i="59"/>
  <c r="BR41" i="59"/>
  <c r="BP41" i="59"/>
  <c r="BN41" i="59"/>
  <c r="BL41" i="59"/>
  <c r="BJ41" i="59"/>
  <c r="BH41" i="59"/>
  <c r="BF41" i="59"/>
  <c r="BD41" i="59"/>
  <c r="BB41" i="59"/>
  <c r="AZ41" i="59"/>
  <c r="AX41" i="59"/>
  <c r="AV41" i="59"/>
  <c r="AT41" i="59"/>
  <c r="AR41" i="59"/>
  <c r="AP41" i="59"/>
  <c r="AN41" i="59"/>
  <c r="AL41" i="59"/>
  <c r="AJ41" i="59"/>
  <c r="AH41" i="59"/>
  <c r="AF41" i="59"/>
  <c r="AD41" i="59"/>
  <c r="AB41" i="59"/>
  <c r="Z41" i="59"/>
  <c r="X41" i="59"/>
  <c r="V41" i="59"/>
  <c r="T41" i="59"/>
  <c r="R41" i="59"/>
  <c r="P41" i="59"/>
  <c r="N41" i="59"/>
  <c r="L41" i="59"/>
  <c r="J41" i="59"/>
  <c r="H41" i="59"/>
  <c r="F41" i="59"/>
  <c r="D41" i="59"/>
  <c r="B41" i="59"/>
  <c r="CJ40" i="59"/>
  <c r="CH40" i="59"/>
  <c r="CF40" i="59"/>
  <c r="CD40" i="59"/>
  <c r="CB40" i="59"/>
  <c r="BZ40" i="59"/>
  <c r="BX40" i="59"/>
  <c r="BV40" i="59"/>
  <c r="BT40" i="59"/>
  <c r="BR40" i="59"/>
  <c r="BP40" i="59"/>
  <c r="BN40" i="59"/>
  <c r="BL40" i="59"/>
  <c r="BJ40" i="59"/>
  <c r="BH40" i="59"/>
  <c r="BF40" i="59"/>
  <c r="BD40" i="59"/>
  <c r="BB40" i="59"/>
  <c r="AZ40" i="59"/>
  <c r="AX40" i="59"/>
  <c r="AV40" i="59"/>
  <c r="AT40" i="59"/>
  <c r="AR40" i="59"/>
  <c r="AP40" i="59"/>
  <c r="AN40" i="59"/>
  <c r="AL40" i="59"/>
  <c r="AJ40" i="59"/>
  <c r="AH40" i="59"/>
  <c r="AF40" i="59"/>
  <c r="AD40" i="59"/>
  <c r="AB40" i="59"/>
  <c r="Z40" i="59"/>
  <c r="X40" i="59"/>
  <c r="V40" i="59"/>
  <c r="T40" i="59"/>
  <c r="R40" i="59"/>
  <c r="P40" i="59"/>
  <c r="N40" i="59"/>
  <c r="L40" i="59"/>
  <c r="J40" i="59"/>
  <c r="H40" i="59"/>
  <c r="F40" i="59"/>
  <c r="D40" i="59"/>
  <c r="B40" i="59"/>
  <c r="CJ39" i="59"/>
  <c r="CH39" i="59"/>
  <c r="CF39" i="59"/>
  <c r="CD39" i="59"/>
  <c r="CB39" i="59"/>
  <c r="BZ39" i="59"/>
  <c r="BX39" i="59"/>
  <c r="BV39" i="59"/>
  <c r="BT39" i="59"/>
  <c r="BR39" i="59"/>
  <c r="BP39" i="59"/>
  <c r="BN39" i="59"/>
  <c r="BL39" i="59"/>
  <c r="BJ39" i="59"/>
  <c r="BH39" i="59"/>
  <c r="BF39" i="59"/>
  <c r="BD39" i="59"/>
  <c r="BB39" i="59"/>
  <c r="AZ39" i="59"/>
  <c r="AX39" i="59"/>
  <c r="AV39" i="59"/>
  <c r="AT39" i="59"/>
  <c r="AR39" i="59"/>
  <c r="AP39" i="59"/>
  <c r="AN39" i="59"/>
  <c r="AL39" i="59"/>
  <c r="AJ39" i="59"/>
  <c r="AH39" i="59"/>
  <c r="AF39" i="59"/>
  <c r="AD39" i="59"/>
  <c r="AB39" i="59"/>
  <c r="Z39" i="59"/>
  <c r="X39" i="59"/>
  <c r="V39" i="59"/>
  <c r="T39" i="59"/>
  <c r="R39" i="59"/>
  <c r="P39" i="59"/>
  <c r="N39" i="59"/>
  <c r="L39" i="59"/>
  <c r="J39" i="59"/>
  <c r="H39" i="59"/>
  <c r="F39" i="59"/>
  <c r="D39" i="59"/>
  <c r="B39" i="59"/>
  <c r="T33" i="59" l="1"/>
  <c r="R33" i="59"/>
  <c r="P33" i="59"/>
  <c r="N33" i="59"/>
  <c r="L33" i="59"/>
  <c r="T32" i="59"/>
  <c r="R32" i="59"/>
  <c r="P32" i="59"/>
  <c r="N32" i="59"/>
  <c r="L32" i="59"/>
  <c r="T31" i="59"/>
  <c r="R31" i="59"/>
  <c r="P31" i="59"/>
  <c r="N31" i="59"/>
  <c r="L31" i="59"/>
  <c r="T30" i="59"/>
  <c r="R30" i="59"/>
  <c r="P30" i="59"/>
  <c r="N30" i="59"/>
  <c r="L30" i="59"/>
  <c r="T29" i="59"/>
  <c r="R29" i="59"/>
  <c r="P29" i="59"/>
  <c r="N29" i="59"/>
  <c r="L29" i="59"/>
  <c r="T28" i="59"/>
  <c r="R28" i="59"/>
  <c r="P28" i="59"/>
  <c r="N28" i="59"/>
  <c r="L28" i="59"/>
  <c r="T27" i="59"/>
  <c r="R27" i="59"/>
  <c r="P27" i="59"/>
  <c r="N27" i="59"/>
  <c r="L27" i="59"/>
  <c r="T26" i="59"/>
  <c r="R26" i="59"/>
  <c r="P26" i="59"/>
  <c r="N26" i="59"/>
  <c r="L26" i="59"/>
  <c r="T25" i="59"/>
  <c r="R25" i="59"/>
  <c r="P25" i="59"/>
  <c r="N25" i="59"/>
  <c r="L25" i="59"/>
  <c r="T24" i="59"/>
  <c r="R24" i="59"/>
  <c r="P24" i="59"/>
  <c r="N24" i="59"/>
  <c r="L24" i="59"/>
  <c r="T22" i="59"/>
  <c r="R22" i="59"/>
  <c r="P22" i="59"/>
  <c r="T21" i="59"/>
  <c r="R21" i="59"/>
  <c r="P21" i="59"/>
  <c r="T20" i="59"/>
  <c r="R20" i="59"/>
  <c r="P20" i="59"/>
  <c r="T19" i="59"/>
  <c r="R19" i="59"/>
  <c r="P19" i="59"/>
  <c r="T18" i="59"/>
  <c r="R18" i="59"/>
  <c r="P18" i="59"/>
  <c r="T17" i="59"/>
  <c r="R17" i="59"/>
  <c r="P17" i="59"/>
  <c r="T16" i="59"/>
  <c r="R16" i="59"/>
  <c r="P16" i="59"/>
  <c r="T15" i="59"/>
  <c r="R15" i="59"/>
  <c r="P15" i="59"/>
  <c r="T14" i="59"/>
  <c r="R14" i="59"/>
  <c r="P14" i="59"/>
  <c r="T13" i="59"/>
  <c r="R13" i="59"/>
  <c r="P13" i="59"/>
  <c r="U10" i="59"/>
  <c r="T10" i="59"/>
  <c r="S10" i="59"/>
  <c r="Q10" i="59"/>
  <c r="P10" i="59"/>
  <c r="U9" i="59"/>
  <c r="T9" i="59"/>
  <c r="S9" i="59"/>
  <c r="Q9" i="59"/>
  <c r="P9" i="59"/>
  <c r="U8" i="59"/>
  <c r="T8" i="59"/>
  <c r="S8" i="59"/>
  <c r="Q8" i="59"/>
  <c r="P8" i="59"/>
  <c r="U7" i="59"/>
  <c r="T7" i="59"/>
  <c r="S7" i="59"/>
  <c r="Q7" i="59"/>
  <c r="P7" i="59"/>
  <c r="U6" i="59"/>
  <c r="T6" i="59"/>
  <c r="S6" i="59"/>
  <c r="Q6" i="59"/>
  <c r="P6" i="59"/>
  <c r="U5" i="59"/>
  <c r="T5" i="59"/>
  <c r="S5" i="59"/>
  <c r="R5" i="59"/>
  <c r="Q5" i="59"/>
  <c r="P5" i="59"/>
  <c r="U4" i="59"/>
  <c r="T4" i="59"/>
  <c r="S4" i="59"/>
  <c r="R4" i="59"/>
  <c r="Q4" i="59"/>
  <c r="P4" i="59"/>
  <c r="AF10" i="48" l="1"/>
  <c r="AF9" i="48"/>
  <c r="B6" i="54"/>
  <c r="AR13" i="58"/>
  <c r="BA13" i="58" s="1"/>
  <c r="AM13" i="58"/>
  <c r="AR12" i="58"/>
  <c r="BA12" i="58" s="1"/>
  <c r="AM12" i="58"/>
  <c r="AR11" i="58"/>
  <c r="BA11" i="58" s="1"/>
  <c r="AM11" i="58"/>
  <c r="P11" i="58"/>
  <c r="AR10" i="58"/>
  <c r="BA10" i="58" s="1"/>
  <c r="AM10" i="58"/>
  <c r="U10" i="58"/>
  <c r="AR8" i="58"/>
  <c r="BA8" i="58" s="1"/>
  <c r="AM8" i="58"/>
  <c r="AR7" i="58"/>
  <c r="BA7" i="58" s="1"/>
  <c r="AM7" i="58"/>
  <c r="AR6" i="58"/>
  <c r="BA6" i="58" s="1"/>
  <c r="AM6" i="58"/>
  <c r="W11" i="46"/>
  <c r="W10" i="46"/>
  <c r="AR13" i="46"/>
  <c r="BA13" i="46" s="1"/>
  <c r="AM13" i="46"/>
  <c r="AR12" i="46"/>
  <c r="BA12" i="46" s="1"/>
  <c r="AM12" i="46"/>
  <c r="AR11" i="46"/>
  <c r="BA11" i="46" s="1"/>
  <c r="AM11" i="46"/>
  <c r="N11" i="46"/>
  <c r="K11" i="46" s="1"/>
  <c r="J11" i="46"/>
  <c r="AR10" i="46"/>
  <c r="BA10" i="46" s="1"/>
  <c r="AM10" i="46"/>
  <c r="P10" i="46"/>
  <c r="N10" i="46"/>
  <c r="J10" i="46"/>
  <c r="I38" i="32"/>
  <c r="N37" i="32" s="1"/>
  <c r="I6" i="47" s="1"/>
  <c r="G42" i="32"/>
  <c r="I37" i="32" s="1"/>
  <c r="F42" i="32"/>
  <c r="P17" i="32"/>
  <c r="Q17" i="32" s="1"/>
  <c r="P16" i="32"/>
  <c r="Q16" i="32" s="1"/>
  <c r="O17" i="32"/>
  <c r="O16" i="32"/>
  <c r="O8" i="32"/>
  <c r="N6" i="32"/>
  <c r="I38" i="33"/>
  <c r="I4" i="47" s="1"/>
  <c r="G38" i="33"/>
  <c r="R16" i="32" l="1"/>
  <c r="R17" i="32"/>
  <c r="L5" i="47"/>
  <c r="Q18" i="32"/>
  <c r="V10" i="46"/>
  <c r="V11" i="58"/>
  <c r="U10" i="46"/>
  <c r="T10" i="46"/>
  <c r="AD6" i="58"/>
  <c r="AD7" i="58"/>
  <c r="T10" i="58"/>
  <c r="P18" i="32"/>
  <c r="V10" i="58"/>
  <c r="T11" i="58"/>
  <c r="AD13" i="58"/>
  <c r="C10" i="46"/>
  <c r="AD13" i="46"/>
  <c r="AD8" i="58"/>
  <c r="K10" i="46"/>
  <c r="AD10" i="58"/>
  <c r="AD11" i="58"/>
  <c r="AD12" i="58"/>
  <c r="U11" i="58"/>
  <c r="P10" i="58"/>
  <c r="AD10" i="46"/>
  <c r="AD12" i="46"/>
  <c r="AD11" i="46"/>
  <c r="P11" i="46"/>
  <c r="T11" i="46"/>
  <c r="AC11" i="46" s="1"/>
  <c r="U11" i="46"/>
  <c r="C11" i="46"/>
  <c r="V11" i="46"/>
  <c r="O8" i="33"/>
  <c r="N6" i="33"/>
  <c r="R18" i="32" l="1"/>
  <c r="Q19" i="32"/>
  <c r="AC11" i="58"/>
  <c r="AC10" i="46"/>
  <c r="L10" i="48"/>
  <c r="AC10" i="58"/>
  <c r="AH10" i="48"/>
  <c r="R19" i="32"/>
  <c r="N10" i="48"/>
  <c r="X10" i="46"/>
  <c r="BB153" i="58"/>
  <c r="BC153" i="58"/>
  <c r="BD153" i="58"/>
  <c r="BE153" i="58"/>
  <c r="BF153" i="58"/>
  <c r="BF153" i="46"/>
  <c r="BE153" i="46"/>
  <c r="BD153" i="46"/>
  <c r="BC153" i="46"/>
  <c r="BB153" i="46"/>
  <c r="AL37" i="59" l="1"/>
  <c r="A4" i="59" l="1"/>
  <c r="A6" i="46" l="1"/>
  <c r="B1" i="47"/>
  <c r="A8" i="45"/>
  <c r="CB37" i="59" l="1"/>
  <c r="BX37" i="59"/>
  <c r="BT37" i="59"/>
  <c r="AX37" i="59"/>
  <c r="AV37" i="59"/>
  <c r="AT37" i="59"/>
  <c r="AR37" i="59"/>
  <c r="AN37" i="59"/>
  <c r="AH37" i="59"/>
  <c r="AF37" i="59"/>
  <c r="AD37" i="59"/>
  <c r="Z37" i="59"/>
  <c r="P20" i="48" l="1"/>
  <c r="F32" i="27" l="1"/>
  <c r="E32" i="27"/>
  <c r="D32" i="27"/>
  <c r="C32" i="27"/>
  <c r="F23" i="27"/>
  <c r="E23" i="27"/>
  <c r="E34" i="27" s="1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J9" i="32"/>
  <c r="C33" i="27" l="1"/>
  <c r="E34" i="30"/>
  <c r="D33" i="29"/>
  <c r="C33" i="30"/>
  <c r="D34" i="30"/>
  <c r="D33" i="30"/>
  <c r="F34" i="30"/>
  <c r="E33" i="29"/>
  <c r="C34" i="27"/>
  <c r="E33" i="30"/>
  <c r="D34" i="27"/>
  <c r="D33" i="27"/>
  <c r="C33" i="29"/>
  <c r="E33" i="27"/>
  <c r="E33" i="31"/>
  <c r="D33" i="31"/>
  <c r="C34" i="30"/>
  <c r="D34" i="29"/>
  <c r="E34" i="29"/>
  <c r="F34" i="27"/>
  <c r="F34" i="29"/>
  <c r="C33" i="31"/>
  <c r="C34" i="29"/>
  <c r="C35" i="27" l="1"/>
  <c r="D35" i="27"/>
  <c r="E35" i="27"/>
  <c r="I37" i="29"/>
  <c r="F42" i="30" l="1"/>
  <c r="G42" i="30" l="1"/>
  <c r="I37" i="30" s="1"/>
  <c r="BC39" i="2" l="1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BC11" i="2" l="1"/>
  <c r="AA122" i="46" l="1"/>
  <c r="AB122" i="46" s="1"/>
  <c r="AA122" i="58"/>
  <c r="AB122" i="58" s="1"/>
  <c r="BC10" i="2"/>
  <c r="AE10" i="2" l="1"/>
  <c r="T39" i="48" l="1"/>
  <c r="T38" i="48"/>
  <c r="A5" i="59" l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43"/>
  <c r="E32" i="43"/>
  <c r="D32" i="43"/>
  <c r="C32" i="43"/>
  <c r="F23" i="43"/>
  <c r="E23" i="43"/>
  <c r="D23" i="43"/>
  <c r="C23" i="43"/>
  <c r="F14" i="43"/>
  <c r="E14" i="43"/>
  <c r="D14" i="43"/>
  <c r="C14" i="43"/>
  <c r="C34" i="43" s="1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E34" i="7" s="1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32" i="10"/>
  <c r="E32" i="10"/>
  <c r="D32" i="10"/>
  <c r="C32" i="10"/>
  <c r="F23" i="10"/>
  <c r="E23" i="10"/>
  <c r="D23" i="10"/>
  <c r="C23" i="10"/>
  <c r="F14" i="10"/>
  <c r="E14" i="10"/>
  <c r="D14" i="10"/>
  <c r="C14" i="10"/>
  <c r="F32" i="11"/>
  <c r="E32" i="11"/>
  <c r="D32" i="11"/>
  <c r="C32" i="11"/>
  <c r="F23" i="11"/>
  <c r="E23" i="11"/>
  <c r="D23" i="11"/>
  <c r="C23" i="11"/>
  <c r="F14" i="11"/>
  <c r="E14" i="11"/>
  <c r="E34" i="11" s="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D34" i="15" s="1"/>
  <c r="Z96" i="58" s="1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F23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D34" i="22" s="1"/>
  <c r="C14" i="22"/>
  <c r="F32" i="21"/>
  <c r="E32" i="21"/>
  <c r="D32" i="21"/>
  <c r="C32" i="21"/>
  <c r="F23" i="21"/>
  <c r="E23" i="21"/>
  <c r="D23" i="21"/>
  <c r="C23" i="21"/>
  <c r="F14" i="21"/>
  <c r="E14" i="21"/>
  <c r="D14" i="21"/>
  <c r="C14" i="21"/>
  <c r="F32" i="23"/>
  <c r="E32" i="23"/>
  <c r="D32" i="23"/>
  <c r="C32" i="23"/>
  <c r="F23" i="23"/>
  <c r="E23" i="23"/>
  <c r="D23" i="23"/>
  <c r="C23" i="23"/>
  <c r="F14" i="23"/>
  <c r="E14" i="23"/>
  <c r="D14" i="23"/>
  <c r="D34" i="23" s="1"/>
  <c r="Z55" i="58" s="1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D34" i="28" s="1"/>
  <c r="C14" i="28"/>
  <c r="F34" i="31"/>
  <c r="J9" i="31"/>
  <c r="J9" i="29" s="1"/>
  <c r="J9" i="27" s="1"/>
  <c r="J9" i="28" s="1"/>
  <c r="J9" i="26" s="1"/>
  <c r="F32" i="32"/>
  <c r="E32" i="32"/>
  <c r="D32" i="32"/>
  <c r="F23" i="32"/>
  <c r="E23" i="32"/>
  <c r="D23" i="32"/>
  <c r="F14" i="32"/>
  <c r="E14" i="32"/>
  <c r="D14" i="32"/>
  <c r="F14" i="33"/>
  <c r="F23" i="33"/>
  <c r="P39" i="48"/>
  <c r="P38" i="48"/>
  <c r="P37" i="48"/>
  <c r="P36" i="48"/>
  <c r="P35" i="48"/>
  <c r="P34" i="48"/>
  <c r="P33" i="48"/>
  <c r="P32" i="48"/>
  <c r="P31" i="48"/>
  <c r="P30" i="48"/>
  <c r="P29" i="48"/>
  <c r="P28" i="48"/>
  <c r="P27" i="48"/>
  <c r="P26" i="48"/>
  <c r="P25" i="48"/>
  <c r="P24" i="48"/>
  <c r="P23" i="48"/>
  <c r="P22" i="48"/>
  <c r="P21" i="48"/>
  <c r="P19" i="48"/>
  <c r="P18" i="48"/>
  <c r="P17" i="48"/>
  <c r="P16" i="48"/>
  <c r="P15" i="48"/>
  <c r="P14" i="48"/>
  <c r="P13" i="48"/>
  <c r="P12" i="48"/>
  <c r="P11" i="48"/>
  <c r="P10" i="48"/>
  <c r="P9" i="48"/>
  <c r="F34" i="9" l="1"/>
  <c r="F34" i="13"/>
  <c r="Z96" i="46"/>
  <c r="C34" i="15"/>
  <c r="K15" i="15" s="1"/>
  <c r="F34" i="15"/>
  <c r="D33" i="16"/>
  <c r="D34" i="19"/>
  <c r="C34" i="19"/>
  <c r="Z55" i="46"/>
  <c r="C34" i="22"/>
  <c r="C34" i="23"/>
  <c r="K17" i="23" s="1"/>
  <c r="C34" i="28"/>
  <c r="F34" i="28"/>
  <c r="D34" i="43"/>
  <c r="C33" i="37"/>
  <c r="E34" i="26"/>
  <c r="E34" i="24"/>
  <c r="E34" i="21"/>
  <c r="E34" i="20"/>
  <c r="E34" i="16"/>
  <c r="E34" i="14"/>
  <c r="E15" i="14" s="1"/>
  <c r="E34" i="12"/>
  <c r="C34" i="11"/>
  <c r="K15" i="11" s="1"/>
  <c r="E34" i="8"/>
  <c r="D34" i="17"/>
  <c r="F34" i="7"/>
  <c r="C34" i="25"/>
  <c r="F34" i="17"/>
  <c r="D33" i="25"/>
  <c r="E33" i="23"/>
  <c r="D33" i="22"/>
  <c r="E34" i="31"/>
  <c r="E35" i="29"/>
  <c r="E34" i="28"/>
  <c r="E34" i="25"/>
  <c r="E34" i="23"/>
  <c r="E34" i="17"/>
  <c r="D33" i="26"/>
  <c r="D33" i="20"/>
  <c r="E33" i="25"/>
  <c r="E33" i="13"/>
  <c r="C34" i="26"/>
  <c r="K13" i="26" s="1"/>
  <c r="C34" i="20"/>
  <c r="C34" i="16"/>
  <c r="C33" i="16"/>
  <c r="C34" i="14"/>
  <c r="K15" i="14" s="1"/>
  <c r="C34" i="12"/>
  <c r="K15" i="12" s="1"/>
  <c r="C34" i="10"/>
  <c r="C34" i="8"/>
  <c r="K13" i="8" s="1"/>
  <c r="D34" i="26"/>
  <c r="D34" i="24"/>
  <c r="D34" i="12"/>
  <c r="Z111" i="58" s="1"/>
  <c r="D34" i="10"/>
  <c r="D34" i="8"/>
  <c r="E33" i="26"/>
  <c r="E33" i="24"/>
  <c r="C33" i="18"/>
  <c r="E33" i="16"/>
  <c r="D33" i="6"/>
  <c r="F34" i="19"/>
  <c r="F34" i="18"/>
  <c r="F34" i="12"/>
  <c r="F34" i="11"/>
  <c r="F34" i="10"/>
  <c r="E34" i="6"/>
  <c r="D34" i="25"/>
  <c r="Z47" i="58" s="1"/>
  <c r="C33" i="28"/>
  <c r="C33" i="25"/>
  <c r="C33" i="15"/>
  <c r="C33" i="11"/>
  <c r="C33" i="9"/>
  <c r="D34" i="31"/>
  <c r="Z15" i="58" s="1"/>
  <c r="D34" i="32"/>
  <c r="Z10" i="58" s="1"/>
  <c r="E34" i="15"/>
  <c r="C33" i="12"/>
  <c r="C33" i="43"/>
  <c r="C34" i="32"/>
  <c r="D33" i="19"/>
  <c r="D34" i="18"/>
  <c r="D33" i="17"/>
  <c r="D33" i="14"/>
  <c r="C33" i="10"/>
  <c r="C33" i="8"/>
  <c r="D33" i="15"/>
  <c r="C33" i="6"/>
  <c r="F34" i="8"/>
  <c r="C34" i="37"/>
  <c r="C34" i="9"/>
  <c r="K13" i="9" s="1"/>
  <c r="D34" i="37"/>
  <c r="F34" i="24"/>
  <c r="F34" i="21"/>
  <c r="E34" i="18"/>
  <c r="E34" i="13"/>
  <c r="D34" i="11"/>
  <c r="D34" i="9"/>
  <c r="C33" i="7"/>
  <c r="F34" i="6"/>
  <c r="E34" i="37"/>
  <c r="E33" i="37"/>
  <c r="E34" i="19"/>
  <c r="F34" i="14"/>
  <c r="E34" i="10"/>
  <c r="C34" i="6"/>
  <c r="F34" i="43"/>
  <c r="F34" i="37"/>
  <c r="F34" i="16"/>
  <c r="D33" i="28"/>
  <c r="C33" i="23"/>
  <c r="C33" i="22"/>
  <c r="C33" i="19"/>
  <c r="E33" i="17"/>
  <c r="D33" i="12"/>
  <c r="D33" i="37"/>
  <c r="C33" i="20"/>
  <c r="C33" i="14"/>
  <c r="D33" i="11"/>
  <c r="D33" i="10"/>
  <c r="D33" i="8"/>
  <c r="E33" i="32"/>
  <c r="F34" i="25"/>
  <c r="F34" i="23"/>
  <c r="F34" i="22"/>
  <c r="D34" i="20"/>
  <c r="D34" i="14"/>
  <c r="E33" i="8"/>
  <c r="C34" i="7"/>
  <c r="D33" i="43"/>
  <c r="E33" i="15"/>
  <c r="D34" i="7"/>
  <c r="D33" i="7"/>
  <c r="E34" i="43"/>
  <c r="E33" i="43"/>
  <c r="C34" i="31"/>
  <c r="F34" i="26"/>
  <c r="C34" i="24"/>
  <c r="C34" i="21"/>
  <c r="C33" i="21"/>
  <c r="F34" i="20"/>
  <c r="C34" i="18"/>
  <c r="E33" i="18"/>
  <c r="D34" i="16"/>
  <c r="C34" i="13"/>
  <c r="K15" i="13" s="1"/>
  <c r="C33" i="13"/>
  <c r="D33" i="9"/>
  <c r="E33" i="7"/>
  <c r="D34" i="6"/>
  <c r="C33" i="26"/>
  <c r="D34" i="21"/>
  <c r="D33" i="21"/>
  <c r="E34" i="22"/>
  <c r="C34" i="17"/>
  <c r="C33" i="17"/>
  <c r="D34" i="13"/>
  <c r="Z105" i="58" s="1"/>
  <c r="D33" i="13"/>
  <c r="E34" i="9"/>
  <c r="E33" i="9"/>
  <c r="E34" i="32"/>
  <c r="C33" i="32"/>
  <c r="D33" i="32"/>
  <c r="E33" i="6"/>
  <c r="E33" i="10"/>
  <c r="E33" i="11"/>
  <c r="E33" i="12"/>
  <c r="E33" i="14"/>
  <c r="D33" i="18"/>
  <c r="E33" i="19"/>
  <c r="E33" i="20"/>
  <c r="E33" i="22"/>
  <c r="E33" i="21"/>
  <c r="D33" i="23"/>
  <c r="C33" i="24"/>
  <c r="D33" i="24"/>
  <c r="E33" i="28"/>
  <c r="F34" i="32"/>
  <c r="D24" i="14" l="1"/>
  <c r="Z101" i="58"/>
  <c r="Z101" i="46"/>
  <c r="W135" i="46"/>
  <c r="D35" i="43"/>
  <c r="Z105" i="46"/>
  <c r="Z111" i="46"/>
  <c r="E24" i="14"/>
  <c r="C35" i="22"/>
  <c r="D15" i="14"/>
  <c r="C15" i="14"/>
  <c r="C24" i="14"/>
  <c r="C35" i="19"/>
  <c r="C35" i="23"/>
  <c r="Z47" i="46"/>
  <c r="AA46" i="46" s="1"/>
  <c r="AB46" i="46" s="1"/>
  <c r="AA46" i="58"/>
  <c r="AB46" i="58" s="1"/>
  <c r="D35" i="28"/>
  <c r="D35" i="9"/>
  <c r="E35" i="26"/>
  <c r="E35" i="23"/>
  <c r="C35" i="25"/>
  <c r="D35" i="26"/>
  <c r="D35" i="25"/>
  <c r="C35" i="10"/>
  <c r="C35" i="11"/>
  <c r="D35" i="23"/>
  <c r="E35" i="10"/>
  <c r="D35" i="14"/>
  <c r="D35" i="19"/>
  <c r="Z10" i="46"/>
  <c r="AA10" i="46" s="1"/>
  <c r="AB10" i="46" s="1"/>
  <c r="AA10" i="58"/>
  <c r="AB10" i="58" s="1"/>
  <c r="D35" i="8"/>
  <c r="E35" i="19"/>
  <c r="AA15" i="58"/>
  <c r="Z15" i="46"/>
  <c r="D35" i="10"/>
  <c r="D35" i="6"/>
  <c r="E35" i="8"/>
  <c r="C35" i="8"/>
  <c r="E35" i="12"/>
  <c r="D35" i="11"/>
  <c r="E35" i="37"/>
  <c r="E35" i="11"/>
  <c r="D35" i="37"/>
  <c r="E35" i="14"/>
  <c r="D35" i="29"/>
  <c r="C35" i="28"/>
  <c r="C35" i="20"/>
  <c r="E35" i="28"/>
  <c r="D35" i="16"/>
  <c r="C35" i="29"/>
  <c r="C35" i="14"/>
  <c r="D35" i="21"/>
  <c r="C35" i="31"/>
  <c r="E35" i="25"/>
  <c r="E35" i="22"/>
  <c r="C35" i="12"/>
  <c r="D35" i="20"/>
  <c r="C35" i="26"/>
  <c r="D35" i="12"/>
  <c r="E35" i="6"/>
  <c r="D35" i="30"/>
  <c r="E35" i="30"/>
  <c r="E35" i="31"/>
  <c r="D35" i="31"/>
  <c r="D35" i="22"/>
  <c r="C35" i="21"/>
  <c r="C35" i="43"/>
  <c r="C35" i="6"/>
  <c r="C35" i="13"/>
  <c r="E35" i="13"/>
  <c r="D35" i="13"/>
  <c r="E35" i="20"/>
  <c r="E35" i="43"/>
  <c r="C35" i="16"/>
  <c r="E35" i="9"/>
  <c r="C35" i="9"/>
  <c r="E35" i="21"/>
  <c r="E35" i="16"/>
  <c r="C35" i="30"/>
  <c r="X135" i="46" l="1"/>
  <c r="AA135" i="46"/>
  <c r="AB135" i="46" s="1"/>
  <c r="AA135" i="58"/>
  <c r="AB135" i="58" s="1"/>
  <c r="T37" i="48"/>
  <c r="D43" i="53"/>
  <c r="D42" i="53"/>
  <c r="D41" i="53"/>
  <c r="D38" i="53"/>
  <c r="D37" i="53"/>
  <c r="D36" i="53"/>
  <c r="D35" i="53"/>
  <c r="D34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1" i="53"/>
  <c r="D10" i="53"/>
  <c r="D9" i="53"/>
  <c r="D8" i="53"/>
  <c r="D7" i="53"/>
  <c r="D6" i="53"/>
  <c r="D5" i="53"/>
  <c r="D4" i="53"/>
  <c r="G42" i="37"/>
  <c r="F42" i="37"/>
  <c r="T36" i="48" l="1"/>
  <c r="T35" i="48" l="1"/>
  <c r="Q8" i="7"/>
  <c r="R9" i="7"/>
  <c r="R8" i="7"/>
  <c r="Q9" i="7" l="1"/>
  <c r="Q10" i="7" s="1"/>
  <c r="Q11" i="7" s="1"/>
  <c r="R10" i="7"/>
  <c r="R11" i="7" l="1"/>
  <c r="T34" i="48" l="1"/>
  <c r="T33" i="48"/>
  <c r="T32" i="48" l="1"/>
  <c r="T31" i="48" l="1"/>
  <c r="T30" i="48" l="1"/>
  <c r="T29" i="48" l="1"/>
  <c r="T28" i="48" l="1"/>
  <c r="F42" i="14" l="1"/>
  <c r="G42" i="14"/>
  <c r="I37" i="14" s="1"/>
  <c r="T27" i="48" l="1"/>
  <c r="T26" i="48"/>
  <c r="T25" i="48" l="1"/>
  <c r="T24" i="48" l="1"/>
  <c r="AR22" i="45" l="1"/>
  <c r="T23" i="48" l="1"/>
  <c r="T22" i="48" l="1"/>
  <c r="T21" i="48" l="1"/>
  <c r="M43" i="53" l="1"/>
  <c r="T20" i="48" l="1"/>
  <c r="T19" i="48"/>
  <c r="AX155" i="58" l="1"/>
  <c r="T18" i="48" l="1"/>
  <c r="B22" i="45" l="1"/>
  <c r="R22" i="45" l="1"/>
  <c r="J22" i="45"/>
  <c r="AP22" i="45"/>
  <c r="AH22" i="45"/>
  <c r="Z22" i="45"/>
  <c r="F22" i="45"/>
  <c r="AD22" i="45"/>
  <c r="V22" i="45"/>
  <c r="N22" i="45"/>
  <c r="AL22" i="45"/>
  <c r="AS22" i="45"/>
  <c r="F42" i="25" l="1"/>
  <c r="G42" i="25" l="1"/>
  <c r="I37" i="25" s="1"/>
  <c r="T17" i="48"/>
  <c r="T16" i="48" l="1"/>
  <c r="T15" i="48" l="1"/>
  <c r="T14" i="48" l="1"/>
  <c r="T13" i="48" l="1"/>
  <c r="T12" i="48"/>
  <c r="T11" i="48" l="1"/>
  <c r="V23" i="31" l="1"/>
  <c r="W22" i="31"/>
  <c r="U22" i="31"/>
  <c r="X22" i="31" s="1"/>
  <c r="W21" i="31"/>
  <c r="U21" i="31"/>
  <c r="X21" i="31" s="1"/>
  <c r="U15" i="31"/>
  <c r="X15" i="31" s="1"/>
  <c r="W15" i="31"/>
  <c r="W16" i="31"/>
  <c r="U16" i="31"/>
  <c r="X16" i="31" s="1"/>
  <c r="V14" i="31"/>
  <c r="V17" i="31" s="1"/>
  <c r="U14" i="31"/>
  <c r="G42" i="31"/>
  <c r="I37" i="31" s="1"/>
  <c r="F42" i="31"/>
  <c r="X23" i="31" l="1"/>
  <c r="X24" i="31" s="1"/>
  <c r="W23" i="31"/>
  <c r="W24" i="31" s="1"/>
  <c r="X14" i="31"/>
  <c r="X17" i="31" s="1"/>
  <c r="X18" i="31" s="1"/>
  <c r="W14" i="31"/>
  <c r="W17" i="31" s="1"/>
  <c r="W18" i="31" s="1"/>
  <c r="T10" i="48" l="1"/>
  <c r="V6" i="58" l="1"/>
  <c r="T6" i="58"/>
  <c r="P6" i="58"/>
  <c r="U6" i="58"/>
  <c r="AH9" i="48" l="1"/>
  <c r="AC6" i="58"/>
  <c r="M42" i="53"/>
  <c r="M41" i="53"/>
  <c r="M38" i="53"/>
  <c r="M37" i="53"/>
  <c r="M36" i="53"/>
  <c r="M35" i="53"/>
  <c r="M34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9" i="53"/>
  <c r="M18" i="53"/>
  <c r="M17" i="53"/>
  <c r="M16" i="53"/>
  <c r="M11" i="53"/>
  <c r="M10" i="53"/>
  <c r="M9" i="53"/>
  <c r="M8" i="53"/>
  <c r="M7" i="53"/>
  <c r="M6" i="53"/>
  <c r="M5" i="53"/>
  <c r="M4" i="53"/>
  <c r="E3" i="53"/>
  <c r="F3" i="53" s="1"/>
  <c r="G3" i="53" s="1"/>
  <c r="H3" i="53" s="1"/>
  <c r="M3" i="53" s="1"/>
  <c r="N3" i="53" s="1"/>
  <c r="O3" i="53" s="1"/>
  <c r="P3" i="53" s="1"/>
  <c r="Q3" i="53" s="1"/>
  <c r="AZ153" i="58"/>
  <c r="AY153" i="58"/>
  <c r="AX153" i="58"/>
  <c r="AW153" i="58"/>
  <c r="AV153" i="58"/>
  <c r="AU153" i="58"/>
  <c r="AT153" i="58"/>
  <c r="AS153" i="58"/>
  <c r="AQ153" i="58"/>
  <c r="AP153" i="58"/>
  <c r="AO153" i="58"/>
  <c r="AN153" i="58"/>
  <c r="AL153" i="58"/>
  <c r="AK153" i="58"/>
  <c r="AJ153" i="58"/>
  <c r="AI153" i="58"/>
  <c r="AH153" i="58"/>
  <c r="AG153" i="58"/>
  <c r="AF153" i="58"/>
  <c r="S153" i="58"/>
  <c r="R153" i="58"/>
  <c r="Q153" i="58"/>
  <c r="Q154" i="58" s="1"/>
  <c r="AR152" i="58"/>
  <c r="AM152" i="58"/>
  <c r="AC152" i="58"/>
  <c r="AA152" i="58"/>
  <c r="BF155" i="58" l="1"/>
  <c r="BE155" i="58"/>
  <c r="BD155" i="58"/>
  <c r="BB155" i="58"/>
  <c r="BC155" i="58"/>
  <c r="M44" i="53"/>
  <c r="D44" i="53"/>
  <c r="R154" i="58"/>
  <c r="AD153" i="58"/>
  <c r="T9" i="54" s="1"/>
  <c r="S154" i="58"/>
  <c r="AR153" i="58"/>
  <c r="BA153" i="58"/>
  <c r="R155" i="58" s="1"/>
  <c r="AM153" i="58"/>
  <c r="S155" i="58" s="1"/>
  <c r="AM8" i="46"/>
  <c r="AM7" i="46"/>
  <c r="AM6" i="46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BZ41" i="1"/>
  <c r="BT41" i="1"/>
  <c r="BQ41" i="1"/>
  <c r="BN41" i="1"/>
  <c r="BK41" i="1"/>
  <c r="BH41" i="1"/>
  <c r="BE41" i="1"/>
  <c r="BB41" i="1"/>
  <c r="AY41" i="1"/>
  <c r="AV41" i="1"/>
  <c r="AS41" i="1"/>
  <c r="AP41" i="1"/>
  <c r="AM41" i="1"/>
  <c r="AG41" i="1"/>
  <c r="AD41" i="1"/>
  <c r="AA41" i="1"/>
  <c r="X41" i="1"/>
  <c r="U41" i="1"/>
  <c r="R41" i="1"/>
  <c r="O41" i="1"/>
  <c r="L41" i="1"/>
  <c r="I41" i="1"/>
  <c r="F41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L9" i="1"/>
  <c r="KI9" i="1"/>
  <c r="KF9" i="1"/>
  <c r="KC9" i="1"/>
  <c r="JZ9" i="1"/>
  <c r="JW9" i="1"/>
  <c r="JT9" i="1"/>
  <c r="JQ9" i="1"/>
  <c r="JN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S9" i="1"/>
  <c r="KP9" i="1"/>
  <c r="KJ11" i="1"/>
  <c r="KA11" i="1"/>
  <c r="JU10" i="1"/>
  <c r="JO11" i="1"/>
  <c r="JL9" i="1"/>
  <c r="KG11" i="1" l="1"/>
  <c r="KG28" i="1"/>
  <c r="KF41" i="1"/>
  <c r="KS10" i="1"/>
  <c r="JU9" i="1"/>
  <c r="KT29" i="1"/>
  <c r="KT30" i="1"/>
  <c r="KT38" i="1"/>
  <c r="Y41" i="1"/>
  <c r="KT19" i="1"/>
  <c r="KT35" i="1"/>
  <c r="K41" i="1"/>
  <c r="KT23" i="1"/>
  <c r="Q41" i="1"/>
  <c r="KT25" i="1"/>
  <c r="KT24" i="1"/>
  <c r="KS11" i="1"/>
  <c r="JL12" i="1"/>
  <c r="JL11" i="1"/>
  <c r="KJ12" i="1"/>
  <c r="KT12" i="1"/>
  <c r="KG9" i="1"/>
  <c r="JL15" i="1"/>
  <c r="JL13" i="1"/>
  <c r="KJ15" i="1"/>
  <c r="KJ13" i="1"/>
  <c r="KJ9" i="1"/>
  <c r="JU11" i="1"/>
  <c r="KT13" i="1"/>
  <c r="KT17" i="1"/>
  <c r="KT14" i="1"/>
  <c r="KT16" i="1"/>
  <c r="KT15" i="1"/>
  <c r="KT21" i="1"/>
  <c r="KT22" i="1"/>
  <c r="KT26" i="1"/>
  <c r="KT31" i="1"/>
  <c r="KT20" i="1"/>
  <c r="KT28" i="1"/>
  <c r="KT33" i="1"/>
  <c r="KT32" i="1"/>
  <c r="W41" i="1"/>
  <c r="AR41" i="1"/>
  <c r="BP41" i="1"/>
  <c r="CN41" i="1"/>
  <c r="DL41" i="1"/>
  <c r="EJ41" i="1"/>
  <c r="FH41" i="1"/>
  <c r="GF41" i="1"/>
  <c r="HC41" i="1"/>
  <c r="IA41" i="1"/>
  <c r="IY41" i="1"/>
  <c r="KT34" i="1"/>
  <c r="AU41" i="1"/>
  <c r="BS41" i="1"/>
  <c r="CQ41" i="1"/>
  <c r="DO41" i="1"/>
  <c r="EM41" i="1"/>
  <c r="FK41" i="1"/>
  <c r="GI41" i="1"/>
  <c r="HG41" i="1"/>
  <c r="IE41" i="1"/>
  <c r="JC41" i="1"/>
  <c r="AC41" i="1"/>
  <c r="AZ41" i="1"/>
  <c r="CW41" i="1"/>
  <c r="DU41" i="1"/>
  <c r="ES41" i="1"/>
  <c r="FQ41" i="1"/>
  <c r="GO41" i="1"/>
  <c r="HM41" i="1"/>
  <c r="IK41" i="1"/>
  <c r="JI41" i="1"/>
  <c r="AE41" i="1"/>
  <c r="BC41" i="1"/>
  <c r="AI41" i="1"/>
  <c r="BG41" i="1"/>
  <c r="DC41" i="1"/>
  <c r="EA41" i="1"/>
  <c r="EY41" i="1"/>
  <c r="FW41" i="1"/>
  <c r="GU41" i="1"/>
  <c r="HS41" i="1"/>
  <c r="IQ41" i="1"/>
  <c r="KT37" i="1"/>
  <c r="BJ41" i="1"/>
  <c r="CH41" i="1"/>
  <c r="DF41" i="1"/>
  <c r="ED41" i="1"/>
  <c r="FB41" i="1"/>
  <c r="FZ41" i="1"/>
  <c r="GX41" i="1"/>
  <c r="HV41" i="1"/>
  <c r="IT41" i="1"/>
  <c r="KT36" i="1"/>
  <c r="T41" i="1"/>
  <c r="JX41" i="1"/>
  <c r="JX31" i="1"/>
  <c r="JX23" i="1"/>
  <c r="JX36" i="1"/>
  <c r="JX28" i="1"/>
  <c r="JX20" i="1"/>
  <c r="JX12" i="1"/>
  <c r="JX33" i="1"/>
  <c r="JX25" i="1"/>
  <c r="JX17" i="1"/>
  <c r="JX38" i="1"/>
  <c r="JX30" i="1"/>
  <c r="JX22" i="1"/>
  <c r="JX14" i="1"/>
  <c r="JX35" i="1"/>
  <c r="JX27" i="1"/>
  <c r="JX19" i="1"/>
  <c r="JX11" i="1"/>
  <c r="JX32" i="1"/>
  <c r="JX24" i="1"/>
  <c r="JX16" i="1"/>
  <c r="JX37" i="1"/>
  <c r="JX29" i="1"/>
  <c r="JX21" i="1"/>
  <c r="JX34" i="1"/>
  <c r="JX26" i="1"/>
  <c r="JX18" i="1"/>
  <c r="JX10" i="1"/>
  <c r="JX15" i="1"/>
  <c r="JX9" i="1"/>
  <c r="KG10" i="1"/>
  <c r="KT11" i="1"/>
  <c r="KA33" i="1"/>
  <c r="KA25" i="1"/>
  <c r="KA17" i="1"/>
  <c r="KA9" i="1"/>
  <c r="KA38" i="1"/>
  <c r="KA30" i="1"/>
  <c r="KA22" i="1"/>
  <c r="KA14" i="1"/>
  <c r="KA35" i="1"/>
  <c r="KA27" i="1"/>
  <c r="KA19" i="1"/>
  <c r="KA32" i="1"/>
  <c r="KA24" i="1"/>
  <c r="KA16" i="1"/>
  <c r="KA37" i="1"/>
  <c r="KA29" i="1"/>
  <c r="KA21" i="1"/>
  <c r="KA13" i="1"/>
  <c r="KA34" i="1"/>
  <c r="KA26" i="1"/>
  <c r="KA18" i="1"/>
  <c r="KA10" i="1"/>
  <c r="KA31" i="1"/>
  <c r="KA23" i="1"/>
  <c r="KA15" i="1"/>
  <c r="KA36" i="1"/>
  <c r="KA28" i="1"/>
  <c r="KA20" i="1"/>
  <c r="KA12" i="1"/>
  <c r="KA41" i="1"/>
  <c r="KT9" i="1"/>
  <c r="JX13" i="1"/>
  <c r="JO33" i="1"/>
  <c r="JO25" i="1"/>
  <c r="JO17" i="1"/>
  <c r="JO38" i="1"/>
  <c r="JO30" i="1"/>
  <c r="JO22" i="1"/>
  <c r="JO14" i="1"/>
  <c r="JO35" i="1"/>
  <c r="JO27" i="1"/>
  <c r="JO19" i="1"/>
  <c r="JO32" i="1"/>
  <c r="JO24" i="1"/>
  <c r="JO16" i="1"/>
  <c r="JO37" i="1"/>
  <c r="JO29" i="1"/>
  <c r="JO21" i="1"/>
  <c r="JO13" i="1"/>
  <c r="JO34" i="1"/>
  <c r="JO26" i="1"/>
  <c r="JO18" i="1"/>
  <c r="JO10" i="1"/>
  <c r="JO31" i="1"/>
  <c r="JO23" i="1"/>
  <c r="JO15" i="1"/>
  <c r="JO36" i="1"/>
  <c r="JO28" i="1"/>
  <c r="JO20" i="1"/>
  <c r="JO12" i="1"/>
  <c r="JO9" i="1"/>
  <c r="JR35" i="1"/>
  <c r="JR27" i="1"/>
  <c r="JR19" i="1"/>
  <c r="JR32" i="1"/>
  <c r="JR24" i="1"/>
  <c r="JR16" i="1"/>
  <c r="JR37" i="1"/>
  <c r="JR29" i="1"/>
  <c r="JR21" i="1"/>
  <c r="JR13" i="1"/>
  <c r="JR34" i="1"/>
  <c r="JR26" i="1"/>
  <c r="JR18" i="1"/>
  <c r="JR10" i="1"/>
  <c r="JR31" i="1"/>
  <c r="JR23" i="1"/>
  <c r="JR15" i="1"/>
  <c r="JR36" i="1"/>
  <c r="JR28" i="1"/>
  <c r="JR20" i="1"/>
  <c r="JR12" i="1"/>
  <c r="JR33" i="1"/>
  <c r="JR25" i="1"/>
  <c r="JR17" i="1"/>
  <c r="JR38" i="1"/>
  <c r="JR30" i="1"/>
  <c r="JR22" i="1"/>
  <c r="JR14" i="1"/>
  <c r="JR11" i="1"/>
  <c r="KT10" i="1"/>
  <c r="KG41" i="1"/>
  <c r="KD35" i="1"/>
  <c r="KD27" i="1"/>
  <c r="KD19" i="1"/>
  <c r="KD32" i="1"/>
  <c r="KD24" i="1"/>
  <c r="KD16" i="1"/>
  <c r="KD41" i="1"/>
  <c r="KD37" i="1"/>
  <c r="KD29" i="1"/>
  <c r="KD21" i="1"/>
  <c r="KD13" i="1"/>
  <c r="KD34" i="1"/>
  <c r="KD26" i="1"/>
  <c r="KD18" i="1"/>
  <c r="KD10" i="1"/>
  <c r="KD31" i="1"/>
  <c r="KD23" i="1"/>
  <c r="KD15" i="1"/>
  <c r="KD36" i="1"/>
  <c r="KD28" i="1"/>
  <c r="KD20" i="1"/>
  <c r="KD12" i="1"/>
  <c r="KD33" i="1"/>
  <c r="KD25" i="1"/>
  <c r="KD17" i="1"/>
  <c r="KD38" i="1"/>
  <c r="KD30" i="1"/>
  <c r="KD22" i="1"/>
  <c r="KD14" i="1"/>
  <c r="KD11" i="1"/>
  <c r="KG37" i="1"/>
  <c r="KG29" i="1"/>
  <c r="KG21" i="1"/>
  <c r="KG34" i="1"/>
  <c r="KG26" i="1"/>
  <c r="KG18" i="1"/>
  <c r="KG31" i="1"/>
  <c r="KG23" i="1"/>
  <c r="KG15" i="1"/>
  <c r="KG36" i="1"/>
  <c r="KG20" i="1"/>
  <c r="KG12" i="1"/>
  <c r="KG33" i="1"/>
  <c r="KG25" i="1"/>
  <c r="KG17" i="1"/>
  <c r="KG38" i="1"/>
  <c r="KG30" i="1"/>
  <c r="KG22" i="1"/>
  <c r="KG14" i="1"/>
  <c r="KG35" i="1"/>
  <c r="KG27" i="1"/>
  <c r="KG19" i="1"/>
  <c r="KG32" i="1"/>
  <c r="KG24" i="1"/>
  <c r="KG16" i="1"/>
  <c r="KG13" i="1"/>
  <c r="KD9" i="1"/>
  <c r="JR9" i="1"/>
  <c r="JO41" i="1"/>
  <c r="KM41" i="1"/>
  <c r="JR41" i="1"/>
  <c r="KP41" i="1"/>
  <c r="KM33" i="1"/>
  <c r="KM25" i="1"/>
  <c r="KM17" i="1"/>
  <c r="KM38" i="1"/>
  <c r="KM30" i="1"/>
  <c r="KM22" i="1"/>
  <c r="KM14" i="1"/>
  <c r="KM35" i="1"/>
  <c r="KM27" i="1"/>
  <c r="KM19" i="1"/>
  <c r="KM32" i="1"/>
  <c r="KM24" i="1"/>
  <c r="KM16" i="1"/>
  <c r="KM37" i="1"/>
  <c r="KM29" i="1"/>
  <c r="KM21" i="1"/>
  <c r="KM13" i="1"/>
  <c r="KM34" i="1"/>
  <c r="KM26" i="1"/>
  <c r="KM18" i="1"/>
  <c r="KM10" i="1"/>
  <c r="KM31" i="1"/>
  <c r="KM23" i="1"/>
  <c r="KM15" i="1"/>
  <c r="KM36" i="1"/>
  <c r="KM28" i="1"/>
  <c r="KM20" i="1"/>
  <c r="KM12" i="1"/>
  <c r="KM9" i="1"/>
  <c r="KP35" i="1"/>
  <c r="KP27" i="1"/>
  <c r="KP19" i="1"/>
  <c r="KP11" i="1"/>
  <c r="KP32" i="1"/>
  <c r="KP24" i="1"/>
  <c r="KP16" i="1"/>
  <c r="KP37" i="1"/>
  <c r="KP29" i="1"/>
  <c r="KP21" i="1"/>
  <c r="KP13" i="1"/>
  <c r="KP34" i="1"/>
  <c r="KP26" i="1"/>
  <c r="KP18" i="1"/>
  <c r="KP10" i="1"/>
  <c r="KP31" i="1"/>
  <c r="KP23" i="1"/>
  <c r="KP15" i="1"/>
  <c r="KP36" i="1"/>
  <c r="KP28" i="1"/>
  <c r="KP20" i="1"/>
  <c r="KP12" i="1"/>
  <c r="KP33" i="1"/>
  <c r="KP25" i="1"/>
  <c r="KP17" i="1"/>
  <c r="KP38" i="1"/>
  <c r="KP30" i="1"/>
  <c r="KP22" i="1"/>
  <c r="KP14" i="1"/>
  <c r="JU37" i="1"/>
  <c r="JU29" i="1"/>
  <c r="JU21" i="1"/>
  <c r="JU13" i="1"/>
  <c r="JU34" i="1"/>
  <c r="JU26" i="1"/>
  <c r="JU18" i="1"/>
  <c r="JU31" i="1"/>
  <c r="JU23" i="1"/>
  <c r="JU15" i="1"/>
  <c r="JU41" i="1"/>
  <c r="JU36" i="1"/>
  <c r="JU28" i="1"/>
  <c r="JU20" i="1"/>
  <c r="JU12" i="1"/>
  <c r="JU33" i="1"/>
  <c r="JU25" i="1"/>
  <c r="JU17" i="1"/>
  <c r="JU38" i="1"/>
  <c r="JU30" i="1"/>
  <c r="JU22" i="1"/>
  <c r="JU14" i="1"/>
  <c r="JU35" i="1"/>
  <c r="JU27" i="1"/>
  <c r="JU19" i="1"/>
  <c r="JU32" i="1"/>
  <c r="JU24" i="1"/>
  <c r="JU16" i="1"/>
  <c r="KS37" i="1"/>
  <c r="KS29" i="1"/>
  <c r="KS21" i="1"/>
  <c r="KS34" i="1"/>
  <c r="KS26" i="1"/>
  <c r="KS18" i="1"/>
  <c r="KS31" i="1"/>
  <c r="KS23" i="1"/>
  <c r="KS15" i="1"/>
  <c r="KS41" i="1"/>
  <c r="KS36" i="1"/>
  <c r="KS28" i="1"/>
  <c r="KS20" i="1"/>
  <c r="KS12" i="1"/>
  <c r="KS33" i="1"/>
  <c r="KS25" i="1"/>
  <c r="KS17" i="1"/>
  <c r="KS38" i="1"/>
  <c r="KS30" i="1"/>
  <c r="KS22" i="1"/>
  <c r="KS14" i="1"/>
  <c r="KS35" i="1"/>
  <c r="KS27" i="1"/>
  <c r="KS19" i="1"/>
  <c r="KS32" i="1"/>
  <c r="KS24" i="1"/>
  <c r="KS16" i="1"/>
  <c r="KS13" i="1"/>
  <c r="KM11" i="1"/>
  <c r="JL10" i="1"/>
  <c r="KJ10" i="1"/>
  <c r="JL18" i="1"/>
  <c r="KJ18" i="1"/>
  <c r="JL26" i="1"/>
  <c r="KJ26" i="1"/>
  <c r="JL34" i="1"/>
  <c r="KJ34" i="1"/>
  <c r="M41" i="1"/>
  <c r="BA41" i="1"/>
  <c r="BI41" i="1"/>
  <c r="CG41" i="1"/>
  <c r="DE41" i="1"/>
  <c r="EC41" i="1"/>
  <c r="FA41" i="1"/>
  <c r="FY41" i="1"/>
  <c r="GW41" i="1"/>
  <c r="HU41" i="1"/>
  <c r="IS41" i="1"/>
  <c r="JQ41" i="1"/>
  <c r="KO41" i="1"/>
  <c r="JL21" i="1"/>
  <c r="KJ21" i="1"/>
  <c r="JL29" i="1"/>
  <c r="KJ29" i="1"/>
  <c r="JL37" i="1"/>
  <c r="KJ37" i="1"/>
  <c r="N41" i="1"/>
  <c r="V41" i="1"/>
  <c r="AT41" i="1"/>
  <c r="BR41" i="1"/>
  <c r="CP41" i="1"/>
  <c r="DN41" i="1"/>
  <c r="EL41" i="1"/>
  <c r="FJ41" i="1"/>
  <c r="GH41" i="1"/>
  <c r="HF41" i="1"/>
  <c r="ID41" i="1"/>
  <c r="JB41" i="1"/>
  <c r="JZ41" i="1"/>
  <c r="JL16" i="1"/>
  <c r="KJ16" i="1"/>
  <c r="JL24" i="1"/>
  <c r="KJ24" i="1"/>
  <c r="JL32" i="1"/>
  <c r="KJ32" i="1"/>
  <c r="G41" i="1"/>
  <c r="CA41" i="1"/>
  <c r="CY41" i="1"/>
  <c r="DW41" i="1"/>
  <c r="EU41" i="1"/>
  <c r="FS41" i="1"/>
  <c r="GQ41" i="1"/>
  <c r="HO41" i="1"/>
  <c r="IM41" i="1"/>
  <c r="JK41" i="1"/>
  <c r="KI41" i="1"/>
  <c r="JL19" i="1"/>
  <c r="KJ19" i="1"/>
  <c r="JL27" i="1"/>
  <c r="KJ27" i="1"/>
  <c r="JL35" i="1"/>
  <c r="KJ35" i="1"/>
  <c r="H41" i="1"/>
  <c r="P41" i="1"/>
  <c r="AF41" i="1"/>
  <c r="AN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N41" i="1"/>
  <c r="IV41" i="1"/>
  <c r="JL41" i="1"/>
  <c r="JT41" i="1"/>
  <c r="KJ41" i="1"/>
  <c r="KR41" i="1"/>
  <c r="JL14" i="1"/>
  <c r="KJ14" i="1"/>
  <c r="JL22" i="1"/>
  <c r="KJ22" i="1"/>
  <c r="JL30" i="1"/>
  <c r="KJ30" i="1"/>
  <c r="JL38" i="1"/>
  <c r="KJ38" i="1"/>
  <c r="AO41" i="1"/>
  <c r="AW41" i="1"/>
  <c r="BM41" i="1"/>
  <c r="BU41" i="1"/>
  <c r="CK41" i="1"/>
  <c r="CS41" i="1"/>
  <c r="DI41" i="1"/>
  <c r="DQ41" i="1"/>
  <c r="EG41" i="1"/>
  <c r="EO41" i="1"/>
  <c r="FE41" i="1"/>
  <c r="FM41" i="1"/>
  <c r="GC41" i="1"/>
  <c r="GK41" i="1"/>
  <c r="HA41" i="1"/>
  <c r="HI41" i="1"/>
  <c r="HY41" i="1"/>
  <c r="IG41" i="1"/>
  <c r="IW41" i="1"/>
  <c r="JE41" i="1"/>
  <c r="KC41" i="1"/>
  <c r="JL17" i="1"/>
  <c r="KJ17" i="1"/>
  <c r="JL25" i="1"/>
  <c r="KJ25" i="1"/>
  <c r="JL33" i="1"/>
  <c r="KJ33" i="1"/>
  <c r="J41" i="1"/>
  <c r="Z41" i="1"/>
  <c r="AH41" i="1"/>
  <c r="AX41" i="1"/>
  <c r="BF41" i="1"/>
  <c r="BV41" i="1"/>
  <c r="CT41" i="1"/>
  <c r="DB41" i="1"/>
  <c r="DR41" i="1"/>
  <c r="DZ41" i="1"/>
  <c r="EP41" i="1"/>
  <c r="EX41" i="1"/>
  <c r="FN41" i="1"/>
  <c r="FV41" i="1"/>
  <c r="GL41" i="1"/>
  <c r="GT41" i="1"/>
  <c r="HJ41" i="1"/>
  <c r="HR41" i="1"/>
  <c r="IH41" i="1"/>
  <c r="IP41" i="1"/>
  <c r="JF41" i="1"/>
  <c r="JN41" i="1"/>
  <c r="KL41" i="1"/>
  <c r="JL20" i="1"/>
  <c r="KJ20" i="1"/>
  <c r="JL28" i="1"/>
  <c r="KJ28" i="1"/>
  <c r="JL36" i="1"/>
  <c r="KJ36" i="1"/>
  <c r="S41" i="1"/>
  <c r="AQ41" i="1"/>
  <c r="BO41" i="1"/>
  <c r="CM41" i="1"/>
  <c r="DK41" i="1"/>
  <c r="EI41" i="1"/>
  <c r="FG41" i="1"/>
  <c r="GE41" i="1"/>
  <c r="JW41" i="1"/>
  <c r="JL23" i="1"/>
  <c r="KJ23" i="1"/>
  <c r="JL31" i="1"/>
  <c r="KJ31" i="1"/>
  <c r="AB41" i="1"/>
  <c r="CV41" i="1"/>
  <c r="DT41" i="1"/>
  <c r="ER41" i="1"/>
  <c r="FP41" i="1"/>
  <c r="GN41" i="1"/>
  <c r="HD41" i="1"/>
  <c r="HL41" i="1"/>
  <c r="IB41" i="1"/>
  <c r="IJ41" i="1"/>
  <c r="IZ41" i="1"/>
  <c r="JH41" i="1"/>
  <c r="KU38" i="1" l="1"/>
  <c r="KU9" i="1"/>
  <c r="KU26" i="1"/>
  <c r="KU27" i="1"/>
  <c r="KU19" i="1"/>
  <c r="KU30" i="1"/>
  <c r="KU35" i="1"/>
  <c r="KU21" i="1"/>
  <c r="KU34" i="1"/>
  <c r="KU20" i="1"/>
  <c r="KU32" i="1"/>
  <c r="KU12" i="1"/>
  <c r="KU31" i="1"/>
  <c r="KU22" i="1"/>
  <c r="KU23" i="1"/>
  <c r="KU41" i="1"/>
  <c r="KU18" i="1"/>
  <c r="KU11" i="1"/>
  <c r="KU13" i="1"/>
  <c r="KU33" i="1"/>
  <c r="KU14" i="1"/>
  <c r="KU37" i="1"/>
  <c r="KU36" i="1"/>
  <c r="KU25" i="1"/>
  <c r="KU16" i="1"/>
  <c r="KU28" i="1"/>
  <c r="KU17" i="1"/>
  <c r="KU29" i="1"/>
  <c r="KU10" i="1"/>
  <c r="KU24" i="1"/>
  <c r="KU15" i="1"/>
  <c r="AZ153" i="46" l="1"/>
  <c r="AY153" i="46"/>
  <c r="AX153" i="46"/>
  <c r="AW153" i="46"/>
  <c r="J8" i="31" l="1"/>
  <c r="J8" i="30" s="1"/>
  <c r="J7" i="32"/>
  <c r="Y153" i="58" l="1"/>
  <c r="Y155" i="58" s="1"/>
  <c r="T9" i="48"/>
  <c r="T153" i="58" l="1"/>
  <c r="P153" i="58"/>
  <c r="O153" i="58" s="1"/>
  <c r="C153" i="58"/>
  <c r="V153" i="58"/>
  <c r="AV153" i="46"/>
  <c r="AU153" i="46"/>
  <c r="AT153" i="46"/>
  <c r="AL153" i="46"/>
  <c r="AQ153" i="46"/>
  <c r="AR8" i="46"/>
  <c r="BA8" i="46" s="1"/>
  <c r="AR7" i="46"/>
  <c r="BA7" i="46" s="1"/>
  <c r="AR6" i="46"/>
  <c r="BA6" i="46" s="1"/>
  <c r="T10" i="54" l="1"/>
  <c r="AC153" i="58"/>
  <c r="K153" i="58"/>
  <c r="U153" i="58"/>
  <c r="N39" i="53" l="1"/>
  <c r="N40" i="53"/>
  <c r="N33" i="53"/>
  <c r="N43" i="53"/>
  <c r="N32" i="53"/>
  <c r="AH41" i="48"/>
  <c r="AI9" i="48"/>
  <c r="AI10" i="48" s="1"/>
  <c r="AI11" i="48" s="1"/>
  <c r="AI12" i="48" s="1"/>
  <c r="AI13" i="48" s="1"/>
  <c r="AI14" i="48" s="1"/>
  <c r="AI15" i="48" s="1"/>
  <c r="AI16" i="48" s="1"/>
  <c r="AI17" i="48" s="1"/>
  <c r="AI18" i="48" s="1"/>
  <c r="AI19" i="48" s="1"/>
  <c r="AI20" i="48" s="1"/>
  <c r="AI21" i="48" s="1"/>
  <c r="AI22" i="48" s="1"/>
  <c r="AI23" i="48" s="1"/>
  <c r="AI24" i="48" s="1"/>
  <c r="AI25" i="48" s="1"/>
  <c r="AI26" i="48" s="1"/>
  <c r="AI27" i="48" s="1"/>
  <c r="AI28" i="48" s="1"/>
  <c r="AI29" i="48" s="1"/>
  <c r="AI30" i="48" s="1"/>
  <c r="AI31" i="48" s="1"/>
  <c r="AI32" i="48" s="1"/>
  <c r="AI33" i="48" s="1"/>
  <c r="AI34" i="48" s="1"/>
  <c r="AI35" i="48" s="1"/>
  <c r="AI36" i="48" s="1"/>
  <c r="AI37" i="48" s="1"/>
  <c r="AI38" i="48" s="1"/>
  <c r="AI39" i="48" s="1"/>
  <c r="T5" i="54"/>
  <c r="AC154" i="58"/>
  <c r="X163" i="58" s="1"/>
  <c r="T8" i="54"/>
  <c r="Y154" i="58"/>
  <c r="X161" i="58" s="1"/>
  <c r="V154" i="58"/>
  <c r="N34" i="53"/>
  <c r="N26" i="53"/>
  <c r="N11" i="53"/>
  <c r="N41" i="53"/>
  <c r="N16" i="53"/>
  <c r="N25" i="53"/>
  <c r="N30" i="53"/>
  <c r="N6" i="53"/>
  <c r="N20" i="53"/>
  <c r="N18" i="53"/>
  <c r="N22" i="53"/>
  <c r="N7" i="53"/>
  <c r="N19" i="53"/>
  <c r="N29" i="53"/>
  <c r="N8" i="53"/>
  <c r="N27" i="53"/>
  <c r="N17" i="53"/>
  <c r="N21" i="53"/>
  <c r="N24" i="53"/>
  <c r="N4" i="53"/>
  <c r="N28" i="53"/>
  <c r="N9" i="53"/>
  <c r="N10" i="53"/>
  <c r="N36" i="53"/>
  <c r="N38" i="53"/>
  <c r="N23" i="53"/>
  <c r="N31" i="53"/>
  <c r="N37" i="53"/>
  <c r="N35" i="53"/>
  <c r="N42" i="53"/>
  <c r="N5" i="53"/>
  <c r="AD6" i="46"/>
  <c r="N15" i="53" l="1"/>
  <c r="U5" i="54"/>
  <c r="O15" i="53" s="1"/>
  <c r="P15" i="53" s="1"/>
  <c r="AK154" i="58"/>
  <c r="X171" i="58" s="1"/>
  <c r="AO154" i="58"/>
  <c r="X174" i="58" s="1"/>
  <c r="AW154" i="58"/>
  <c r="X181" i="58" s="1"/>
  <c r="AJ154" i="58"/>
  <c r="X170" i="58" s="1"/>
  <c r="AR154" i="58"/>
  <c r="AL154" i="58"/>
  <c r="X172" i="58" s="1"/>
  <c r="AU154" i="58"/>
  <c r="X179" i="58" s="1"/>
  <c r="AH154" i="58"/>
  <c r="X168" i="58" s="1"/>
  <c r="AT154" i="58"/>
  <c r="X178" i="58" s="1"/>
  <c r="AZ154" i="58"/>
  <c r="X183" i="58" s="1"/>
  <c r="BA154" i="58"/>
  <c r="AS154" i="58"/>
  <c r="X177" i="58" s="1"/>
  <c r="AI154" i="58"/>
  <c r="X169" i="58" s="1"/>
  <c r="AQ154" i="58"/>
  <c r="X176" i="58" s="1"/>
  <c r="AX154" i="58"/>
  <c r="AM154" i="58"/>
  <c r="AN154" i="58"/>
  <c r="X173" i="58" s="1"/>
  <c r="AF154" i="58"/>
  <c r="X166" i="58" s="1"/>
  <c r="AV154" i="58"/>
  <c r="X180" i="58" s="1"/>
  <c r="AP154" i="58"/>
  <c r="X175" i="58" s="1"/>
  <c r="AY154" i="58"/>
  <c r="AG154" i="58"/>
  <c r="X167" i="58" s="1"/>
  <c r="T11" i="54"/>
  <c r="A4" i="47"/>
  <c r="O39" i="53" l="1"/>
  <c r="O40" i="53"/>
  <c r="O33" i="53"/>
  <c r="O43" i="53"/>
  <c r="O32" i="53"/>
  <c r="X182" i="58"/>
  <c r="O31" i="53"/>
  <c r="O34" i="53"/>
  <c r="O6" i="53"/>
  <c r="P6" i="53" s="1"/>
  <c r="O26" i="53"/>
  <c r="O20" i="53"/>
  <c r="O17" i="53"/>
  <c r="O27" i="53"/>
  <c r="O41" i="53"/>
  <c r="O22" i="53"/>
  <c r="O9" i="53"/>
  <c r="P9" i="53" s="1"/>
  <c r="O23" i="53"/>
  <c r="O24" i="53"/>
  <c r="O8" i="53"/>
  <c r="P8" i="53" s="1"/>
  <c r="O42" i="53"/>
  <c r="P42" i="53" s="1"/>
  <c r="Q42" i="53" s="1"/>
  <c r="O7" i="53"/>
  <c r="P7" i="53" s="1"/>
  <c r="O38" i="53"/>
  <c r="O10" i="53"/>
  <c r="P10" i="53" s="1"/>
  <c r="O19" i="53"/>
  <c r="O4" i="53"/>
  <c r="O37" i="53"/>
  <c r="O36" i="53"/>
  <c r="O35" i="53"/>
  <c r="O16" i="53"/>
  <c r="O18" i="53"/>
  <c r="P18" i="53" s="1"/>
  <c r="O21" i="53"/>
  <c r="O29" i="53"/>
  <c r="O5" i="53"/>
  <c r="P5" i="53" s="1"/>
  <c r="O25" i="53"/>
  <c r="O28" i="53"/>
  <c r="O30" i="53"/>
  <c r="O11" i="53"/>
  <c r="P11" i="53" s="1"/>
  <c r="J6" i="46"/>
  <c r="P16" i="53" l="1"/>
  <c r="P31" i="53"/>
  <c r="P38" i="53"/>
  <c r="P24" i="53"/>
  <c r="P4" i="53"/>
  <c r="Q4" i="53" s="1"/>
  <c r="P19" i="53"/>
  <c r="P35" i="53"/>
  <c r="Q24" i="53" l="1"/>
  <c r="A9" i="1"/>
  <c r="C45" i="30" l="1"/>
  <c r="F42" i="33" l="1"/>
  <c r="AF39" i="55" l="1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AG37" i="55"/>
  <c r="AG36" i="55"/>
  <c r="AG35" i="55"/>
  <c r="AG34" i="55"/>
  <c r="AG33" i="55"/>
  <c r="AG32" i="55"/>
  <c r="AG31" i="55"/>
  <c r="AG30" i="55"/>
  <c r="AG29" i="55"/>
  <c r="AG28" i="55"/>
  <c r="AG27" i="55"/>
  <c r="AG26" i="55"/>
  <c r="AG25" i="55"/>
  <c r="AG24" i="55"/>
  <c r="AG23" i="55"/>
  <c r="AG22" i="55"/>
  <c r="AG21" i="55"/>
  <c r="AG20" i="55"/>
  <c r="AG19" i="55"/>
  <c r="AG18" i="55"/>
  <c r="AG17" i="55"/>
  <c r="AG16" i="55"/>
  <c r="AG15" i="55"/>
  <c r="AG14" i="55"/>
  <c r="AG13" i="55"/>
  <c r="AG12" i="55"/>
  <c r="AG11" i="55"/>
  <c r="AG10" i="55"/>
  <c r="AG9" i="55"/>
  <c r="AG8" i="55"/>
  <c r="AG7" i="55"/>
  <c r="AG6" i="55"/>
  <c r="AG39" i="55" l="1"/>
  <c r="AH36" i="55" l="1"/>
  <c r="AH18" i="55"/>
  <c r="AH6" i="55"/>
  <c r="AH32" i="55"/>
  <c r="AH24" i="55"/>
  <c r="AH10" i="55"/>
  <c r="AH35" i="55"/>
  <c r="AH31" i="55"/>
  <c r="AH27" i="55"/>
  <c r="AH23" i="55"/>
  <c r="AH19" i="55"/>
  <c r="AH15" i="55"/>
  <c r="AH11" i="55"/>
  <c r="AH7" i="55"/>
  <c r="AH17" i="55"/>
  <c r="AH9" i="55"/>
  <c r="AH37" i="55"/>
  <c r="AH33" i="55"/>
  <c r="AH29" i="55"/>
  <c r="AH25" i="55"/>
  <c r="AH21" i="55"/>
  <c r="AH13" i="55"/>
  <c r="AH12" i="55"/>
  <c r="AH34" i="55"/>
  <c r="AH22" i="55"/>
  <c r="AH16" i="55"/>
  <c r="AH28" i="55"/>
  <c r="AH8" i="55"/>
  <c r="AH20" i="55"/>
  <c r="AH30" i="55"/>
  <c r="AH26" i="55"/>
  <c r="AH14" i="55"/>
  <c r="AH39" i="55" l="1"/>
  <c r="A10" i="2"/>
  <c r="BW42" i="2" l="1"/>
  <c r="BO42" i="2"/>
  <c r="BG42" i="2"/>
  <c r="AM42" i="2"/>
  <c r="AI42" i="2"/>
  <c r="AA42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AQ42" i="2"/>
  <c r="BS23" i="2"/>
  <c r="K42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Y10" i="2"/>
  <c r="BQ10" i="2"/>
  <c r="BQ11" i="2" s="1"/>
  <c r="BK42" i="2"/>
  <c r="AY42" i="2"/>
  <c r="AU42" i="2"/>
  <c r="AS10" i="2"/>
  <c r="AO10" i="2"/>
  <c r="AO11" i="2" s="1"/>
  <c r="AK10" i="2"/>
  <c r="AK11" i="2" s="1"/>
  <c r="AC10" i="2"/>
  <c r="AC11" i="2" s="1"/>
  <c r="Y10" i="2"/>
  <c r="Y11" i="2" s="1"/>
  <c r="U10" i="2"/>
  <c r="U11" i="2" s="1"/>
  <c r="Q10" i="2"/>
  <c r="Q11" i="2" s="1"/>
  <c r="M10" i="2"/>
  <c r="M11" i="2" s="1"/>
  <c r="G42" i="2"/>
  <c r="CA37" i="2" l="1"/>
  <c r="CA38" i="2"/>
  <c r="AV38" i="2" s="1"/>
  <c r="U12" i="2"/>
  <c r="BQ12" i="2"/>
  <c r="M12" i="2"/>
  <c r="AC12" i="2"/>
  <c r="Q12" i="2"/>
  <c r="Y12" i="2"/>
  <c r="AK12" i="2"/>
  <c r="AO12" i="2"/>
  <c r="CA13" i="2"/>
  <c r="CA15" i="2"/>
  <c r="AW10" i="2"/>
  <c r="AW11" i="2" s="1"/>
  <c r="AW12" i="2" s="1"/>
  <c r="AW13" i="2" s="1"/>
  <c r="BA10" i="2"/>
  <c r="BM10" i="2"/>
  <c r="AS11" i="2"/>
  <c r="BY11" i="2"/>
  <c r="CA21" i="2"/>
  <c r="I10" i="2"/>
  <c r="BS10" i="2"/>
  <c r="CA19" i="2"/>
  <c r="CA26" i="2"/>
  <c r="CA30" i="2"/>
  <c r="CA31" i="2"/>
  <c r="CA29" i="2"/>
  <c r="CA27" i="2"/>
  <c r="CA28" i="2"/>
  <c r="CA32" i="2"/>
  <c r="CA35" i="2"/>
  <c r="BP37" i="2"/>
  <c r="BH37" i="2"/>
  <c r="AZ37" i="2"/>
  <c r="AR37" i="2"/>
  <c r="AB37" i="2"/>
  <c r="T37" i="2"/>
  <c r="L37" i="2"/>
  <c r="BX37" i="2"/>
  <c r="BL37" i="2"/>
  <c r="BD37" i="2"/>
  <c r="AV37" i="2"/>
  <c r="AN37" i="2"/>
  <c r="AJ37" i="2"/>
  <c r="X37" i="2"/>
  <c r="P37" i="2"/>
  <c r="H37" i="2"/>
  <c r="BT37" i="2"/>
  <c r="CA36" i="2"/>
  <c r="AF37" i="2"/>
  <c r="BT38" i="2"/>
  <c r="BP38" i="2"/>
  <c r="BH38" i="2"/>
  <c r="AZ38" i="2"/>
  <c r="AR38" i="2"/>
  <c r="BX38" i="2"/>
  <c r="BL38" i="2"/>
  <c r="AN38" i="2"/>
  <c r="AJ38" i="2"/>
  <c r="BD38" i="2"/>
  <c r="CA39" i="2"/>
  <c r="AF38" i="2"/>
  <c r="BD13" i="2" l="1"/>
  <c r="BD15" i="2"/>
  <c r="AF26" i="2"/>
  <c r="AF29" i="2"/>
  <c r="AF35" i="2"/>
  <c r="AF31" i="2"/>
  <c r="AF21" i="2"/>
  <c r="AF30" i="2"/>
  <c r="BD32" i="2"/>
  <c r="AF39" i="2"/>
  <c r="BD36" i="2"/>
  <c r="BD19" i="2"/>
  <c r="AZ35" i="2"/>
  <c r="BD31" i="2"/>
  <c r="H19" i="2"/>
  <c r="BD21" i="2"/>
  <c r="L35" i="2"/>
  <c r="BD35" i="2"/>
  <c r="AZ32" i="2"/>
  <c r="BT35" i="2"/>
  <c r="L30" i="2"/>
  <c r="BT30" i="2"/>
  <c r="H15" i="2"/>
  <c r="H13" i="2"/>
  <c r="AZ21" i="2"/>
  <c r="AZ26" i="2"/>
  <c r="H21" i="2"/>
  <c r="BD26" i="2"/>
  <c r="AB38" i="2"/>
  <c r="T38" i="2"/>
  <c r="L38" i="2"/>
  <c r="X38" i="2"/>
  <c r="P38" i="2"/>
  <c r="H38" i="2"/>
  <c r="BT39" i="2"/>
  <c r="AZ30" i="2"/>
  <c r="BD30" i="2"/>
  <c r="AZ19" i="2"/>
  <c r="BT26" i="2"/>
  <c r="BT19" i="2"/>
  <c r="BT21" i="2"/>
  <c r="L31" i="2"/>
  <c r="AZ29" i="2"/>
  <c r="BT29" i="2"/>
  <c r="BT15" i="2"/>
  <c r="BT13" i="2"/>
  <c r="AF32" i="2"/>
  <c r="AF15" i="2"/>
  <c r="AF19" i="2"/>
  <c r="AF13" i="2"/>
  <c r="BX27" i="2"/>
  <c r="BL27" i="2"/>
  <c r="AN27" i="2"/>
  <c r="AJ27" i="2"/>
  <c r="AB27" i="2"/>
  <c r="T27" i="2"/>
  <c r="H27" i="2"/>
  <c r="BT27" i="2"/>
  <c r="BP27" i="2"/>
  <c r="BH27" i="2"/>
  <c r="AZ27" i="2"/>
  <c r="AV27" i="2"/>
  <c r="X27" i="2"/>
  <c r="P27" i="2"/>
  <c r="AR27" i="2"/>
  <c r="AF27" i="2"/>
  <c r="L27" i="2"/>
  <c r="BX28" i="2"/>
  <c r="BL28" i="2"/>
  <c r="AN28" i="2"/>
  <c r="AJ28" i="2"/>
  <c r="AB28" i="2"/>
  <c r="T28" i="2"/>
  <c r="L28" i="2"/>
  <c r="BT28" i="2"/>
  <c r="BP28" i="2"/>
  <c r="BH28" i="2"/>
  <c r="AZ28" i="2"/>
  <c r="AV28" i="2"/>
  <c r="X28" i="2"/>
  <c r="P28" i="2"/>
  <c r="H28" i="2"/>
  <c r="AF28" i="2"/>
  <c r="AR28" i="2"/>
  <c r="BP39" i="2"/>
  <c r="BH39" i="2"/>
  <c r="AZ39" i="2"/>
  <c r="AR39" i="2"/>
  <c r="BL39" i="2"/>
  <c r="AN39" i="2"/>
  <c r="X39" i="2"/>
  <c r="P39" i="2"/>
  <c r="H39" i="2"/>
  <c r="BX39" i="2"/>
  <c r="BD39" i="2"/>
  <c r="AV39" i="2"/>
  <c r="AJ39" i="2"/>
  <c r="AB39" i="2"/>
  <c r="T39" i="2"/>
  <c r="L39" i="2"/>
  <c r="BX36" i="2"/>
  <c r="BL36" i="2"/>
  <c r="AV36" i="2"/>
  <c r="AN36" i="2"/>
  <c r="AJ36" i="2"/>
  <c r="X36" i="2"/>
  <c r="P36" i="2"/>
  <c r="H36" i="2"/>
  <c r="BT36" i="2"/>
  <c r="BP36" i="2"/>
  <c r="BH36" i="2"/>
  <c r="AZ36" i="2"/>
  <c r="AR36" i="2"/>
  <c r="AF36" i="2"/>
  <c r="AB36" i="2"/>
  <c r="T36" i="2"/>
  <c r="L36" i="2"/>
  <c r="BP35" i="2"/>
  <c r="BH35" i="2"/>
  <c r="AV35" i="2"/>
  <c r="AN35" i="2"/>
  <c r="AJ35" i="2"/>
  <c r="X35" i="2"/>
  <c r="P35" i="2"/>
  <c r="BX35" i="2"/>
  <c r="BL35" i="2"/>
  <c r="AR35" i="2"/>
  <c r="AB35" i="2"/>
  <c r="T35" i="2"/>
  <c r="H35" i="2"/>
  <c r="BT32" i="2"/>
  <c r="BP29" i="2"/>
  <c r="BH29" i="2"/>
  <c r="AV29" i="2"/>
  <c r="AN29" i="2"/>
  <c r="AJ29" i="2"/>
  <c r="AB29" i="2"/>
  <c r="T29" i="2"/>
  <c r="L29" i="2"/>
  <c r="BX29" i="2"/>
  <c r="BL29" i="2"/>
  <c r="AR29" i="2"/>
  <c r="X29" i="2"/>
  <c r="P29" i="2"/>
  <c r="H29" i="2"/>
  <c r="BP30" i="2"/>
  <c r="BH30" i="2"/>
  <c r="AV30" i="2"/>
  <c r="AN30" i="2"/>
  <c r="AJ30" i="2"/>
  <c r="AB30" i="2"/>
  <c r="T30" i="2"/>
  <c r="H30" i="2"/>
  <c r="BX30" i="2"/>
  <c r="BL30" i="2"/>
  <c r="AR30" i="2"/>
  <c r="X30" i="2"/>
  <c r="P30" i="2"/>
  <c r="BP26" i="2"/>
  <c r="BH26" i="2"/>
  <c r="AV26" i="2"/>
  <c r="AN26" i="2"/>
  <c r="AJ26" i="2"/>
  <c r="X26" i="2"/>
  <c r="P26" i="2"/>
  <c r="BX26" i="2"/>
  <c r="BL26" i="2"/>
  <c r="AR26" i="2"/>
  <c r="AB26" i="2"/>
  <c r="T26" i="2"/>
  <c r="L26" i="2"/>
  <c r="H26" i="2"/>
  <c r="CA25" i="2"/>
  <c r="CA20" i="2"/>
  <c r="BC42" i="2"/>
  <c r="BE10" i="2"/>
  <c r="BE11" i="2" s="1"/>
  <c r="CA14" i="2"/>
  <c r="BY12" i="2"/>
  <c r="BM11" i="2"/>
  <c r="BA11" i="2"/>
  <c r="AC13" i="2"/>
  <c r="M13" i="2"/>
  <c r="BQ13" i="2"/>
  <c r="CA33" i="2"/>
  <c r="BP32" i="2"/>
  <c r="BH32" i="2"/>
  <c r="AV32" i="2"/>
  <c r="AN32" i="2"/>
  <c r="AJ32" i="2"/>
  <c r="X32" i="2"/>
  <c r="P32" i="2"/>
  <c r="BX32" i="2"/>
  <c r="BL32" i="2"/>
  <c r="AR32" i="2"/>
  <c r="AB32" i="2"/>
  <c r="T32" i="2"/>
  <c r="L32" i="2"/>
  <c r="H32" i="2"/>
  <c r="CA34" i="2"/>
  <c r="BD28" i="2"/>
  <c r="BD27" i="2"/>
  <c r="CA24" i="2"/>
  <c r="BX31" i="2"/>
  <c r="BL31" i="2"/>
  <c r="AR31" i="2"/>
  <c r="AB31" i="2"/>
  <c r="T31" i="2"/>
  <c r="BT31" i="2"/>
  <c r="BP31" i="2"/>
  <c r="BH31" i="2"/>
  <c r="AV31" i="2"/>
  <c r="AJ31" i="2"/>
  <c r="P31" i="2"/>
  <c r="H31" i="2"/>
  <c r="AZ31" i="2"/>
  <c r="AN31" i="2"/>
  <c r="X31" i="2"/>
  <c r="BD29" i="2"/>
  <c r="CA23" i="2"/>
  <c r="CA22" i="2"/>
  <c r="CA18" i="2"/>
  <c r="CA17" i="2"/>
  <c r="BP19" i="2"/>
  <c r="BH19" i="2"/>
  <c r="AV19" i="2"/>
  <c r="AN19" i="2"/>
  <c r="AJ19" i="2"/>
  <c r="X19" i="2"/>
  <c r="P19" i="2"/>
  <c r="BX19" i="2"/>
  <c r="BL19" i="2"/>
  <c r="AR19" i="2"/>
  <c r="AB19" i="2"/>
  <c r="T19" i="2"/>
  <c r="L19" i="2"/>
  <c r="BS42" i="2"/>
  <c r="BU10" i="2"/>
  <c r="AE42" i="2"/>
  <c r="AG10" i="2"/>
  <c r="AG11" i="2" s="1"/>
  <c r="AG12" i="2" s="1"/>
  <c r="CA10" i="2"/>
  <c r="BP21" i="2"/>
  <c r="BH21" i="2"/>
  <c r="AV21" i="2"/>
  <c r="AN21" i="2"/>
  <c r="AJ21" i="2"/>
  <c r="X21" i="2"/>
  <c r="P21" i="2"/>
  <c r="BX21" i="2"/>
  <c r="BL21" i="2"/>
  <c r="AR21" i="2"/>
  <c r="AB21" i="2"/>
  <c r="T21" i="2"/>
  <c r="L21" i="2"/>
  <c r="CA16" i="2"/>
  <c r="AW14" i="2"/>
  <c r="CA12" i="2"/>
  <c r="AS12" i="2"/>
  <c r="CA11" i="2"/>
  <c r="I11" i="2"/>
  <c r="BP15" i="2"/>
  <c r="AZ15" i="2"/>
  <c r="AN15" i="2"/>
  <c r="AJ15" i="2"/>
  <c r="X15" i="2"/>
  <c r="P15" i="2"/>
  <c r="BX15" i="2"/>
  <c r="BL15" i="2"/>
  <c r="AV15" i="2"/>
  <c r="AR15" i="2"/>
  <c r="AB15" i="2"/>
  <c r="T15" i="2"/>
  <c r="L15" i="2"/>
  <c r="BP13" i="2"/>
  <c r="AZ13" i="2"/>
  <c r="AN13" i="2"/>
  <c r="AJ13" i="2"/>
  <c r="X13" i="2"/>
  <c r="P13" i="2"/>
  <c r="BX13" i="2"/>
  <c r="BL13" i="2"/>
  <c r="AV13" i="2"/>
  <c r="AR13" i="2"/>
  <c r="AB13" i="2"/>
  <c r="T13" i="2"/>
  <c r="L13" i="2"/>
  <c r="AO13" i="2"/>
  <c r="AK13" i="2"/>
  <c r="Y13" i="2"/>
  <c r="Q13" i="2"/>
  <c r="U13" i="2"/>
  <c r="BT10" i="2" l="1"/>
  <c r="AF18" i="2"/>
  <c r="AF14" i="2"/>
  <c r="BD12" i="2"/>
  <c r="AF17" i="2"/>
  <c r="AF23" i="2"/>
  <c r="BD25" i="2"/>
  <c r="AF20" i="2"/>
  <c r="AF12" i="2"/>
  <c r="AF10" i="2"/>
  <c r="BD23" i="2"/>
  <c r="BD14" i="2"/>
  <c r="Q14" i="2"/>
  <c r="I12" i="2"/>
  <c r="BX11" i="2"/>
  <c r="BL11" i="2"/>
  <c r="AR11" i="2"/>
  <c r="X11" i="2"/>
  <c r="P11" i="2"/>
  <c r="BT11" i="2"/>
  <c r="BP11" i="2"/>
  <c r="AZ11" i="2"/>
  <c r="AN11" i="2"/>
  <c r="AJ11" i="2"/>
  <c r="AB11" i="2"/>
  <c r="T11" i="2"/>
  <c r="L11" i="2"/>
  <c r="AV11" i="2"/>
  <c r="H11" i="2"/>
  <c r="AS13" i="2"/>
  <c r="AG13" i="2"/>
  <c r="BX16" i="2"/>
  <c r="BP16" i="2"/>
  <c r="BH16" i="2"/>
  <c r="AR16" i="2"/>
  <c r="AB16" i="2"/>
  <c r="T16" i="2"/>
  <c r="L16" i="2"/>
  <c r="BL16" i="2"/>
  <c r="AN16" i="2"/>
  <c r="AJ16" i="2"/>
  <c r="X16" i="2"/>
  <c r="P16" i="2"/>
  <c r="H16" i="2"/>
  <c r="BT16" i="2"/>
  <c r="BD16" i="2"/>
  <c r="AZ16" i="2"/>
  <c r="AV16" i="2"/>
  <c r="BX22" i="2"/>
  <c r="BL22" i="2"/>
  <c r="AR22" i="2"/>
  <c r="AB22" i="2"/>
  <c r="T22" i="2"/>
  <c r="L22" i="2"/>
  <c r="BT22" i="2"/>
  <c r="BP22" i="2"/>
  <c r="BH22" i="2"/>
  <c r="AZ22" i="2"/>
  <c r="AV22" i="2"/>
  <c r="AN22" i="2"/>
  <c r="AJ22" i="2"/>
  <c r="X22" i="2"/>
  <c r="P22" i="2"/>
  <c r="H22" i="2"/>
  <c r="BD22" i="2"/>
  <c r="BX34" i="2"/>
  <c r="BP34" i="2"/>
  <c r="BH34" i="2"/>
  <c r="AV34" i="2"/>
  <c r="AN34" i="2"/>
  <c r="AJ34" i="2"/>
  <c r="X34" i="2"/>
  <c r="P34" i="2"/>
  <c r="BL34" i="2"/>
  <c r="AR34" i="2"/>
  <c r="AB34" i="2"/>
  <c r="T34" i="2"/>
  <c r="L34" i="2"/>
  <c r="H34" i="2"/>
  <c r="AF34" i="2"/>
  <c r="AZ34" i="2"/>
  <c r="BT34" i="2"/>
  <c r="BX33" i="2"/>
  <c r="BL33" i="2"/>
  <c r="AR33" i="2"/>
  <c r="AB33" i="2"/>
  <c r="T33" i="2"/>
  <c r="H33" i="2"/>
  <c r="BT33" i="2"/>
  <c r="BP33" i="2"/>
  <c r="BH33" i="2"/>
  <c r="AZ33" i="2"/>
  <c r="AV33" i="2"/>
  <c r="AN33" i="2"/>
  <c r="AJ33" i="2"/>
  <c r="X33" i="2"/>
  <c r="P33" i="2"/>
  <c r="L33" i="2"/>
  <c r="BD33" i="2"/>
  <c r="BA12" i="2"/>
  <c r="Y14" i="2"/>
  <c r="U14" i="2"/>
  <c r="AK14" i="2"/>
  <c r="AO14" i="2"/>
  <c r="AF11" i="2"/>
  <c r="BD11" i="2"/>
  <c r="BX12" i="2"/>
  <c r="BL12" i="2"/>
  <c r="AR12" i="2"/>
  <c r="X12" i="2"/>
  <c r="P12" i="2"/>
  <c r="BT12" i="2"/>
  <c r="BP12" i="2"/>
  <c r="AZ12" i="2"/>
  <c r="AN12" i="2"/>
  <c r="AJ12" i="2"/>
  <c r="AB12" i="2"/>
  <c r="T12" i="2"/>
  <c r="L12" i="2"/>
  <c r="AV12" i="2"/>
  <c r="H12" i="2"/>
  <c r="BE12" i="2"/>
  <c r="AW15" i="2"/>
  <c r="AF16" i="2"/>
  <c r="CA42" i="2"/>
  <c r="CB10" i="2"/>
  <c r="BX10" i="2"/>
  <c r="AR10" i="2"/>
  <c r="AB10" i="2"/>
  <c r="T10" i="2"/>
  <c r="L10" i="2"/>
  <c r="P10" i="2"/>
  <c r="BP10" i="2"/>
  <c r="AN10" i="2"/>
  <c r="AJ10" i="2"/>
  <c r="X10" i="2"/>
  <c r="H10" i="2"/>
  <c r="AZ10" i="2"/>
  <c r="AV10" i="2"/>
  <c r="BL10" i="2"/>
  <c r="BU11" i="2"/>
  <c r="BP17" i="2"/>
  <c r="BH17" i="2"/>
  <c r="AR17" i="2"/>
  <c r="AB17" i="2"/>
  <c r="T17" i="2"/>
  <c r="L17" i="2"/>
  <c r="BX17" i="2"/>
  <c r="BL17" i="2"/>
  <c r="AN17" i="2"/>
  <c r="AJ17" i="2"/>
  <c r="X17" i="2"/>
  <c r="P17" i="2"/>
  <c r="H17" i="2"/>
  <c r="BD17" i="2"/>
  <c r="AV17" i="2"/>
  <c r="AZ17" i="2"/>
  <c r="BT17" i="2"/>
  <c r="BX18" i="2"/>
  <c r="BL18" i="2"/>
  <c r="AR18" i="2"/>
  <c r="AB18" i="2"/>
  <c r="T18" i="2"/>
  <c r="L18" i="2"/>
  <c r="BT18" i="2"/>
  <c r="BP18" i="2"/>
  <c r="BH18" i="2"/>
  <c r="AZ18" i="2"/>
  <c r="AV18" i="2"/>
  <c r="AN18" i="2"/>
  <c r="AJ18" i="2"/>
  <c r="X18" i="2"/>
  <c r="P18" i="2"/>
  <c r="H18" i="2"/>
  <c r="AF22" i="2"/>
  <c r="BX23" i="2"/>
  <c r="BL23" i="2"/>
  <c r="AR23" i="2"/>
  <c r="AB23" i="2"/>
  <c r="T23" i="2"/>
  <c r="BP23" i="2"/>
  <c r="BH23" i="2"/>
  <c r="AV23" i="2"/>
  <c r="AN23" i="2"/>
  <c r="AJ23" i="2"/>
  <c r="X23" i="2"/>
  <c r="P23" i="2"/>
  <c r="H23" i="2"/>
  <c r="AZ23" i="2"/>
  <c r="BT23" i="2"/>
  <c r="L23" i="2"/>
  <c r="BT24" i="2"/>
  <c r="BP24" i="2"/>
  <c r="BH24" i="2"/>
  <c r="AZ24" i="2"/>
  <c r="AN24" i="2"/>
  <c r="AJ24" i="2"/>
  <c r="X24" i="2"/>
  <c r="P24" i="2"/>
  <c r="BX24" i="2"/>
  <c r="BL24" i="2"/>
  <c r="AB24" i="2"/>
  <c r="T24" i="2"/>
  <c r="L24" i="2"/>
  <c r="H24" i="2"/>
  <c r="AV24" i="2"/>
  <c r="AF24" i="2"/>
  <c r="AR24" i="2"/>
  <c r="BD24" i="2"/>
  <c r="AF33" i="2"/>
  <c r="BQ14" i="2"/>
  <c r="M14" i="2"/>
  <c r="AC14" i="2"/>
  <c r="BM12" i="2"/>
  <c r="BY13" i="2"/>
  <c r="BX14" i="2"/>
  <c r="BL14" i="2"/>
  <c r="AR14" i="2"/>
  <c r="AB14" i="2"/>
  <c r="T14" i="2"/>
  <c r="L14" i="2"/>
  <c r="BT14" i="2"/>
  <c r="BP14" i="2"/>
  <c r="AZ14" i="2"/>
  <c r="AN14" i="2"/>
  <c r="AJ14" i="2"/>
  <c r="X14" i="2"/>
  <c r="P14" i="2"/>
  <c r="H14" i="2"/>
  <c r="AV14" i="2"/>
  <c r="BD10" i="2"/>
  <c r="BD18" i="2"/>
  <c r="BX20" i="2"/>
  <c r="BL20" i="2"/>
  <c r="AR20" i="2"/>
  <c r="AB20" i="2"/>
  <c r="T20" i="2"/>
  <c r="L20" i="2"/>
  <c r="BT20" i="2"/>
  <c r="BP20" i="2"/>
  <c r="BH20" i="2"/>
  <c r="AZ20" i="2"/>
  <c r="AV20" i="2"/>
  <c r="AN20" i="2"/>
  <c r="AJ20" i="2"/>
  <c r="X20" i="2"/>
  <c r="P20" i="2"/>
  <c r="H20" i="2"/>
  <c r="BD20" i="2"/>
  <c r="BX25" i="2"/>
  <c r="BL25" i="2"/>
  <c r="AN25" i="2"/>
  <c r="AJ25" i="2"/>
  <c r="X25" i="2"/>
  <c r="P25" i="2"/>
  <c r="BT25" i="2"/>
  <c r="BP25" i="2"/>
  <c r="BH25" i="2"/>
  <c r="AZ25" i="2"/>
  <c r="AV25" i="2"/>
  <c r="AB25" i="2"/>
  <c r="T25" i="2"/>
  <c r="L25" i="2"/>
  <c r="AF25" i="2"/>
  <c r="AR25" i="2"/>
  <c r="H25" i="2"/>
  <c r="BD34" i="2"/>
  <c r="BF10" i="2" l="1"/>
  <c r="AF42" i="2"/>
  <c r="BD42" i="2"/>
  <c r="BV10" i="2"/>
  <c r="BM13" i="2"/>
  <c r="CB42" i="2"/>
  <c r="BP42" i="2"/>
  <c r="AN42" i="2"/>
  <c r="AJ42" i="2"/>
  <c r="AB42" i="2"/>
  <c r="BX42" i="2"/>
  <c r="BH42" i="2"/>
  <c r="AV42" i="2"/>
  <c r="AZ42" i="2"/>
  <c r="BL42" i="2"/>
  <c r="H42" i="2"/>
  <c r="AR42" i="2"/>
  <c r="AW16" i="2"/>
  <c r="BE13" i="2"/>
  <c r="BA13" i="2"/>
  <c r="BT42" i="2"/>
  <c r="I13" i="2"/>
  <c r="BY14" i="2"/>
  <c r="AC15" i="2"/>
  <c r="M15" i="2"/>
  <c r="BQ15" i="2"/>
  <c r="BU12" i="2"/>
  <c r="BR10" i="2"/>
  <c r="AP10" i="2"/>
  <c r="AL10" i="2"/>
  <c r="Z10" i="2"/>
  <c r="R10" i="2"/>
  <c r="AT10" i="2"/>
  <c r="BZ10" i="2"/>
  <c r="N10" i="2"/>
  <c r="AD10" i="2"/>
  <c r="V10" i="2"/>
  <c r="J10" i="2"/>
  <c r="BB10" i="2"/>
  <c r="BN10" i="2"/>
  <c r="AX10" i="2"/>
  <c r="AO15" i="2"/>
  <c r="AK15" i="2"/>
  <c r="U15" i="2"/>
  <c r="Y15" i="2"/>
  <c r="AH10" i="2"/>
  <c r="AG14" i="2"/>
  <c r="AS14" i="2"/>
  <c r="CB11" i="2"/>
  <c r="Q15" i="2"/>
  <c r="AG15" i="2" l="1"/>
  <c r="BR11" i="2"/>
  <c r="N11" i="2"/>
  <c r="AD11" i="2"/>
  <c r="V11" i="2"/>
  <c r="R11" i="2"/>
  <c r="Z11" i="2"/>
  <c r="AL11" i="2"/>
  <c r="AP11" i="2"/>
  <c r="AT11" i="2"/>
  <c r="BZ11" i="2"/>
  <c r="AX11" i="2"/>
  <c r="J11" i="2"/>
  <c r="BF11" i="2"/>
  <c r="BB11" i="2"/>
  <c r="AH11" i="2"/>
  <c r="BN11" i="2"/>
  <c r="CB12" i="2"/>
  <c r="AS15" i="2"/>
  <c r="BU13" i="2"/>
  <c r="I14" i="2"/>
  <c r="BA14" i="2"/>
  <c r="Q16" i="2"/>
  <c r="Y16" i="2"/>
  <c r="U16" i="2"/>
  <c r="AK16" i="2"/>
  <c r="AO16" i="2"/>
  <c r="BV11" i="2"/>
  <c r="BI16" i="2"/>
  <c r="BQ16" i="2"/>
  <c r="M16" i="2"/>
  <c r="AC16" i="2"/>
  <c r="BY15" i="2"/>
  <c r="BE14" i="2"/>
  <c r="AW17" i="2"/>
  <c r="BM14" i="2"/>
  <c r="BV12" i="2" l="1"/>
  <c r="AW18" i="2"/>
  <c r="BE15" i="2"/>
  <c r="BQ17" i="2"/>
  <c r="BI17" i="2"/>
  <c r="AO17" i="2"/>
  <c r="AK17" i="2"/>
  <c r="U17" i="2"/>
  <c r="Y17" i="2"/>
  <c r="Q17" i="2"/>
  <c r="BA15" i="2"/>
  <c r="AS16" i="2"/>
  <c r="AG16" i="2"/>
  <c r="BM15" i="2"/>
  <c r="BY16" i="2"/>
  <c r="AC17" i="2"/>
  <c r="M17" i="2"/>
  <c r="I15" i="2"/>
  <c r="BU14" i="2"/>
  <c r="AX12" i="2"/>
  <c r="CB13" i="2"/>
  <c r="Z12" i="2"/>
  <c r="R12" i="2"/>
  <c r="AP12" i="2"/>
  <c r="AL12" i="2"/>
  <c r="AD12" i="2"/>
  <c r="N12" i="2"/>
  <c r="BR12" i="2"/>
  <c r="V12" i="2"/>
  <c r="AT12" i="2"/>
  <c r="AH12" i="2"/>
  <c r="BZ12" i="2"/>
  <c r="BB12" i="2"/>
  <c r="J12" i="2"/>
  <c r="BN12" i="2"/>
  <c r="BF12" i="2"/>
  <c r="BU15" i="2" l="1"/>
  <c r="I16" i="2"/>
  <c r="AG17" i="2"/>
  <c r="BE16" i="2"/>
  <c r="AX13" i="2"/>
  <c r="CB14" i="2"/>
  <c r="R13" i="2"/>
  <c r="Z13" i="2"/>
  <c r="V13" i="2"/>
  <c r="AL13" i="2"/>
  <c r="AP13" i="2"/>
  <c r="BR13" i="2"/>
  <c r="N13" i="2"/>
  <c r="AD13" i="2"/>
  <c r="AT13" i="2"/>
  <c r="BZ13" i="2"/>
  <c r="AH13" i="2"/>
  <c r="BB13" i="2"/>
  <c r="BF13" i="2"/>
  <c r="BN13" i="2"/>
  <c r="J13" i="2"/>
  <c r="BV13" i="2"/>
  <c r="M18" i="2"/>
  <c r="AC18" i="2"/>
  <c r="BY17" i="2"/>
  <c r="BM16" i="2"/>
  <c r="AS17" i="2"/>
  <c r="BA16" i="2"/>
  <c r="Q18" i="2"/>
  <c r="Y18" i="2"/>
  <c r="U18" i="2"/>
  <c r="AK18" i="2"/>
  <c r="AO18" i="2"/>
  <c r="BI18" i="2"/>
  <c r="BQ18" i="2"/>
  <c r="AW19" i="2"/>
  <c r="U19" i="2" l="1"/>
  <c r="BA17" i="2"/>
  <c r="AC19" i="2"/>
  <c r="M19" i="2"/>
  <c r="BE17" i="2"/>
  <c r="AG18" i="2"/>
  <c r="I17" i="2"/>
  <c r="BU16" i="2"/>
  <c r="AW20" i="2"/>
  <c r="BQ19" i="2"/>
  <c r="BI19" i="2"/>
  <c r="AO19" i="2"/>
  <c r="AK19" i="2"/>
  <c r="Y19" i="2"/>
  <c r="Q19" i="2"/>
  <c r="AS18" i="2"/>
  <c r="BM17" i="2"/>
  <c r="BY18" i="2"/>
  <c r="CB15" i="2"/>
  <c r="AX14" i="2"/>
  <c r="AD14" i="2"/>
  <c r="N14" i="2"/>
  <c r="BR14" i="2"/>
  <c r="AP14" i="2"/>
  <c r="AL14" i="2"/>
  <c r="V14" i="2"/>
  <c r="Z14" i="2"/>
  <c r="R14" i="2"/>
  <c r="AH14" i="2"/>
  <c r="AT14" i="2"/>
  <c r="BZ14" i="2"/>
  <c r="BF14" i="2"/>
  <c r="J14" i="2"/>
  <c r="BB14" i="2"/>
  <c r="BN14" i="2"/>
  <c r="BV14" i="2"/>
  <c r="CB16" i="2" l="1"/>
  <c r="AX15" i="2"/>
  <c r="R15" i="2"/>
  <c r="Z15" i="2"/>
  <c r="V15" i="2"/>
  <c r="AL15" i="2"/>
  <c r="AP15" i="2"/>
  <c r="BR15" i="2"/>
  <c r="N15" i="2"/>
  <c r="AD15" i="2"/>
  <c r="AH15" i="2"/>
  <c r="AT15" i="2"/>
  <c r="BZ15" i="2"/>
  <c r="J15" i="2"/>
  <c r="BF15" i="2"/>
  <c r="BB15" i="2"/>
  <c r="BN15" i="2"/>
  <c r="AS19" i="2"/>
  <c r="BU17" i="2"/>
  <c r="I18" i="2"/>
  <c r="AG19" i="2"/>
  <c r="BE18" i="2"/>
  <c r="BA18" i="2"/>
  <c r="BY19" i="2"/>
  <c r="BM18" i="2"/>
  <c r="Q20" i="2"/>
  <c r="Y20" i="2"/>
  <c r="AK20" i="2"/>
  <c r="AO20" i="2"/>
  <c r="BI20" i="2"/>
  <c r="BQ20" i="2"/>
  <c r="AW21" i="2"/>
  <c r="BV15" i="2"/>
  <c r="M20" i="2"/>
  <c r="AC20" i="2"/>
  <c r="U20" i="2"/>
  <c r="BV16" i="2" l="1"/>
  <c r="AW22" i="2"/>
  <c r="BQ21" i="2"/>
  <c r="BI21" i="2"/>
  <c r="AO21" i="2"/>
  <c r="AK21" i="2"/>
  <c r="Y21" i="2"/>
  <c r="Q21" i="2"/>
  <c r="BM19" i="2"/>
  <c r="BY20" i="2"/>
  <c r="AS20" i="2"/>
  <c r="CB17" i="2"/>
  <c r="AX16" i="2"/>
  <c r="BR16" i="2"/>
  <c r="BJ16" i="2"/>
  <c r="AP16" i="2"/>
  <c r="AL16" i="2"/>
  <c r="V16" i="2"/>
  <c r="Z16" i="2"/>
  <c r="R16" i="2"/>
  <c r="AD16" i="2"/>
  <c r="N16" i="2"/>
  <c r="AH16" i="2"/>
  <c r="BZ16" i="2"/>
  <c r="AT16" i="2"/>
  <c r="BB16" i="2"/>
  <c r="BF16" i="2"/>
  <c r="J16" i="2"/>
  <c r="BN16" i="2"/>
  <c r="U21" i="2"/>
  <c r="AC21" i="2"/>
  <c r="M21" i="2"/>
  <c r="BA19" i="2"/>
  <c r="BE19" i="2"/>
  <c r="AG20" i="2"/>
  <c r="I19" i="2"/>
  <c r="BU18" i="2"/>
  <c r="BV17" i="2" l="1"/>
  <c r="M22" i="2"/>
  <c r="AC22" i="2"/>
  <c r="U22" i="2"/>
  <c r="CB18" i="2"/>
  <c r="AX17" i="2"/>
  <c r="N17" i="2"/>
  <c r="AD17" i="2"/>
  <c r="V17" i="2"/>
  <c r="AP17" i="2"/>
  <c r="BR17" i="2"/>
  <c r="R17" i="2"/>
  <c r="Z17" i="2"/>
  <c r="AL17" i="2"/>
  <c r="BJ17" i="2"/>
  <c r="AH17" i="2"/>
  <c r="AT17" i="2"/>
  <c r="BZ17" i="2"/>
  <c r="BN17" i="2"/>
  <c r="J17" i="2"/>
  <c r="BF17" i="2"/>
  <c r="BB17" i="2"/>
  <c r="BU19" i="2"/>
  <c r="I20" i="2"/>
  <c r="AG21" i="2"/>
  <c r="BE20" i="2"/>
  <c r="BA20" i="2"/>
  <c r="AS21" i="2"/>
  <c r="BY21" i="2"/>
  <c r="BM20" i="2"/>
  <c r="Q22" i="2"/>
  <c r="Y22" i="2"/>
  <c r="AK22" i="2"/>
  <c r="AO22" i="2"/>
  <c r="BI22" i="2"/>
  <c r="BQ22" i="2"/>
  <c r="AW23" i="2"/>
  <c r="BV18" i="2" l="1"/>
  <c r="AW24" i="2"/>
  <c r="BQ23" i="2"/>
  <c r="BI23" i="2"/>
  <c r="AO23" i="2"/>
  <c r="AK23" i="2"/>
  <c r="Y23" i="2"/>
  <c r="Q23" i="2"/>
  <c r="BM21" i="2"/>
  <c r="BY22" i="2"/>
  <c r="AS22" i="2"/>
  <c r="CB19" i="2"/>
  <c r="AX18" i="2"/>
  <c r="V18" i="2"/>
  <c r="AD18" i="2"/>
  <c r="N18" i="2"/>
  <c r="BR18" i="2"/>
  <c r="BJ18" i="2"/>
  <c r="AP18" i="2"/>
  <c r="AL18" i="2"/>
  <c r="Z18" i="2"/>
  <c r="R18" i="2"/>
  <c r="AT18" i="2"/>
  <c r="BZ18" i="2"/>
  <c r="AH18" i="2"/>
  <c r="BN18" i="2"/>
  <c r="BB18" i="2"/>
  <c r="BF18" i="2"/>
  <c r="J18" i="2"/>
  <c r="BA21" i="2"/>
  <c r="BE21" i="2"/>
  <c r="AG22" i="2"/>
  <c r="I21" i="2"/>
  <c r="BU20" i="2"/>
  <c r="U23" i="2"/>
  <c r="AC23" i="2"/>
  <c r="M23" i="2"/>
  <c r="BV19" i="2" l="1"/>
  <c r="CB20" i="2"/>
  <c r="BV20" i="2" s="1"/>
  <c r="AX19" i="2"/>
  <c r="R19" i="2"/>
  <c r="Z19" i="2"/>
  <c r="AL19" i="2"/>
  <c r="AP19" i="2"/>
  <c r="BJ19" i="2"/>
  <c r="BR19" i="2"/>
  <c r="AD19" i="2"/>
  <c r="N19" i="2"/>
  <c r="V19" i="2"/>
  <c r="BZ19" i="2"/>
  <c r="AT19" i="2"/>
  <c r="AH19" i="2"/>
  <c r="BN19" i="2"/>
  <c r="J19" i="2"/>
  <c r="BF19" i="2"/>
  <c r="BB19" i="2"/>
  <c r="AW25" i="2"/>
  <c r="M24" i="2"/>
  <c r="AC24" i="2"/>
  <c r="U24" i="2"/>
  <c r="BU21" i="2"/>
  <c r="I22" i="2"/>
  <c r="AG23" i="2"/>
  <c r="BE22" i="2"/>
  <c r="BA22" i="2"/>
  <c r="AS23" i="2"/>
  <c r="BY23" i="2"/>
  <c r="BM22" i="2"/>
  <c r="Q24" i="2"/>
  <c r="Y24" i="2"/>
  <c r="AK24" i="2"/>
  <c r="AO24" i="2"/>
  <c r="BI24" i="2"/>
  <c r="BQ24" i="2"/>
  <c r="BQ25" i="2" l="1"/>
  <c r="AO25" i="2"/>
  <c r="Y25" i="2"/>
  <c r="Q25" i="2"/>
  <c r="BM23" i="2"/>
  <c r="U25" i="2"/>
  <c r="AC25" i="2"/>
  <c r="AW26" i="2"/>
  <c r="CB21" i="2"/>
  <c r="AX20" i="2"/>
  <c r="V20" i="2"/>
  <c r="AD20" i="2"/>
  <c r="N20" i="2"/>
  <c r="BR20" i="2"/>
  <c r="BJ20" i="2"/>
  <c r="AP20" i="2"/>
  <c r="AL20" i="2"/>
  <c r="Z20" i="2"/>
  <c r="R20" i="2"/>
  <c r="AT20" i="2"/>
  <c r="BZ20" i="2"/>
  <c r="AH20" i="2"/>
  <c r="BN20" i="2"/>
  <c r="BB20" i="2"/>
  <c r="BF20" i="2"/>
  <c r="J20" i="2"/>
  <c r="BI25" i="2"/>
  <c r="AK25" i="2"/>
  <c r="BY24" i="2"/>
  <c r="AS24" i="2"/>
  <c r="BA23" i="2"/>
  <c r="BE23" i="2"/>
  <c r="AG24" i="2"/>
  <c r="I23" i="2"/>
  <c r="BU22" i="2"/>
  <c r="M25" i="2"/>
  <c r="BV21" i="2" l="1"/>
  <c r="BY25" i="2"/>
  <c r="BI26" i="2"/>
  <c r="CB22" i="2"/>
  <c r="AX21" i="2"/>
  <c r="R21" i="2"/>
  <c r="Z21" i="2"/>
  <c r="AL21" i="2"/>
  <c r="AP21" i="2"/>
  <c r="BJ21" i="2"/>
  <c r="BR21" i="2"/>
  <c r="N21" i="2"/>
  <c r="AD21" i="2"/>
  <c r="V21" i="2"/>
  <c r="BZ21" i="2"/>
  <c r="AT21" i="2"/>
  <c r="AH21" i="2"/>
  <c r="BN21" i="2"/>
  <c r="J21" i="2"/>
  <c r="BF21" i="2"/>
  <c r="BB21" i="2"/>
  <c r="BM24" i="2"/>
  <c r="Q26" i="2"/>
  <c r="Y26" i="2"/>
  <c r="AO26" i="2"/>
  <c r="M26" i="2"/>
  <c r="BU23" i="2"/>
  <c r="I24" i="2"/>
  <c r="AG25" i="2"/>
  <c r="BE24" i="2"/>
  <c r="BA24" i="2"/>
  <c r="AS25" i="2"/>
  <c r="AK26" i="2"/>
  <c r="AW27" i="2"/>
  <c r="AC26" i="2"/>
  <c r="U26" i="2"/>
  <c r="BQ26" i="2"/>
  <c r="BV22" i="2" l="1"/>
  <c r="BQ27" i="2"/>
  <c r="U27" i="2"/>
  <c r="AC27" i="2"/>
  <c r="AW28" i="2"/>
  <c r="I25" i="2"/>
  <c r="BM25" i="2"/>
  <c r="CB23" i="2"/>
  <c r="AX22" i="2"/>
  <c r="BR22" i="2"/>
  <c r="BJ22" i="2"/>
  <c r="AP22" i="2"/>
  <c r="AL22" i="2"/>
  <c r="Z22" i="2"/>
  <c r="R22" i="2"/>
  <c r="V22" i="2"/>
  <c r="AD22" i="2"/>
  <c r="N22" i="2"/>
  <c r="AH22" i="2"/>
  <c r="AT22" i="2"/>
  <c r="BZ22" i="2"/>
  <c r="BN22" i="2"/>
  <c r="BB22" i="2"/>
  <c r="BF22" i="2"/>
  <c r="J22" i="2"/>
  <c r="AK27" i="2"/>
  <c r="AS26" i="2"/>
  <c r="BA25" i="2"/>
  <c r="BE25" i="2"/>
  <c r="AG26" i="2"/>
  <c r="BU24" i="2"/>
  <c r="M27" i="2"/>
  <c r="AO27" i="2"/>
  <c r="Y27" i="2"/>
  <c r="Q27" i="2"/>
  <c r="BI27" i="2"/>
  <c r="BY26" i="2"/>
  <c r="BV23" i="2" l="1"/>
  <c r="BY27" i="2"/>
  <c r="BI28" i="2"/>
  <c r="Q28" i="2"/>
  <c r="Y28" i="2"/>
  <c r="AS27" i="2"/>
  <c r="CB24" i="2"/>
  <c r="AX23" i="2"/>
  <c r="AD23" i="2"/>
  <c r="V23" i="2"/>
  <c r="R23" i="2"/>
  <c r="Z23" i="2"/>
  <c r="AL23" i="2"/>
  <c r="AP23" i="2"/>
  <c r="BJ23" i="2"/>
  <c r="BR23" i="2"/>
  <c r="N23" i="2"/>
  <c r="BZ23" i="2"/>
  <c r="AT23" i="2"/>
  <c r="AH23" i="2"/>
  <c r="BN23" i="2"/>
  <c r="J23" i="2"/>
  <c r="BF23" i="2"/>
  <c r="BB23" i="2"/>
  <c r="I26" i="2"/>
  <c r="AO28" i="2"/>
  <c r="M28" i="2"/>
  <c r="BU25" i="2"/>
  <c r="AG27" i="2"/>
  <c r="BE26" i="2"/>
  <c r="BA26" i="2"/>
  <c r="AK28" i="2"/>
  <c r="BM26" i="2"/>
  <c r="AW29" i="2"/>
  <c r="AC28" i="2"/>
  <c r="U28" i="2"/>
  <c r="BQ28" i="2"/>
  <c r="BV24" i="2" l="1"/>
  <c r="BQ29" i="2"/>
  <c r="AW30" i="2"/>
  <c r="BM27" i="2"/>
  <c r="I27" i="2"/>
  <c r="CB25" i="2"/>
  <c r="AX24" i="2"/>
  <c r="AP24" i="2"/>
  <c r="Z24" i="2"/>
  <c r="R24" i="2"/>
  <c r="BJ24" i="2"/>
  <c r="BR24" i="2"/>
  <c r="V24" i="2"/>
  <c r="AD24" i="2"/>
  <c r="AL24" i="2"/>
  <c r="N24" i="2"/>
  <c r="BZ24" i="2"/>
  <c r="AH24" i="2"/>
  <c r="AT24" i="2"/>
  <c r="J24" i="2"/>
  <c r="BN24" i="2"/>
  <c r="BB24" i="2"/>
  <c r="BF24" i="2"/>
  <c r="AS28" i="2"/>
  <c r="U29" i="2"/>
  <c r="AC29" i="2"/>
  <c r="AK29" i="2"/>
  <c r="BA27" i="2"/>
  <c r="BE27" i="2"/>
  <c r="AG28" i="2"/>
  <c r="BU26" i="2"/>
  <c r="M29" i="2"/>
  <c r="AO29" i="2"/>
  <c r="Y29" i="2"/>
  <c r="Q29" i="2"/>
  <c r="BI29" i="2"/>
  <c r="BY28" i="2"/>
  <c r="BV25" i="2" l="1"/>
  <c r="BI30" i="2"/>
  <c r="Q30" i="2"/>
  <c r="Y30" i="2"/>
  <c r="CB26" i="2"/>
  <c r="AX25" i="2"/>
  <c r="AD25" i="2"/>
  <c r="V25" i="2"/>
  <c r="BR25" i="2"/>
  <c r="BJ25" i="2"/>
  <c r="R25" i="2"/>
  <c r="Z25" i="2"/>
  <c r="AP25" i="2"/>
  <c r="N25" i="2"/>
  <c r="AL25" i="2"/>
  <c r="AT25" i="2"/>
  <c r="BZ25" i="2"/>
  <c r="AH25" i="2"/>
  <c r="J25" i="2"/>
  <c r="BN25" i="2"/>
  <c r="BF25" i="2"/>
  <c r="BB25" i="2"/>
  <c r="AW31" i="2"/>
  <c r="BY29" i="2"/>
  <c r="AO30" i="2"/>
  <c r="M30" i="2"/>
  <c r="BU27" i="2"/>
  <c r="AG29" i="2"/>
  <c r="BE28" i="2"/>
  <c r="BA28" i="2"/>
  <c r="AK30" i="2"/>
  <c r="AC30" i="2"/>
  <c r="U30" i="2"/>
  <c r="AS29" i="2"/>
  <c r="I28" i="2"/>
  <c r="BM28" i="2"/>
  <c r="BQ30" i="2"/>
  <c r="BV26" i="2" l="1"/>
  <c r="I29" i="2"/>
  <c r="AW32" i="2"/>
  <c r="CB27" i="2"/>
  <c r="AX26" i="2"/>
  <c r="Z26" i="2"/>
  <c r="R26" i="2"/>
  <c r="BJ26" i="2"/>
  <c r="BR26" i="2"/>
  <c r="V26" i="2"/>
  <c r="AD26" i="2"/>
  <c r="AL26" i="2"/>
  <c r="N26" i="2"/>
  <c r="AP26" i="2"/>
  <c r="AT26" i="2"/>
  <c r="BZ26" i="2"/>
  <c r="AH26" i="2"/>
  <c r="BN26" i="2"/>
  <c r="J26" i="2"/>
  <c r="BB26" i="2"/>
  <c r="BF26" i="2"/>
  <c r="BI31" i="2"/>
  <c r="AS30" i="2"/>
  <c r="BY30" i="2"/>
  <c r="BQ31" i="2"/>
  <c r="BM29" i="2"/>
  <c r="U31" i="2"/>
  <c r="AC31" i="2"/>
  <c r="AK31" i="2"/>
  <c r="BA29" i="2"/>
  <c r="BE29" i="2"/>
  <c r="AG30" i="2"/>
  <c r="BU28" i="2"/>
  <c r="M31" i="2"/>
  <c r="AO31" i="2"/>
  <c r="Y31" i="2"/>
  <c r="Q31" i="2"/>
  <c r="BV27" i="2" l="1"/>
  <c r="Y32" i="2"/>
  <c r="AO32" i="2"/>
  <c r="AK32" i="2"/>
  <c r="U32" i="2"/>
  <c r="BM30" i="2"/>
  <c r="BQ32" i="2"/>
  <c r="BY31" i="2"/>
  <c r="AS31" i="2"/>
  <c r="BI32" i="2"/>
  <c r="CB28" i="2"/>
  <c r="AX27" i="2"/>
  <c r="BR27" i="2"/>
  <c r="BJ27" i="2"/>
  <c r="R27" i="2"/>
  <c r="Z27" i="2"/>
  <c r="AP27" i="2"/>
  <c r="N27" i="2"/>
  <c r="AL27" i="2"/>
  <c r="AD27" i="2"/>
  <c r="V27" i="2"/>
  <c r="AT27" i="2"/>
  <c r="AH27" i="2"/>
  <c r="BZ27" i="2"/>
  <c r="J27" i="2"/>
  <c r="BB27" i="2"/>
  <c r="BN27" i="2"/>
  <c r="BF27" i="2"/>
  <c r="Q32" i="2"/>
  <c r="M32" i="2"/>
  <c r="BU29" i="2"/>
  <c r="AG31" i="2"/>
  <c r="BE30" i="2"/>
  <c r="BA30" i="2"/>
  <c r="AC32" i="2"/>
  <c r="AW33" i="2"/>
  <c r="I30" i="2"/>
  <c r="BV28" i="2" l="1"/>
  <c r="I31" i="2"/>
  <c r="AW34" i="2"/>
  <c r="AC33" i="2"/>
  <c r="Q33" i="2"/>
  <c r="CB29" i="2"/>
  <c r="AX28" i="2"/>
  <c r="Z28" i="2"/>
  <c r="R28" i="2"/>
  <c r="BJ28" i="2"/>
  <c r="BR28" i="2"/>
  <c r="V28" i="2"/>
  <c r="AD28" i="2"/>
  <c r="AL28" i="2"/>
  <c r="N28" i="2"/>
  <c r="AP28" i="2"/>
  <c r="BZ28" i="2"/>
  <c r="AT28" i="2"/>
  <c r="AH28" i="2"/>
  <c r="BN28" i="2"/>
  <c r="J28" i="2"/>
  <c r="BB28" i="2"/>
  <c r="BF28" i="2"/>
  <c r="BA31" i="2"/>
  <c r="BE31" i="2"/>
  <c r="AG32" i="2"/>
  <c r="BU30" i="2"/>
  <c r="M33" i="2"/>
  <c r="BI33" i="2"/>
  <c r="AS32" i="2"/>
  <c r="BY32" i="2"/>
  <c r="BQ33" i="2"/>
  <c r="BM31" i="2"/>
  <c r="U33" i="2"/>
  <c r="AK33" i="2"/>
  <c r="AO33" i="2"/>
  <c r="Y33" i="2"/>
  <c r="BV29" i="2" l="1"/>
  <c r="Y34" i="2"/>
  <c r="AO34" i="2"/>
  <c r="AK34" i="2"/>
  <c r="U34" i="2"/>
  <c r="BM32" i="2"/>
  <c r="BQ34" i="2"/>
  <c r="BY33" i="2"/>
  <c r="AS33" i="2"/>
  <c r="BI34" i="2"/>
  <c r="BE32" i="2"/>
  <c r="CB30" i="2"/>
  <c r="AX29" i="2"/>
  <c r="BJ29" i="2"/>
  <c r="AP29" i="2"/>
  <c r="AL29" i="2"/>
  <c r="AD29" i="2"/>
  <c r="V29" i="2"/>
  <c r="BR29" i="2"/>
  <c r="R29" i="2"/>
  <c r="Z29" i="2"/>
  <c r="N29" i="2"/>
  <c r="AT29" i="2"/>
  <c r="BZ29" i="2"/>
  <c r="AH29" i="2"/>
  <c r="J29" i="2"/>
  <c r="BN29" i="2"/>
  <c r="BF29" i="2"/>
  <c r="BB29" i="2"/>
  <c r="I32" i="2"/>
  <c r="M34" i="2"/>
  <c r="BU31" i="2"/>
  <c r="AG33" i="2"/>
  <c r="BA32" i="2"/>
  <c r="Q34" i="2"/>
  <c r="AC34" i="2"/>
  <c r="AW35" i="2"/>
  <c r="BV30" i="2" l="1"/>
  <c r="AW36" i="2"/>
  <c r="AC35" i="2"/>
  <c r="Q35" i="2"/>
  <c r="I33" i="2"/>
  <c r="CB31" i="2"/>
  <c r="AX30" i="2"/>
  <c r="BJ30" i="2"/>
  <c r="BR30" i="2"/>
  <c r="V30" i="2"/>
  <c r="AL30" i="2"/>
  <c r="AP30" i="2"/>
  <c r="Z30" i="2"/>
  <c r="R30" i="2"/>
  <c r="AD30" i="2"/>
  <c r="N30" i="2"/>
  <c r="BZ30" i="2"/>
  <c r="AT30" i="2"/>
  <c r="AH30" i="2"/>
  <c r="J30" i="2"/>
  <c r="BF30" i="2"/>
  <c r="BN30" i="2"/>
  <c r="BB30" i="2"/>
  <c r="BE33" i="2"/>
  <c r="BA33" i="2"/>
  <c r="AG34" i="2"/>
  <c r="BU32" i="2"/>
  <c r="M35" i="2"/>
  <c r="BI35" i="2"/>
  <c r="AS34" i="2"/>
  <c r="BY34" i="2"/>
  <c r="BQ35" i="2"/>
  <c r="BM33" i="2"/>
  <c r="U35" i="2"/>
  <c r="AK35" i="2"/>
  <c r="AO35" i="2"/>
  <c r="Y35" i="2"/>
  <c r="BV31" i="2" l="1"/>
  <c r="AO36" i="2"/>
  <c r="AK36" i="2"/>
  <c r="U36" i="2"/>
  <c r="BM34" i="2"/>
  <c r="BQ36" i="2"/>
  <c r="BY35" i="2"/>
  <c r="AS35" i="2"/>
  <c r="BI36" i="2"/>
  <c r="CB32" i="2"/>
  <c r="AX31" i="2"/>
  <c r="R31" i="2"/>
  <c r="AD31" i="2"/>
  <c r="Z31" i="2"/>
  <c r="AP31" i="2"/>
  <c r="AL31" i="2"/>
  <c r="V31" i="2"/>
  <c r="BR31" i="2"/>
  <c r="BJ31" i="2"/>
  <c r="N31" i="2"/>
  <c r="AT31" i="2"/>
  <c r="BZ31" i="2"/>
  <c r="AH31" i="2"/>
  <c r="BF31" i="2"/>
  <c r="J31" i="2"/>
  <c r="BN31" i="2"/>
  <c r="BB31" i="2"/>
  <c r="AW37" i="2"/>
  <c r="Y36" i="2"/>
  <c r="M36" i="2"/>
  <c r="BU33" i="2"/>
  <c r="AG35" i="2"/>
  <c r="BA34" i="2"/>
  <c r="BE34" i="2"/>
  <c r="I34" i="2"/>
  <c r="Q36" i="2"/>
  <c r="AC36" i="2"/>
  <c r="BV32" i="2" l="1"/>
  <c r="I35" i="2"/>
  <c r="BA35" i="2"/>
  <c r="M37" i="2"/>
  <c r="AW38" i="2"/>
  <c r="CB33" i="2"/>
  <c r="AX32" i="2"/>
  <c r="BJ32" i="2"/>
  <c r="BR32" i="2"/>
  <c r="V32" i="2"/>
  <c r="AL32" i="2"/>
  <c r="AP32" i="2"/>
  <c r="Z32" i="2"/>
  <c r="AD32" i="2"/>
  <c r="R32" i="2"/>
  <c r="N32" i="2"/>
  <c r="BZ32" i="2"/>
  <c r="AT32" i="2"/>
  <c r="AH32" i="2"/>
  <c r="BN32" i="2"/>
  <c r="J32" i="2"/>
  <c r="BF32" i="2"/>
  <c r="BB32" i="2"/>
  <c r="AK37" i="2"/>
  <c r="AO37" i="2"/>
  <c r="AC37" i="2"/>
  <c r="Q37" i="2"/>
  <c r="BE35" i="2"/>
  <c r="AG36" i="2"/>
  <c r="BU34" i="2"/>
  <c r="Y37" i="2"/>
  <c r="BI37" i="2"/>
  <c r="AS36" i="2"/>
  <c r="BY36" i="2"/>
  <c r="BQ37" i="2"/>
  <c r="BM35" i="2"/>
  <c r="U37" i="2"/>
  <c r="BV33" i="2" l="1"/>
  <c r="BM36" i="2"/>
  <c r="BY37" i="2"/>
  <c r="BI38" i="2"/>
  <c r="Y38" i="2"/>
  <c r="Q38" i="2"/>
  <c r="AC38" i="2"/>
  <c r="AO38" i="2"/>
  <c r="AK38" i="2"/>
  <c r="CB34" i="2"/>
  <c r="AX33" i="2"/>
  <c r="R33" i="2"/>
  <c r="AD33" i="2"/>
  <c r="Z33" i="2"/>
  <c r="AP33" i="2"/>
  <c r="AL33" i="2"/>
  <c r="V33" i="2"/>
  <c r="BR33" i="2"/>
  <c r="BJ33" i="2"/>
  <c r="N33" i="2"/>
  <c r="AT33" i="2"/>
  <c r="BZ33" i="2"/>
  <c r="AH33" i="2"/>
  <c r="BB33" i="2"/>
  <c r="J33" i="2"/>
  <c r="BN33" i="2"/>
  <c r="BF33" i="2"/>
  <c r="BA36" i="2"/>
  <c r="U38" i="2"/>
  <c r="BQ38" i="2"/>
  <c r="AS37" i="2"/>
  <c r="BU35" i="2"/>
  <c r="AG37" i="2"/>
  <c r="BE36" i="2"/>
  <c r="AW39" i="2"/>
  <c r="M38" i="2"/>
  <c r="I36" i="2"/>
  <c r="BV34" i="2" l="1"/>
  <c r="I37" i="2"/>
  <c r="M39" i="2"/>
  <c r="AS38" i="2"/>
  <c r="BQ39" i="2"/>
  <c r="U39" i="2"/>
  <c r="BA37" i="2"/>
  <c r="CB35" i="2"/>
  <c r="AX34" i="2"/>
  <c r="BJ34" i="2"/>
  <c r="BR34" i="2"/>
  <c r="V34" i="2"/>
  <c r="AL34" i="2"/>
  <c r="AP34" i="2"/>
  <c r="Z34" i="2"/>
  <c r="AD34" i="2"/>
  <c r="R34" i="2"/>
  <c r="N34" i="2"/>
  <c r="BZ34" i="2"/>
  <c r="AT34" i="2"/>
  <c r="AH34" i="2"/>
  <c r="BB34" i="2"/>
  <c r="BN34" i="2"/>
  <c r="J34" i="2"/>
  <c r="BF34" i="2"/>
  <c r="BE37" i="2"/>
  <c r="AG38" i="2"/>
  <c r="BU36" i="2"/>
  <c r="AK39" i="2"/>
  <c r="AO39" i="2"/>
  <c r="AC39" i="2"/>
  <c r="Q39" i="2"/>
  <c r="Y39" i="2"/>
  <c r="BI39" i="2"/>
  <c r="BY38" i="2"/>
  <c r="BM37" i="2"/>
  <c r="BV35" i="2" l="1"/>
  <c r="BM38" i="2"/>
  <c r="CB36" i="2"/>
  <c r="AX35" i="2"/>
  <c r="AP35" i="2"/>
  <c r="AL35" i="2"/>
  <c r="N35" i="2"/>
  <c r="AD35" i="2"/>
  <c r="V35" i="2"/>
  <c r="BR35" i="2"/>
  <c r="BJ35" i="2"/>
  <c r="Z35" i="2"/>
  <c r="R35" i="2"/>
  <c r="AT35" i="2"/>
  <c r="BZ35" i="2"/>
  <c r="AH35" i="2"/>
  <c r="BB35" i="2"/>
  <c r="J35" i="2"/>
  <c r="BN35" i="2"/>
  <c r="BF35" i="2"/>
  <c r="BY39" i="2"/>
  <c r="BU37" i="2"/>
  <c r="AG39" i="2"/>
  <c r="BE38" i="2"/>
  <c r="BA38" i="2"/>
  <c r="AS39" i="2"/>
  <c r="I38" i="2"/>
  <c r="BV36" i="2" l="1"/>
  <c r="BE39" i="2"/>
  <c r="BU38" i="2"/>
  <c r="CB37" i="2"/>
  <c r="AX36" i="2"/>
  <c r="AL36" i="2"/>
  <c r="AP36" i="2"/>
  <c r="AD36" i="2"/>
  <c r="R36" i="2"/>
  <c r="Z36" i="2"/>
  <c r="BJ36" i="2"/>
  <c r="BR36" i="2"/>
  <c r="V36" i="2"/>
  <c r="N36" i="2"/>
  <c r="AT36" i="2"/>
  <c r="BZ36" i="2"/>
  <c r="AH36" i="2"/>
  <c r="BN36" i="2"/>
  <c r="J36" i="2"/>
  <c r="BB36" i="2"/>
  <c r="BF36" i="2"/>
  <c r="I39" i="2"/>
  <c r="BA39" i="2"/>
  <c r="BM39" i="2"/>
  <c r="CB38" i="2" l="1"/>
  <c r="AX37" i="2"/>
  <c r="V37" i="2"/>
  <c r="BR37" i="2"/>
  <c r="N37" i="2"/>
  <c r="BJ37" i="2"/>
  <c r="Z37" i="2"/>
  <c r="R37" i="2"/>
  <c r="AD37" i="2"/>
  <c r="AP37" i="2"/>
  <c r="AL37" i="2"/>
  <c r="BZ37" i="2"/>
  <c r="AT37" i="2"/>
  <c r="AH37" i="2"/>
  <c r="BF37" i="2"/>
  <c r="BN37" i="2"/>
  <c r="BB37" i="2"/>
  <c r="J37" i="2"/>
  <c r="BU39" i="2"/>
  <c r="BV37" i="2"/>
  <c r="BV38" i="2" l="1"/>
  <c r="CB39" i="2"/>
  <c r="AX38" i="2"/>
  <c r="AL38" i="2"/>
  <c r="AP38" i="2"/>
  <c r="AD38" i="2"/>
  <c r="R38" i="2"/>
  <c r="Z38" i="2"/>
  <c r="N38" i="2"/>
  <c r="BR38" i="2"/>
  <c r="V38" i="2"/>
  <c r="BJ38" i="2"/>
  <c r="BZ38" i="2"/>
  <c r="AH38" i="2"/>
  <c r="AT38" i="2"/>
  <c r="BF38" i="2"/>
  <c r="BN38" i="2"/>
  <c r="J38" i="2"/>
  <c r="BB38" i="2"/>
  <c r="AX39" i="2" l="1"/>
  <c r="Z39" i="2"/>
  <c r="AL39" i="2"/>
  <c r="R39" i="2"/>
  <c r="AD39" i="2"/>
  <c r="AP39" i="2"/>
  <c r="BJ39" i="2"/>
  <c r="V39" i="2"/>
  <c r="BR39" i="2"/>
  <c r="N39" i="2"/>
  <c r="BZ39" i="2"/>
  <c r="AT39" i="2"/>
  <c r="AH39" i="2"/>
  <c r="BB39" i="2"/>
  <c r="BN39" i="2"/>
  <c r="BF39" i="2"/>
  <c r="J39" i="2"/>
  <c r="BV39" i="2"/>
  <c r="C43" i="11" l="1"/>
  <c r="C43" i="12" l="1"/>
  <c r="G42" i="13" l="1"/>
  <c r="I37" i="13" s="1"/>
  <c r="F42" i="13"/>
  <c r="C43" i="13"/>
  <c r="C43" i="16" l="1"/>
  <c r="C43" i="17" l="1"/>
  <c r="C43" i="26" l="1"/>
  <c r="C43" i="25" l="1"/>
  <c r="C43" i="31" l="1"/>
  <c r="AI153" i="46" l="1"/>
  <c r="AH153" i="46"/>
  <c r="AG153" i="46"/>
  <c r="C51" i="24" l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E40" i="1" l="1"/>
  <c r="D39" i="48" l="1"/>
  <c r="G42" i="43"/>
  <c r="I37" i="43" s="1"/>
  <c r="G42" i="4"/>
  <c r="F42" i="4"/>
  <c r="D38" i="48" s="1"/>
  <c r="E35" i="48"/>
  <c r="D35" i="48"/>
  <c r="D37" i="48"/>
  <c r="G42" i="6"/>
  <c r="F42" i="6"/>
  <c r="D36" i="48" s="1"/>
  <c r="D34" i="48"/>
  <c r="G42" i="9"/>
  <c r="I37" i="9" s="1"/>
  <c r="F42" i="9"/>
  <c r="D33" i="48" s="1"/>
  <c r="G42" i="10"/>
  <c r="I37" i="10" s="1"/>
  <c r="F42" i="10"/>
  <c r="D32" i="48" s="1"/>
  <c r="D31" i="48"/>
  <c r="D29" i="48"/>
  <c r="D30" i="48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D23" i="48"/>
  <c r="D22" i="48"/>
  <c r="D21" i="48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P8" i="45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T8" i="45"/>
  <c r="T9" i="45" s="1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4" i="13" s="1"/>
  <c r="I43" i="14"/>
  <c r="I43" i="15"/>
  <c r="I44" i="15" s="1"/>
  <c r="I43" i="16"/>
  <c r="I44" i="16" s="1"/>
  <c r="I43" i="17"/>
  <c r="I44" i="17" s="1"/>
  <c r="I43" i="18"/>
  <c r="I44" i="18" s="1"/>
  <c r="I43" i="19"/>
  <c r="I44" i="19" s="1"/>
  <c r="I43" i="20"/>
  <c r="I44" i="20" s="1"/>
  <c r="I43" i="22"/>
  <c r="I44" i="22" s="1"/>
  <c r="I43" i="21"/>
  <c r="I43" i="23"/>
  <c r="I44" i="23" s="1"/>
  <c r="I43" i="24"/>
  <c r="I44" i="24" s="1"/>
  <c r="I43" i="25"/>
  <c r="I44" i="25" s="1"/>
  <c r="I43" i="26"/>
  <c r="I44" i="26" s="1"/>
  <c r="I43" i="28"/>
  <c r="I44" i="28" s="1"/>
  <c r="I43" i="27"/>
  <c r="I44" i="27" s="1"/>
  <c r="I43" i="29"/>
  <c r="I44" i="29" s="1"/>
  <c r="I44" i="30"/>
  <c r="I43" i="30"/>
  <c r="I43" i="31"/>
  <c r="I44" i="31" s="1"/>
  <c r="I50" i="31"/>
  <c r="I43" i="32"/>
  <c r="I44" i="32" s="1"/>
  <c r="I43" i="33"/>
  <c r="J43" i="33" s="1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9" i="1"/>
  <c r="C10" i="2" s="1"/>
  <c r="B10" i="1"/>
  <c r="B11" i="1"/>
  <c r="B12" i="2" s="1"/>
  <c r="B12" i="1"/>
  <c r="B13" i="1"/>
  <c r="B14" i="2" s="1"/>
  <c r="B14" i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1"/>
  <c r="B24" i="2" s="1"/>
  <c r="B24" i="1"/>
  <c r="B25" i="1"/>
  <c r="B26" i="1"/>
  <c r="B27" i="1"/>
  <c r="B28" i="2" s="1"/>
  <c r="B28" i="1"/>
  <c r="B29" i="1"/>
  <c r="B30" i="2" s="1"/>
  <c r="B30" i="1"/>
  <c r="B31" i="1"/>
  <c r="B32" i="2" s="1"/>
  <c r="B32" i="1"/>
  <c r="B33" i="1"/>
  <c r="B34" i="2" s="1"/>
  <c r="B34" i="1"/>
  <c r="B35" i="1"/>
  <c r="B36" i="2" s="1"/>
  <c r="B36" i="1"/>
  <c r="B37" i="1"/>
  <c r="B38" i="2" s="1"/>
  <c r="B38" i="1"/>
  <c r="B9" i="1"/>
  <c r="D38" i="1"/>
  <c r="D39" i="2" s="1"/>
  <c r="D37" i="1"/>
  <c r="D38" i="2" s="1"/>
  <c r="D36" i="1"/>
  <c r="D37" i="2" s="1"/>
  <c r="D35" i="1"/>
  <c r="D36" i="2" s="1"/>
  <c r="D34" i="1"/>
  <c r="D35" i="2" s="1"/>
  <c r="D33" i="1"/>
  <c r="D34" i="2" s="1"/>
  <c r="D32" i="1"/>
  <c r="D33" i="2" s="1"/>
  <c r="D31" i="1"/>
  <c r="D32" i="2" s="1"/>
  <c r="D30" i="1"/>
  <c r="D31" i="2" s="1"/>
  <c r="D28" i="1"/>
  <c r="D29" i="2" s="1"/>
  <c r="D26" i="1"/>
  <c r="D27" i="2" s="1"/>
  <c r="D25" i="1"/>
  <c r="D26" i="2" s="1"/>
  <c r="G24" i="48"/>
  <c r="D23" i="1"/>
  <c r="D24" i="2" s="1"/>
  <c r="D22" i="1"/>
  <c r="D23" i="2" s="1"/>
  <c r="D18" i="1"/>
  <c r="D19" i="2" s="1"/>
  <c r="D16" i="1"/>
  <c r="D17" i="2" s="1"/>
  <c r="V15" i="48"/>
  <c r="V14" i="48"/>
  <c r="V11" i="48"/>
  <c r="D10" i="1"/>
  <c r="D11" i="2" s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G42" i="24"/>
  <c r="I37" i="24" s="1"/>
  <c r="F42" i="24"/>
  <c r="D18" i="48" s="1"/>
  <c r="G42" i="26"/>
  <c r="I37" i="26" s="1"/>
  <c r="F42" i="26"/>
  <c r="D16" i="48" s="1"/>
  <c r="G42" i="28"/>
  <c r="I37" i="28" s="1"/>
  <c r="F42" i="28"/>
  <c r="D15" i="48" s="1"/>
  <c r="D14" i="48"/>
  <c r="E13" i="48"/>
  <c r="D11" i="48"/>
  <c r="G42" i="33"/>
  <c r="I37" i="33" s="1"/>
  <c r="L34" i="26"/>
  <c r="K34" i="26"/>
  <c r="W42" i="58" s="1"/>
  <c r="X42" i="58" s="1"/>
  <c r="D10" i="48"/>
  <c r="D9" i="48"/>
  <c r="AY21" i="45"/>
  <c r="AX21" i="45"/>
  <c r="AY20" i="45"/>
  <c r="AX20" i="45"/>
  <c r="AY18" i="45"/>
  <c r="AX18" i="45"/>
  <c r="AY17" i="45"/>
  <c r="AX17" i="45"/>
  <c r="AY15" i="45"/>
  <c r="AX15" i="45"/>
  <c r="AY14" i="45"/>
  <c r="AX14" i="45"/>
  <c r="AY13" i="45"/>
  <c r="AX13" i="45"/>
  <c r="AY12" i="45"/>
  <c r="AX12" i="45"/>
  <c r="AY11" i="45"/>
  <c r="AX11" i="45"/>
  <c r="AY10" i="45"/>
  <c r="AX10" i="45"/>
  <c r="AD8" i="46"/>
  <c r="AN8" i="45"/>
  <c r="AN9" i="45" s="1"/>
  <c r="AN10" i="45" s="1"/>
  <c r="AN11" i="45" s="1"/>
  <c r="AN12" i="45" s="1"/>
  <c r="AN13" i="45" s="1"/>
  <c r="AN14" i="45" s="1"/>
  <c r="AN15" i="45" s="1"/>
  <c r="AN16" i="45" s="1"/>
  <c r="AN17" i="45" s="1"/>
  <c r="AN18" i="45" s="1"/>
  <c r="AN19" i="45" s="1"/>
  <c r="AN20" i="45" s="1"/>
  <c r="AN21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F8" i="45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I40" i="45"/>
  <c r="H4" i="43"/>
  <c r="K34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F32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W131" i="58" s="1"/>
  <c r="X131" i="58" s="1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4" i="11"/>
  <c r="C45" i="11"/>
  <c r="C46" i="11"/>
  <c r="C47" i="11"/>
  <c r="C48" i="11"/>
  <c r="C49" i="11"/>
  <c r="C50" i="11"/>
  <c r="I50" i="11"/>
  <c r="C51" i="11"/>
  <c r="H4" i="12"/>
  <c r="L34" i="12"/>
  <c r="C38" i="12"/>
  <c r="C39" i="12"/>
  <c r="C40" i="12"/>
  <c r="C41" i="12"/>
  <c r="C42" i="12"/>
  <c r="C44" i="12"/>
  <c r="C45" i="12"/>
  <c r="C46" i="12"/>
  <c r="C47" i="12"/>
  <c r="C48" i="12"/>
  <c r="C49" i="12"/>
  <c r="C50" i="12"/>
  <c r="C51" i="12"/>
  <c r="H4" i="13"/>
  <c r="K34" i="13"/>
  <c r="W105" i="58" s="1"/>
  <c r="X105" i="58" s="1"/>
  <c r="L34" i="13"/>
  <c r="C38" i="13"/>
  <c r="C39" i="13"/>
  <c r="C40" i="13"/>
  <c r="C41" i="13"/>
  <c r="C42" i="13"/>
  <c r="C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I44" i="14"/>
  <c r="C45" i="14"/>
  <c r="C46" i="14"/>
  <c r="C47" i="14"/>
  <c r="C48" i="14"/>
  <c r="C49" i="14"/>
  <c r="C50" i="14"/>
  <c r="I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I50" i="16"/>
  <c r="C51" i="16"/>
  <c r="H4" i="17"/>
  <c r="L34" i="17"/>
  <c r="C38" i="17"/>
  <c r="C39" i="17"/>
  <c r="C40" i="17"/>
  <c r="C41" i="17"/>
  <c r="C42" i="17"/>
  <c r="C44" i="17"/>
  <c r="C45" i="17"/>
  <c r="C46" i="17"/>
  <c r="C47" i="17"/>
  <c r="C48" i="17"/>
  <c r="C49" i="17"/>
  <c r="C50" i="17"/>
  <c r="I50" i="17"/>
  <c r="C51" i="17"/>
  <c r="H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L34" i="21"/>
  <c r="C38" i="21"/>
  <c r="C39" i="21"/>
  <c r="C40" i="21"/>
  <c r="C41" i="21"/>
  <c r="C42" i="21"/>
  <c r="C43" i="21"/>
  <c r="C44" i="21"/>
  <c r="I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H4" i="25"/>
  <c r="K34" i="25"/>
  <c r="L34" i="25"/>
  <c r="C38" i="25"/>
  <c r="C39" i="25"/>
  <c r="C40" i="25"/>
  <c r="C41" i="25"/>
  <c r="C42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I50" i="26"/>
  <c r="C51" i="26"/>
  <c r="H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H4" i="30"/>
  <c r="L34" i="30"/>
  <c r="C38" i="30"/>
  <c r="C39" i="30"/>
  <c r="C40" i="30"/>
  <c r="C41" i="30"/>
  <c r="C42" i="30"/>
  <c r="C43" i="30"/>
  <c r="C44" i="30"/>
  <c r="C46" i="30"/>
  <c r="C47" i="30"/>
  <c r="C48" i="30"/>
  <c r="C49" i="30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C50" i="31"/>
  <c r="C51" i="31"/>
  <c r="H4" i="32"/>
  <c r="J7" i="3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29"/>
  <c r="J8" i="27" s="1"/>
  <c r="J10" i="32"/>
  <c r="J10" i="31" s="1"/>
  <c r="J10" i="29" s="1"/>
  <c r="J10" i="27" s="1"/>
  <c r="J10" i="28" s="1"/>
  <c r="J10" i="26" s="1"/>
  <c r="J10" i="25" s="1"/>
  <c r="J10" i="24" s="1"/>
  <c r="J10" i="23" s="1"/>
  <c r="J10" i="21" s="1"/>
  <c r="J10" i="22" s="1"/>
  <c r="J10" i="20" s="1"/>
  <c r="J10" i="19" s="1"/>
  <c r="J10" i="18" s="1"/>
  <c r="J10" i="17" s="1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9" i="33"/>
  <c r="M9" i="32" s="1"/>
  <c r="M9" i="31" s="1"/>
  <c r="M9" i="30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1" i="33"/>
  <c r="M11" i="32" s="1"/>
  <c r="M11" i="31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7" i="33"/>
  <c r="M17" i="32" s="1"/>
  <c r="M17" i="31" s="1"/>
  <c r="M17" i="30" s="1"/>
  <c r="M17" i="29" s="1"/>
  <c r="M17" i="27" s="1"/>
  <c r="M17" i="28" s="1"/>
  <c r="M17" i="26" s="1"/>
  <c r="M17" i="25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F34" i="33" s="1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E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J49" i="32" s="1"/>
  <c r="C50" i="33"/>
  <c r="D50" i="33" s="1"/>
  <c r="E50" i="33" s="1"/>
  <c r="I50" i="33"/>
  <c r="C51" i="33"/>
  <c r="D51" i="33" s="1"/>
  <c r="E51" i="33" s="1"/>
  <c r="AD7" i="46"/>
  <c r="AA151" i="46"/>
  <c r="AC151" i="46"/>
  <c r="AA152" i="46"/>
  <c r="AC152" i="46"/>
  <c r="Q153" i="46"/>
  <c r="Q154" i="46" s="1"/>
  <c r="R153" i="46"/>
  <c r="Y153" i="46"/>
  <c r="Y155" i="46" s="1"/>
  <c r="AJ153" i="46"/>
  <c r="AK153" i="46"/>
  <c r="AO153" i="46"/>
  <c r="AP153" i="46"/>
  <c r="AS153" i="46"/>
  <c r="M40" i="45"/>
  <c r="Q40" i="45"/>
  <c r="U40" i="45"/>
  <c r="Y40" i="45"/>
  <c r="AC40" i="45"/>
  <c r="AG40" i="45"/>
  <c r="AK40" i="45"/>
  <c r="AO40" i="45"/>
  <c r="I50" i="29"/>
  <c r="I50" i="27"/>
  <c r="AN153" i="46"/>
  <c r="AF153" i="46"/>
  <c r="I50" i="30"/>
  <c r="I50" i="12"/>
  <c r="I50" i="25"/>
  <c r="I50" i="24"/>
  <c r="I50" i="23"/>
  <c r="I50" i="21"/>
  <c r="I50" i="8"/>
  <c r="I50" i="37"/>
  <c r="I50" i="43"/>
  <c r="I50" i="10"/>
  <c r="I50" i="9"/>
  <c r="I50" i="7"/>
  <c r="N6" i="46"/>
  <c r="A10" i="1"/>
  <c r="V12" i="48"/>
  <c r="V13" i="48"/>
  <c r="Q9" i="48"/>
  <c r="T41" i="48"/>
  <c r="V9" i="48"/>
  <c r="V25" i="48"/>
  <c r="V17" i="48"/>
  <c r="V19" i="48"/>
  <c r="V21" i="48"/>
  <c r="H21" i="48"/>
  <c r="B24" i="45"/>
  <c r="N24" i="45" s="1"/>
  <c r="V27" i="48"/>
  <c r="V28" i="48"/>
  <c r="B27" i="45"/>
  <c r="AL27" i="45" s="1"/>
  <c r="B28" i="45"/>
  <c r="AP28" i="45" s="1"/>
  <c r="G19" i="48"/>
  <c r="G25" i="48"/>
  <c r="V33" i="48"/>
  <c r="B32" i="45"/>
  <c r="AH32" i="45" s="1"/>
  <c r="H17" i="48"/>
  <c r="H22" i="48"/>
  <c r="V34" i="48"/>
  <c r="B33" i="45"/>
  <c r="G33" i="48"/>
  <c r="V35" i="48"/>
  <c r="B34" i="45"/>
  <c r="R34" i="45" s="1"/>
  <c r="V37" i="48"/>
  <c r="B36" i="45"/>
  <c r="R36" i="45" s="1"/>
  <c r="V36" i="48"/>
  <c r="B35" i="45"/>
  <c r="Z35" i="45" s="1"/>
  <c r="G36" i="48"/>
  <c r="G37" i="48"/>
  <c r="G17" i="48"/>
  <c r="G27" i="48"/>
  <c r="E28" i="48"/>
  <c r="E23" i="48"/>
  <c r="G20" i="48"/>
  <c r="V20" i="48"/>
  <c r="H27" i="48"/>
  <c r="H13" i="48"/>
  <c r="H36" i="48"/>
  <c r="W140" i="58" l="1"/>
  <c r="W140" i="46"/>
  <c r="W131" i="46"/>
  <c r="W105" i="46"/>
  <c r="W42" i="46"/>
  <c r="F23" i="48"/>
  <c r="BD155" i="46"/>
  <c r="BB155" i="46"/>
  <c r="BE155" i="46"/>
  <c r="BF155" i="46"/>
  <c r="BC155" i="46"/>
  <c r="E36" i="48"/>
  <c r="F36" i="48" s="1"/>
  <c r="J26" i="31"/>
  <c r="J26" i="30" s="1"/>
  <c r="J26" i="29" s="1"/>
  <c r="J26" i="27" s="1"/>
  <c r="J26" i="28" s="1"/>
  <c r="J26" i="26" s="1"/>
  <c r="J18" i="31"/>
  <c r="J18" i="30" s="1"/>
  <c r="J18" i="29" s="1"/>
  <c r="J18" i="27" s="1"/>
  <c r="J18" i="28" s="1"/>
  <c r="J25" i="31"/>
  <c r="J25" i="30" s="1"/>
  <c r="J25" i="29" s="1"/>
  <c r="J25" i="27" s="1"/>
  <c r="J25" i="28" s="1"/>
  <c r="J25" i="26" s="1"/>
  <c r="J17" i="31"/>
  <c r="J17" i="30" s="1"/>
  <c r="J17" i="29" s="1"/>
  <c r="J17" i="27" s="1"/>
  <c r="J17" i="28" s="1"/>
  <c r="J32" i="31"/>
  <c r="J32" i="30" s="1"/>
  <c r="J32" i="29" s="1"/>
  <c r="J32" i="27" s="1"/>
  <c r="J32" i="28" s="1"/>
  <c r="J32" i="26" s="1"/>
  <c r="J24" i="31"/>
  <c r="J24" i="30" s="1"/>
  <c r="J24" i="29" s="1"/>
  <c r="J24" i="27" s="1"/>
  <c r="J24" i="28" s="1"/>
  <c r="J24" i="26" s="1"/>
  <c r="J16" i="31"/>
  <c r="J16" i="30" s="1"/>
  <c r="J16" i="29" s="1"/>
  <c r="J16" i="27" s="1"/>
  <c r="J16" i="28" s="1"/>
  <c r="J16" i="26" s="1"/>
  <c r="J16" i="24" s="1"/>
  <c r="J16" i="23" s="1"/>
  <c r="J31" i="31"/>
  <c r="J31" i="30" s="1"/>
  <c r="J31" i="29" s="1"/>
  <c r="J31" i="27" s="1"/>
  <c r="J31" i="28" s="1"/>
  <c r="J31" i="26" s="1"/>
  <c r="J23" i="31"/>
  <c r="J23" i="30" s="1"/>
  <c r="J23" i="29" s="1"/>
  <c r="J23" i="27" s="1"/>
  <c r="J23" i="28" s="1"/>
  <c r="J23" i="26" s="1"/>
  <c r="J23" i="25" s="1"/>
  <c r="J23" i="24" s="1"/>
  <c r="J15" i="31"/>
  <c r="J15" i="30" s="1"/>
  <c r="J15" i="29" s="1"/>
  <c r="J30" i="31"/>
  <c r="J30" i="30" s="1"/>
  <c r="J30" i="29" s="1"/>
  <c r="J30" i="27" s="1"/>
  <c r="J30" i="28" s="1"/>
  <c r="J30" i="26" s="1"/>
  <c r="J22" i="31"/>
  <c r="J22" i="30" s="1"/>
  <c r="J22" i="29" s="1"/>
  <c r="J22" i="27" s="1"/>
  <c r="J22" i="28" s="1"/>
  <c r="J22" i="26" s="1"/>
  <c r="J14" i="31"/>
  <c r="J14" i="30" s="1"/>
  <c r="J14" i="29" s="1"/>
  <c r="J29" i="31"/>
  <c r="J29" i="30" s="1"/>
  <c r="J29" i="29" s="1"/>
  <c r="J29" i="27" s="1"/>
  <c r="J29" i="28" s="1"/>
  <c r="J29" i="26" s="1"/>
  <c r="J21" i="31"/>
  <c r="J21" i="30" s="1"/>
  <c r="J21" i="29" s="1"/>
  <c r="J21" i="27" s="1"/>
  <c r="J21" i="28" s="1"/>
  <c r="J13" i="31"/>
  <c r="J13" i="30" s="1"/>
  <c r="J13" i="27" s="1"/>
  <c r="J28" i="31"/>
  <c r="J28" i="30" s="1"/>
  <c r="J28" i="29" s="1"/>
  <c r="J28" i="27" s="1"/>
  <c r="J28" i="28" s="1"/>
  <c r="J28" i="26" s="1"/>
  <c r="J20" i="31"/>
  <c r="J20" i="30" s="1"/>
  <c r="J20" i="29" s="1"/>
  <c r="J20" i="27" s="1"/>
  <c r="J20" i="28" s="1"/>
  <c r="J12" i="31"/>
  <c r="J12" i="29" s="1"/>
  <c r="J12" i="27" s="1"/>
  <c r="J12" i="28" s="1"/>
  <c r="J12" i="26" s="1"/>
  <c r="J12" i="25" s="1"/>
  <c r="J12" i="24" s="1"/>
  <c r="J12" i="23" s="1"/>
  <c r="J12" i="21" s="1"/>
  <c r="J12" i="22" s="1"/>
  <c r="J12" i="20" s="1"/>
  <c r="J12" i="19" s="1"/>
  <c r="J12" i="18" s="1"/>
  <c r="J12" i="17" s="1"/>
  <c r="J27" i="31"/>
  <c r="J27" i="30" s="1"/>
  <c r="J27" i="29" s="1"/>
  <c r="J27" i="27" s="1"/>
  <c r="J27" i="28" s="1"/>
  <c r="J27" i="26" s="1"/>
  <c r="J19" i="31"/>
  <c r="J19" i="30" s="1"/>
  <c r="J19" i="29" s="1"/>
  <c r="J19" i="27" s="1"/>
  <c r="J19" i="28" s="1"/>
  <c r="J11" i="31"/>
  <c r="J11" i="29" s="1"/>
  <c r="J11" i="27" s="1"/>
  <c r="J11" i="28" s="1"/>
  <c r="J11" i="26" s="1"/>
  <c r="J11" i="25" s="1"/>
  <c r="J11" i="24" s="1"/>
  <c r="J11" i="23" s="1"/>
  <c r="J11" i="21" s="1"/>
  <c r="J11" i="22" s="1"/>
  <c r="J11" i="20" s="1"/>
  <c r="J11" i="19" s="1"/>
  <c r="J11" i="18" s="1"/>
  <c r="J11" i="17" s="1"/>
  <c r="E30" i="48"/>
  <c r="F30" i="48" s="1"/>
  <c r="F25" i="48"/>
  <c r="J32" i="9"/>
  <c r="J32" i="8" s="1"/>
  <c r="J32" i="7" s="1"/>
  <c r="J32" i="6" s="1"/>
  <c r="J32" i="37" s="1"/>
  <c r="J32" i="4" s="1"/>
  <c r="J32" i="43" s="1"/>
  <c r="AR153" i="46"/>
  <c r="BA153" i="46"/>
  <c r="R155" i="46" s="1"/>
  <c r="F17" i="48"/>
  <c r="I40" i="43"/>
  <c r="R39" i="48" s="1"/>
  <c r="J39" i="48" s="1"/>
  <c r="E15" i="48"/>
  <c r="F15" i="48" s="1"/>
  <c r="P22" i="45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K34" i="19"/>
  <c r="I40" i="19" s="1"/>
  <c r="R23" i="48" s="1"/>
  <c r="F18" i="59" s="1"/>
  <c r="L22" i="45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AB22" i="45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H22" i="45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AF22" i="45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AJ22" i="45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AN22" i="45"/>
  <c r="AN23" i="45" s="1"/>
  <c r="AN24" i="45" s="1"/>
  <c r="AN25" i="45" s="1"/>
  <c r="AN26" i="45" s="1"/>
  <c r="AN27" i="45" s="1"/>
  <c r="AN28" i="45" s="1"/>
  <c r="AN29" i="45" s="1"/>
  <c r="AN30" i="45" s="1"/>
  <c r="AN31" i="45" s="1"/>
  <c r="AN32" i="45" s="1"/>
  <c r="AN33" i="45" s="1"/>
  <c r="AN34" i="45" s="1"/>
  <c r="AN35" i="45" s="1"/>
  <c r="AN36" i="45" s="1"/>
  <c r="AN37" i="45" s="1"/>
  <c r="AN38" i="45" s="1"/>
  <c r="X22" i="45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T22" i="45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F34" i="4"/>
  <c r="D24" i="4"/>
  <c r="K34" i="10"/>
  <c r="V24" i="48"/>
  <c r="J8" i="28"/>
  <c r="J8" i="26" s="1"/>
  <c r="J8" i="25" s="1"/>
  <c r="J8" i="24" s="1"/>
  <c r="J8" i="23" s="1"/>
  <c r="J8" i="21" s="1"/>
  <c r="J8" i="22" s="1"/>
  <c r="J8" i="20" s="1"/>
  <c r="K34" i="28"/>
  <c r="I40" i="28" s="1"/>
  <c r="R15" i="48" s="1"/>
  <c r="F10" i="59" s="1"/>
  <c r="K34" i="14"/>
  <c r="W101" i="58" s="1"/>
  <c r="X101" i="58" s="1"/>
  <c r="I40" i="8"/>
  <c r="V22" i="48"/>
  <c r="B21" i="45"/>
  <c r="AD21" i="45" s="1"/>
  <c r="B37" i="45"/>
  <c r="AL37" i="45" s="1"/>
  <c r="V30" i="48"/>
  <c r="C24" i="4"/>
  <c r="G22" i="48"/>
  <c r="G30" i="48"/>
  <c r="F13" i="48"/>
  <c r="K34" i="7"/>
  <c r="I40" i="7" s="1"/>
  <c r="E15" i="4"/>
  <c r="H32" i="48"/>
  <c r="G32" i="48"/>
  <c r="E27" i="48"/>
  <c r="F27" i="48" s="1"/>
  <c r="B31" i="45"/>
  <c r="V31" i="45" s="1"/>
  <c r="V32" i="48"/>
  <c r="D34" i="4"/>
  <c r="C33" i="33"/>
  <c r="D15" i="4"/>
  <c r="C52" i="14"/>
  <c r="C53" i="14" s="1"/>
  <c r="AY19" i="45"/>
  <c r="B29" i="45"/>
  <c r="J29" i="45" s="1"/>
  <c r="K34" i="20"/>
  <c r="H38" i="48"/>
  <c r="V38" i="48"/>
  <c r="H30" i="48"/>
  <c r="J57" i="23"/>
  <c r="C52" i="6"/>
  <c r="C53" i="6" s="1"/>
  <c r="C33" i="4"/>
  <c r="AX19" i="45"/>
  <c r="C52" i="37"/>
  <c r="C53" i="37" s="1"/>
  <c r="C52" i="4"/>
  <c r="C53" i="4" s="1"/>
  <c r="C34" i="4"/>
  <c r="C52" i="43"/>
  <c r="C53" i="43" s="1"/>
  <c r="C52" i="16"/>
  <c r="C53" i="16" s="1"/>
  <c r="C52" i="13"/>
  <c r="C53" i="13" s="1"/>
  <c r="C52" i="25"/>
  <c r="C53" i="25" s="1"/>
  <c r="K34" i="21"/>
  <c r="C52" i="22"/>
  <c r="C53" i="22" s="1"/>
  <c r="V28" i="45"/>
  <c r="N35" i="45"/>
  <c r="B30" i="45"/>
  <c r="J30" i="45" s="1"/>
  <c r="E33" i="33"/>
  <c r="V31" i="48"/>
  <c r="J50" i="32"/>
  <c r="H39" i="48"/>
  <c r="E33" i="4"/>
  <c r="H23" i="48"/>
  <c r="B38" i="45"/>
  <c r="N38" i="45" s="1"/>
  <c r="V39" i="48"/>
  <c r="N34" i="45"/>
  <c r="G15" i="48"/>
  <c r="K34" i="24"/>
  <c r="I40" i="24" s="1"/>
  <c r="R18" i="48" s="1"/>
  <c r="F13" i="59" s="1"/>
  <c r="AY16" i="45"/>
  <c r="AH34" i="45"/>
  <c r="H31" i="48"/>
  <c r="V23" i="48"/>
  <c r="I44" i="33"/>
  <c r="AD153" i="46"/>
  <c r="AP36" i="45"/>
  <c r="E34" i="33"/>
  <c r="J57" i="33" s="1"/>
  <c r="C52" i="18"/>
  <c r="C53" i="18" s="1"/>
  <c r="D33" i="4"/>
  <c r="C52" i="15"/>
  <c r="C53" i="15" s="1"/>
  <c r="I40" i="6"/>
  <c r="J38" i="31"/>
  <c r="J38" i="30" s="1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L6" i="47" s="1"/>
  <c r="K6" i="46"/>
  <c r="L9" i="48" s="1"/>
  <c r="W9" i="48"/>
  <c r="J43" i="32"/>
  <c r="J43" i="31" s="1"/>
  <c r="J35" i="45"/>
  <c r="R35" i="45"/>
  <c r="AD34" i="45"/>
  <c r="J34" i="45"/>
  <c r="AD32" i="45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26" i="2"/>
  <c r="B10" i="2"/>
  <c r="B11" i="2"/>
  <c r="A11" i="1"/>
  <c r="A12" i="2" s="1"/>
  <c r="A11" i="2"/>
  <c r="C52" i="12"/>
  <c r="C53" i="12" s="1"/>
  <c r="C52" i="9"/>
  <c r="C53" i="9" s="1"/>
  <c r="C52" i="7"/>
  <c r="C53" i="7" s="1"/>
  <c r="C52" i="8"/>
  <c r="C53" i="8" s="1"/>
  <c r="K34" i="9"/>
  <c r="W127" i="58" s="1"/>
  <c r="X127" i="58" s="1"/>
  <c r="N32" i="45"/>
  <c r="C52" i="10"/>
  <c r="C53" i="10" s="1"/>
  <c r="AP35" i="45"/>
  <c r="R33" i="45"/>
  <c r="V32" i="45"/>
  <c r="J32" i="45"/>
  <c r="N27" i="45"/>
  <c r="J27" i="45"/>
  <c r="S153" i="46"/>
  <c r="G39" i="48"/>
  <c r="F28" i="48"/>
  <c r="K34" i="16"/>
  <c r="K34" i="17"/>
  <c r="C52" i="17"/>
  <c r="C53" i="17" s="1"/>
  <c r="E24" i="48"/>
  <c r="C52" i="19"/>
  <c r="C53" i="19" s="1"/>
  <c r="C52" i="20"/>
  <c r="C53" i="20" s="1"/>
  <c r="C52" i="21"/>
  <c r="C53" i="21" s="1"/>
  <c r="C52" i="23"/>
  <c r="C53" i="23" s="1"/>
  <c r="I40" i="25"/>
  <c r="R17" i="48" s="1"/>
  <c r="F12" i="59" s="1"/>
  <c r="B17" i="45"/>
  <c r="V18" i="48"/>
  <c r="H18" i="48"/>
  <c r="E18" i="48"/>
  <c r="I40" i="26"/>
  <c r="R16" i="48" s="1"/>
  <c r="F11" i="59" s="1"/>
  <c r="C52" i="28"/>
  <c r="C53" i="28" s="1"/>
  <c r="C52" i="27"/>
  <c r="C53" i="27" s="1"/>
  <c r="AD35" i="45"/>
  <c r="AH35" i="45"/>
  <c r="V35" i="45"/>
  <c r="N36" i="45"/>
  <c r="AD33" i="45"/>
  <c r="R27" i="45"/>
  <c r="AH27" i="45"/>
  <c r="AD27" i="45"/>
  <c r="D34" i="33"/>
  <c r="Z6" i="58" s="1"/>
  <c r="I40" i="13"/>
  <c r="R29" i="48" s="1"/>
  <c r="F24" i="59" s="1"/>
  <c r="E14" i="48"/>
  <c r="E19" i="48"/>
  <c r="J50" i="33"/>
  <c r="E32" i="48"/>
  <c r="C52" i="29"/>
  <c r="C53" i="29" s="1"/>
  <c r="G11" i="48"/>
  <c r="C52" i="30"/>
  <c r="C53" i="30" s="1"/>
  <c r="M8" i="33"/>
  <c r="C34" i="33"/>
  <c r="K7" i="33" s="1"/>
  <c r="G10" i="48"/>
  <c r="H24" i="48"/>
  <c r="G12" i="48"/>
  <c r="H20" i="48"/>
  <c r="G34" i="48"/>
  <c r="G29" i="48"/>
  <c r="G14" i="48"/>
  <c r="H15" i="48"/>
  <c r="H14" i="48"/>
  <c r="G21" i="48"/>
  <c r="H28" i="48"/>
  <c r="G23" i="48"/>
  <c r="H19" i="48"/>
  <c r="AM153" i="46"/>
  <c r="G18" i="48"/>
  <c r="H35" i="48"/>
  <c r="H34" i="48"/>
  <c r="R154" i="46"/>
  <c r="J44" i="33"/>
  <c r="C52" i="33"/>
  <c r="C53" i="33" s="1"/>
  <c r="E40" i="33"/>
  <c r="D40" i="32"/>
  <c r="E40" i="32" s="1"/>
  <c r="D52" i="33"/>
  <c r="D53" i="33" s="1"/>
  <c r="E38" i="33"/>
  <c r="D50" i="32"/>
  <c r="D50" i="31" s="1"/>
  <c r="D50" i="30" s="1"/>
  <c r="E50" i="30" s="1"/>
  <c r="D48" i="32"/>
  <c r="E48" i="32" s="1"/>
  <c r="D46" i="32"/>
  <c r="E46" i="32" s="1"/>
  <c r="D43" i="32"/>
  <c r="E43" i="32" s="1"/>
  <c r="D41" i="32"/>
  <c r="E41" i="32" s="1"/>
  <c r="D39" i="32"/>
  <c r="D39" i="31" s="1"/>
  <c r="D51" i="32"/>
  <c r="E51" i="32" s="1"/>
  <c r="D49" i="32"/>
  <c r="E49" i="32" s="1"/>
  <c r="D47" i="32"/>
  <c r="E47" i="32" s="1"/>
  <c r="D45" i="32"/>
  <c r="E45" i="32" s="1"/>
  <c r="D44" i="32"/>
  <c r="E44" i="32" s="1"/>
  <c r="D42" i="32"/>
  <c r="E42" i="32" s="1"/>
  <c r="D38" i="32"/>
  <c r="E38" i="32" s="1"/>
  <c r="Q10" i="48"/>
  <c r="W10" i="48" s="1"/>
  <c r="V10" i="48"/>
  <c r="C52" i="32"/>
  <c r="C53" i="32" s="1"/>
  <c r="C52" i="31"/>
  <c r="C53" i="31" s="1"/>
  <c r="AL35" i="45"/>
  <c r="Z34" i="45"/>
  <c r="AL34" i="45"/>
  <c r="V34" i="45"/>
  <c r="AP34" i="45"/>
  <c r="V27" i="45"/>
  <c r="AP27" i="45"/>
  <c r="Z27" i="45"/>
  <c r="H10" i="48"/>
  <c r="AP24" i="45"/>
  <c r="D33" i="33"/>
  <c r="E10" i="48"/>
  <c r="D9" i="1"/>
  <c r="D10" i="2" s="1"/>
  <c r="B10" i="45"/>
  <c r="D11" i="1"/>
  <c r="D12" i="2" s="1"/>
  <c r="B12" i="45"/>
  <c r="D13" i="1"/>
  <c r="D14" i="2" s="1"/>
  <c r="B14" i="45"/>
  <c r="D15" i="1"/>
  <c r="D16" i="2" s="1"/>
  <c r="B16" i="45"/>
  <c r="D17" i="1"/>
  <c r="D18" i="2" s="1"/>
  <c r="B18" i="45"/>
  <c r="Z18" i="45" s="1"/>
  <c r="D19" i="1"/>
  <c r="D20" i="2" s="1"/>
  <c r="B20" i="45"/>
  <c r="Z20" i="45" s="1"/>
  <c r="D21" i="1"/>
  <c r="D22" i="2" s="1"/>
  <c r="B26" i="45"/>
  <c r="D27" i="1"/>
  <c r="D28" i="2" s="1"/>
  <c r="V29" i="48"/>
  <c r="D29" i="1"/>
  <c r="D30" i="2" s="1"/>
  <c r="E20" i="48"/>
  <c r="E31" i="48"/>
  <c r="E33" i="48"/>
  <c r="I40" i="4"/>
  <c r="R38" i="48" s="1"/>
  <c r="F33" i="59" s="1"/>
  <c r="AX16" i="45"/>
  <c r="B11" i="45"/>
  <c r="D12" i="1"/>
  <c r="D13" i="2" s="1"/>
  <c r="B13" i="45"/>
  <c r="D14" i="1"/>
  <c r="D15" i="2" s="1"/>
  <c r="B19" i="45"/>
  <c r="AP19" i="45" s="1"/>
  <c r="D20" i="1"/>
  <c r="D21" i="2" s="1"/>
  <c r="B23" i="45"/>
  <c r="AP23" i="45" s="1"/>
  <c r="D24" i="1"/>
  <c r="D25" i="2" s="1"/>
  <c r="E21" i="48"/>
  <c r="E22" i="48"/>
  <c r="E39" i="48"/>
  <c r="C52" i="26"/>
  <c r="C53" i="26" s="1"/>
  <c r="C52" i="24"/>
  <c r="C53" i="24" s="1"/>
  <c r="C52" i="11"/>
  <c r="C53" i="11" s="1"/>
  <c r="E24" i="4"/>
  <c r="E34" i="4"/>
  <c r="C15" i="4"/>
  <c r="E11" i="48"/>
  <c r="E16" i="48"/>
  <c r="B9" i="45"/>
  <c r="E26" i="48"/>
  <c r="J37" i="33"/>
  <c r="E9" i="48"/>
  <c r="E29" i="48"/>
  <c r="E34" i="48"/>
  <c r="E38" i="48"/>
  <c r="F12" i="48"/>
  <c r="E37" i="48"/>
  <c r="B8" i="45"/>
  <c r="N8" i="45" s="1"/>
  <c r="F35" i="48"/>
  <c r="G38" i="48"/>
  <c r="H33" i="48"/>
  <c r="AH28" i="45"/>
  <c r="J28" i="45"/>
  <c r="Z28" i="45"/>
  <c r="AD28" i="45"/>
  <c r="N28" i="45"/>
  <c r="R28" i="45"/>
  <c r="A7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B15" i="45"/>
  <c r="V16" i="48"/>
  <c r="P41" i="48"/>
  <c r="H16" i="48"/>
  <c r="G16" i="48"/>
  <c r="B25" i="45"/>
  <c r="H26" i="48"/>
  <c r="G26" i="48"/>
  <c r="AL36" i="45"/>
  <c r="AH36" i="45"/>
  <c r="V36" i="45"/>
  <c r="AD36" i="45"/>
  <c r="Z36" i="45"/>
  <c r="J36" i="45"/>
  <c r="H37" i="48"/>
  <c r="AP33" i="45"/>
  <c r="Z33" i="45"/>
  <c r="V33" i="45"/>
  <c r="AL33" i="45"/>
  <c r="N33" i="45"/>
  <c r="AH33" i="45"/>
  <c r="J33" i="45"/>
  <c r="G28" i="48"/>
  <c r="H11" i="48"/>
  <c r="H12" i="48"/>
  <c r="G31" i="48"/>
  <c r="AH24" i="45"/>
  <c r="J24" i="45"/>
  <c r="Z24" i="45"/>
  <c r="AL24" i="45"/>
  <c r="V24" i="45"/>
  <c r="R24" i="45"/>
  <c r="AD24" i="45"/>
  <c r="J49" i="31"/>
  <c r="AL28" i="45"/>
  <c r="V26" i="48"/>
  <c r="G35" i="48"/>
  <c r="G13" i="48"/>
  <c r="H25" i="48"/>
  <c r="H29" i="48"/>
  <c r="AP32" i="45"/>
  <c r="Z32" i="45"/>
  <c r="AL32" i="45"/>
  <c r="R32" i="45"/>
  <c r="AA140" i="46" l="1"/>
  <c r="AB140" i="46" s="1"/>
  <c r="X140" i="46"/>
  <c r="AA140" i="58"/>
  <c r="AB140" i="58" s="1"/>
  <c r="X140" i="58"/>
  <c r="AA131" i="58"/>
  <c r="AB131" i="58" s="1"/>
  <c r="AA131" i="46"/>
  <c r="AB131" i="46" s="1"/>
  <c r="X131" i="46"/>
  <c r="W127" i="46"/>
  <c r="I51" i="43"/>
  <c r="X105" i="46"/>
  <c r="AA105" i="46"/>
  <c r="AB105" i="46" s="1"/>
  <c r="AA105" i="58"/>
  <c r="AB105" i="58" s="1"/>
  <c r="W101" i="46"/>
  <c r="AA42" i="46"/>
  <c r="AB42" i="46" s="1"/>
  <c r="X42" i="46"/>
  <c r="AA42" i="58"/>
  <c r="AB42" i="58" s="1"/>
  <c r="I45" i="43"/>
  <c r="Z6" i="46"/>
  <c r="R37" i="45"/>
  <c r="AP37" i="45"/>
  <c r="N37" i="45"/>
  <c r="J32" i="24"/>
  <c r="J32" i="23" s="1"/>
  <c r="J32" i="25"/>
  <c r="I45" i="6"/>
  <c r="R36" i="48"/>
  <c r="F31" i="59" s="1"/>
  <c r="I45" i="7"/>
  <c r="R35" i="48"/>
  <c r="F30" i="59" s="1"/>
  <c r="R34" i="48"/>
  <c r="C33" i="45" s="1"/>
  <c r="K33" i="45" s="1"/>
  <c r="K34" i="37"/>
  <c r="M10" i="37"/>
  <c r="M10" i="4" s="1"/>
  <c r="M10" i="43" s="1"/>
  <c r="I40" i="9"/>
  <c r="R33" i="48" s="1"/>
  <c r="F28" i="59" s="1"/>
  <c r="I40" i="21"/>
  <c r="R20" i="48" s="1"/>
  <c r="I40" i="14"/>
  <c r="R28" i="48" s="1"/>
  <c r="F23" i="59" s="1"/>
  <c r="I40" i="10"/>
  <c r="I51" i="10" s="1"/>
  <c r="M16" i="10"/>
  <c r="M16" i="9" s="1"/>
  <c r="M16" i="8" s="1"/>
  <c r="M16" i="7" s="1"/>
  <c r="M16" i="6" s="1"/>
  <c r="M16" i="37" s="1"/>
  <c r="M16" i="4" s="1"/>
  <c r="M16" i="43" s="1"/>
  <c r="AP31" i="45"/>
  <c r="K34" i="12"/>
  <c r="W111" i="58" s="1"/>
  <c r="X111" i="58" s="1"/>
  <c r="S154" i="46"/>
  <c r="S155" i="46"/>
  <c r="M13" i="14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K34" i="15"/>
  <c r="W96" i="58" s="1"/>
  <c r="X96" i="58" s="1"/>
  <c r="I40" i="16"/>
  <c r="R26" i="48" s="1"/>
  <c r="F21" i="59" s="1"/>
  <c r="I40" i="17"/>
  <c r="M12" i="17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V37" i="45"/>
  <c r="AD37" i="45"/>
  <c r="J37" i="45"/>
  <c r="Z37" i="45"/>
  <c r="I40" i="20"/>
  <c r="I51" i="20" s="1"/>
  <c r="AH37" i="45"/>
  <c r="K34" i="18"/>
  <c r="I40" i="18" s="1"/>
  <c r="R24" i="48" s="1"/>
  <c r="F19" i="59" s="1"/>
  <c r="AH21" i="45"/>
  <c r="I45" i="8"/>
  <c r="A22" i="45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P18" i="45"/>
  <c r="I51" i="8"/>
  <c r="N31" i="45"/>
  <c r="R31" i="45"/>
  <c r="Z31" i="45"/>
  <c r="J18" i="45"/>
  <c r="J31" i="45"/>
  <c r="AL31" i="45"/>
  <c r="AH31" i="45"/>
  <c r="AD31" i="45"/>
  <c r="J8" i="19"/>
  <c r="J8" i="18" s="1"/>
  <c r="J21" i="45"/>
  <c r="V21" i="45"/>
  <c r="K34" i="22"/>
  <c r="J23" i="23"/>
  <c r="J23" i="21" s="1"/>
  <c r="J23" i="22" s="1"/>
  <c r="I51" i="26"/>
  <c r="J19" i="26"/>
  <c r="J19" i="25" s="1"/>
  <c r="J19" i="24" s="1"/>
  <c r="J21" i="26"/>
  <c r="J21" i="25" s="1"/>
  <c r="J21" i="24" s="1"/>
  <c r="J17" i="26"/>
  <c r="J17" i="25" s="1"/>
  <c r="J20" i="26"/>
  <c r="J20" i="25" s="1"/>
  <c r="J20" i="24" s="1"/>
  <c r="J9" i="25"/>
  <c r="J9" i="24" s="1"/>
  <c r="J22" i="25"/>
  <c r="J22" i="24" s="1"/>
  <c r="V18" i="45"/>
  <c r="J18" i="26"/>
  <c r="J18" i="25" s="1"/>
  <c r="J31" i="24"/>
  <c r="J31" i="23" s="1"/>
  <c r="J31" i="21" s="1"/>
  <c r="J31" i="22" s="1"/>
  <c r="J31" i="25"/>
  <c r="J24" i="24"/>
  <c r="J24" i="25"/>
  <c r="J26" i="25"/>
  <c r="J26" i="24"/>
  <c r="J26" i="23" s="1"/>
  <c r="J26" i="21" s="1"/>
  <c r="J26" i="22" s="1"/>
  <c r="J29" i="25"/>
  <c r="J29" i="24"/>
  <c r="J29" i="23" s="1"/>
  <c r="J29" i="21" s="1"/>
  <c r="J29" i="22" s="1"/>
  <c r="J28" i="24"/>
  <c r="J28" i="23" s="1"/>
  <c r="J28" i="21" s="1"/>
  <c r="J28" i="22" s="1"/>
  <c r="J28" i="25"/>
  <c r="J30" i="25"/>
  <c r="J30" i="24"/>
  <c r="J30" i="23" s="1"/>
  <c r="J30" i="21" s="1"/>
  <c r="J30" i="22" s="1"/>
  <c r="J25" i="24"/>
  <c r="J25" i="23" s="1"/>
  <c r="J25" i="21" s="1"/>
  <c r="J25" i="22" s="1"/>
  <c r="J25" i="25"/>
  <c r="J27" i="24"/>
  <c r="J27" i="23" s="1"/>
  <c r="J27" i="21" s="1"/>
  <c r="J27" i="22" s="1"/>
  <c r="J27" i="25"/>
  <c r="J15" i="28"/>
  <c r="J15" i="26" s="1"/>
  <c r="J15" i="25" s="1"/>
  <c r="J15" i="24" s="1"/>
  <c r="J15" i="23" s="1"/>
  <c r="J15" i="21" s="1"/>
  <c r="J15" i="22" s="1"/>
  <c r="J15" i="20" s="1"/>
  <c r="J15" i="19" s="1"/>
  <c r="J15" i="18" s="1"/>
  <c r="J15" i="17" s="1"/>
  <c r="J13" i="28"/>
  <c r="J13" i="26" s="1"/>
  <c r="J13" i="25" s="1"/>
  <c r="J13" i="24" s="1"/>
  <c r="J13" i="23" s="1"/>
  <c r="J13" i="21" s="1"/>
  <c r="J13" i="22" s="1"/>
  <c r="J13" i="20" s="1"/>
  <c r="J13" i="19" s="1"/>
  <c r="J13" i="18" s="1"/>
  <c r="J13" i="17" s="1"/>
  <c r="J19" i="45"/>
  <c r="J14" i="28"/>
  <c r="J14" i="26" s="1"/>
  <c r="J14" i="25" s="1"/>
  <c r="J14" i="24" s="1"/>
  <c r="J14" i="23" s="1"/>
  <c r="J14" i="21" s="1"/>
  <c r="J14" i="22" s="1"/>
  <c r="J14" i="20" s="1"/>
  <c r="J14" i="19" s="1"/>
  <c r="J14" i="18" s="1"/>
  <c r="J14" i="17" s="1"/>
  <c r="N18" i="45"/>
  <c r="AH30" i="45"/>
  <c r="AD20" i="45"/>
  <c r="N29" i="45"/>
  <c r="M22" i="7"/>
  <c r="M22" i="6" s="1"/>
  <c r="M22" i="37" s="1"/>
  <c r="M22" i="4" s="1"/>
  <c r="M22" i="43" s="1"/>
  <c r="AD38" i="45"/>
  <c r="R30" i="45"/>
  <c r="J38" i="45"/>
  <c r="AL21" i="45"/>
  <c r="R21" i="45"/>
  <c r="Z30" i="45"/>
  <c r="N21" i="45"/>
  <c r="K34" i="27"/>
  <c r="AP30" i="45"/>
  <c r="V30" i="45"/>
  <c r="Z21" i="45"/>
  <c r="AP21" i="45"/>
  <c r="AL30" i="45"/>
  <c r="J57" i="32"/>
  <c r="J57" i="31" s="1"/>
  <c r="J57" i="30" s="1"/>
  <c r="J57" i="29" s="1"/>
  <c r="J57" i="27" s="1"/>
  <c r="V38" i="45"/>
  <c r="M9" i="29"/>
  <c r="C35" i="24"/>
  <c r="J20" i="45"/>
  <c r="R18" i="45"/>
  <c r="R20" i="45"/>
  <c r="AD18" i="45"/>
  <c r="I51" i="6"/>
  <c r="E35" i="32"/>
  <c r="AH18" i="45"/>
  <c r="AL18" i="45"/>
  <c r="AH23" i="45"/>
  <c r="V19" i="45"/>
  <c r="AP38" i="45"/>
  <c r="K34" i="23"/>
  <c r="W55" i="58" s="1"/>
  <c r="X55" i="58" s="1"/>
  <c r="K34" i="31"/>
  <c r="AH20" i="45"/>
  <c r="V29" i="45"/>
  <c r="AD29" i="45"/>
  <c r="Z29" i="45"/>
  <c r="AP29" i="45"/>
  <c r="D35" i="32"/>
  <c r="R29" i="45"/>
  <c r="AL29" i="45"/>
  <c r="AH29" i="45"/>
  <c r="J56" i="33"/>
  <c r="J56" i="32" s="1"/>
  <c r="J56" i="31" s="1"/>
  <c r="J56" i="30" s="1"/>
  <c r="J56" i="29" s="1"/>
  <c r="J56" i="27" s="1"/>
  <c r="J56" i="28" s="1"/>
  <c r="J56" i="26" s="1"/>
  <c r="J56" i="25" s="1"/>
  <c r="J56" i="24" s="1"/>
  <c r="J56" i="23" s="1"/>
  <c r="A12" i="1"/>
  <c r="A13" i="2" s="1"/>
  <c r="M7" i="33"/>
  <c r="AL38" i="45"/>
  <c r="AJ16" i="48"/>
  <c r="D11" i="59" s="1"/>
  <c r="D43" i="31"/>
  <c r="E43" i="31" s="1"/>
  <c r="AJ17" i="48"/>
  <c r="D12" i="59" s="1"/>
  <c r="AJ39" i="48"/>
  <c r="I9" i="54"/>
  <c r="C35" i="32"/>
  <c r="N20" i="45"/>
  <c r="V20" i="45"/>
  <c r="N17" i="45"/>
  <c r="AL20" i="45"/>
  <c r="AP20" i="45"/>
  <c r="AP17" i="45"/>
  <c r="M17" i="24"/>
  <c r="C35" i="17"/>
  <c r="D44" i="31"/>
  <c r="D44" i="30" s="1"/>
  <c r="E44" i="30" s="1"/>
  <c r="R38" i="45"/>
  <c r="Z38" i="45"/>
  <c r="N30" i="45"/>
  <c r="AD30" i="45"/>
  <c r="AH38" i="45"/>
  <c r="D40" i="31"/>
  <c r="D40" i="30" s="1"/>
  <c r="E40" i="30" s="1"/>
  <c r="J44" i="32"/>
  <c r="AL23" i="45"/>
  <c r="AL17" i="45"/>
  <c r="V17" i="45"/>
  <c r="Z23" i="45"/>
  <c r="R23" i="45"/>
  <c r="R19" i="45"/>
  <c r="AL19" i="45"/>
  <c r="E50" i="32"/>
  <c r="D41" i="31"/>
  <c r="E41" i="31" s="1"/>
  <c r="I45" i="24"/>
  <c r="D42" i="2"/>
  <c r="I51" i="7"/>
  <c r="Q11" i="48"/>
  <c r="Q12" i="48" s="1"/>
  <c r="AD23" i="45"/>
  <c r="J23" i="45"/>
  <c r="V23" i="45"/>
  <c r="N23" i="45"/>
  <c r="N19" i="45"/>
  <c r="Z19" i="45"/>
  <c r="AH19" i="45"/>
  <c r="AD19" i="45"/>
  <c r="I51" i="28"/>
  <c r="I45" i="25"/>
  <c r="F24" i="48"/>
  <c r="E35" i="24"/>
  <c r="I51" i="25"/>
  <c r="AH17" i="45"/>
  <c r="Z17" i="45"/>
  <c r="J17" i="45"/>
  <c r="R17" i="45"/>
  <c r="AD17" i="45"/>
  <c r="F18" i="48"/>
  <c r="I16" i="48"/>
  <c r="I45" i="26"/>
  <c r="I45" i="28"/>
  <c r="F32" i="48"/>
  <c r="F19" i="48"/>
  <c r="F14" i="48"/>
  <c r="D35" i="24"/>
  <c r="I51" i="13"/>
  <c r="I45" i="13"/>
  <c r="I39" i="48"/>
  <c r="C38" i="45"/>
  <c r="X39" i="48"/>
  <c r="I51" i="24"/>
  <c r="P6" i="46"/>
  <c r="P153" i="46" s="1"/>
  <c r="O153" i="46" s="1"/>
  <c r="AP8" i="45"/>
  <c r="D35" i="33"/>
  <c r="C35" i="33"/>
  <c r="E35" i="33"/>
  <c r="D47" i="31"/>
  <c r="D47" i="30" s="1"/>
  <c r="D46" i="31"/>
  <c r="D46" i="30" s="1"/>
  <c r="E39" i="32"/>
  <c r="D48" i="31"/>
  <c r="D48" i="30" s="1"/>
  <c r="D48" i="29" s="1"/>
  <c r="D48" i="27" s="1"/>
  <c r="D48" i="28" s="1"/>
  <c r="E48" i="28" s="1"/>
  <c r="D38" i="31"/>
  <c r="D38" i="30" s="1"/>
  <c r="D51" i="31"/>
  <c r="E51" i="31" s="1"/>
  <c r="E52" i="33"/>
  <c r="E53" i="33" s="1"/>
  <c r="D52" i="32"/>
  <c r="D42" i="31"/>
  <c r="D42" i="30" s="1"/>
  <c r="D45" i="31"/>
  <c r="D45" i="30" s="1"/>
  <c r="D45" i="29" s="1"/>
  <c r="D49" i="31"/>
  <c r="E49" i="31" s="1"/>
  <c r="D50" i="29"/>
  <c r="E50" i="29" s="1"/>
  <c r="E50" i="31"/>
  <c r="D39" i="30"/>
  <c r="E39" i="31"/>
  <c r="F22" i="48"/>
  <c r="C35" i="7"/>
  <c r="E35" i="7"/>
  <c r="F31" i="48"/>
  <c r="F20" i="48"/>
  <c r="D41" i="1"/>
  <c r="F10" i="48"/>
  <c r="E35" i="17"/>
  <c r="D35" i="7"/>
  <c r="E16" i="1"/>
  <c r="F39" i="48"/>
  <c r="F21" i="48"/>
  <c r="Z13" i="45"/>
  <c r="AL13" i="45"/>
  <c r="AP13" i="45"/>
  <c r="V13" i="45"/>
  <c r="J13" i="45"/>
  <c r="AD13" i="45"/>
  <c r="N13" i="45"/>
  <c r="R13" i="45"/>
  <c r="AH13" i="45"/>
  <c r="AD11" i="45"/>
  <c r="AH11" i="45"/>
  <c r="Z11" i="45"/>
  <c r="AL11" i="45"/>
  <c r="N11" i="45"/>
  <c r="R11" i="45"/>
  <c r="V11" i="45"/>
  <c r="AP11" i="45"/>
  <c r="J11" i="45"/>
  <c r="I45" i="4"/>
  <c r="I51" i="4"/>
  <c r="F33" i="48"/>
  <c r="AD26" i="45"/>
  <c r="R26" i="45"/>
  <c r="AH26" i="45"/>
  <c r="Z26" i="45"/>
  <c r="N26" i="45"/>
  <c r="AL26" i="45"/>
  <c r="J26" i="45"/>
  <c r="AP26" i="45"/>
  <c r="V26" i="45"/>
  <c r="AH16" i="45"/>
  <c r="R16" i="45"/>
  <c r="AL16" i="45"/>
  <c r="Z16" i="45"/>
  <c r="V16" i="45"/>
  <c r="N16" i="45"/>
  <c r="AD16" i="45"/>
  <c r="AP16" i="45"/>
  <c r="J16" i="45"/>
  <c r="Z14" i="45"/>
  <c r="AL14" i="45"/>
  <c r="AH14" i="45"/>
  <c r="N14" i="45"/>
  <c r="J14" i="45"/>
  <c r="AD14" i="45"/>
  <c r="V14" i="45"/>
  <c r="R14" i="45"/>
  <c r="AP14" i="45"/>
  <c r="AP12" i="45"/>
  <c r="Z12" i="45"/>
  <c r="V12" i="45"/>
  <c r="AL12" i="45"/>
  <c r="R12" i="45"/>
  <c r="AH12" i="45"/>
  <c r="J12" i="45"/>
  <c r="AD12" i="45"/>
  <c r="N12" i="45"/>
  <c r="R10" i="45"/>
  <c r="N10" i="45"/>
  <c r="AH10" i="45"/>
  <c r="Z10" i="45"/>
  <c r="AL10" i="45"/>
  <c r="J10" i="45"/>
  <c r="AP10" i="45"/>
  <c r="V10" i="45"/>
  <c r="AD10" i="45"/>
  <c r="D35" i="17"/>
  <c r="E17" i="1"/>
  <c r="I17" i="48"/>
  <c r="X17" i="48"/>
  <c r="H12" i="59" s="1"/>
  <c r="C16" i="45"/>
  <c r="J17" i="48"/>
  <c r="B12" i="59" s="1"/>
  <c r="F9" i="48"/>
  <c r="F26" i="48"/>
  <c r="AP9" i="45"/>
  <c r="R9" i="45"/>
  <c r="J9" i="45"/>
  <c r="AD9" i="45"/>
  <c r="N9" i="45"/>
  <c r="Z9" i="45"/>
  <c r="AH9" i="45"/>
  <c r="V9" i="45"/>
  <c r="AL9" i="45"/>
  <c r="F16" i="48"/>
  <c r="F11" i="48"/>
  <c r="C22" i="45"/>
  <c r="I45" i="19"/>
  <c r="I51" i="19"/>
  <c r="J57" i="21"/>
  <c r="J57" i="22" s="1"/>
  <c r="J57" i="20" s="1"/>
  <c r="J57" i="19" s="1"/>
  <c r="J57" i="18" s="1"/>
  <c r="J57" i="17" s="1"/>
  <c r="C15" i="45"/>
  <c r="J16" i="48"/>
  <c r="B11" i="59" s="1"/>
  <c r="X16" i="48"/>
  <c r="H11" i="59" s="1"/>
  <c r="E35" i="15"/>
  <c r="D35" i="15"/>
  <c r="C35" i="15"/>
  <c r="F37" i="48"/>
  <c r="F38" i="48"/>
  <c r="F34" i="48"/>
  <c r="F29" i="48"/>
  <c r="J39" i="33"/>
  <c r="J37" i="32"/>
  <c r="D35" i="4"/>
  <c r="C35" i="4"/>
  <c r="E35" i="4"/>
  <c r="E35" i="18"/>
  <c r="D35" i="18"/>
  <c r="C35" i="18"/>
  <c r="AD8" i="45"/>
  <c r="AL8" i="45"/>
  <c r="Z8" i="45"/>
  <c r="V8" i="45"/>
  <c r="AH8" i="45"/>
  <c r="R8" i="45"/>
  <c r="J8" i="45"/>
  <c r="J44" i="31"/>
  <c r="J43" i="30"/>
  <c r="AL25" i="45"/>
  <c r="Z25" i="45"/>
  <c r="N25" i="45"/>
  <c r="AH25" i="45"/>
  <c r="R25" i="45"/>
  <c r="J25" i="45"/>
  <c r="AP25" i="45"/>
  <c r="AD25" i="45"/>
  <c r="V25" i="45"/>
  <c r="J50" i="31"/>
  <c r="J49" i="30"/>
  <c r="V41" i="48"/>
  <c r="AL15" i="45"/>
  <c r="R15" i="45"/>
  <c r="AH15" i="45"/>
  <c r="AD15" i="45"/>
  <c r="V15" i="45"/>
  <c r="B40" i="45"/>
  <c r="J15" i="45"/>
  <c r="Z15" i="45"/>
  <c r="AP15" i="45"/>
  <c r="N15" i="45"/>
  <c r="I40" i="37" l="1"/>
  <c r="R37" i="48" s="1"/>
  <c r="F32" i="59" s="1"/>
  <c r="W144" i="46"/>
  <c r="J34" i="48"/>
  <c r="B29" i="59" s="1"/>
  <c r="AA127" i="46"/>
  <c r="AB127" i="46" s="1"/>
  <c r="X127" i="46"/>
  <c r="AA127" i="58"/>
  <c r="AB127" i="58" s="1"/>
  <c r="I51" i="14"/>
  <c r="I45" i="21"/>
  <c r="W111" i="46"/>
  <c r="J36" i="48"/>
  <c r="B31" i="59" s="1"/>
  <c r="I45" i="14"/>
  <c r="X101" i="46"/>
  <c r="AA101" i="46"/>
  <c r="AB101" i="46" s="1"/>
  <c r="AA101" i="58"/>
  <c r="AB101" i="58" s="1"/>
  <c r="I40" i="15"/>
  <c r="R27" i="48" s="1"/>
  <c r="F22" i="59" s="1"/>
  <c r="W96" i="46"/>
  <c r="W55" i="46"/>
  <c r="X55" i="46" s="1"/>
  <c r="E34" i="1"/>
  <c r="ID34" i="1" s="1"/>
  <c r="I45" i="9"/>
  <c r="I51" i="9"/>
  <c r="I51" i="21"/>
  <c r="AJ34" i="48"/>
  <c r="D29" i="59" s="1"/>
  <c r="F29" i="59"/>
  <c r="I34" i="48"/>
  <c r="I45" i="37"/>
  <c r="X34" i="48"/>
  <c r="H29" i="59" s="1"/>
  <c r="J9" i="23"/>
  <c r="J9" i="21" s="1"/>
  <c r="J9" i="22" s="1"/>
  <c r="J9" i="20" s="1"/>
  <c r="J9" i="19" s="1"/>
  <c r="J9" i="18" s="1"/>
  <c r="I51" i="37"/>
  <c r="I45" i="10"/>
  <c r="R32" i="48"/>
  <c r="F27" i="59" s="1"/>
  <c r="R25" i="48"/>
  <c r="E25" i="1" s="1"/>
  <c r="I45" i="20"/>
  <c r="R22" i="48"/>
  <c r="F17" i="59" s="1"/>
  <c r="AI33" i="45"/>
  <c r="I40" i="31"/>
  <c r="I45" i="16"/>
  <c r="I51" i="18"/>
  <c r="I45" i="18"/>
  <c r="I40" i="12"/>
  <c r="R30" i="48" s="1"/>
  <c r="F25" i="59" s="1"/>
  <c r="I45" i="17"/>
  <c r="I51" i="17"/>
  <c r="I45" i="15"/>
  <c r="I51" i="15"/>
  <c r="O33" i="45"/>
  <c r="AA33" i="45"/>
  <c r="AM33" i="45"/>
  <c r="AQ33" i="45"/>
  <c r="W33" i="45"/>
  <c r="AE33" i="45"/>
  <c r="S33" i="45"/>
  <c r="I51" i="16"/>
  <c r="J10" i="16"/>
  <c r="J10" i="15" s="1"/>
  <c r="J10" i="14" s="1"/>
  <c r="J10" i="13" s="1"/>
  <c r="J8" i="17"/>
  <c r="J8" i="16" s="1"/>
  <c r="J8" i="15" s="1"/>
  <c r="J8" i="14" s="1"/>
  <c r="J8" i="13" s="1"/>
  <c r="S22" i="45"/>
  <c r="AM22" i="45"/>
  <c r="K22" i="45"/>
  <c r="G22" i="45"/>
  <c r="W22" i="45"/>
  <c r="O22" i="45"/>
  <c r="AQ22" i="45"/>
  <c r="AI22" i="45"/>
  <c r="AA22" i="45"/>
  <c r="AE22" i="45"/>
  <c r="AT22" i="45"/>
  <c r="J29" i="20"/>
  <c r="J29" i="19" s="1"/>
  <c r="J29" i="18" s="1"/>
  <c r="J27" i="20"/>
  <c r="J27" i="19" s="1"/>
  <c r="J27" i="18" s="1"/>
  <c r="J23" i="20"/>
  <c r="J23" i="19" s="1"/>
  <c r="J23" i="18" s="1"/>
  <c r="J26" i="20"/>
  <c r="J26" i="19" s="1"/>
  <c r="J26" i="18" s="1"/>
  <c r="J25" i="20"/>
  <c r="J25" i="19" s="1"/>
  <c r="J25" i="18" s="1"/>
  <c r="J30" i="20"/>
  <c r="J30" i="19" s="1"/>
  <c r="J30" i="18" s="1"/>
  <c r="J28" i="20"/>
  <c r="J28" i="19" s="1"/>
  <c r="J28" i="18" s="1"/>
  <c r="J31" i="20"/>
  <c r="J31" i="19" s="1"/>
  <c r="J31" i="18" s="1"/>
  <c r="I40" i="22"/>
  <c r="R21" i="48" s="1"/>
  <c r="F16" i="59" s="1"/>
  <c r="J19" i="23"/>
  <c r="J19" i="22" s="1"/>
  <c r="A13" i="1"/>
  <c r="A14" i="2" s="1"/>
  <c r="J22" i="23"/>
  <c r="J22" i="21" s="1"/>
  <c r="J22" i="22" s="1"/>
  <c r="J24" i="23"/>
  <c r="J24" i="21" s="1"/>
  <c r="J24" i="22" s="1"/>
  <c r="J20" i="23"/>
  <c r="J20" i="21" s="1"/>
  <c r="J20" i="22" s="1"/>
  <c r="J16" i="21"/>
  <c r="J16" i="22" s="1"/>
  <c r="J16" i="20" s="1"/>
  <c r="J16" i="19" s="1"/>
  <c r="J16" i="18" s="1"/>
  <c r="J16" i="17" s="1"/>
  <c r="J17" i="23"/>
  <c r="J17" i="21" s="1"/>
  <c r="J17" i="22" s="1"/>
  <c r="J17" i="20" s="1"/>
  <c r="J17" i="19" s="1"/>
  <c r="J17" i="18" s="1"/>
  <c r="J17" i="17" s="1"/>
  <c r="J21" i="23"/>
  <c r="J21" i="21" s="1"/>
  <c r="J21" i="22" s="1"/>
  <c r="I40" i="23"/>
  <c r="M17" i="23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J18" i="24"/>
  <c r="I36" i="48"/>
  <c r="E44" i="31"/>
  <c r="K34" i="29"/>
  <c r="I40" i="27"/>
  <c r="R14" i="48" s="1"/>
  <c r="F9" i="59" s="1"/>
  <c r="M9" i="27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C35" i="45"/>
  <c r="AM35" i="45" s="1"/>
  <c r="AJ36" i="48"/>
  <c r="D31" i="59" s="1"/>
  <c r="E36" i="1"/>
  <c r="HF36" i="1" s="1"/>
  <c r="Z153" i="58"/>
  <c r="X36" i="48"/>
  <c r="H31" i="59" s="1"/>
  <c r="K34" i="33"/>
  <c r="W6" i="58" s="1"/>
  <c r="X6" i="58" s="1"/>
  <c r="D43" i="30"/>
  <c r="E43" i="30" s="1"/>
  <c r="D44" i="29"/>
  <c r="D44" i="27" s="1"/>
  <c r="D44" i="28" s="1"/>
  <c r="D44" i="26" s="1"/>
  <c r="E44" i="26" s="1"/>
  <c r="M34" i="33"/>
  <c r="J40" i="33" s="1"/>
  <c r="J45" i="33" s="1"/>
  <c r="M7" i="32"/>
  <c r="M7" i="31" s="1"/>
  <c r="M7" i="30" s="1"/>
  <c r="M7" i="29" s="1"/>
  <c r="M7" i="27" s="1"/>
  <c r="M7" i="28" s="1"/>
  <c r="E40" i="31"/>
  <c r="D40" i="29"/>
  <c r="D40" i="27" s="1"/>
  <c r="E40" i="27" s="1"/>
  <c r="AJ33" i="48"/>
  <c r="D28" i="59" s="1"/>
  <c r="AJ15" i="48"/>
  <c r="D10" i="59" s="1"/>
  <c r="AJ24" i="48"/>
  <c r="D19" i="59" s="1"/>
  <c r="AJ35" i="48"/>
  <c r="D30" i="59" s="1"/>
  <c r="AJ23" i="48"/>
  <c r="D18" i="59" s="1"/>
  <c r="AJ28" i="48"/>
  <c r="D23" i="59" s="1"/>
  <c r="AJ38" i="48"/>
  <c r="D33" i="59" s="1"/>
  <c r="AJ18" i="48"/>
  <c r="D13" i="59" s="1"/>
  <c r="AJ27" i="48"/>
  <c r="D22" i="59" s="1"/>
  <c r="AJ29" i="48"/>
  <c r="D24" i="59" s="1"/>
  <c r="AJ26" i="48"/>
  <c r="D21" i="59" s="1"/>
  <c r="IY17" i="1"/>
  <c r="IM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E17" i="1"/>
  <c r="IS17" i="1"/>
  <c r="IG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JB17" i="1"/>
  <c r="IP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E17" i="2"/>
  <c r="CC17" i="2" s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JH16" i="1"/>
  <c r="IV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M8" i="32"/>
  <c r="M8" i="31" s="1"/>
  <c r="M8" i="30" s="1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D53" i="32"/>
  <c r="K34" i="32"/>
  <c r="E52" i="32"/>
  <c r="E53" i="32" s="1"/>
  <c r="U6" i="46"/>
  <c r="W11" i="48"/>
  <c r="D41" i="30"/>
  <c r="D41" i="29" s="1"/>
  <c r="D41" i="27" s="1"/>
  <c r="E48" i="30"/>
  <c r="E45" i="30"/>
  <c r="D49" i="30"/>
  <c r="D49" i="29" s="1"/>
  <c r="E49" i="29" s="1"/>
  <c r="E18" i="2"/>
  <c r="X35" i="48"/>
  <c r="H30" i="59" s="1"/>
  <c r="I35" i="48"/>
  <c r="E35" i="1"/>
  <c r="C34" i="45"/>
  <c r="J35" i="48"/>
  <c r="B30" i="59" s="1"/>
  <c r="K34" i="11"/>
  <c r="W116" i="58" s="1"/>
  <c r="X116" i="58" s="1"/>
  <c r="M20" i="11"/>
  <c r="M20" i="10" s="1"/>
  <c r="M20" i="9" s="1"/>
  <c r="M20" i="8" s="1"/>
  <c r="M20" i="7" s="1"/>
  <c r="M20" i="6" s="1"/>
  <c r="M20" i="37" s="1"/>
  <c r="M20" i="4" s="1"/>
  <c r="M20" i="43" s="1"/>
  <c r="C6" i="46"/>
  <c r="N9" i="48" s="1"/>
  <c r="V6" i="46"/>
  <c r="V153" i="46" s="1"/>
  <c r="I10" i="54" s="1"/>
  <c r="T6" i="46"/>
  <c r="X27" i="48"/>
  <c r="H22" i="59" s="1"/>
  <c r="I27" i="48"/>
  <c r="X26" i="48"/>
  <c r="H21" i="59" s="1"/>
  <c r="C25" i="45"/>
  <c r="J26" i="48"/>
  <c r="B21" i="59" s="1"/>
  <c r="E26" i="1"/>
  <c r="I26" i="48"/>
  <c r="I15" i="48"/>
  <c r="E15" i="1"/>
  <c r="C14" i="45"/>
  <c r="X15" i="48"/>
  <c r="H10" i="59" s="1"/>
  <c r="J15" i="48"/>
  <c r="B10" i="59" s="1"/>
  <c r="K34" i="30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E33" i="1"/>
  <c r="X33" i="48"/>
  <c r="H28" i="59" s="1"/>
  <c r="C32" i="45"/>
  <c r="J33" i="48"/>
  <c r="B28" i="59" s="1"/>
  <c r="I33" i="48"/>
  <c r="J18" i="48"/>
  <c r="B13" i="59" s="1"/>
  <c r="C17" i="45"/>
  <c r="X18" i="48"/>
  <c r="H13" i="59" s="1"/>
  <c r="I18" i="48"/>
  <c r="E18" i="1"/>
  <c r="O38" i="45"/>
  <c r="AI38" i="45"/>
  <c r="AA38" i="45"/>
  <c r="K38" i="45"/>
  <c r="AE38" i="45"/>
  <c r="W38" i="45"/>
  <c r="AQ38" i="45"/>
  <c r="S38" i="45"/>
  <c r="AM38" i="45"/>
  <c r="I29" i="48"/>
  <c r="X29" i="48"/>
  <c r="H24" i="59" s="1"/>
  <c r="C28" i="45"/>
  <c r="J29" i="48"/>
  <c r="B24" i="59" s="1"/>
  <c r="E29" i="1"/>
  <c r="E47" i="31"/>
  <c r="E46" i="31"/>
  <c r="E38" i="31"/>
  <c r="D48" i="26"/>
  <c r="D48" i="25" s="1"/>
  <c r="E48" i="31"/>
  <c r="E48" i="27"/>
  <c r="E48" i="29"/>
  <c r="E42" i="31"/>
  <c r="D52" i="31"/>
  <c r="D53" i="31" s="1"/>
  <c r="D51" i="30"/>
  <c r="D51" i="29" s="1"/>
  <c r="E51" i="29" s="1"/>
  <c r="E45" i="31"/>
  <c r="E45" i="29"/>
  <c r="D45" i="27"/>
  <c r="D50" i="27"/>
  <c r="D50" i="28" s="1"/>
  <c r="D42" i="29"/>
  <c r="E42" i="30"/>
  <c r="D46" i="29"/>
  <c r="E46" i="30"/>
  <c r="D39" i="29"/>
  <c r="E39" i="30"/>
  <c r="E47" i="30"/>
  <c r="D47" i="29"/>
  <c r="E23" i="1"/>
  <c r="W16" i="45"/>
  <c r="AA16" i="45"/>
  <c r="O16" i="45"/>
  <c r="K16" i="45"/>
  <c r="AE16" i="45"/>
  <c r="AM16" i="45"/>
  <c r="S16" i="45"/>
  <c r="AQ16" i="45"/>
  <c r="AI16" i="45"/>
  <c r="E24" i="1"/>
  <c r="I24" i="48"/>
  <c r="C23" i="45"/>
  <c r="J24" i="48"/>
  <c r="B19" i="59" s="1"/>
  <c r="X24" i="48"/>
  <c r="H19" i="59" s="1"/>
  <c r="E28" i="1"/>
  <c r="E38" i="1"/>
  <c r="C37" i="45"/>
  <c r="J38" i="48"/>
  <c r="B33" i="59" s="1"/>
  <c r="I38" i="48"/>
  <c r="X38" i="48"/>
  <c r="H33" i="59" s="1"/>
  <c r="J37" i="31"/>
  <c r="J39" i="32"/>
  <c r="AI15" i="45"/>
  <c r="K15" i="45"/>
  <c r="AE15" i="45"/>
  <c r="AA15" i="45"/>
  <c r="S15" i="45"/>
  <c r="O15" i="45"/>
  <c r="AQ15" i="45"/>
  <c r="AM15" i="45"/>
  <c r="W15" i="45"/>
  <c r="I28" i="48"/>
  <c r="C27" i="45"/>
  <c r="J28" i="48"/>
  <c r="B23" i="59" s="1"/>
  <c r="X28" i="48"/>
  <c r="H23" i="59" s="1"/>
  <c r="X23" i="48"/>
  <c r="H18" i="59" s="1"/>
  <c r="I23" i="48"/>
  <c r="J23" i="48"/>
  <c r="B18" i="59" s="1"/>
  <c r="AD40" i="45"/>
  <c r="AP40" i="45"/>
  <c r="AX22" i="45" s="1"/>
  <c r="AX24" i="45" s="1"/>
  <c r="AH40" i="45"/>
  <c r="Z40" i="45"/>
  <c r="R40" i="45"/>
  <c r="N40" i="45"/>
  <c r="J40" i="45"/>
  <c r="V40" i="45"/>
  <c r="AL40" i="45"/>
  <c r="D38" i="29"/>
  <c r="E38" i="30"/>
  <c r="J49" i="29"/>
  <c r="J50" i="30"/>
  <c r="J57" i="16"/>
  <c r="J57" i="28"/>
  <c r="J56" i="21"/>
  <c r="J43" i="29"/>
  <c r="J44" i="30"/>
  <c r="W12" i="48"/>
  <c r="Q13" i="48"/>
  <c r="AJ37" i="48" l="1"/>
  <c r="D32" i="59" s="1"/>
  <c r="X37" i="48"/>
  <c r="H32" i="59" s="1"/>
  <c r="E37" i="1"/>
  <c r="I37" i="48"/>
  <c r="C36" i="45"/>
  <c r="J37" i="48"/>
  <c r="B32" i="59" s="1"/>
  <c r="AA144" i="46"/>
  <c r="AB144" i="46" s="1"/>
  <c r="X144" i="46"/>
  <c r="EL34" i="1"/>
  <c r="HR34" i="1"/>
  <c r="EI34" i="1"/>
  <c r="GK34" i="1"/>
  <c r="AT34" i="1"/>
  <c r="DZ34" i="1"/>
  <c r="V34" i="1"/>
  <c r="DB34" i="1"/>
  <c r="HX34" i="1"/>
  <c r="FD34" i="1"/>
  <c r="HC34" i="1"/>
  <c r="AH34" i="1"/>
  <c r="GE34" i="1"/>
  <c r="EO34" i="1"/>
  <c r="GW34" i="1"/>
  <c r="EX34" i="1"/>
  <c r="DK34" i="1"/>
  <c r="GQ34" i="1"/>
  <c r="CM34" i="1"/>
  <c r="AW34" i="1"/>
  <c r="DE34" i="1"/>
  <c r="EU34" i="1"/>
  <c r="GT34" i="1"/>
  <c r="GZ34" i="1"/>
  <c r="FM34" i="1"/>
  <c r="FA34" i="1"/>
  <c r="G34" i="1"/>
  <c r="AE34" i="1"/>
  <c r="BL34" i="1"/>
  <c r="FY34" i="1"/>
  <c r="BC34" i="1"/>
  <c r="BI34" i="1"/>
  <c r="EF34" i="1"/>
  <c r="GH34" i="1"/>
  <c r="AK34" i="1"/>
  <c r="S34" i="1"/>
  <c r="GN34" i="1"/>
  <c r="AQ34" i="1"/>
  <c r="AB34" i="1"/>
  <c r="DT34" i="1"/>
  <c r="GB34" i="1"/>
  <c r="DH34" i="1"/>
  <c r="BX34" i="1"/>
  <c r="IJ34" i="1"/>
  <c r="J34" i="1"/>
  <c r="BR34" i="1"/>
  <c r="HO34" i="1"/>
  <c r="EC34" i="1"/>
  <c r="BU34" i="1"/>
  <c r="IS34" i="1"/>
  <c r="FS34" i="1"/>
  <c r="IA34" i="1"/>
  <c r="HI34" i="1"/>
  <c r="AZ34" i="1"/>
  <c r="CG34" i="1"/>
  <c r="CY34" i="1"/>
  <c r="HF34" i="1"/>
  <c r="AN34" i="1"/>
  <c r="JH34" i="1"/>
  <c r="JB34" i="1"/>
  <c r="M34" i="1"/>
  <c r="FV34" i="1"/>
  <c r="DW34" i="1"/>
  <c r="CJ34" i="1"/>
  <c r="JE34" i="1"/>
  <c r="DN34" i="1"/>
  <c r="CV34" i="1"/>
  <c r="IG34" i="1"/>
  <c r="FJ34" i="1"/>
  <c r="BO34" i="1"/>
  <c r="FG34" i="1"/>
  <c r="CA34" i="1"/>
  <c r="C31" i="45"/>
  <c r="AE31" i="45" s="1"/>
  <c r="IV34" i="1"/>
  <c r="CS34" i="1"/>
  <c r="W116" i="46"/>
  <c r="E39" i="53"/>
  <c r="E40" i="53"/>
  <c r="E33" i="53"/>
  <c r="AA111" i="58"/>
  <c r="AB111" i="58" s="1"/>
  <c r="X111" i="46"/>
  <c r="AA111" i="46"/>
  <c r="AB111" i="46" s="1"/>
  <c r="E35" i="2"/>
  <c r="CC35" i="2" s="1"/>
  <c r="P34" i="1"/>
  <c r="BF34" i="1"/>
  <c r="Y34" i="1"/>
  <c r="CP34" i="1"/>
  <c r="HU34" i="1"/>
  <c r="E32" i="1"/>
  <c r="GE32" i="1" s="1"/>
  <c r="J27" i="48"/>
  <c r="B22" i="59" s="1"/>
  <c r="E27" i="1"/>
  <c r="J32" i="48"/>
  <c r="B27" i="59" s="1"/>
  <c r="AA55" i="46"/>
  <c r="AB55" i="46" s="1"/>
  <c r="C26" i="45"/>
  <c r="O26" i="45" s="1"/>
  <c r="CD34" i="1"/>
  <c r="FP34" i="1"/>
  <c r="HL34" i="1"/>
  <c r="ER34" i="1"/>
  <c r="DQ34" i="1"/>
  <c r="IP34" i="1"/>
  <c r="IM34" i="1"/>
  <c r="IY34" i="1"/>
  <c r="AA96" i="58"/>
  <c r="AB96" i="58" s="1"/>
  <c r="AA96" i="46"/>
  <c r="AB96" i="46" s="1"/>
  <c r="X96" i="46"/>
  <c r="J22" i="48"/>
  <c r="B17" i="59" s="1"/>
  <c r="C21" i="45"/>
  <c r="E22" i="1"/>
  <c r="IA22" i="1" s="1"/>
  <c r="X22" i="48"/>
  <c r="H17" i="59" s="1"/>
  <c r="I22" i="48"/>
  <c r="AJ22" i="48"/>
  <c r="D17" i="59" s="1"/>
  <c r="E43" i="53"/>
  <c r="E32" i="53"/>
  <c r="AA55" i="58"/>
  <c r="AB55" i="58" s="1"/>
  <c r="AJ32" i="48"/>
  <c r="D27" i="59" s="1"/>
  <c r="AA15" i="46"/>
  <c r="AB15" i="46" s="1"/>
  <c r="X15" i="46"/>
  <c r="AB15" i="58"/>
  <c r="W6" i="46"/>
  <c r="O31" i="45"/>
  <c r="IM25" i="1"/>
  <c r="EU25" i="1"/>
  <c r="BC25" i="1"/>
  <c r="HX25" i="1"/>
  <c r="EF25" i="1"/>
  <c r="AN25" i="1"/>
  <c r="GW25" i="1"/>
  <c r="DE25" i="1"/>
  <c r="M25" i="1"/>
  <c r="FV25" i="1"/>
  <c r="CD25" i="1"/>
  <c r="Y25" i="1"/>
  <c r="IA25" i="1"/>
  <c r="EI25" i="1"/>
  <c r="AQ25" i="1"/>
  <c r="HL25" i="1"/>
  <c r="DT25" i="1"/>
  <c r="AB25" i="1"/>
  <c r="GK25" i="1"/>
  <c r="CS25" i="1"/>
  <c r="JB25" i="1"/>
  <c r="FJ25" i="1"/>
  <c r="BR25" i="1"/>
  <c r="S25" i="1"/>
  <c r="JE25" i="1"/>
  <c r="ID25" i="1"/>
  <c r="IJ25" i="1"/>
  <c r="DQ25" i="1"/>
  <c r="HO25" i="1"/>
  <c r="DW25" i="1"/>
  <c r="AE25" i="1"/>
  <c r="GZ25" i="1"/>
  <c r="DH25" i="1"/>
  <c r="P25" i="1"/>
  <c r="FY25" i="1"/>
  <c r="CG25" i="1"/>
  <c r="IP25" i="1"/>
  <c r="EX25" i="1"/>
  <c r="BF25" i="1"/>
  <c r="DK25" i="1"/>
  <c r="CV25" i="1"/>
  <c r="BU25" i="1"/>
  <c r="AT25" i="1"/>
  <c r="IY25" i="1"/>
  <c r="AZ25" i="1"/>
  <c r="HC25" i="1"/>
  <c r="GN25" i="1"/>
  <c r="FM25" i="1"/>
  <c r="EL25" i="1"/>
  <c r="FG25" i="1"/>
  <c r="GH25" i="1"/>
  <c r="GQ25" i="1"/>
  <c r="CY25" i="1"/>
  <c r="G25" i="1"/>
  <c r="GB25" i="1"/>
  <c r="CJ25" i="1"/>
  <c r="IS25" i="1"/>
  <c r="FA25" i="1"/>
  <c r="BI25" i="1"/>
  <c r="HR25" i="1"/>
  <c r="DZ25" i="1"/>
  <c r="AH25" i="1"/>
  <c r="BO25" i="1"/>
  <c r="HI25" i="1"/>
  <c r="CP25" i="1"/>
  <c r="GE25" i="1"/>
  <c r="CM25" i="1"/>
  <c r="JH25" i="1"/>
  <c r="FP25" i="1"/>
  <c r="BX25" i="1"/>
  <c r="IG25" i="1"/>
  <c r="EO25" i="1"/>
  <c r="AW25" i="1"/>
  <c r="HF25" i="1"/>
  <c r="DN25" i="1"/>
  <c r="V25" i="1"/>
  <c r="E26" i="2"/>
  <c r="CC26" i="2" s="1"/>
  <c r="FS25" i="1"/>
  <c r="CA25" i="1"/>
  <c r="IV25" i="1"/>
  <c r="FD25" i="1"/>
  <c r="BL25" i="1"/>
  <c r="HU25" i="1"/>
  <c r="EC25" i="1"/>
  <c r="AK25" i="1"/>
  <c r="GT25" i="1"/>
  <c r="DB25" i="1"/>
  <c r="J25" i="1"/>
  <c r="ER25" i="1"/>
  <c r="X25" i="48"/>
  <c r="H20" i="59" s="1"/>
  <c r="C24" i="45"/>
  <c r="AM24" i="45" s="1"/>
  <c r="J25" i="48"/>
  <c r="B20" i="59" s="1"/>
  <c r="I25" i="48"/>
  <c r="F20" i="59"/>
  <c r="X32" i="48"/>
  <c r="H27" i="59" s="1"/>
  <c r="AJ25" i="48"/>
  <c r="D20" i="59" s="1"/>
  <c r="R19" i="48"/>
  <c r="I19" i="48" s="1"/>
  <c r="F15" i="59"/>
  <c r="I45" i="31"/>
  <c r="R11" i="48"/>
  <c r="F6" i="59" s="1"/>
  <c r="FP32" i="1"/>
  <c r="I51" i="31"/>
  <c r="I32" i="48"/>
  <c r="I45" i="12"/>
  <c r="I51" i="12"/>
  <c r="HU32" i="1"/>
  <c r="JE32" i="1"/>
  <c r="J10" i="12"/>
  <c r="J10" i="11" s="1"/>
  <c r="J8" i="12"/>
  <c r="J8" i="11" s="1"/>
  <c r="J8" i="10" s="1"/>
  <c r="A14" i="1"/>
  <c r="A15" i="2" s="1"/>
  <c r="J41" i="33"/>
  <c r="J51" i="33"/>
  <c r="K56" i="33"/>
  <c r="GW32" i="1"/>
  <c r="CP32" i="1"/>
  <c r="HC32" i="1"/>
  <c r="K57" i="33"/>
  <c r="HL32" i="1"/>
  <c r="DB32" i="1"/>
  <c r="HO32" i="1"/>
  <c r="FD32" i="1"/>
  <c r="HF32" i="1"/>
  <c r="FM32" i="1"/>
  <c r="EC32" i="1"/>
  <c r="BC32" i="1"/>
  <c r="DE32" i="1"/>
  <c r="AT32" i="1"/>
  <c r="FG32" i="1"/>
  <c r="DT32" i="1"/>
  <c r="BF32" i="1"/>
  <c r="FS32" i="1"/>
  <c r="FA32" i="1"/>
  <c r="BR32" i="1"/>
  <c r="J31" i="17"/>
  <c r="J31" i="16" s="1"/>
  <c r="J31" i="15" s="1"/>
  <c r="J31" i="14" s="1"/>
  <c r="J31" i="13" s="1"/>
  <c r="J31" i="12" s="1"/>
  <c r="J31" i="11" s="1"/>
  <c r="J31" i="10" s="1"/>
  <c r="J23" i="17"/>
  <c r="J23" i="16" s="1"/>
  <c r="J28" i="17"/>
  <c r="J28" i="16" s="1"/>
  <c r="J28" i="15" s="1"/>
  <c r="J28" i="14" s="1"/>
  <c r="J28" i="13" s="1"/>
  <c r="J27" i="17"/>
  <c r="J27" i="16" s="1"/>
  <c r="J27" i="15" s="1"/>
  <c r="J27" i="14" s="1"/>
  <c r="J27" i="13" s="1"/>
  <c r="J29" i="17"/>
  <c r="J29" i="16" s="1"/>
  <c r="J29" i="15" s="1"/>
  <c r="J29" i="14" s="1"/>
  <c r="J29" i="13" s="1"/>
  <c r="J11" i="16"/>
  <c r="J9" i="17"/>
  <c r="J9" i="16" s="1"/>
  <c r="J9" i="15" s="1"/>
  <c r="J9" i="14" s="1"/>
  <c r="J9" i="13" s="1"/>
  <c r="J30" i="17"/>
  <c r="J30" i="16" s="1"/>
  <c r="J30" i="15" s="1"/>
  <c r="J30" i="14" s="1"/>
  <c r="J30" i="13" s="1"/>
  <c r="J30" i="12" s="1"/>
  <c r="J30" i="11" s="1"/>
  <c r="J30" i="10" s="1"/>
  <c r="J26" i="17"/>
  <c r="J26" i="16" s="1"/>
  <c r="J26" i="15" s="1"/>
  <c r="J25" i="17"/>
  <c r="J25" i="16" s="1"/>
  <c r="J25" i="15" s="1"/>
  <c r="I45" i="22"/>
  <c r="I51" i="22"/>
  <c r="J21" i="20"/>
  <c r="J21" i="19" s="1"/>
  <c r="J21" i="18" s="1"/>
  <c r="J12" i="16"/>
  <c r="J12" i="15" s="1"/>
  <c r="J12" i="14" s="1"/>
  <c r="J12" i="13" s="1"/>
  <c r="J12" i="12" s="1"/>
  <c r="J12" i="11" s="1"/>
  <c r="J22" i="20"/>
  <c r="J22" i="19" s="1"/>
  <c r="J22" i="18" s="1"/>
  <c r="J20" i="20"/>
  <c r="J20" i="19" s="1"/>
  <c r="J20" i="18" s="1"/>
  <c r="J24" i="20"/>
  <c r="J24" i="19" s="1"/>
  <c r="J24" i="18" s="1"/>
  <c r="J19" i="20"/>
  <c r="J19" i="19" s="1"/>
  <c r="J19" i="18" s="1"/>
  <c r="I21" i="48"/>
  <c r="C20" i="45"/>
  <c r="E21" i="1"/>
  <c r="AJ21" i="48"/>
  <c r="D16" i="59" s="1"/>
  <c r="X21" i="48"/>
  <c r="H16" i="59" s="1"/>
  <c r="J21" i="48"/>
  <c r="B16" i="59" s="1"/>
  <c r="J18" i="23"/>
  <c r="J18" i="22" s="1"/>
  <c r="I45" i="23"/>
  <c r="I51" i="23"/>
  <c r="P36" i="1"/>
  <c r="E44" i="29"/>
  <c r="BL36" i="1"/>
  <c r="FG36" i="1"/>
  <c r="GH36" i="1"/>
  <c r="GW36" i="1"/>
  <c r="AQ36" i="1"/>
  <c r="BR36" i="1"/>
  <c r="FP36" i="1"/>
  <c r="I40" i="33"/>
  <c r="I40" i="29"/>
  <c r="R13" i="48" s="1"/>
  <c r="F8" i="59" s="1"/>
  <c r="K35" i="45"/>
  <c r="HU36" i="1"/>
  <c r="BO36" i="1"/>
  <c r="FY36" i="1"/>
  <c r="W35" i="45"/>
  <c r="IV36" i="1"/>
  <c r="J36" i="1"/>
  <c r="DQ36" i="1"/>
  <c r="EF36" i="1"/>
  <c r="AE35" i="45"/>
  <c r="IA36" i="1"/>
  <c r="JB36" i="1"/>
  <c r="GZ36" i="1"/>
  <c r="CM36" i="1"/>
  <c r="DN36" i="1"/>
  <c r="I45" i="27"/>
  <c r="I51" i="27"/>
  <c r="AI35" i="45"/>
  <c r="FD36" i="1"/>
  <c r="AQ35" i="45"/>
  <c r="IY36" i="1"/>
  <c r="Y36" i="1"/>
  <c r="AN36" i="1"/>
  <c r="EI36" i="1"/>
  <c r="FJ36" i="1"/>
  <c r="DH36" i="1"/>
  <c r="O35" i="45"/>
  <c r="JH36" i="1"/>
  <c r="V36" i="1"/>
  <c r="EC36" i="1"/>
  <c r="IJ36" i="1"/>
  <c r="IM36" i="1"/>
  <c r="M36" i="1"/>
  <c r="DT36" i="1"/>
  <c r="CG36" i="1"/>
  <c r="IG36" i="1"/>
  <c r="DE36" i="1"/>
  <c r="BX36" i="1"/>
  <c r="AK36" i="1"/>
  <c r="ER36" i="1"/>
  <c r="AA35" i="45"/>
  <c r="EU36" i="1"/>
  <c r="FV36" i="1"/>
  <c r="AB36" i="1"/>
  <c r="S35" i="45"/>
  <c r="HO36" i="1"/>
  <c r="IP36" i="1"/>
  <c r="EO36" i="1"/>
  <c r="CP36" i="1"/>
  <c r="GT36" i="1"/>
  <c r="AZ36" i="1"/>
  <c r="BC36" i="1"/>
  <c r="CD36" i="1"/>
  <c r="GK36" i="1"/>
  <c r="DW36" i="1"/>
  <c r="EX36" i="1"/>
  <c r="AW36" i="1"/>
  <c r="HL36" i="1"/>
  <c r="CA36" i="1"/>
  <c r="DB36" i="1"/>
  <c r="HI36" i="1"/>
  <c r="HX36" i="1"/>
  <c r="CS36" i="1"/>
  <c r="AE36" i="1"/>
  <c r="BF36" i="1"/>
  <c r="GE36" i="1"/>
  <c r="E44" i="28"/>
  <c r="FS36" i="1"/>
  <c r="S36" i="1"/>
  <c r="FM36" i="1"/>
  <c r="AT36" i="1"/>
  <c r="G36" i="1"/>
  <c r="FA36" i="1"/>
  <c r="AH36" i="1"/>
  <c r="ID36" i="1"/>
  <c r="GN36" i="1"/>
  <c r="BU36" i="1"/>
  <c r="E37" i="2"/>
  <c r="CC37" i="2" s="1"/>
  <c r="GB36" i="1"/>
  <c r="BI36" i="1"/>
  <c r="HC36" i="1"/>
  <c r="CV36" i="1"/>
  <c r="GQ36" i="1"/>
  <c r="CJ36" i="1"/>
  <c r="HR36" i="1"/>
  <c r="CY36" i="1"/>
  <c r="DZ36" i="1"/>
  <c r="DK36" i="1"/>
  <c r="JE36" i="1"/>
  <c r="EL36" i="1"/>
  <c r="IS36" i="1"/>
  <c r="T2" i="54"/>
  <c r="Z154" i="58"/>
  <c r="X162" i="58" s="1"/>
  <c r="D44" i="25"/>
  <c r="D44" i="24" s="1"/>
  <c r="D44" i="23" s="1"/>
  <c r="D44" i="21" s="1"/>
  <c r="E44" i="27"/>
  <c r="D43" i="29"/>
  <c r="D43" i="27" s="1"/>
  <c r="D43" i="28" s="1"/>
  <c r="E43" i="28" s="1"/>
  <c r="D40" i="28"/>
  <c r="E40" i="28" s="1"/>
  <c r="E40" i="29"/>
  <c r="E37" i="53"/>
  <c r="E34" i="53"/>
  <c r="E38" i="53"/>
  <c r="E4" i="53"/>
  <c r="E24" i="53"/>
  <c r="E16" i="53"/>
  <c r="E8" i="53"/>
  <c r="E41" i="53"/>
  <c r="E31" i="53"/>
  <c r="E28" i="53"/>
  <c r="E20" i="53"/>
  <c r="E26" i="53"/>
  <c r="E25" i="53"/>
  <c r="E21" i="53"/>
  <c r="E19" i="53"/>
  <c r="E30" i="53"/>
  <c r="E29" i="53"/>
  <c r="E36" i="53"/>
  <c r="E35" i="53"/>
  <c r="E7" i="53"/>
  <c r="E23" i="53"/>
  <c r="E42" i="53"/>
  <c r="E22" i="53"/>
  <c r="E11" i="53"/>
  <c r="E27" i="53"/>
  <c r="E6" i="53"/>
  <c r="E5" i="53"/>
  <c r="E10" i="53"/>
  <c r="E9" i="53"/>
  <c r="E18" i="53"/>
  <c r="E17" i="53"/>
  <c r="E19" i="2"/>
  <c r="CC19" i="2" s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Y18" i="1"/>
  <c r="M18" i="1"/>
  <c r="E24" i="2"/>
  <c r="CC24" i="2" s="1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E39" i="2"/>
  <c r="CC39" i="2" s="1"/>
  <c r="JH38" i="1"/>
  <c r="IV38" i="1"/>
  <c r="IJ38" i="1"/>
  <c r="HX38" i="1"/>
  <c r="HL38" i="1"/>
  <c r="GZ38" i="1"/>
  <c r="GN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Y38" i="1"/>
  <c r="IM38" i="1"/>
  <c r="IA38" i="1"/>
  <c r="HO38" i="1"/>
  <c r="HC38" i="1"/>
  <c r="GQ38" i="1"/>
  <c r="GE38" i="1"/>
  <c r="FS38" i="1"/>
  <c r="FG38" i="1"/>
  <c r="EU38" i="1"/>
  <c r="EI38" i="1"/>
  <c r="DW38" i="1"/>
  <c r="DK38" i="1"/>
  <c r="CY38" i="1"/>
  <c r="CM38" i="1"/>
  <c r="CA38" i="1"/>
  <c r="BO38" i="1"/>
  <c r="BC38" i="1"/>
  <c r="AQ38" i="1"/>
  <c r="AE38" i="1"/>
  <c r="S38" i="1"/>
  <c r="G38" i="1"/>
  <c r="E34" i="2"/>
  <c r="CC34" i="2" s="1"/>
  <c r="IY33" i="1"/>
  <c r="IM33" i="1"/>
  <c r="IA33" i="1"/>
  <c r="HO33" i="1"/>
  <c r="HC33" i="1"/>
  <c r="GQ33" i="1"/>
  <c r="GE33" i="1"/>
  <c r="FS33" i="1"/>
  <c r="FG33" i="1"/>
  <c r="EU33" i="1"/>
  <c r="EI33" i="1"/>
  <c r="DW33" i="1"/>
  <c r="DK33" i="1"/>
  <c r="CY33" i="1"/>
  <c r="CM33" i="1"/>
  <c r="CA33" i="1"/>
  <c r="BO33" i="1"/>
  <c r="IS33" i="1"/>
  <c r="HR33" i="1"/>
  <c r="GB33" i="1"/>
  <c r="FA33" i="1"/>
  <c r="DZ33" i="1"/>
  <c r="CJ33" i="1"/>
  <c r="BI33" i="1"/>
  <c r="AW33" i="1"/>
  <c r="AK33" i="1"/>
  <c r="Y33" i="1"/>
  <c r="M33" i="1"/>
  <c r="JE33" i="1"/>
  <c r="ID33" i="1"/>
  <c r="GN33" i="1"/>
  <c r="FM33" i="1"/>
  <c r="EL33" i="1"/>
  <c r="CV33" i="1"/>
  <c r="BU33" i="1"/>
  <c r="IP33" i="1"/>
  <c r="GZ33" i="1"/>
  <c r="FY33" i="1"/>
  <c r="EX33" i="1"/>
  <c r="DH33" i="1"/>
  <c r="CG33" i="1"/>
  <c r="BF33" i="1"/>
  <c r="AT33" i="1"/>
  <c r="AH33" i="1"/>
  <c r="V33" i="1"/>
  <c r="J33" i="1"/>
  <c r="JB33" i="1"/>
  <c r="HL33" i="1"/>
  <c r="GK33" i="1"/>
  <c r="FJ33" i="1"/>
  <c r="DT33" i="1"/>
  <c r="CS33" i="1"/>
  <c r="BR33" i="1"/>
  <c r="HX33" i="1"/>
  <c r="GW33" i="1"/>
  <c r="FV33" i="1"/>
  <c r="EF33" i="1"/>
  <c r="DE33" i="1"/>
  <c r="CD33" i="1"/>
  <c r="BC33" i="1"/>
  <c r="AQ33" i="1"/>
  <c r="AE33" i="1"/>
  <c r="S33" i="1"/>
  <c r="G33" i="1"/>
  <c r="IV33" i="1"/>
  <c r="HU33" i="1"/>
  <c r="GT33" i="1"/>
  <c r="FD33" i="1"/>
  <c r="EC33" i="1"/>
  <c r="DB33" i="1"/>
  <c r="BL33" i="1"/>
  <c r="AZ33" i="1"/>
  <c r="AN33" i="1"/>
  <c r="AB33" i="1"/>
  <c r="P33" i="1"/>
  <c r="JH33" i="1"/>
  <c r="IG33" i="1"/>
  <c r="HF33" i="1"/>
  <c r="FP33" i="1"/>
  <c r="EO33" i="1"/>
  <c r="DN33" i="1"/>
  <c r="BX33" i="1"/>
  <c r="CP33" i="1"/>
  <c r="IJ33" i="1"/>
  <c r="HI33" i="1"/>
  <c r="ER33" i="1"/>
  <c r="GH33" i="1"/>
  <c r="DQ33" i="1"/>
  <c r="E25" i="2"/>
  <c r="CC25" i="2" s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Y24" i="1"/>
  <c r="IM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E16" i="2"/>
  <c r="CC16" i="2" s="1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AK15" i="1"/>
  <c r="Y15" i="1"/>
  <c r="M15" i="1"/>
  <c r="JB15" i="1"/>
  <c r="IP15" i="1"/>
  <c r="ID15" i="1"/>
  <c r="HR15" i="1"/>
  <c r="HF15" i="1"/>
  <c r="GT15" i="1"/>
  <c r="GH15" i="1"/>
  <c r="FV15" i="1"/>
  <c r="FJ15" i="1"/>
  <c r="EX15" i="1"/>
  <c r="EL15" i="1"/>
  <c r="DZ15" i="1"/>
  <c r="DN15" i="1"/>
  <c r="DB15" i="1"/>
  <c r="CP15" i="1"/>
  <c r="CD15" i="1"/>
  <c r="BR15" i="1"/>
  <c r="BF15" i="1"/>
  <c r="AT15" i="1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G15" i="1"/>
  <c r="JH15" i="1"/>
  <c r="IV15" i="1"/>
  <c r="IJ15" i="1"/>
  <c r="HX15" i="1"/>
  <c r="HL15" i="1"/>
  <c r="GZ15" i="1"/>
  <c r="GN15" i="1"/>
  <c r="GB15" i="1"/>
  <c r="FP15" i="1"/>
  <c r="FD15" i="1"/>
  <c r="ER15" i="1"/>
  <c r="EF15" i="1"/>
  <c r="DT15" i="1"/>
  <c r="DH15" i="1"/>
  <c r="CV15" i="1"/>
  <c r="CJ15" i="1"/>
  <c r="BX15" i="1"/>
  <c r="BL15" i="1"/>
  <c r="AZ15" i="1"/>
  <c r="AN15" i="1"/>
  <c r="AB15" i="1"/>
  <c r="P15" i="1"/>
  <c r="AH15" i="1"/>
  <c r="J15" i="1"/>
  <c r="V15" i="1"/>
  <c r="E29" i="2"/>
  <c r="CC29" i="2" s="1"/>
  <c r="JE28" i="1"/>
  <c r="IS28" i="1"/>
  <c r="IG28" i="1"/>
  <c r="HU28" i="1"/>
  <c r="HI28" i="1"/>
  <c r="GW28" i="1"/>
  <c r="GK28" i="1"/>
  <c r="FY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IP28" i="1"/>
  <c r="IA28" i="1"/>
  <c r="GT28" i="1"/>
  <c r="GE28" i="1"/>
  <c r="EX28" i="1"/>
  <c r="EI28" i="1"/>
  <c r="DB28" i="1"/>
  <c r="CM28" i="1"/>
  <c r="BF28" i="1"/>
  <c r="AQ28" i="1"/>
  <c r="J28" i="1"/>
  <c r="JB28" i="1"/>
  <c r="IM28" i="1"/>
  <c r="HF28" i="1"/>
  <c r="GQ28" i="1"/>
  <c r="FJ28" i="1"/>
  <c r="EU28" i="1"/>
  <c r="DN28" i="1"/>
  <c r="CY28" i="1"/>
  <c r="BR28" i="1"/>
  <c r="BC28" i="1"/>
  <c r="V28" i="1"/>
  <c r="G28" i="1"/>
  <c r="IY28" i="1"/>
  <c r="HR28" i="1"/>
  <c r="HC28" i="1"/>
  <c r="FV28" i="1"/>
  <c r="FG28" i="1"/>
  <c r="DZ28" i="1"/>
  <c r="DK28" i="1"/>
  <c r="CD28" i="1"/>
  <c r="BO28" i="1"/>
  <c r="AH28" i="1"/>
  <c r="S28" i="1"/>
  <c r="ID28" i="1"/>
  <c r="HO28" i="1"/>
  <c r="GH28" i="1"/>
  <c r="FS28" i="1"/>
  <c r="EL28" i="1"/>
  <c r="DW28" i="1"/>
  <c r="CP28" i="1"/>
  <c r="CA28" i="1"/>
  <c r="AT28" i="1"/>
  <c r="AE28" i="1"/>
  <c r="E38" i="2"/>
  <c r="CC38" i="2" s="1"/>
  <c r="JE37" i="1"/>
  <c r="IS37" i="1"/>
  <c r="IG37" i="1"/>
  <c r="HU37" i="1"/>
  <c r="HI37" i="1"/>
  <c r="GW37" i="1"/>
  <c r="GK37" i="1"/>
  <c r="FY37" i="1"/>
  <c r="FM37" i="1"/>
  <c r="FA37" i="1"/>
  <c r="EO37" i="1"/>
  <c r="EC37" i="1"/>
  <c r="DQ37" i="1"/>
  <c r="DE37" i="1"/>
  <c r="CS37" i="1"/>
  <c r="CG37" i="1"/>
  <c r="BU37" i="1"/>
  <c r="BI37" i="1"/>
  <c r="AW37" i="1"/>
  <c r="AK37" i="1"/>
  <c r="Y37" i="1"/>
  <c r="M37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V37" i="1"/>
  <c r="IJ37" i="1"/>
  <c r="HX37" i="1"/>
  <c r="HL37" i="1"/>
  <c r="GZ37" i="1"/>
  <c r="GN37" i="1"/>
  <c r="GB37" i="1"/>
  <c r="FP37" i="1"/>
  <c r="FD37" i="1"/>
  <c r="ER37" i="1"/>
  <c r="EF37" i="1"/>
  <c r="DT37" i="1"/>
  <c r="DH37" i="1"/>
  <c r="CV37" i="1"/>
  <c r="CJ37" i="1"/>
  <c r="BX37" i="1"/>
  <c r="BL37" i="1"/>
  <c r="AZ37" i="1"/>
  <c r="AN37" i="1"/>
  <c r="AB37" i="1"/>
  <c r="P37" i="1"/>
  <c r="E27" i="2"/>
  <c r="CC27" i="2" s="1"/>
  <c r="JH26" i="1"/>
  <c r="IV26" i="1"/>
  <c r="IJ26" i="1"/>
  <c r="HX26" i="1"/>
  <c r="HL26" i="1"/>
  <c r="GZ26" i="1"/>
  <c r="GN26" i="1"/>
  <c r="GB26" i="1"/>
  <c r="FP26" i="1"/>
  <c r="FD26" i="1"/>
  <c r="IY26" i="1"/>
  <c r="IM26" i="1"/>
  <c r="IA26" i="1"/>
  <c r="HO26" i="1"/>
  <c r="HC26" i="1"/>
  <c r="GQ26" i="1"/>
  <c r="GE26" i="1"/>
  <c r="FS26" i="1"/>
  <c r="FG26" i="1"/>
  <c r="EU26" i="1"/>
  <c r="IS26" i="1"/>
  <c r="ID26" i="1"/>
  <c r="GW26" i="1"/>
  <c r="GH26" i="1"/>
  <c r="FA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JE26" i="1"/>
  <c r="IP26" i="1"/>
  <c r="HI26" i="1"/>
  <c r="GT26" i="1"/>
  <c r="FM26" i="1"/>
  <c r="EX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JB26" i="1"/>
  <c r="HU26" i="1"/>
  <c r="HF26" i="1"/>
  <c r="FY26" i="1"/>
  <c r="FJ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IG26" i="1"/>
  <c r="HR26" i="1"/>
  <c r="GK26" i="1"/>
  <c r="FV26" i="1"/>
  <c r="EO26" i="1"/>
  <c r="EC26" i="1"/>
  <c r="DQ26" i="1"/>
  <c r="DE26" i="1"/>
  <c r="CS26" i="1"/>
  <c r="CG26" i="1"/>
  <c r="BU26" i="1"/>
  <c r="BI26" i="1"/>
  <c r="AW26" i="1"/>
  <c r="AK26" i="1"/>
  <c r="Y26" i="1"/>
  <c r="M26" i="1"/>
  <c r="E36" i="2"/>
  <c r="CC36" i="2" s="1"/>
  <c r="JH35" i="1"/>
  <c r="IV35" i="1"/>
  <c r="IJ35" i="1"/>
  <c r="HX35" i="1"/>
  <c r="HL35" i="1"/>
  <c r="GZ35" i="1"/>
  <c r="GN35" i="1"/>
  <c r="GB35" i="1"/>
  <c r="FP35" i="1"/>
  <c r="FD35" i="1"/>
  <c r="ER35" i="1"/>
  <c r="EF35" i="1"/>
  <c r="DT35" i="1"/>
  <c r="DH35" i="1"/>
  <c r="CV35" i="1"/>
  <c r="CJ35" i="1"/>
  <c r="BX35" i="1"/>
  <c r="BL35" i="1"/>
  <c r="AZ35" i="1"/>
  <c r="AN35" i="1"/>
  <c r="AB35" i="1"/>
  <c r="P35" i="1"/>
  <c r="JE35" i="1"/>
  <c r="IS35" i="1"/>
  <c r="IG35" i="1"/>
  <c r="HU35" i="1"/>
  <c r="HI35" i="1"/>
  <c r="GW35" i="1"/>
  <c r="GK35" i="1"/>
  <c r="FY35" i="1"/>
  <c r="FM35" i="1"/>
  <c r="FA35" i="1"/>
  <c r="EO35" i="1"/>
  <c r="EC35" i="1"/>
  <c r="DQ35" i="1"/>
  <c r="DE35" i="1"/>
  <c r="CS35" i="1"/>
  <c r="CG35" i="1"/>
  <c r="BU35" i="1"/>
  <c r="BI35" i="1"/>
  <c r="AW35" i="1"/>
  <c r="AK35" i="1"/>
  <c r="Y35" i="1"/>
  <c r="M35" i="1"/>
  <c r="JB35" i="1"/>
  <c r="IP35" i="1"/>
  <c r="ID35" i="1"/>
  <c r="HR35" i="1"/>
  <c r="HF35" i="1"/>
  <c r="GT35" i="1"/>
  <c r="GH35" i="1"/>
  <c r="FV35" i="1"/>
  <c r="FJ35" i="1"/>
  <c r="EX35" i="1"/>
  <c r="EL35" i="1"/>
  <c r="DZ35" i="1"/>
  <c r="DN35" i="1"/>
  <c r="DB35" i="1"/>
  <c r="CP35" i="1"/>
  <c r="CD35" i="1"/>
  <c r="BR35" i="1"/>
  <c r="BF35" i="1"/>
  <c r="AT35" i="1"/>
  <c r="AH35" i="1"/>
  <c r="V35" i="1"/>
  <c r="J35" i="1"/>
  <c r="IY35" i="1"/>
  <c r="IM35" i="1"/>
  <c r="IA35" i="1"/>
  <c r="HO35" i="1"/>
  <c r="HC35" i="1"/>
  <c r="GQ35" i="1"/>
  <c r="GE35" i="1"/>
  <c r="FS35" i="1"/>
  <c r="FG35" i="1"/>
  <c r="EU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28" i="2"/>
  <c r="CC28" i="2" s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Y27" i="1"/>
  <c r="IM27" i="1"/>
  <c r="IA27" i="1"/>
  <c r="HO27" i="1"/>
  <c r="HC27" i="1"/>
  <c r="GQ27" i="1"/>
  <c r="GE27" i="1"/>
  <c r="FS27" i="1"/>
  <c r="FG27" i="1"/>
  <c r="EU27" i="1"/>
  <c r="EI27" i="1"/>
  <c r="DW27" i="1"/>
  <c r="DK27" i="1"/>
  <c r="CY27" i="1"/>
  <c r="CM27" i="1"/>
  <c r="CA27" i="1"/>
  <c r="BO27" i="1"/>
  <c r="BC27" i="1"/>
  <c r="AQ27" i="1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BL27" i="1"/>
  <c r="AZ27" i="1"/>
  <c r="AN27" i="1"/>
  <c r="AB27" i="1"/>
  <c r="P27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AE27" i="1"/>
  <c r="G27" i="1"/>
  <c r="S27" i="1"/>
  <c r="HX22" i="1"/>
  <c r="E30" i="2"/>
  <c r="CC30" i="2" s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IV29" i="1"/>
  <c r="IJ29" i="1"/>
  <c r="HX29" i="1"/>
  <c r="HL29" i="1"/>
  <c r="GZ29" i="1"/>
  <c r="GN29" i="1"/>
  <c r="GB29" i="1"/>
  <c r="FP29" i="1"/>
  <c r="FD29" i="1"/>
  <c r="ER29" i="1"/>
  <c r="EF29" i="1"/>
  <c r="DT29" i="1"/>
  <c r="DH29" i="1"/>
  <c r="CV29" i="1"/>
  <c r="CJ29" i="1"/>
  <c r="BX29" i="1"/>
  <c r="BL29" i="1"/>
  <c r="AZ29" i="1"/>
  <c r="AN29" i="1"/>
  <c r="AB29" i="1"/>
  <c r="P29" i="1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M34" i="31"/>
  <c r="M34" i="32"/>
  <c r="I40" i="32"/>
  <c r="R10" i="48" s="1"/>
  <c r="F5" i="59" s="1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U153" i="46"/>
  <c r="M34" i="30"/>
  <c r="E41" i="29"/>
  <c r="C153" i="46"/>
  <c r="M34" i="29"/>
  <c r="E41" i="30"/>
  <c r="E51" i="30"/>
  <c r="E49" i="30"/>
  <c r="D49" i="27"/>
  <c r="E49" i="27" s="1"/>
  <c r="M34" i="27"/>
  <c r="CC18" i="2"/>
  <c r="O34" i="45"/>
  <c r="S34" i="45"/>
  <c r="AI34" i="45"/>
  <c r="AE34" i="45"/>
  <c r="AA34" i="45"/>
  <c r="AQ34" i="45"/>
  <c r="W34" i="45"/>
  <c r="K34" i="45"/>
  <c r="AM34" i="45"/>
  <c r="I40" i="11"/>
  <c r="R31" i="48" s="1"/>
  <c r="F26" i="59" s="1"/>
  <c r="K153" i="46"/>
  <c r="AC6" i="46"/>
  <c r="T153" i="46"/>
  <c r="AI25" i="45"/>
  <c r="K25" i="45"/>
  <c r="W25" i="45"/>
  <c r="AE25" i="45"/>
  <c r="AA25" i="45"/>
  <c r="O25" i="45"/>
  <c r="AM25" i="45"/>
  <c r="S25" i="45"/>
  <c r="AQ25" i="45"/>
  <c r="AQ14" i="45"/>
  <c r="AM14" i="45"/>
  <c r="AI14" i="45"/>
  <c r="AE14" i="45"/>
  <c r="W14" i="45"/>
  <c r="S14" i="45"/>
  <c r="K14" i="45"/>
  <c r="O14" i="45"/>
  <c r="AA14" i="45"/>
  <c r="S17" i="45"/>
  <c r="AI17" i="45"/>
  <c r="AA17" i="45"/>
  <c r="K17" i="45"/>
  <c r="O17" i="45"/>
  <c r="W17" i="45"/>
  <c r="AE17" i="45"/>
  <c r="AM17" i="45"/>
  <c r="AQ17" i="45"/>
  <c r="AM32" i="45"/>
  <c r="AI32" i="45"/>
  <c r="S32" i="45"/>
  <c r="AE32" i="45"/>
  <c r="AQ32" i="45"/>
  <c r="O32" i="45"/>
  <c r="W32" i="45"/>
  <c r="AA32" i="45"/>
  <c r="K32" i="45"/>
  <c r="AI28" i="45"/>
  <c r="AE28" i="45"/>
  <c r="S28" i="45"/>
  <c r="W28" i="45"/>
  <c r="K28" i="45"/>
  <c r="AQ28" i="45"/>
  <c r="AA28" i="45"/>
  <c r="O28" i="45"/>
  <c r="AM28" i="45"/>
  <c r="I40" i="30"/>
  <c r="R12" i="48" s="1"/>
  <c r="F7" i="59" s="1"/>
  <c r="D51" i="27"/>
  <c r="D51" i="28" s="1"/>
  <c r="E48" i="26"/>
  <c r="D52" i="30"/>
  <c r="D53" i="30" s="1"/>
  <c r="E52" i="31"/>
  <c r="E53" i="31" s="1"/>
  <c r="E45" i="27"/>
  <c r="D45" i="28"/>
  <c r="E50" i="27"/>
  <c r="E42" i="29"/>
  <c r="D42" i="27"/>
  <c r="D39" i="27"/>
  <c r="E39" i="29"/>
  <c r="D48" i="24"/>
  <c r="E48" i="25"/>
  <c r="D47" i="27"/>
  <c r="E47" i="29"/>
  <c r="E46" i="29"/>
  <c r="D46" i="27"/>
  <c r="AQ37" i="45"/>
  <c r="AE37" i="45"/>
  <c r="AA37" i="45"/>
  <c r="AI37" i="45"/>
  <c r="AM37" i="45"/>
  <c r="W37" i="45"/>
  <c r="S37" i="45"/>
  <c r="K37" i="45"/>
  <c r="O37" i="45"/>
  <c r="AI23" i="45"/>
  <c r="S23" i="45"/>
  <c r="O23" i="45"/>
  <c r="W23" i="45"/>
  <c r="AE23" i="45"/>
  <c r="AM23" i="45"/>
  <c r="K23" i="45"/>
  <c r="AA23" i="45"/>
  <c r="AQ23" i="45"/>
  <c r="S36" i="45"/>
  <c r="AA36" i="45"/>
  <c r="W36" i="45"/>
  <c r="K36" i="45"/>
  <c r="AE36" i="45"/>
  <c r="AM36" i="45"/>
  <c r="O36" i="45"/>
  <c r="AI36" i="45"/>
  <c r="AQ36" i="45"/>
  <c r="W21" i="45"/>
  <c r="AA21" i="45"/>
  <c r="AE21" i="45"/>
  <c r="S21" i="45"/>
  <c r="AM21" i="45"/>
  <c r="K21" i="45"/>
  <c r="AI21" i="45"/>
  <c r="AQ21" i="45"/>
  <c r="O21" i="45"/>
  <c r="AE27" i="45"/>
  <c r="S27" i="45"/>
  <c r="K27" i="45"/>
  <c r="AQ27" i="45"/>
  <c r="AI27" i="45"/>
  <c r="O27" i="45"/>
  <c r="AM27" i="45"/>
  <c r="AA27" i="45"/>
  <c r="W27" i="45"/>
  <c r="D50" i="26"/>
  <c r="E50" i="28"/>
  <c r="J37" i="30"/>
  <c r="J39" i="31"/>
  <c r="Q14" i="48"/>
  <c r="W13" i="48"/>
  <c r="J43" i="27"/>
  <c r="J44" i="29"/>
  <c r="M7" i="26"/>
  <c r="M34" i="28"/>
  <c r="D38" i="27"/>
  <c r="E38" i="29"/>
  <c r="E41" i="27"/>
  <c r="D41" i="28"/>
  <c r="J56" i="22"/>
  <c r="J57" i="26"/>
  <c r="J57" i="15"/>
  <c r="J49" i="27"/>
  <c r="J50" i="29"/>
  <c r="AI26" i="45" l="1"/>
  <c r="K26" i="45"/>
  <c r="AM26" i="45"/>
  <c r="GN32" i="1"/>
  <c r="CA32" i="1"/>
  <c r="HI32" i="1"/>
  <c r="ER32" i="1"/>
  <c r="HR32" i="1"/>
  <c r="IA32" i="1"/>
  <c r="IS32" i="1"/>
  <c r="J32" i="1"/>
  <c r="DK32" i="1"/>
  <c r="CJ32" i="1"/>
  <c r="BU32" i="1"/>
  <c r="IV32" i="1"/>
  <c r="IP32" i="1"/>
  <c r="Y32" i="1"/>
  <c r="GZ32" i="1"/>
  <c r="DZ32" i="1"/>
  <c r="EI32" i="1"/>
  <c r="BI32" i="1"/>
  <c r="CG32" i="1"/>
  <c r="S32" i="1"/>
  <c r="FV32" i="1"/>
  <c r="GQ32" i="1"/>
  <c r="K31" i="45"/>
  <c r="BL32" i="1"/>
  <c r="EX32" i="1"/>
  <c r="IY32" i="1"/>
  <c r="P32" i="1"/>
  <c r="AH32" i="1"/>
  <c r="AQ32" i="1"/>
  <c r="EF32" i="1"/>
  <c r="EO32" i="1"/>
  <c r="GH32" i="1"/>
  <c r="CD32" i="1"/>
  <c r="CS32" i="1"/>
  <c r="S31" i="45"/>
  <c r="CM32" i="1"/>
  <c r="HX32" i="1"/>
  <c r="FY32" i="1"/>
  <c r="BO32" i="1"/>
  <c r="GB32" i="1"/>
  <c r="GK32" i="1"/>
  <c r="DN32" i="1"/>
  <c r="DW32" i="1"/>
  <c r="AB32" i="1"/>
  <c r="IJ32" i="1"/>
  <c r="AK32" i="1"/>
  <c r="AI31" i="45"/>
  <c r="W31" i="45"/>
  <c r="JB32" i="1"/>
  <c r="AN32" i="1"/>
  <c r="IG32" i="1"/>
  <c r="ID32" i="1"/>
  <c r="IM32" i="1"/>
  <c r="JH32" i="1"/>
  <c r="V32" i="1"/>
  <c r="AE32" i="1"/>
  <c r="DQ32" i="1"/>
  <c r="AZ32" i="1"/>
  <c r="FJ32" i="1"/>
  <c r="E33" i="2"/>
  <c r="CC33" i="2" s="1"/>
  <c r="AW32" i="1"/>
  <c r="EL32" i="1"/>
  <c r="EU32" i="1"/>
  <c r="BX32" i="1"/>
  <c r="CV32" i="1"/>
  <c r="GT32" i="1"/>
  <c r="DH32" i="1"/>
  <c r="C18" i="45"/>
  <c r="AE18" i="45" s="1"/>
  <c r="BC22" i="1"/>
  <c r="EF22" i="1"/>
  <c r="EU22" i="1"/>
  <c r="BR22" i="1"/>
  <c r="IM22" i="1"/>
  <c r="FJ22" i="1"/>
  <c r="JB22" i="1"/>
  <c r="AZ22" i="1"/>
  <c r="CS22" i="1"/>
  <c r="GK22" i="1"/>
  <c r="ER22" i="1"/>
  <c r="CV22" i="1"/>
  <c r="CD22" i="1"/>
  <c r="FV22" i="1"/>
  <c r="M22" i="1"/>
  <c r="DE22" i="1"/>
  <c r="GW22" i="1"/>
  <c r="IJ22" i="1"/>
  <c r="BO22" i="1"/>
  <c r="FG22" i="1"/>
  <c r="IY22" i="1"/>
  <c r="J19" i="48"/>
  <c r="B14" i="59" s="1"/>
  <c r="BL22" i="1"/>
  <c r="P22" i="1"/>
  <c r="GN22" i="1"/>
  <c r="CP22" i="1"/>
  <c r="GH22" i="1"/>
  <c r="Y22" i="1"/>
  <c r="DQ22" i="1"/>
  <c r="HI22" i="1"/>
  <c r="IV22" i="1"/>
  <c r="CA22" i="1"/>
  <c r="FS22" i="1"/>
  <c r="E23" i="2"/>
  <c r="CC23" i="2" s="1"/>
  <c r="FD22" i="1"/>
  <c r="DH22" i="1"/>
  <c r="J22" i="1"/>
  <c r="DB22" i="1"/>
  <c r="GT22" i="1"/>
  <c r="AK22" i="1"/>
  <c r="EC22" i="1"/>
  <c r="HU22" i="1"/>
  <c r="JH22" i="1"/>
  <c r="CM22" i="1"/>
  <c r="GE22" i="1"/>
  <c r="AB22" i="1"/>
  <c r="GZ22" i="1"/>
  <c r="V22" i="1"/>
  <c r="DN22" i="1"/>
  <c r="HF22" i="1"/>
  <c r="AW22" i="1"/>
  <c r="EO22" i="1"/>
  <c r="IG22" i="1"/>
  <c r="G22" i="1"/>
  <c r="CY22" i="1"/>
  <c r="GQ22" i="1"/>
  <c r="DT22" i="1"/>
  <c r="BX22" i="1"/>
  <c r="AH22" i="1"/>
  <c r="DZ22" i="1"/>
  <c r="HR22" i="1"/>
  <c r="BI22" i="1"/>
  <c r="FA22" i="1"/>
  <c r="IS22" i="1"/>
  <c r="S22" i="1"/>
  <c r="DK22" i="1"/>
  <c r="HC22" i="1"/>
  <c r="CJ22" i="1"/>
  <c r="FP22" i="1"/>
  <c r="AT22" i="1"/>
  <c r="EL22" i="1"/>
  <c r="ID22" i="1"/>
  <c r="BU22" i="1"/>
  <c r="FM22" i="1"/>
  <c r="JE22" i="1"/>
  <c r="AE22" i="1"/>
  <c r="DW22" i="1"/>
  <c r="HO22" i="1"/>
  <c r="GB22" i="1"/>
  <c r="AN22" i="1"/>
  <c r="BF22" i="1"/>
  <c r="EX22" i="1"/>
  <c r="IP22" i="1"/>
  <c r="CG22" i="1"/>
  <c r="FY22" i="1"/>
  <c r="HL22" i="1"/>
  <c r="AQ22" i="1"/>
  <c r="EI22" i="1"/>
  <c r="AM31" i="45"/>
  <c r="M32" i="1"/>
  <c r="CY32" i="1"/>
  <c r="AA31" i="45"/>
  <c r="G32" i="1"/>
  <c r="AQ31" i="45"/>
  <c r="W26" i="45"/>
  <c r="AE26" i="45"/>
  <c r="AA26" i="45"/>
  <c r="AQ26" i="45"/>
  <c r="S26" i="45"/>
  <c r="AA116" i="58"/>
  <c r="AB116" i="58" s="1"/>
  <c r="AA116" i="46"/>
  <c r="AB116" i="46" s="1"/>
  <c r="X116" i="46"/>
  <c r="X11" i="48"/>
  <c r="H6" i="59" s="1"/>
  <c r="AJ19" i="48"/>
  <c r="D14" i="59" s="1"/>
  <c r="E19" i="1"/>
  <c r="GZ19" i="1" s="1"/>
  <c r="I11" i="48"/>
  <c r="C10" i="45"/>
  <c r="W10" i="45" s="1"/>
  <c r="AJ11" i="48"/>
  <c r="D6" i="59" s="1"/>
  <c r="E11" i="1"/>
  <c r="JE11" i="1" s="1"/>
  <c r="J11" i="48"/>
  <c r="B6" i="59" s="1"/>
  <c r="AA6" i="58"/>
  <c r="AB6" i="58" s="1"/>
  <c r="A15" i="1"/>
  <c r="A16" i="2" s="1"/>
  <c r="AA24" i="45"/>
  <c r="AQ24" i="45"/>
  <c r="O24" i="45"/>
  <c r="AE24" i="45"/>
  <c r="X19" i="48"/>
  <c r="H14" i="59" s="1"/>
  <c r="F14" i="59"/>
  <c r="S24" i="45"/>
  <c r="K24" i="45"/>
  <c r="J11" i="15"/>
  <c r="J11" i="14" s="1"/>
  <c r="J11" i="13" s="1"/>
  <c r="J11" i="12" s="1"/>
  <c r="J11" i="11" s="1"/>
  <c r="AI24" i="45"/>
  <c r="W24" i="45"/>
  <c r="AJ20" i="48"/>
  <c r="D15" i="59" s="1"/>
  <c r="J20" i="48"/>
  <c r="B15" i="59" s="1"/>
  <c r="I20" i="48"/>
  <c r="X20" i="48"/>
  <c r="H15" i="59" s="1"/>
  <c r="C19" i="45"/>
  <c r="E20" i="1"/>
  <c r="I45" i="33"/>
  <c r="R9" i="48"/>
  <c r="F4" i="59" s="1"/>
  <c r="J30" i="9"/>
  <c r="J30" i="8" s="1"/>
  <c r="J30" i="7" s="1"/>
  <c r="J30" i="6" s="1"/>
  <c r="J30" i="37" s="1"/>
  <c r="J30" i="4" s="1"/>
  <c r="J30" i="43" s="1"/>
  <c r="J8" i="9"/>
  <c r="J8" i="8" s="1"/>
  <c r="J8" i="7" s="1"/>
  <c r="J8" i="6" s="1"/>
  <c r="J8" i="37" s="1"/>
  <c r="J8" i="4" s="1"/>
  <c r="J8" i="43" s="1"/>
  <c r="J31" i="9"/>
  <c r="J31" i="8" s="1"/>
  <c r="J31" i="7" s="1"/>
  <c r="J31" i="6" s="1"/>
  <c r="J31" i="37" s="1"/>
  <c r="J31" i="4" s="1"/>
  <c r="J31" i="43" s="1"/>
  <c r="J10" i="10"/>
  <c r="AJ30" i="48"/>
  <c r="D25" i="59" s="1"/>
  <c r="X30" i="48"/>
  <c r="H25" i="59" s="1"/>
  <c r="I30" i="48"/>
  <c r="E30" i="1"/>
  <c r="J30" i="48"/>
  <c r="B25" i="59" s="1"/>
  <c r="C29" i="45"/>
  <c r="J9" i="12"/>
  <c r="J9" i="11" s="1"/>
  <c r="J9" i="10" s="1"/>
  <c r="J29" i="12"/>
  <c r="J29" i="11" s="1"/>
  <c r="J29" i="10" s="1"/>
  <c r="J27" i="12"/>
  <c r="J27" i="11" s="1"/>
  <c r="J27" i="10" s="1"/>
  <c r="J28" i="12"/>
  <c r="J28" i="11" s="1"/>
  <c r="J28" i="10" s="1"/>
  <c r="J25" i="14"/>
  <c r="J25" i="13" s="1"/>
  <c r="J26" i="14"/>
  <c r="J26" i="13" s="1"/>
  <c r="J23" i="15"/>
  <c r="AA18" i="45"/>
  <c r="AI18" i="45"/>
  <c r="J17" i="16"/>
  <c r="J17" i="15" s="1"/>
  <c r="J17" i="14" s="1"/>
  <c r="J17" i="13" s="1"/>
  <c r="J19" i="17"/>
  <c r="J19" i="16" s="1"/>
  <c r="J21" i="17"/>
  <c r="J21" i="16" s="1"/>
  <c r="J24" i="17"/>
  <c r="J24" i="16" s="1"/>
  <c r="J13" i="16"/>
  <c r="J13" i="15" s="1"/>
  <c r="J13" i="14" s="1"/>
  <c r="J13" i="13" s="1"/>
  <c r="J13" i="12" s="1"/>
  <c r="J13" i="11" s="1"/>
  <c r="J13" i="10" s="1"/>
  <c r="J13" i="9" s="1"/>
  <c r="J13" i="8" s="1"/>
  <c r="J13" i="7" s="1"/>
  <c r="J15" i="16"/>
  <c r="J15" i="15" s="1"/>
  <c r="J15" i="14" s="1"/>
  <c r="J15" i="13" s="1"/>
  <c r="J15" i="12" s="1"/>
  <c r="J15" i="11" s="1"/>
  <c r="J15" i="10" s="1"/>
  <c r="J15" i="9" s="1"/>
  <c r="J15" i="8" s="1"/>
  <c r="J15" i="7" s="1"/>
  <c r="J20" i="17"/>
  <c r="J20" i="16" s="1"/>
  <c r="J22" i="17"/>
  <c r="J22" i="16" s="1"/>
  <c r="J22" i="15" s="1"/>
  <c r="J16" i="16"/>
  <c r="J16" i="15" s="1"/>
  <c r="J16" i="14" s="1"/>
  <c r="J16" i="13" s="1"/>
  <c r="J16" i="12" s="1"/>
  <c r="J16" i="11" s="1"/>
  <c r="J16" i="10" s="1"/>
  <c r="J16" i="9" s="1"/>
  <c r="J16" i="8" s="1"/>
  <c r="J16" i="7" s="1"/>
  <c r="AM18" i="45"/>
  <c r="S18" i="45"/>
  <c r="W18" i="45"/>
  <c r="AQ18" i="45"/>
  <c r="K18" i="45"/>
  <c r="O18" i="45"/>
  <c r="J18" i="20"/>
  <c r="J18" i="19" s="1"/>
  <c r="J18" i="18" s="1"/>
  <c r="J18" i="17" s="1"/>
  <c r="FY21" i="1"/>
  <c r="JB21" i="1"/>
  <c r="FV21" i="1"/>
  <c r="GN21" i="1"/>
  <c r="DH21" i="1"/>
  <c r="AQ21" i="1"/>
  <c r="CS21" i="1"/>
  <c r="AB21" i="1"/>
  <c r="HI21" i="1"/>
  <c r="DB21" i="1"/>
  <c r="AZ21" i="1"/>
  <c r="E22" i="2"/>
  <c r="CC22" i="2" s="1"/>
  <c r="HR21" i="1"/>
  <c r="S21" i="1"/>
  <c r="FM21" i="1"/>
  <c r="BF21" i="1"/>
  <c r="IG21" i="1"/>
  <c r="GZ21" i="1"/>
  <c r="HC21" i="1"/>
  <c r="DT21" i="1"/>
  <c r="GT21" i="1"/>
  <c r="ER21" i="1"/>
  <c r="GQ21" i="1"/>
  <c r="BI21" i="1"/>
  <c r="BX21" i="1"/>
  <c r="JE21" i="1"/>
  <c r="EX21" i="1"/>
  <c r="CY21" i="1"/>
  <c r="M21" i="1"/>
  <c r="BR21" i="1"/>
  <c r="HL21" i="1"/>
  <c r="G21" i="1"/>
  <c r="AK21" i="1"/>
  <c r="IJ21" i="1"/>
  <c r="EU21" i="1"/>
  <c r="FA21" i="1"/>
  <c r="FP21" i="1"/>
  <c r="CA21" i="1"/>
  <c r="IP21" i="1"/>
  <c r="GK21" i="1"/>
  <c r="HX21" i="1"/>
  <c r="ID21" i="1"/>
  <c r="AE21" i="1"/>
  <c r="DE21" i="1"/>
  <c r="IY21" i="1"/>
  <c r="GE21" i="1"/>
  <c r="EC21" i="1"/>
  <c r="V21" i="1"/>
  <c r="BL21" i="1"/>
  <c r="IS21" i="1"/>
  <c r="JH21" i="1"/>
  <c r="FG21" i="1"/>
  <c r="CG21" i="1"/>
  <c r="IA21" i="1"/>
  <c r="P21" i="1"/>
  <c r="CP21" i="1"/>
  <c r="AN21" i="1"/>
  <c r="HU21" i="1"/>
  <c r="DN21" i="1"/>
  <c r="FD21" i="1"/>
  <c r="AT21" i="1"/>
  <c r="DK21" i="1"/>
  <c r="EI21" i="1"/>
  <c r="AH21" i="1"/>
  <c r="CV21" i="1"/>
  <c r="AW21" i="1"/>
  <c r="CD21" i="1"/>
  <c r="GH21" i="1"/>
  <c r="EF21" i="1"/>
  <c r="HF21" i="1"/>
  <c r="IV21" i="1"/>
  <c r="EL21" i="1"/>
  <c r="CJ21" i="1"/>
  <c r="DW21" i="1"/>
  <c r="FS21" i="1"/>
  <c r="GW21" i="1"/>
  <c r="IM21" i="1"/>
  <c r="CM21" i="1"/>
  <c r="DQ21" i="1"/>
  <c r="J21" i="1"/>
  <c r="BC21" i="1"/>
  <c r="DZ21" i="1"/>
  <c r="BO21" i="1"/>
  <c r="BU21" i="1"/>
  <c r="HO21" i="1"/>
  <c r="FJ21" i="1"/>
  <c r="Y21" i="1"/>
  <c r="EO21" i="1"/>
  <c r="GB21" i="1"/>
  <c r="AQ20" i="45"/>
  <c r="S20" i="45"/>
  <c r="K20" i="45"/>
  <c r="W20" i="45"/>
  <c r="O20" i="45"/>
  <c r="AM20" i="45"/>
  <c r="AI20" i="45"/>
  <c r="AA20" i="45"/>
  <c r="AE20" i="45"/>
  <c r="E43" i="29"/>
  <c r="E52" i="29" s="1"/>
  <c r="E53" i="29" s="1"/>
  <c r="D43" i="26"/>
  <c r="E43" i="26" s="1"/>
  <c r="W153" i="58"/>
  <c r="X158" i="58" s="1"/>
  <c r="I51" i="33"/>
  <c r="I51" i="29"/>
  <c r="I45" i="29"/>
  <c r="AA6" i="46"/>
  <c r="AB6" i="46" s="1"/>
  <c r="X6" i="46"/>
  <c r="C13" i="45"/>
  <c r="E14" i="1"/>
  <c r="X14" i="48"/>
  <c r="H9" i="59" s="1"/>
  <c r="AJ14" i="48"/>
  <c r="D9" i="59" s="1"/>
  <c r="I14" i="48"/>
  <c r="J14" i="48"/>
  <c r="B9" i="59" s="1"/>
  <c r="E44" i="25"/>
  <c r="E44" i="23"/>
  <c r="E44" i="24"/>
  <c r="N12" i="53"/>
  <c r="U2" i="54"/>
  <c r="O12" i="53" s="1"/>
  <c r="D40" i="26"/>
  <c r="E40" i="26" s="1"/>
  <c r="E43" i="27"/>
  <c r="D52" i="29"/>
  <c r="D53" i="29" s="1"/>
  <c r="I8" i="54"/>
  <c r="I11" i="54" s="1"/>
  <c r="AH3" i="55"/>
  <c r="AH4" i="55"/>
  <c r="AH38" i="55"/>
  <c r="EF11" i="1"/>
  <c r="AZ11" i="1"/>
  <c r="GK11" i="1"/>
  <c r="FY11" i="1"/>
  <c r="CS11" i="1"/>
  <c r="CG11" i="1"/>
  <c r="GN11" i="1"/>
  <c r="ER11" i="1"/>
  <c r="IP11" i="1"/>
  <c r="ID11" i="1"/>
  <c r="EX11" i="1"/>
  <c r="EL11" i="1"/>
  <c r="BF11" i="1"/>
  <c r="AT11" i="1"/>
  <c r="GZ11" i="1"/>
  <c r="DT11" i="1"/>
  <c r="GQ11" i="1"/>
  <c r="GE11" i="1"/>
  <c r="CY11" i="1"/>
  <c r="CM11" i="1"/>
  <c r="G11" i="1"/>
  <c r="DH11" i="1"/>
  <c r="N41" i="48"/>
  <c r="G41" i="48" s="1"/>
  <c r="G9" i="48"/>
  <c r="I51" i="32"/>
  <c r="I45" i="32"/>
  <c r="J40" i="32"/>
  <c r="S10" i="45"/>
  <c r="O10" i="45"/>
  <c r="AI10" i="45"/>
  <c r="K10" i="45"/>
  <c r="M9" i="48"/>
  <c r="M10" i="48" s="1"/>
  <c r="M11" i="48" s="1"/>
  <c r="M12" i="48" s="1"/>
  <c r="M13" i="48" s="1"/>
  <c r="M14" i="48" s="1"/>
  <c r="L41" i="48"/>
  <c r="H41" i="48" s="1"/>
  <c r="H9" i="48"/>
  <c r="AE10" i="45"/>
  <c r="AA10" i="45"/>
  <c r="AM10" i="45"/>
  <c r="AQ10" i="45"/>
  <c r="E52" i="30"/>
  <c r="E53" i="30" s="1"/>
  <c r="D49" i="28"/>
  <c r="E49" i="28" s="1"/>
  <c r="E12" i="2"/>
  <c r="Y154" i="46"/>
  <c r="X161" i="46" s="1"/>
  <c r="I51" i="11"/>
  <c r="I45" i="11"/>
  <c r="V154" i="46"/>
  <c r="AR154" i="46" s="1"/>
  <c r="Z153" i="46"/>
  <c r="AC153" i="46"/>
  <c r="I5" i="54" s="1"/>
  <c r="E15" i="53" s="1"/>
  <c r="I51" i="30"/>
  <c r="I45" i="30"/>
  <c r="W153" i="46"/>
  <c r="E51" i="27"/>
  <c r="E45" i="28"/>
  <c r="D45" i="26"/>
  <c r="D42" i="28"/>
  <c r="E42" i="27"/>
  <c r="E46" i="27"/>
  <c r="D46" i="28"/>
  <c r="E47" i="27"/>
  <c r="D47" i="28"/>
  <c r="E48" i="24"/>
  <c r="D48" i="23"/>
  <c r="E39" i="27"/>
  <c r="D39" i="28"/>
  <c r="E51" i="28"/>
  <c r="D51" i="26"/>
  <c r="J37" i="29"/>
  <c r="J39" i="30"/>
  <c r="D50" i="25"/>
  <c r="E50" i="26"/>
  <c r="J57" i="25"/>
  <c r="M7" i="25"/>
  <c r="M34" i="26"/>
  <c r="J43" i="28"/>
  <c r="J44" i="27"/>
  <c r="Q15" i="48"/>
  <c r="W14" i="48"/>
  <c r="J50" i="27"/>
  <c r="J49" i="28"/>
  <c r="D44" i="22"/>
  <c r="E44" i="21"/>
  <c r="J57" i="14"/>
  <c r="J56" i="20"/>
  <c r="D41" i="26"/>
  <c r="E41" i="28"/>
  <c r="E38" i="27"/>
  <c r="D52" i="27"/>
  <c r="D53" i="27" s="1"/>
  <c r="D38" i="28"/>
  <c r="EI19" i="1" l="1"/>
  <c r="BR19" i="1"/>
  <c r="HX19" i="1"/>
  <c r="BO19" i="1"/>
  <c r="AK19" i="1"/>
  <c r="GK19" i="1"/>
  <c r="ID19" i="1"/>
  <c r="FM19" i="1"/>
  <c r="CG19" i="1"/>
  <c r="HI19" i="1"/>
  <c r="DW19" i="1"/>
  <c r="BF19" i="1"/>
  <c r="AZ19" i="1"/>
  <c r="GE19" i="1"/>
  <c r="M19" i="1"/>
  <c r="HF19" i="1"/>
  <c r="CA19" i="1"/>
  <c r="BX19" i="1"/>
  <c r="CY19" i="1"/>
  <c r="BL19" i="1"/>
  <c r="HR19" i="1"/>
  <c r="IS19" i="1"/>
  <c r="AW19" i="1"/>
  <c r="ER19" i="1"/>
  <c r="GQ19" i="1"/>
  <c r="DE19" i="1"/>
  <c r="HO19" i="1"/>
  <c r="IG19" i="1"/>
  <c r="J19" i="1"/>
  <c r="CM19" i="1"/>
  <c r="HC19" i="1"/>
  <c r="BI19" i="1"/>
  <c r="IA19" i="1"/>
  <c r="FG19" i="1"/>
  <c r="P19" i="1"/>
  <c r="DT19" i="1"/>
  <c r="BU19" i="1"/>
  <c r="FD19" i="1"/>
  <c r="Y19" i="1"/>
  <c r="FA19" i="1"/>
  <c r="EC19" i="1"/>
  <c r="HL19" i="1"/>
  <c r="GB19" i="1"/>
  <c r="CP19" i="1"/>
  <c r="DZ19" i="1"/>
  <c r="IM19" i="1"/>
  <c r="JB19" i="1"/>
  <c r="GN19" i="1"/>
  <c r="FY19" i="1"/>
  <c r="CD19" i="1"/>
  <c r="CJ19" i="1"/>
  <c r="IP19" i="1"/>
  <c r="DH19" i="1"/>
  <c r="EO19" i="1"/>
  <c r="GW19" i="1"/>
  <c r="S19" i="1"/>
  <c r="GT19" i="1"/>
  <c r="DN19" i="1"/>
  <c r="CV19" i="1"/>
  <c r="FJ19" i="1"/>
  <c r="EL19" i="1"/>
  <c r="IJ19" i="1"/>
  <c r="AH19" i="1"/>
  <c r="GH19" i="1"/>
  <c r="BC19" i="1"/>
  <c r="IV19" i="1"/>
  <c r="V19" i="1"/>
  <c r="EF19" i="1"/>
  <c r="FV19" i="1"/>
  <c r="AE19" i="1"/>
  <c r="HU19" i="1"/>
  <c r="AQ19" i="1"/>
  <c r="E20" i="2"/>
  <c r="CC20" i="2" s="1"/>
  <c r="FS19" i="1"/>
  <c r="AN19" i="1"/>
  <c r="EX19" i="1"/>
  <c r="IY19" i="1"/>
  <c r="FP19" i="1"/>
  <c r="G19" i="1"/>
  <c r="JH19" i="1"/>
  <c r="DQ19" i="1"/>
  <c r="CS19" i="1"/>
  <c r="A16" i="1"/>
  <c r="A17" i="2" s="1"/>
  <c r="DB19" i="1"/>
  <c r="JE19" i="1"/>
  <c r="DK19" i="1"/>
  <c r="F39" i="53"/>
  <c r="F33" i="53"/>
  <c r="F40" i="53"/>
  <c r="F43" i="53"/>
  <c r="F32" i="53"/>
  <c r="AT19" i="1"/>
  <c r="AB19" i="1"/>
  <c r="EU19" i="1"/>
  <c r="S11" i="1"/>
  <c r="FJ11" i="1"/>
  <c r="M11" i="1"/>
  <c r="GW11" i="1"/>
  <c r="AE11" i="1"/>
  <c r="DW11" i="1"/>
  <c r="HO11" i="1"/>
  <c r="GB11" i="1"/>
  <c r="CD11" i="1"/>
  <c r="FV11" i="1"/>
  <c r="P11" i="1"/>
  <c r="Y11" i="1"/>
  <c r="DQ11" i="1"/>
  <c r="HI11" i="1"/>
  <c r="IV11" i="1"/>
  <c r="AN11" i="1"/>
  <c r="HL11" i="1"/>
  <c r="AB11" i="1"/>
  <c r="AQ11" i="1"/>
  <c r="EI11" i="1"/>
  <c r="IA11" i="1"/>
  <c r="JH11" i="1"/>
  <c r="CP11" i="1"/>
  <c r="GH11" i="1"/>
  <c r="CJ11" i="1"/>
  <c r="AK11" i="1"/>
  <c r="EC11" i="1"/>
  <c r="HU11" i="1"/>
  <c r="BR11" i="1"/>
  <c r="CV11" i="1"/>
  <c r="BC11" i="1"/>
  <c r="EU11" i="1"/>
  <c r="IM11" i="1"/>
  <c r="J11" i="1"/>
  <c r="DB11" i="1"/>
  <c r="GT11" i="1"/>
  <c r="FD11" i="1"/>
  <c r="AW11" i="1"/>
  <c r="EO11" i="1"/>
  <c r="IG11" i="1"/>
  <c r="HC11" i="1"/>
  <c r="JB11" i="1"/>
  <c r="DE11" i="1"/>
  <c r="FP11" i="1"/>
  <c r="BO11" i="1"/>
  <c r="FG11" i="1"/>
  <c r="IY11" i="1"/>
  <c r="V11" i="1"/>
  <c r="DN11" i="1"/>
  <c r="HF11" i="1"/>
  <c r="IJ11" i="1"/>
  <c r="BI11" i="1"/>
  <c r="FA11" i="1"/>
  <c r="IS11" i="1"/>
  <c r="DK11" i="1"/>
  <c r="HX11" i="1"/>
  <c r="CA11" i="1"/>
  <c r="FS11" i="1"/>
  <c r="BL11" i="1"/>
  <c r="AH11" i="1"/>
  <c r="DZ11" i="1"/>
  <c r="HR11" i="1"/>
  <c r="BX11" i="1"/>
  <c r="BU11" i="1"/>
  <c r="FM11" i="1"/>
  <c r="J9" i="48"/>
  <c r="B4" i="59" s="1"/>
  <c r="IP20" i="1"/>
  <c r="EX20" i="1"/>
  <c r="BF20" i="1"/>
  <c r="GW20" i="1"/>
  <c r="HI20" i="1"/>
  <c r="HU20" i="1"/>
  <c r="GQ20" i="1"/>
  <c r="HC20" i="1"/>
  <c r="HO20" i="1"/>
  <c r="GZ20" i="1"/>
  <c r="HL20" i="1"/>
  <c r="ID20" i="1"/>
  <c r="EL20" i="1"/>
  <c r="AT20" i="1"/>
  <c r="FG20" i="1"/>
  <c r="FS20" i="1"/>
  <c r="GE20" i="1"/>
  <c r="FP20" i="1"/>
  <c r="GB20" i="1"/>
  <c r="GN20" i="1"/>
  <c r="FY20" i="1"/>
  <c r="GK20" i="1"/>
  <c r="HR20" i="1"/>
  <c r="DZ20" i="1"/>
  <c r="AH20" i="1"/>
  <c r="EF20" i="1"/>
  <c r="ER20" i="1"/>
  <c r="FD20" i="1"/>
  <c r="EO20" i="1"/>
  <c r="FA20" i="1"/>
  <c r="FM20" i="1"/>
  <c r="EI20" i="1"/>
  <c r="EU20" i="1"/>
  <c r="HF20" i="1"/>
  <c r="DN20" i="1"/>
  <c r="V20" i="1"/>
  <c r="DE20" i="1"/>
  <c r="DQ20" i="1"/>
  <c r="EC20" i="1"/>
  <c r="CY20" i="1"/>
  <c r="DK20" i="1"/>
  <c r="DW20" i="1"/>
  <c r="DH20" i="1"/>
  <c r="DT20" i="1"/>
  <c r="GT20" i="1"/>
  <c r="DB20" i="1"/>
  <c r="J20" i="1"/>
  <c r="BO20" i="1"/>
  <c r="CA20" i="1"/>
  <c r="CM20" i="1"/>
  <c r="BX20" i="1"/>
  <c r="CJ20" i="1"/>
  <c r="CV20" i="1"/>
  <c r="CG20" i="1"/>
  <c r="CS20" i="1"/>
  <c r="GH20" i="1"/>
  <c r="CP20" i="1"/>
  <c r="JH20" i="1"/>
  <c r="AN20" i="1"/>
  <c r="AZ20" i="1"/>
  <c r="BL20" i="1"/>
  <c r="AW20" i="1"/>
  <c r="BI20" i="1"/>
  <c r="BU20" i="1"/>
  <c r="AQ20" i="1"/>
  <c r="BC20" i="1"/>
  <c r="E21" i="2"/>
  <c r="CC21" i="2" s="1"/>
  <c r="FV20" i="1"/>
  <c r="CD20" i="1"/>
  <c r="IY20" i="1"/>
  <c r="M20" i="1"/>
  <c r="Y20" i="1"/>
  <c r="AK20" i="1"/>
  <c r="G20" i="1"/>
  <c r="S20" i="1"/>
  <c r="AE20" i="1"/>
  <c r="P20" i="1"/>
  <c r="AB20" i="1"/>
  <c r="JB20" i="1"/>
  <c r="FJ20" i="1"/>
  <c r="BR20" i="1"/>
  <c r="HX20" i="1"/>
  <c r="IJ20" i="1"/>
  <c r="IV20" i="1"/>
  <c r="IG20" i="1"/>
  <c r="IS20" i="1"/>
  <c r="JE20" i="1"/>
  <c r="IA20" i="1"/>
  <c r="IM20" i="1"/>
  <c r="AQ19" i="45"/>
  <c r="AE19" i="45"/>
  <c r="W19" i="45"/>
  <c r="S19" i="45"/>
  <c r="AI19" i="45"/>
  <c r="O19" i="45"/>
  <c r="AM19" i="45"/>
  <c r="K19" i="45"/>
  <c r="AA19" i="45"/>
  <c r="J27" i="9"/>
  <c r="J27" i="8" s="1"/>
  <c r="J27" i="7" s="1"/>
  <c r="J27" i="6" s="1"/>
  <c r="J27" i="37" s="1"/>
  <c r="J27" i="4" s="1"/>
  <c r="J27" i="43" s="1"/>
  <c r="J29" i="9"/>
  <c r="J29" i="8" s="1"/>
  <c r="J29" i="7" s="1"/>
  <c r="J29" i="6" s="1"/>
  <c r="J29" i="37" s="1"/>
  <c r="J29" i="4" s="1"/>
  <c r="J29" i="43" s="1"/>
  <c r="J28" i="9"/>
  <c r="J28" i="8" s="1"/>
  <c r="J28" i="7" s="1"/>
  <c r="J28" i="6" s="1"/>
  <c r="J28" i="37" s="1"/>
  <c r="J28" i="4" s="1"/>
  <c r="J28" i="43" s="1"/>
  <c r="J9" i="9"/>
  <c r="J9" i="8" s="1"/>
  <c r="J9" i="7" s="1"/>
  <c r="J9" i="6" s="1"/>
  <c r="J9" i="37" s="1"/>
  <c r="J9" i="4" s="1"/>
  <c r="J9" i="43" s="1"/>
  <c r="J10" i="9"/>
  <c r="J10" i="8" s="1"/>
  <c r="J11" i="10"/>
  <c r="O29" i="45"/>
  <c r="AM29" i="45"/>
  <c r="K29" i="45"/>
  <c r="S29" i="45"/>
  <c r="AI29" i="45"/>
  <c r="AE29" i="45"/>
  <c r="W29" i="45"/>
  <c r="AQ29" i="45"/>
  <c r="AA29" i="45"/>
  <c r="IP30" i="1"/>
  <c r="EX30" i="1"/>
  <c r="BF30" i="1"/>
  <c r="HU30" i="1"/>
  <c r="EC30" i="1"/>
  <c r="AK30" i="1"/>
  <c r="DW30" i="1"/>
  <c r="HL30" i="1"/>
  <c r="AB30" i="1"/>
  <c r="CJ30" i="1"/>
  <c r="FG30" i="1"/>
  <c r="ID30" i="1"/>
  <c r="EL30" i="1"/>
  <c r="AT30" i="1"/>
  <c r="HI30" i="1"/>
  <c r="DQ30" i="1"/>
  <c r="Y30" i="1"/>
  <c r="DH30" i="1"/>
  <c r="GE30" i="1"/>
  <c r="IM30" i="1"/>
  <c r="BC30" i="1"/>
  <c r="ER30" i="1"/>
  <c r="HR30" i="1"/>
  <c r="DZ30" i="1"/>
  <c r="AH30" i="1"/>
  <c r="GW30" i="1"/>
  <c r="DE30" i="1"/>
  <c r="M30" i="1"/>
  <c r="CA30" i="1"/>
  <c r="FP30" i="1"/>
  <c r="HX30" i="1"/>
  <c r="AN30" i="1"/>
  <c r="DK30" i="1"/>
  <c r="HF30" i="1"/>
  <c r="DN30" i="1"/>
  <c r="V30" i="1"/>
  <c r="GK30" i="1"/>
  <c r="CS30" i="1"/>
  <c r="IV30" i="1"/>
  <c r="BL30" i="1"/>
  <c r="EI30" i="1"/>
  <c r="GQ30" i="1"/>
  <c r="G30" i="1"/>
  <c r="CV30" i="1"/>
  <c r="GT30" i="1"/>
  <c r="DB30" i="1"/>
  <c r="J30" i="1"/>
  <c r="FY30" i="1"/>
  <c r="CG30" i="1"/>
  <c r="HO30" i="1"/>
  <c r="AE30" i="1"/>
  <c r="DT30" i="1"/>
  <c r="GB30" i="1"/>
  <c r="IY30" i="1"/>
  <c r="BO30" i="1"/>
  <c r="GH30" i="1"/>
  <c r="CP30" i="1"/>
  <c r="JE30" i="1"/>
  <c r="FM30" i="1"/>
  <c r="BU30" i="1"/>
  <c r="GZ30" i="1"/>
  <c r="P30" i="1"/>
  <c r="CM30" i="1"/>
  <c r="EU30" i="1"/>
  <c r="IJ30" i="1"/>
  <c r="AZ30" i="1"/>
  <c r="E31" i="2"/>
  <c r="CC31" i="2" s="1"/>
  <c r="FV30" i="1"/>
  <c r="CD30" i="1"/>
  <c r="IS30" i="1"/>
  <c r="FA30" i="1"/>
  <c r="BI30" i="1"/>
  <c r="FS30" i="1"/>
  <c r="JH30" i="1"/>
  <c r="BX30" i="1"/>
  <c r="EF30" i="1"/>
  <c r="HC30" i="1"/>
  <c r="S30" i="1"/>
  <c r="JB30" i="1"/>
  <c r="FJ30" i="1"/>
  <c r="BR30" i="1"/>
  <c r="IG30" i="1"/>
  <c r="EO30" i="1"/>
  <c r="AW30" i="1"/>
  <c r="FD30" i="1"/>
  <c r="IA30" i="1"/>
  <c r="AQ30" i="1"/>
  <c r="CY30" i="1"/>
  <c r="GN30" i="1"/>
  <c r="J26" i="12"/>
  <c r="J26" i="11" s="1"/>
  <c r="J25" i="12"/>
  <c r="J25" i="11" s="1"/>
  <c r="J23" i="14"/>
  <c r="J22" i="14"/>
  <c r="J22" i="13" s="1"/>
  <c r="J20" i="15"/>
  <c r="J20" i="14" s="1"/>
  <c r="J20" i="13" s="1"/>
  <c r="J15" i="6"/>
  <c r="J15" i="37" s="1"/>
  <c r="J15" i="4" s="1"/>
  <c r="J15" i="43" s="1"/>
  <c r="D43" i="25"/>
  <c r="D43" i="24" s="1"/>
  <c r="J13" i="6"/>
  <c r="J13" i="37" s="1"/>
  <c r="J13" i="4" s="1"/>
  <c r="J13" i="43" s="1"/>
  <c r="J19" i="15"/>
  <c r="J19" i="14" s="1"/>
  <c r="J19" i="13" s="1"/>
  <c r="J24" i="15"/>
  <c r="J21" i="15"/>
  <c r="J18" i="16"/>
  <c r="J18" i="15" s="1"/>
  <c r="J14" i="16"/>
  <c r="J14" i="15" s="1"/>
  <c r="J14" i="14" s="1"/>
  <c r="J14" i="13" s="1"/>
  <c r="J14" i="12" s="1"/>
  <c r="J14" i="11" s="1"/>
  <c r="J14" i="10" s="1"/>
  <c r="J14" i="9" s="1"/>
  <c r="J14" i="8" s="1"/>
  <c r="J14" i="7" s="1"/>
  <c r="F15" i="53"/>
  <c r="G15" i="53" s="1"/>
  <c r="P12" i="53"/>
  <c r="X156" i="58"/>
  <c r="X153" i="58"/>
  <c r="O45" i="53" s="1"/>
  <c r="P45" i="53" s="1"/>
  <c r="Q45" i="53" s="1"/>
  <c r="AJ9" i="48"/>
  <c r="D4" i="59" s="1"/>
  <c r="C8" i="45"/>
  <c r="I9" i="48"/>
  <c r="S9" i="48"/>
  <c r="E9" i="1"/>
  <c r="X9" i="48"/>
  <c r="H4" i="59" s="1"/>
  <c r="J13" i="48"/>
  <c r="B8" i="59" s="1"/>
  <c r="E13" i="1"/>
  <c r="I13" i="48"/>
  <c r="X13" i="48"/>
  <c r="H8" i="59" s="1"/>
  <c r="C12" i="45"/>
  <c r="AJ13" i="48"/>
  <c r="D8" i="59" s="1"/>
  <c r="IA14" i="1"/>
  <c r="EI14" i="1"/>
  <c r="AQ14" i="1"/>
  <c r="HL14" i="1"/>
  <c r="DT14" i="1"/>
  <c r="AB14" i="1"/>
  <c r="GH14" i="1"/>
  <c r="CP14" i="1"/>
  <c r="IS14" i="1"/>
  <c r="AK14" i="1"/>
  <c r="IG14" i="1"/>
  <c r="FP14" i="1"/>
  <c r="AT14" i="1"/>
  <c r="BL14" i="1"/>
  <c r="HO14" i="1"/>
  <c r="DW14" i="1"/>
  <c r="AE14" i="1"/>
  <c r="GZ14" i="1"/>
  <c r="DH14" i="1"/>
  <c r="P14" i="1"/>
  <c r="FV14" i="1"/>
  <c r="CD14" i="1"/>
  <c r="FA14" i="1"/>
  <c r="HI14" i="1"/>
  <c r="EO14" i="1"/>
  <c r="FS14" i="1"/>
  <c r="GW14" i="1"/>
  <c r="HC14" i="1"/>
  <c r="DK14" i="1"/>
  <c r="S14" i="1"/>
  <c r="GN14" i="1"/>
  <c r="CV14" i="1"/>
  <c r="JB14" i="1"/>
  <c r="FJ14" i="1"/>
  <c r="BR14" i="1"/>
  <c r="BI14" i="1"/>
  <c r="JE14" i="1"/>
  <c r="AW14" i="1"/>
  <c r="CM14" i="1"/>
  <c r="ID14" i="1"/>
  <c r="CG14" i="1"/>
  <c r="E15" i="2"/>
  <c r="CC15" i="2" s="1"/>
  <c r="HR14" i="1"/>
  <c r="AH14" i="1"/>
  <c r="GQ14" i="1"/>
  <c r="CY14" i="1"/>
  <c r="G14" i="1"/>
  <c r="GB14" i="1"/>
  <c r="CJ14" i="1"/>
  <c r="IP14" i="1"/>
  <c r="EX14" i="1"/>
  <c r="BF14" i="1"/>
  <c r="GK14" i="1"/>
  <c r="FM14" i="1"/>
  <c r="FY14" i="1"/>
  <c r="EL14" i="1"/>
  <c r="CA14" i="1"/>
  <c r="Y14" i="1"/>
  <c r="IY14" i="1"/>
  <c r="FG14" i="1"/>
  <c r="BO14" i="1"/>
  <c r="IJ14" i="1"/>
  <c r="ER14" i="1"/>
  <c r="AZ14" i="1"/>
  <c r="HF14" i="1"/>
  <c r="DN14" i="1"/>
  <c r="V14" i="1"/>
  <c r="HU14" i="1"/>
  <c r="DE14" i="1"/>
  <c r="GE14" i="1"/>
  <c r="BX14" i="1"/>
  <c r="BU14" i="1"/>
  <c r="IV14" i="1"/>
  <c r="DZ14" i="1"/>
  <c r="DQ14" i="1"/>
  <c r="IM14" i="1"/>
  <c r="EU14" i="1"/>
  <c r="BC14" i="1"/>
  <c r="HX14" i="1"/>
  <c r="EF14" i="1"/>
  <c r="AN14" i="1"/>
  <c r="GT14" i="1"/>
  <c r="DB14" i="1"/>
  <c r="J14" i="1"/>
  <c r="EC14" i="1"/>
  <c r="M14" i="1"/>
  <c r="JH14" i="1"/>
  <c r="CS14" i="1"/>
  <c r="FD14" i="1"/>
  <c r="O13" i="45"/>
  <c r="K13" i="45"/>
  <c r="W13" i="45"/>
  <c r="AM13" i="45"/>
  <c r="AQ13" i="45"/>
  <c r="AE13" i="45"/>
  <c r="AI13" i="45"/>
  <c r="AA13" i="45"/>
  <c r="S13" i="45"/>
  <c r="D40" i="25"/>
  <c r="D40" i="24" s="1"/>
  <c r="E40" i="24" s="1"/>
  <c r="AA153" i="58"/>
  <c r="T3" i="54" s="1"/>
  <c r="AB153" i="58"/>
  <c r="AB154" i="58" s="1"/>
  <c r="X165" i="58" s="1"/>
  <c r="I2" i="54"/>
  <c r="E12" i="53" s="1"/>
  <c r="AJ31" i="48"/>
  <c r="D26" i="59" s="1"/>
  <c r="AJ12" i="48"/>
  <c r="D7" i="59" s="1"/>
  <c r="AJ10" i="48"/>
  <c r="D5" i="59" s="1"/>
  <c r="AI3" i="55"/>
  <c r="F7" i="53"/>
  <c r="G7" i="53" s="1"/>
  <c r="F27" i="53"/>
  <c r="F19" i="53"/>
  <c r="F31" i="53"/>
  <c r="F11" i="53"/>
  <c r="G11" i="53" s="1"/>
  <c r="F37" i="53"/>
  <c r="F23" i="53"/>
  <c r="F5" i="53"/>
  <c r="G5" i="53" s="1"/>
  <c r="F16" i="53"/>
  <c r="F29" i="53"/>
  <c r="F10" i="53"/>
  <c r="G10" i="53" s="1"/>
  <c r="F28" i="53"/>
  <c r="F36" i="53"/>
  <c r="F17" i="53"/>
  <c r="F41" i="53"/>
  <c r="F21" i="53"/>
  <c r="F38" i="53"/>
  <c r="F20" i="53"/>
  <c r="F4" i="53"/>
  <c r="F8" i="53"/>
  <c r="G8" i="53" s="1"/>
  <c r="F24" i="53"/>
  <c r="F9" i="53"/>
  <c r="G9" i="53" s="1"/>
  <c r="F25" i="53"/>
  <c r="F18" i="53"/>
  <c r="G18" i="53" s="1"/>
  <c r="F42" i="53"/>
  <c r="G42" i="53" s="1"/>
  <c r="H42" i="53" s="1"/>
  <c r="F22" i="53"/>
  <c r="F34" i="53"/>
  <c r="F26" i="53"/>
  <c r="F6" i="53"/>
  <c r="G6" i="53" s="1"/>
  <c r="F30" i="53"/>
  <c r="F35" i="53"/>
  <c r="AW154" i="46"/>
  <c r="X181" i="46" s="1"/>
  <c r="AZ154" i="46"/>
  <c r="X183" i="46" s="1"/>
  <c r="AV154" i="46"/>
  <c r="X180" i="46" s="1"/>
  <c r="AY154" i="46"/>
  <c r="AX154" i="46"/>
  <c r="J41" i="32"/>
  <c r="K57" i="32"/>
  <c r="K56" i="32"/>
  <c r="J45" i="32"/>
  <c r="J51" i="32"/>
  <c r="J40" i="31"/>
  <c r="X10" i="48"/>
  <c r="H5" i="59" s="1"/>
  <c r="E10" i="1"/>
  <c r="J10" i="48"/>
  <c r="B5" i="59" s="1"/>
  <c r="C9" i="45"/>
  <c r="I10" i="48"/>
  <c r="AF154" i="46"/>
  <c r="X166" i="46" s="1"/>
  <c r="AL154" i="46"/>
  <c r="X172" i="46" s="1"/>
  <c r="AU154" i="46"/>
  <c r="X179" i="46" s="1"/>
  <c r="AT154" i="46"/>
  <c r="X178" i="46" s="1"/>
  <c r="AQ154" i="46"/>
  <c r="X176" i="46" s="1"/>
  <c r="BA154" i="46"/>
  <c r="AI154" i="46"/>
  <c r="X169" i="46" s="1"/>
  <c r="AG154" i="46"/>
  <c r="X167" i="46" s="1"/>
  <c r="D49" i="26"/>
  <c r="E49" i="26" s="1"/>
  <c r="CC12" i="2"/>
  <c r="AC154" i="46"/>
  <c r="X163" i="46" s="1"/>
  <c r="Z154" i="46"/>
  <c r="X162" i="46" s="1"/>
  <c r="E31" i="1"/>
  <c r="C30" i="45"/>
  <c r="I31" i="48"/>
  <c r="J31" i="48"/>
  <c r="B26" i="59" s="1"/>
  <c r="X31" i="48"/>
  <c r="H26" i="59" s="1"/>
  <c r="AN154" i="46"/>
  <c r="X173" i="46" s="1"/>
  <c r="AO154" i="46"/>
  <c r="X174" i="46" s="1"/>
  <c r="AK154" i="46"/>
  <c r="X171" i="46" s="1"/>
  <c r="AJ154" i="46"/>
  <c r="X170" i="46" s="1"/>
  <c r="AP154" i="46"/>
  <c r="X175" i="46" s="1"/>
  <c r="AS154" i="46"/>
  <c r="X177" i="46" s="1"/>
  <c r="AH154" i="46"/>
  <c r="X168" i="46" s="1"/>
  <c r="AM154" i="46"/>
  <c r="X158" i="46"/>
  <c r="X156" i="46"/>
  <c r="X153" i="46"/>
  <c r="AB153" i="46"/>
  <c r="I4" i="54" s="1"/>
  <c r="E14" i="53" s="1"/>
  <c r="F14" i="53" s="1"/>
  <c r="G14" i="53" s="1"/>
  <c r="AA153" i="46"/>
  <c r="I3" i="54" s="1"/>
  <c r="E13" i="53" s="1"/>
  <c r="J12" i="48"/>
  <c r="B7" i="59" s="1"/>
  <c r="X12" i="48"/>
  <c r="H7" i="59" s="1"/>
  <c r="I12" i="48"/>
  <c r="E12" i="1"/>
  <c r="C11" i="45"/>
  <c r="R41" i="48"/>
  <c r="AJ41" i="48" s="1"/>
  <c r="D45" i="25"/>
  <c r="E45" i="26"/>
  <c r="E52" i="27"/>
  <c r="E53" i="27" s="1"/>
  <c r="D42" i="26"/>
  <c r="E42" i="28"/>
  <c r="E39" i="28"/>
  <c r="D39" i="26"/>
  <c r="E48" i="23"/>
  <c r="D48" i="21"/>
  <c r="E47" i="28"/>
  <c r="D47" i="26"/>
  <c r="D46" i="26"/>
  <c r="E46" i="28"/>
  <c r="D51" i="25"/>
  <c r="E51" i="26"/>
  <c r="D50" i="24"/>
  <c r="E50" i="25"/>
  <c r="J39" i="29"/>
  <c r="J37" i="27"/>
  <c r="J57" i="13"/>
  <c r="E44" i="22"/>
  <c r="D44" i="20"/>
  <c r="J49" i="26"/>
  <c r="J50" i="28"/>
  <c r="J44" i="28"/>
  <c r="J43" i="26"/>
  <c r="M34" i="25"/>
  <c r="M7" i="24"/>
  <c r="E38" i="28"/>
  <c r="D52" i="28"/>
  <c r="D53" i="28" s="1"/>
  <c r="D38" i="26"/>
  <c r="E41" i="26"/>
  <c r="D41" i="25"/>
  <c r="J56" i="19"/>
  <c r="W15" i="48"/>
  <c r="Q16" i="48"/>
  <c r="A17" i="1" l="1"/>
  <c r="A18" i="2" s="1"/>
  <c r="E43" i="25"/>
  <c r="J10" i="7"/>
  <c r="J10" i="6" s="1"/>
  <c r="J10" i="37" s="1"/>
  <c r="J10" i="4" s="1"/>
  <c r="J10" i="43" s="1"/>
  <c r="K9" i="48"/>
  <c r="C4" i="59" s="1"/>
  <c r="G4" i="59"/>
  <c r="J11" i="9"/>
  <c r="J11" i="8" s="1"/>
  <c r="J25" i="10"/>
  <c r="J26" i="10"/>
  <c r="J26" i="9" s="1"/>
  <c r="J26" i="8" s="1"/>
  <c r="J26" i="7" s="1"/>
  <c r="J26" i="6" s="1"/>
  <c r="J26" i="37" s="1"/>
  <c r="J26" i="4" s="1"/>
  <c r="J26" i="43" s="1"/>
  <c r="J12" i="10"/>
  <c r="J22" i="12"/>
  <c r="J22" i="11" s="1"/>
  <c r="J19" i="12"/>
  <c r="J19" i="11" s="1"/>
  <c r="J19" i="10" s="1"/>
  <c r="J23" i="13"/>
  <c r="J23" i="12" s="1"/>
  <c r="J23" i="11" s="1"/>
  <c r="J20" i="12"/>
  <c r="J20" i="11" s="1"/>
  <c r="J20" i="10" s="1"/>
  <c r="J16" i="6"/>
  <c r="J16" i="37" s="1"/>
  <c r="J16" i="4" s="1"/>
  <c r="J16" i="43" s="1"/>
  <c r="J17" i="12"/>
  <c r="J17" i="11" s="1"/>
  <c r="J17" i="10" s="1"/>
  <c r="J21" i="14"/>
  <c r="J21" i="13" s="1"/>
  <c r="J24" i="14"/>
  <c r="J14" i="6"/>
  <c r="J14" i="37" s="1"/>
  <c r="J14" i="4" s="1"/>
  <c r="J14" i="43" s="1"/>
  <c r="J18" i="14"/>
  <c r="J18" i="13" s="1"/>
  <c r="F45" i="53"/>
  <c r="G45" i="53" s="1"/>
  <c r="H45" i="53" s="1"/>
  <c r="F12" i="53"/>
  <c r="G12" i="53" s="1"/>
  <c r="E44" i="53"/>
  <c r="D40" i="23"/>
  <c r="D40" i="21" s="1"/>
  <c r="JE9" i="1"/>
  <c r="FM9" i="1"/>
  <c r="BU9" i="1"/>
  <c r="JB9" i="1"/>
  <c r="FJ9" i="1"/>
  <c r="BR9" i="1"/>
  <c r="HC9" i="1"/>
  <c r="DK9" i="1"/>
  <c r="S9" i="1"/>
  <c r="GN9" i="1"/>
  <c r="CV9" i="1"/>
  <c r="IS9" i="1"/>
  <c r="FA9" i="1"/>
  <c r="BI9" i="1"/>
  <c r="IP9" i="1"/>
  <c r="EX9" i="1"/>
  <c r="AT9" i="1"/>
  <c r="GQ9" i="1"/>
  <c r="CY9" i="1"/>
  <c r="G9" i="1"/>
  <c r="GB9" i="1"/>
  <c r="CJ9" i="1"/>
  <c r="IG9" i="1"/>
  <c r="EO9" i="1"/>
  <c r="AW9" i="1"/>
  <c r="ID9" i="1"/>
  <c r="EL9" i="1"/>
  <c r="AH9" i="1"/>
  <c r="GE9" i="1"/>
  <c r="CM9" i="1"/>
  <c r="JH9" i="1"/>
  <c r="FP9" i="1"/>
  <c r="BX9" i="1"/>
  <c r="HU9" i="1"/>
  <c r="EC9" i="1"/>
  <c r="AK9" i="1"/>
  <c r="HR9" i="1"/>
  <c r="DZ9" i="1"/>
  <c r="J9" i="1"/>
  <c r="FS9" i="1"/>
  <c r="CA9" i="1"/>
  <c r="IV9" i="1"/>
  <c r="FD9" i="1"/>
  <c r="BL9" i="1"/>
  <c r="HI9" i="1"/>
  <c r="DQ9" i="1"/>
  <c r="Y9" i="1"/>
  <c r="HF9" i="1"/>
  <c r="DN9" i="1"/>
  <c r="IY9" i="1"/>
  <c r="FG9" i="1"/>
  <c r="BO9" i="1"/>
  <c r="IJ9" i="1"/>
  <c r="ER9" i="1"/>
  <c r="AZ9" i="1"/>
  <c r="GW9" i="1"/>
  <c r="DE9" i="1"/>
  <c r="M9" i="1"/>
  <c r="GT9" i="1"/>
  <c r="DB9" i="1"/>
  <c r="IM9" i="1"/>
  <c r="EU9" i="1"/>
  <c r="BC9" i="1"/>
  <c r="HX9" i="1"/>
  <c r="EF9" i="1"/>
  <c r="AN9" i="1"/>
  <c r="GK9" i="1"/>
  <c r="CS9" i="1"/>
  <c r="BF9" i="1"/>
  <c r="GH9" i="1"/>
  <c r="CP9" i="1"/>
  <c r="IA9" i="1"/>
  <c r="EI9" i="1"/>
  <c r="AQ9" i="1"/>
  <c r="HL9" i="1"/>
  <c r="DT9" i="1"/>
  <c r="AB9" i="1"/>
  <c r="E10" i="2"/>
  <c r="FY9" i="1"/>
  <c r="CG9" i="1"/>
  <c r="V9" i="1"/>
  <c r="FV9" i="1"/>
  <c r="CD9" i="1"/>
  <c r="HO9" i="1"/>
  <c r="DW9" i="1"/>
  <c r="AE9" i="1"/>
  <c r="GZ9" i="1"/>
  <c r="DH9" i="1"/>
  <c r="P9" i="1"/>
  <c r="Y9" i="48"/>
  <c r="I4" i="59" s="1"/>
  <c r="AK9" i="48"/>
  <c r="E4" i="59" s="1"/>
  <c r="AE8" i="45"/>
  <c r="AI8" i="45"/>
  <c r="AA8" i="45"/>
  <c r="S8" i="45"/>
  <c r="O8" i="45"/>
  <c r="AM8" i="45"/>
  <c r="K8" i="45"/>
  <c r="AQ8" i="45"/>
  <c r="W8" i="45"/>
  <c r="S10" i="48"/>
  <c r="G5" i="59" s="1"/>
  <c r="E40" i="25"/>
  <c r="AA12" i="45"/>
  <c r="AI12" i="45"/>
  <c r="AM12" i="45"/>
  <c r="S12" i="45"/>
  <c r="W12" i="45"/>
  <c r="AE12" i="45"/>
  <c r="O12" i="45"/>
  <c r="K12" i="45"/>
  <c r="AQ12" i="45"/>
  <c r="GE13" i="1"/>
  <c r="CM13" i="1"/>
  <c r="JE13" i="1"/>
  <c r="FM13" i="1"/>
  <c r="JB13" i="1"/>
  <c r="BI13" i="1"/>
  <c r="AT13" i="1"/>
  <c r="GN13" i="1"/>
  <c r="DZ13" i="1"/>
  <c r="DH13" i="1"/>
  <c r="AK13" i="1"/>
  <c r="E14" i="2"/>
  <c r="CC14" i="2" s="1"/>
  <c r="FS13" i="1"/>
  <c r="CA13" i="1"/>
  <c r="IS13" i="1"/>
  <c r="FA13" i="1"/>
  <c r="IP13" i="1"/>
  <c r="AH13" i="1"/>
  <c r="FP13" i="1"/>
  <c r="ER13" i="1"/>
  <c r="CD13" i="1"/>
  <c r="AZ13" i="1"/>
  <c r="J13" i="1"/>
  <c r="IY13" i="1"/>
  <c r="FG13" i="1"/>
  <c r="BO13" i="1"/>
  <c r="IG13" i="1"/>
  <c r="EO13" i="1"/>
  <c r="ID13" i="1"/>
  <c r="V13" i="1"/>
  <c r="IV13" i="1"/>
  <c r="CV13" i="1"/>
  <c r="AN13" i="1"/>
  <c r="Y13" i="1"/>
  <c r="IM13" i="1"/>
  <c r="EU13" i="1"/>
  <c r="BC13" i="1"/>
  <c r="HU13" i="1"/>
  <c r="EC13" i="1"/>
  <c r="HR13" i="1"/>
  <c r="HL13" i="1"/>
  <c r="FJ13" i="1"/>
  <c r="BR13" i="1"/>
  <c r="M13" i="1"/>
  <c r="GZ13" i="1"/>
  <c r="IA13" i="1"/>
  <c r="EI13" i="1"/>
  <c r="AQ13" i="1"/>
  <c r="HI13" i="1"/>
  <c r="DQ13" i="1"/>
  <c r="HF13" i="1"/>
  <c r="GB13" i="1"/>
  <c r="DN13" i="1"/>
  <c r="AB13" i="1"/>
  <c r="IJ13" i="1"/>
  <c r="GH13" i="1"/>
  <c r="HO13" i="1"/>
  <c r="DW13" i="1"/>
  <c r="AE13" i="1"/>
  <c r="GW13" i="1"/>
  <c r="DE13" i="1"/>
  <c r="GT13" i="1"/>
  <c r="EF13" i="1"/>
  <c r="BF13" i="1"/>
  <c r="DT13" i="1"/>
  <c r="AW13" i="1"/>
  <c r="EL13" i="1"/>
  <c r="HC13" i="1"/>
  <c r="DK13" i="1"/>
  <c r="S13" i="1"/>
  <c r="GK13" i="1"/>
  <c r="CS13" i="1"/>
  <c r="EX13" i="1"/>
  <c r="CJ13" i="1"/>
  <c r="P13" i="1"/>
  <c r="HX13" i="1"/>
  <c r="JH13" i="1"/>
  <c r="CP13" i="1"/>
  <c r="GQ13" i="1"/>
  <c r="CY13" i="1"/>
  <c r="G13" i="1"/>
  <c r="FY13" i="1"/>
  <c r="CG13" i="1"/>
  <c r="DB13" i="1"/>
  <c r="BU13" i="1"/>
  <c r="BX13" i="1"/>
  <c r="FV13" i="1"/>
  <c r="FD13" i="1"/>
  <c r="BL13" i="1"/>
  <c r="T4" i="54"/>
  <c r="U4" i="54" s="1"/>
  <c r="O14" i="53" s="1"/>
  <c r="P14" i="53" s="1"/>
  <c r="Q14" i="53" s="1"/>
  <c r="AA154" i="58"/>
  <c r="X164" i="58" s="1"/>
  <c r="X184" i="58" s="1"/>
  <c r="X186" i="58" s="1"/>
  <c r="D49" i="25"/>
  <c r="D49" i="24" s="1"/>
  <c r="D49" i="23" s="1"/>
  <c r="G35" i="53"/>
  <c r="U3" i="54"/>
  <c r="O13" i="53" s="1"/>
  <c r="N13" i="53"/>
  <c r="X182" i="46"/>
  <c r="G24" i="53"/>
  <c r="G31" i="53"/>
  <c r="F13" i="53"/>
  <c r="G13" i="53" s="1"/>
  <c r="G4" i="53"/>
  <c r="G19" i="53"/>
  <c r="G38" i="53"/>
  <c r="G16" i="53"/>
  <c r="E13" i="2"/>
  <c r="CC13" i="2" s="1"/>
  <c r="IY12" i="1"/>
  <c r="IM12" i="1"/>
  <c r="JH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IS12" i="1"/>
  <c r="JE12" i="1"/>
  <c r="ID12" i="1"/>
  <c r="HR12" i="1"/>
  <c r="HF12" i="1"/>
  <c r="GT12" i="1"/>
  <c r="GH12" i="1"/>
  <c r="FV12" i="1"/>
  <c r="FJ12" i="1"/>
  <c r="EX12" i="1"/>
  <c r="EL12" i="1"/>
  <c r="DZ12" i="1"/>
  <c r="DN12" i="1"/>
  <c r="DB12" i="1"/>
  <c r="CP12" i="1"/>
  <c r="CD12" i="1"/>
  <c r="BR12" i="1"/>
  <c r="BF12" i="1"/>
  <c r="AT12" i="1"/>
  <c r="AH12" i="1"/>
  <c r="V12" i="1"/>
  <c r="J12" i="1"/>
  <c r="IV12" i="1"/>
  <c r="IP12" i="1"/>
  <c r="JB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0" i="1"/>
  <c r="FY10" i="1"/>
  <c r="EC10" i="1"/>
  <c r="BU10" i="1"/>
  <c r="M10" i="1"/>
  <c r="JB10" i="1"/>
  <c r="IP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DQ10" i="1"/>
  <c r="Y10" i="1"/>
  <c r="HU10" i="1"/>
  <c r="EO10" i="1"/>
  <c r="AW10" i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IS10" i="1"/>
  <c r="GK10" i="1"/>
  <c r="DE10" i="1"/>
  <c r="AK10" i="1"/>
  <c r="GW10" i="1"/>
  <c r="FM10" i="1"/>
  <c r="CG10" i="1"/>
  <c r="JH10" i="1"/>
  <c r="IV10" i="1"/>
  <c r="IJ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HI10" i="1"/>
  <c r="CS10" i="1"/>
  <c r="IG10" i="1"/>
  <c r="FA10" i="1"/>
  <c r="BI10" i="1"/>
  <c r="E32" i="2"/>
  <c r="CC32" i="2" s="1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GQ31" i="1"/>
  <c r="GE31" i="1"/>
  <c r="FS31" i="1"/>
  <c r="FG31" i="1"/>
  <c r="EU31" i="1"/>
  <c r="EI31" i="1"/>
  <c r="DW31" i="1"/>
  <c r="DK31" i="1"/>
  <c r="CY31" i="1"/>
  <c r="CM31" i="1"/>
  <c r="CA31" i="1"/>
  <c r="BO31" i="1"/>
  <c r="BC31" i="1"/>
  <c r="AQ31" i="1"/>
  <c r="AE31" i="1"/>
  <c r="S31" i="1"/>
  <c r="G31" i="1"/>
  <c r="AA9" i="45"/>
  <c r="S9" i="45"/>
  <c r="K9" i="45"/>
  <c r="AM9" i="45"/>
  <c r="W9" i="45"/>
  <c r="AQ9" i="45"/>
  <c r="AI9" i="45"/>
  <c r="AE9" i="45"/>
  <c r="O9" i="45"/>
  <c r="E11" i="2"/>
  <c r="J41" i="31"/>
  <c r="J40" i="30"/>
  <c r="J51" i="31"/>
  <c r="K56" i="31"/>
  <c r="J45" i="31"/>
  <c r="K57" i="31"/>
  <c r="AB154" i="46"/>
  <c r="X165" i="46" s="1"/>
  <c r="J2" i="54"/>
  <c r="J5" i="54"/>
  <c r="AA154" i="46"/>
  <c r="X164" i="46" s="1"/>
  <c r="O30" i="45"/>
  <c r="W30" i="45"/>
  <c r="AM30" i="45"/>
  <c r="K30" i="45"/>
  <c r="AA30" i="45"/>
  <c r="S30" i="45"/>
  <c r="AE30" i="45"/>
  <c r="AI30" i="45"/>
  <c r="AQ30" i="45"/>
  <c r="I41" i="48"/>
  <c r="J41" i="48"/>
  <c r="X41" i="48"/>
  <c r="AM11" i="45"/>
  <c r="O11" i="45"/>
  <c r="AI11" i="45"/>
  <c r="W11" i="45"/>
  <c r="S11" i="45"/>
  <c r="AA11" i="45"/>
  <c r="K11" i="45"/>
  <c r="AQ11" i="45"/>
  <c r="AE11" i="45"/>
  <c r="C40" i="45"/>
  <c r="E41" i="1"/>
  <c r="E45" i="25"/>
  <c r="D45" i="24"/>
  <c r="E42" i="26"/>
  <c r="D42" i="25"/>
  <c r="E52" i="28"/>
  <c r="E53" i="28" s="1"/>
  <c r="E47" i="26"/>
  <c r="D47" i="25"/>
  <c r="E48" i="21"/>
  <c r="D48" i="22"/>
  <c r="E39" i="26"/>
  <c r="D39" i="25"/>
  <c r="E46" i="26"/>
  <c r="D46" i="25"/>
  <c r="D50" i="23"/>
  <c r="E50" i="24"/>
  <c r="D51" i="24"/>
  <c r="E51" i="25"/>
  <c r="J37" i="28"/>
  <c r="J39" i="27"/>
  <c r="Q17" i="48"/>
  <c r="W16" i="48"/>
  <c r="D41" i="24"/>
  <c r="E41" i="25"/>
  <c r="E38" i="26"/>
  <c r="D38" i="25"/>
  <c r="D52" i="26"/>
  <c r="D53" i="26" s="1"/>
  <c r="M7" i="23"/>
  <c r="M34" i="24"/>
  <c r="J43" i="25"/>
  <c r="J44" i="26"/>
  <c r="D44" i="19"/>
  <c r="E44" i="20"/>
  <c r="E43" i="24"/>
  <c r="D43" i="23"/>
  <c r="J56" i="18"/>
  <c r="J49" i="25"/>
  <c r="J50" i="26"/>
  <c r="J57" i="12"/>
  <c r="A18" i="1"/>
  <c r="A19" i="2" s="1"/>
  <c r="J11" i="7" l="1"/>
  <c r="J11" i="6" s="1"/>
  <c r="J11" i="37" s="1"/>
  <c r="J11" i="4" s="1"/>
  <c r="J11" i="43" s="1"/>
  <c r="J12" i="9"/>
  <c r="J25" i="9"/>
  <c r="J25" i="8" s="1"/>
  <c r="J25" i="7" s="1"/>
  <c r="J25" i="6" s="1"/>
  <c r="J25" i="37" s="1"/>
  <c r="J25" i="4" s="1"/>
  <c r="J25" i="43" s="1"/>
  <c r="J22" i="10"/>
  <c r="J23" i="10"/>
  <c r="J24" i="13"/>
  <c r="J24" i="12" s="1"/>
  <c r="J24" i="11" s="1"/>
  <c r="J21" i="12"/>
  <c r="J21" i="11" s="1"/>
  <c r="J18" i="12"/>
  <c r="J18" i="11" s="1"/>
  <c r="J18" i="10" s="1"/>
  <c r="E40" i="23"/>
  <c r="H12" i="53"/>
  <c r="E42" i="2"/>
  <c r="CC42" i="2" s="1"/>
  <c r="O44" i="53"/>
  <c r="O46" i="53" s="1"/>
  <c r="F44" i="53"/>
  <c r="F46" i="53" s="1"/>
  <c r="G44" i="53"/>
  <c r="G46" i="53" s="1"/>
  <c r="E49" i="24"/>
  <c r="Y10" i="48"/>
  <c r="I5" i="59" s="1"/>
  <c r="S11" i="48"/>
  <c r="G6" i="59" s="1"/>
  <c r="K10" i="48"/>
  <c r="C5" i="59" s="1"/>
  <c r="AK10" i="48"/>
  <c r="E5" i="59" s="1"/>
  <c r="CC10" i="2"/>
  <c r="F10" i="2"/>
  <c r="CD10" i="2" s="1"/>
  <c r="E49" i="25"/>
  <c r="N14" i="53"/>
  <c r="N44" i="53" s="1"/>
  <c r="P13" i="53"/>
  <c r="P44" i="53" s="1"/>
  <c r="X184" i="46"/>
  <c r="X186" i="46" s="1"/>
  <c r="H14" i="53"/>
  <c r="H4" i="53"/>
  <c r="H24" i="53"/>
  <c r="J51" i="30"/>
  <c r="K56" i="30"/>
  <c r="K57" i="30"/>
  <c r="J40" i="29"/>
  <c r="J45" i="30"/>
  <c r="J41" i="30"/>
  <c r="CC11" i="2"/>
  <c r="J3" i="54"/>
  <c r="J4" i="54"/>
  <c r="K40" i="45"/>
  <c r="W40" i="45"/>
  <c r="AE40" i="45"/>
  <c r="O40" i="45"/>
  <c r="AI40" i="45"/>
  <c r="AM40" i="45"/>
  <c r="AA40" i="45"/>
  <c r="AQ40" i="45"/>
  <c r="AY22" i="45" s="1"/>
  <c r="AY24" i="45" s="1"/>
  <c r="AY26" i="45" s="1"/>
  <c r="S40" i="45"/>
  <c r="D45" i="23"/>
  <c r="E45" i="24"/>
  <c r="E52" i="26"/>
  <c r="E53" i="26" s="1"/>
  <c r="E42" i="25"/>
  <c r="D42" i="24"/>
  <c r="D46" i="24"/>
  <c r="E46" i="25"/>
  <c r="E39" i="25"/>
  <c r="D39" i="24"/>
  <c r="E48" i="22"/>
  <c r="D48" i="20"/>
  <c r="D47" i="24"/>
  <c r="E47" i="25"/>
  <c r="J39" i="28"/>
  <c r="J37" i="26"/>
  <c r="D49" i="21"/>
  <c r="E49" i="23"/>
  <c r="D51" i="23"/>
  <c r="E51" i="24"/>
  <c r="D40" i="22"/>
  <c r="E40" i="21"/>
  <c r="E50" i="23"/>
  <c r="D50" i="21"/>
  <c r="A19" i="1"/>
  <c r="A20" i="2" s="1"/>
  <c r="J57" i="11"/>
  <c r="J49" i="24"/>
  <c r="J50" i="25"/>
  <c r="E44" i="19"/>
  <c r="D44" i="18"/>
  <c r="E41" i="24"/>
  <c r="D41" i="23"/>
  <c r="W17" i="48"/>
  <c r="Q18" i="48"/>
  <c r="J56" i="17"/>
  <c r="D43" i="21"/>
  <c r="E43" i="23"/>
  <c r="J43" i="24"/>
  <c r="J44" i="25"/>
  <c r="M7" i="21"/>
  <c r="M34" i="23"/>
  <c r="E38" i="25"/>
  <c r="D38" i="24"/>
  <c r="D52" i="25"/>
  <c r="D53" i="25" s="1"/>
  <c r="J12" i="8" l="1"/>
  <c r="J12" i="7" s="1"/>
  <c r="J12" i="6" s="1"/>
  <c r="J12" i="37" s="1"/>
  <c r="J12" i="4" s="1"/>
  <c r="J12" i="43" s="1"/>
  <c r="J20" i="9"/>
  <c r="J17" i="9"/>
  <c r="J22" i="9"/>
  <c r="J22" i="8" s="1"/>
  <c r="J22" i="7" s="1"/>
  <c r="J22" i="6" s="1"/>
  <c r="J22" i="37" s="1"/>
  <c r="J22" i="4" s="1"/>
  <c r="J22" i="43" s="1"/>
  <c r="J19" i="9"/>
  <c r="J23" i="9"/>
  <c r="J23" i="8" s="1"/>
  <c r="J23" i="7" s="1"/>
  <c r="J23" i="6" s="1"/>
  <c r="J23" i="37" s="1"/>
  <c r="J23" i="4" s="1"/>
  <c r="J23" i="43" s="1"/>
  <c r="J21" i="10"/>
  <c r="J24" i="10"/>
  <c r="F11" i="2"/>
  <c r="CD11" i="2" s="1"/>
  <c r="H44" i="53"/>
  <c r="H46" i="53" s="1"/>
  <c r="G50" i="54" s="1"/>
  <c r="AK11" i="48"/>
  <c r="E6" i="59" s="1"/>
  <c r="K11" i="48"/>
  <c r="C6" i="59" s="1"/>
  <c r="Y11" i="48"/>
  <c r="I6" i="59" s="1"/>
  <c r="S12" i="48"/>
  <c r="G7" i="59" s="1"/>
  <c r="Q12" i="53"/>
  <c r="P46" i="53"/>
  <c r="J45" i="29"/>
  <c r="K57" i="29"/>
  <c r="J40" i="27"/>
  <c r="J51" i="29"/>
  <c r="J41" i="29"/>
  <c r="K56" i="29"/>
  <c r="D45" i="21"/>
  <c r="E45" i="23"/>
  <c r="E52" i="25"/>
  <c r="E53" i="25" s="1"/>
  <c r="E42" i="24"/>
  <c r="D42" i="23"/>
  <c r="E48" i="20"/>
  <c r="D48" i="19"/>
  <c r="E39" i="24"/>
  <c r="D39" i="23"/>
  <c r="D47" i="23"/>
  <c r="E47" i="24"/>
  <c r="E46" i="24"/>
  <c r="D46" i="23"/>
  <c r="E50" i="21"/>
  <c r="D50" i="22"/>
  <c r="J39" i="26"/>
  <c r="J37" i="25"/>
  <c r="E40" i="22"/>
  <c r="D40" i="20"/>
  <c r="D51" i="21"/>
  <c r="E51" i="23"/>
  <c r="E49" i="21"/>
  <c r="D49" i="22"/>
  <c r="M7" i="22"/>
  <c r="M34" i="21"/>
  <c r="J56" i="16"/>
  <c r="M15" i="48"/>
  <c r="W18" i="48"/>
  <c r="Q19" i="48"/>
  <c r="E41" i="23"/>
  <c r="D41" i="21"/>
  <c r="D44" i="17"/>
  <c r="E44" i="18"/>
  <c r="J50" i="24"/>
  <c r="J49" i="23"/>
  <c r="J57" i="10"/>
  <c r="E38" i="24"/>
  <c r="D38" i="23"/>
  <c r="D52" i="24"/>
  <c r="D53" i="24" s="1"/>
  <c r="J43" i="23"/>
  <c r="J44" i="24"/>
  <c r="D43" i="22"/>
  <c r="E43" i="21"/>
  <c r="A20" i="1"/>
  <c r="A21" i="2" s="1"/>
  <c r="J19" i="8" l="1"/>
  <c r="J19" i="7" s="1"/>
  <c r="J19" i="6" s="1"/>
  <c r="J19" i="37" s="1"/>
  <c r="J19" i="4" s="1"/>
  <c r="J19" i="43" s="1"/>
  <c r="J17" i="8"/>
  <c r="J17" i="7" s="1"/>
  <c r="J17" i="6" s="1"/>
  <c r="J17" i="37" s="1"/>
  <c r="J17" i="4" s="1"/>
  <c r="J17" i="43" s="1"/>
  <c r="J20" i="8"/>
  <c r="J20" i="7" s="1"/>
  <c r="J20" i="6" s="1"/>
  <c r="J20" i="37" s="1"/>
  <c r="J20" i="4" s="1"/>
  <c r="J20" i="43" s="1"/>
  <c r="J24" i="9"/>
  <c r="J24" i="8" s="1"/>
  <c r="J24" i="7" s="1"/>
  <c r="J24" i="6" s="1"/>
  <c r="J24" i="37" s="1"/>
  <c r="J24" i="4" s="1"/>
  <c r="J24" i="43" s="1"/>
  <c r="J21" i="9"/>
  <c r="J21" i="8" s="1"/>
  <c r="J21" i="7" s="1"/>
  <c r="J21" i="6" s="1"/>
  <c r="J21" i="37" s="1"/>
  <c r="J21" i="4" s="1"/>
  <c r="J21" i="43" s="1"/>
  <c r="J18" i="9"/>
  <c r="F12" i="2"/>
  <c r="CD12" i="2" s="1"/>
  <c r="Q44" i="53"/>
  <c r="Q46" i="53" s="1"/>
  <c r="AK12" i="48"/>
  <c r="E7" i="59" s="1"/>
  <c r="S13" i="48"/>
  <c r="G8" i="59" s="1"/>
  <c r="Y12" i="48"/>
  <c r="I7" i="59" s="1"/>
  <c r="K12" i="48"/>
  <c r="C7" i="59" s="1"/>
  <c r="K57" i="27"/>
  <c r="J40" i="28"/>
  <c r="J45" i="27"/>
  <c r="K56" i="27"/>
  <c r="J51" i="27"/>
  <c r="J41" i="27"/>
  <c r="D45" i="22"/>
  <c r="E45" i="21"/>
  <c r="E42" i="23"/>
  <c r="D42" i="21"/>
  <c r="D46" i="21"/>
  <c r="E46" i="23"/>
  <c r="D39" i="21"/>
  <c r="E39" i="23"/>
  <c r="D48" i="18"/>
  <c r="E48" i="19"/>
  <c r="E52" i="24"/>
  <c r="E53" i="24" s="1"/>
  <c r="E47" i="23"/>
  <c r="D47" i="21"/>
  <c r="D49" i="20"/>
  <c r="E49" i="22"/>
  <c r="D40" i="19"/>
  <c r="E40" i="20"/>
  <c r="J37" i="24"/>
  <c r="J39" i="25"/>
  <c r="D50" i="20"/>
  <c r="E50" i="22"/>
  <c r="D51" i="22"/>
  <c r="E51" i="21"/>
  <c r="J44" i="23"/>
  <c r="J43" i="21"/>
  <c r="D38" i="21"/>
  <c r="D52" i="23"/>
  <c r="D53" i="23" s="1"/>
  <c r="E38" i="23"/>
  <c r="J57" i="9"/>
  <c r="E41" i="21"/>
  <c r="D41" i="22"/>
  <c r="W19" i="48"/>
  <c r="Q20" i="48"/>
  <c r="M7" i="20"/>
  <c r="M34" i="22"/>
  <c r="A21" i="1"/>
  <c r="A22" i="2" s="1"/>
  <c r="D43" i="20"/>
  <c r="E43" i="22"/>
  <c r="J49" i="21"/>
  <c r="J50" i="23"/>
  <c r="E44" i="17"/>
  <c r="D44" i="16"/>
  <c r="M16" i="48"/>
  <c r="J56" i="15"/>
  <c r="J18" i="8" l="1"/>
  <c r="J18" i="7" s="1"/>
  <c r="J18" i="6" s="1"/>
  <c r="J18" i="37" s="1"/>
  <c r="J18" i="4" s="1"/>
  <c r="J18" i="43" s="1"/>
  <c r="F13" i="2"/>
  <c r="AK13" i="48"/>
  <c r="E8" i="59" s="1"/>
  <c r="S14" i="48"/>
  <c r="G9" i="59" s="1"/>
  <c r="Y13" i="48"/>
  <c r="I8" i="59" s="1"/>
  <c r="K13" i="48"/>
  <c r="C8" i="59" s="1"/>
  <c r="K57" i="28"/>
  <c r="J51" i="28"/>
  <c r="J41" i="28"/>
  <c r="K56" i="28"/>
  <c r="J45" i="28"/>
  <c r="J40" i="26"/>
  <c r="CD13" i="2"/>
  <c r="F14" i="2"/>
  <c r="D45" i="20"/>
  <c r="E45" i="22"/>
  <c r="D42" i="22"/>
  <c r="E42" i="21"/>
  <c r="E52" i="23"/>
  <c r="E53" i="23" s="1"/>
  <c r="E47" i="21"/>
  <c r="D47" i="22"/>
  <c r="D48" i="17"/>
  <c r="E48" i="18"/>
  <c r="E39" i="21"/>
  <c r="D39" i="22"/>
  <c r="E46" i="21"/>
  <c r="D46" i="22"/>
  <c r="E51" i="22"/>
  <c r="D51" i="20"/>
  <c r="D50" i="19"/>
  <c r="E50" i="20"/>
  <c r="J37" i="23"/>
  <c r="J39" i="24"/>
  <c r="D40" i="18"/>
  <c r="E40" i="19"/>
  <c r="D49" i="19"/>
  <c r="E49" i="20"/>
  <c r="J56" i="14"/>
  <c r="E44" i="16"/>
  <c r="D44" i="15"/>
  <c r="J57" i="8"/>
  <c r="J43" i="22"/>
  <c r="J44" i="21"/>
  <c r="M17" i="48"/>
  <c r="J49" i="22"/>
  <c r="J50" i="21"/>
  <c r="E43" i="20"/>
  <c r="D43" i="19"/>
  <c r="A22" i="1"/>
  <c r="A23" i="2" s="1"/>
  <c r="M7" i="19"/>
  <c r="M34" i="20"/>
  <c r="W20" i="48"/>
  <c r="Q21" i="48"/>
  <c r="E41" i="22"/>
  <c r="D41" i="20"/>
  <c r="D38" i="22"/>
  <c r="E38" i="21"/>
  <c r="D52" i="21"/>
  <c r="D53" i="21" s="1"/>
  <c r="S15" i="48" l="1"/>
  <c r="G10" i="59" s="1"/>
  <c r="AK14" i="48"/>
  <c r="E9" i="59" s="1"/>
  <c r="Y14" i="48"/>
  <c r="I9" i="59" s="1"/>
  <c r="K14" i="48"/>
  <c r="C9" i="59" s="1"/>
  <c r="K57" i="26"/>
  <c r="J51" i="26"/>
  <c r="J41" i="26"/>
  <c r="K56" i="26"/>
  <c r="J45" i="26"/>
  <c r="J40" i="25"/>
  <c r="CD14" i="2"/>
  <c r="F15" i="2"/>
  <c r="E52" i="21"/>
  <c r="E53" i="21" s="1"/>
  <c r="E45" i="20"/>
  <c r="D45" i="19"/>
  <c r="E42" i="22"/>
  <c r="D42" i="20"/>
  <c r="D48" i="16"/>
  <c r="E48" i="17"/>
  <c r="E46" i="22"/>
  <c r="D46" i="20"/>
  <c r="E39" i="22"/>
  <c r="D39" i="20"/>
  <c r="D47" i="20"/>
  <c r="E47" i="22"/>
  <c r="E51" i="20"/>
  <c r="D51" i="19"/>
  <c r="E49" i="19"/>
  <c r="D49" i="18"/>
  <c r="E40" i="18"/>
  <c r="D40" i="17"/>
  <c r="J37" i="21"/>
  <c r="J39" i="23"/>
  <c r="D50" i="18"/>
  <c r="E50" i="19"/>
  <c r="E41" i="20"/>
  <c r="D41" i="19"/>
  <c r="W21" i="48"/>
  <c r="Q22" i="48"/>
  <c r="D43" i="18"/>
  <c r="E43" i="19"/>
  <c r="J49" i="20"/>
  <c r="J50" i="22"/>
  <c r="M18" i="48"/>
  <c r="J43" i="20"/>
  <c r="J44" i="22"/>
  <c r="J57" i="7"/>
  <c r="E38" i="22"/>
  <c r="D52" i="22"/>
  <c r="D53" i="22" s="1"/>
  <c r="D38" i="20"/>
  <c r="M7" i="18"/>
  <c r="M34" i="19"/>
  <c r="A23" i="1"/>
  <c r="A24" i="2" s="1"/>
  <c r="D44" i="14"/>
  <c r="E44" i="15"/>
  <c r="J56" i="13"/>
  <c r="S16" i="48" l="1"/>
  <c r="G11" i="59" s="1"/>
  <c r="K15" i="48"/>
  <c r="C10" i="59" s="1"/>
  <c r="Y15" i="48"/>
  <c r="I10" i="59" s="1"/>
  <c r="AK15" i="48"/>
  <c r="E10" i="59" s="1"/>
  <c r="J40" i="24"/>
  <c r="J51" i="25"/>
  <c r="K56" i="25"/>
  <c r="K57" i="25"/>
  <c r="J45" i="25"/>
  <c r="J41" i="25"/>
  <c r="CD15" i="2"/>
  <c r="F16" i="2"/>
  <c r="D45" i="18"/>
  <c r="E45" i="19"/>
  <c r="E52" i="22"/>
  <c r="E53" i="22" s="1"/>
  <c r="D42" i="19"/>
  <c r="E42" i="20"/>
  <c r="E39" i="20"/>
  <c r="D39" i="19"/>
  <c r="E46" i="20"/>
  <c r="D46" i="19"/>
  <c r="E47" i="20"/>
  <c r="D47" i="19"/>
  <c r="E48" i="16"/>
  <c r="D48" i="15"/>
  <c r="D50" i="17"/>
  <c r="E50" i="18"/>
  <c r="J37" i="22"/>
  <c r="J39" i="21"/>
  <c r="E51" i="19"/>
  <c r="D51" i="18"/>
  <c r="D40" i="16"/>
  <c r="E40" i="17"/>
  <c r="E49" i="18"/>
  <c r="D49" i="17"/>
  <c r="A24" i="1"/>
  <c r="A25" i="2" s="1"/>
  <c r="D52" i="20"/>
  <c r="D53" i="20" s="1"/>
  <c r="D38" i="19"/>
  <c r="E38" i="20"/>
  <c r="J43" i="19"/>
  <c r="J44" i="20"/>
  <c r="W22" i="48"/>
  <c r="Q23" i="48"/>
  <c r="E41" i="19"/>
  <c r="D41" i="18"/>
  <c r="J56" i="12"/>
  <c r="D44" i="13"/>
  <c r="E44" i="14"/>
  <c r="M7" i="17"/>
  <c r="M34" i="18"/>
  <c r="J57" i="6"/>
  <c r="M19" i="48"/>
  <c r="J50" i="20"/>
  <c r="J49" i="19"/>
  <c r="E43" i="18"/>
  <c r="D43" i="17"/>
  <c r="Y16" i="48" l="1"/>
  <c r="I11" i="59" s="1"/>
  <c r="S17" i="48"/>
  <c r="G12" i="59" s="1"/>
  <c r="K16" i="48"/>
  <c r="C11" i="59" s="1"/>
  <c r="AK16" i="48"/>
  <c r="E11" i="59" s="1"/>
  <c r="CD16" i="2"/>
  <c r="F17" i="2"/>
  <c r="J41" i="24"/>
  <c r="J40" i="23"/>
  <c r="K57" i="24"/>
  <c r="J45" i="24"/>
  <c r="K56" i="24"/>
  <c r="J51" i="24"/>
  <c r="E45" i="18"/>
  <c r="D45" i="17"/>
  <c r="E52" i="20"/>
  <c r="E53" i="20" s="1"/>
  <c r="D42" i="18"/>
  <c r="E42" i="19"/>
  <c r="E48" i="15"/>
  <c r="D48" i="14"/>
  <c r="D47" i="18"/>
  <c r="E47" i="19"/>
  <c r="E46" i="19"/>
  <c r="D46" i="18"/>
  <c r="D39" i="18"/>
  <c r="E39" i="19"/>
  <c r="E40" i="16"/>
  <c r="D40" i="15"/>
  <c r="E51" i="18"/>
  <c r="D51" i="17"/>
  <c r="D49" i="16"/>
  <c r="E49" i="17"/>
  <c r="J37" i="20"/>
  <c r="J39" i="22"/>
  <c r="E50" i="17"/>
  <c r="D50" i="16"/>
  <c r="M7" i="16"/>
  <c r="M34" i="17"/>
  <c r="J56" i="11"/>
  <c r="E41" i="18"/>
  <c r="D41" i="17"/>
  <c r="W23" i="48"/>
  <c r="Q24" i="48"/>
  <c r="J43" i="18"/>
  <c r="J44" i="19"/>
  <c r="E38" i="19"/>
  <c r="D52" i="19"/>
  <c r="D53" i="19" s="1"/>
  <c r="D38" i="18"/>
  <c r="D43" i="16"/>
  <c r="E43" i="17"/>
  <c r="J49" i="18"/>
  <c r="J50" i="19"/>
  <c r="M20" i="48"/>
  <c r="J57" i="37"/>
  <c r="D44" i="12"/>
  <c r="E44" i="13"/>
  <c r="A25" i="1"/>
  <c r="A26" i="2" s="1"/>
  <c r="Y17" i="48" l="1"/>
  <c r="I12" i="59" s="1"/>
  <c r="K17" i="48"/>
  <c r="C12" i="59" s="1"/>
  <c r="AK17" i="48"/>
  <c r="E12" i="59" s="1"/>
  <c r="S18" i="48"/>
  <c r="G13" i="59" s="1"/>
  <c r="J45" i="23"/>
  <c r="K57" i="23"/>
  <c r="J51" i="23"/>
  <c r="J41" i="23"/>
  <c r="J40" i="21"/>
  <c r="K56" i="23"/>
  <c r="CD17" i="2"/>
  <c r="F18" i="2"/>
  <c r="E45" i="17"/>
  <c r="D45" i="16"/>
  <c r="D42" i="17"/>
  <c r="E42" i="18"/>
  <c r="E52" i="19"/>
  <c r="E53" i="19" s="1"/>
  <c r="E46" i="18"/>
  <c r="D46" i="17"/>
  <c r="E48" i="14"/>
  <c r="D48" i="13"/>
  <c r="D39" i="17"/>
  <c r="E39" i="18"/>
  <c r="D47" i="17"/>
  <c r="E47" i="18"/>
  <c r="J37" i="19"/>
  <c r="J39" i="20"/>
  <c r="D49" i="15"/>
  <c r="E49" i="16"/>
  <c r="E40" i="15"/>
  <c r="D40" i="14"/>
  <c r="E50" i="16"/>
  <c r="D50" i="15"/>
  <c r="D51" i="16"/>
  <c r="E51" i="17"/>
  <c r="A26" i="1"/>
  <c r="A27" i="2" s="1"/>
  <c r="J49" i="17"/>
  <c r="J50" i="18"/>
  <c r="D43" i="15"/>
  <c r="E43" i="16"/>
  <c r="D38" i="17"/>
  <c r="E38" i="18"/>
  <c r="D52" i="18"/>
  <c r="D53" i="18" s="1"/>
  <c r="J43" i="17"/>
  <c r="J44" i="18"/>
  <c r="W24" i="48"/>
  <c r="Q25" i="48"/>
  <c r="D41" i="16"/>
  <c r="E41" i="17"/>
  <c r="J56" i="10"/>
  <c r="E44" i="12"/>
  <c r="D44" i="11"/>
  <c r="J57" i="4"/>
  <c r="M21" i="48"/>
  <c r="M34" i="16"/>
  <c r="M7" i="15"/>
  <c r="S19" i="48" l="1"/>
  <c r="G14" i="59" s="1"/>
  <c r="K18" i="48"/>
  <c r="C13" i="59" s="1"/>
  <c r="AK18" i="48"/>
  <c r="E13" i="59" s="1"/>
  <c r="Y18" i="48"/>
  <c r="I13" i="59" s="1"/>
  <c r="J41" i="21"/>
  <c r="J51" i="21"/>
  <c r="J40" i="22"/>
  <c r="J45" i="21"/>
  <c r="K57" i="21"/>
  <c r="K56" i="21"/>
  <c r="CD18" i="2"/>
  <c r="F19" i="2"/>
  <c r="D45" i="15"/>
  <c r="E45" i="16"/>
  <c r="D42" i="16"/>
  <c r="E42" i="17"/>
  <c r="E48" i="13"/>
  <c r="D48" i="12"/>
  <c r="E46" i="17"/>
  <c r="D46" i="16"/>
  <c r="E52" i="18"/>
  <c r="E53" i="18" s="1"/>
  <c r="E47" i="17"/>
  <c r="D47" i="16"/>
  <c r="E39" i="17"/>
  <c r="D39" i="16"/>
  <c r="D51" i="15"/>
  <c r="E51" i="16"/>
  <c r="D50" i="14"/>
  <c r="E50" i="15"/>
  <c r="E40" i="14"/>
  <c r="D40" i="13"/>
  <c r="D49" i="14"/>
  <c r="E49" i="15"/>
  <c r="J39" i="19"/>
  <c r="J37" i="18"/>
  <c r="J57" i="43"/>
  <c r="D41" i="15"/>
  <c r="E41" i="16"/>
  <c r="D38" i="16"/>
  <c r="D52" i="17"/>
  <c r="D53" i="17" s="1"/>
  <c r="E38" i="17"/>
  <c r="D43" i="14"/>
  <c r="E43" i="15"/>
  <c r="A27" i="1"/>
  <c r="A28" i="2" s="1"/>
  <c r="M7" i="14"/>
  <c r="M34" i="15"/>
  <c r="M22" i="48"/>
  <c r="D44" i="10"/>
  <c r="E44" i="11"/>
  <c r="J56" i="9"/>
  <c r="W25" i="48"/>
  <c r="Q26" i="48"/>
  <c r="J43" i="16"/>
  <c r="J44" i="17"/>
  <c r="J49" i="16"/>
  <c r="J50" i="17"/>
  <c r="S20" i="48" l="1"/>
  <c r="G15" i="59" s="1"/>
  <c r="K19" i="48"/>
  <c r="C14" i="59" s="1"/>
  <c r="Y19" i="48"/>
  <c r="I14" i="59" s="1"/>
  <c r="AK19" i="48"/>
  <c r="E14" i="59" s="1"/>
  <c r="K56" i="22"/>
  <c r="J51" i="22"/>
  <c r="J40" i="20"/>
  <c r="J41" i="22"/>
  <c r="K57" i="22"/>
  <c r="J45" i="22"/>
  <c r="CD19" i="2"/>
  <c r="F20" i="2"/>
  <c r="D45" i="14"/>
  <c r="E45" i="15"/>
  <c r="D42" i="15"/>
  <c r="E42" i="16"/>
  <c r="E52" i="17"/>
  <c r="E53" i="17" s="1"/>
  <c r="D46" i="15"/>
  <c r="E46" i="16"/>
  <c r="E48" i="12"/>
  <c r="D48" i="11"/>
  <c r="E39" i="16"/>
  <c r="D39" i="15"/>
  <c r="E47" i="16"/>
  <c r="D47" i="15"/>
  <c r="J37" i="17"/>
  <c r="J39" i="18"/>
  <c r="D40" i="12"/>
  <c r="E40" i="13"/>
  <c r="D49" i="13"/>
  <c r="E49" i="14"/>
  <c r="D50" i="13"/>
  <c r="E50" i="14"/>
  <c r="E51" i="15"/>
  <c r="D51" i="14"/>
  <c r="J50" i="16"/>
  <c r="J49" i="15"/>
  <c r="Q27" i="48"/>
  <c r="W26" i="48"/>
  <c r="M23" i="48"/>
  <c r="M7" i="13"/>
  <c r="M34" i="14"/>
  <c r="D43" i="13"/>
  <c r="E43" i="14"/>
  <c r="J43" i="15"/>
  <c r="J44" i="16"/>
  <c r="J56" i="8"/>
  <c r="D44" i="9"/>
  <c r="E44" i="10"/>
  <c r="A28" i="1"/>
  <c r="A29" i="2" s="1"/>
  <c r="D38" i="15"/>
  <c r="D52" i="16"/>
  <c r="D53" i="16" s="1"/>
  <c r="E38" i="16"/>
  <c r="E41" i="15"/>
  <c r="D41" i="14"/>
  <c r="Y20" i="48" l="1"/>
  <c r="I15" i="59" s="1"/>
  <c r="K20" i="48"/>
  <c r="C15" i="59" s="1"/>
  <c r="AK20" i="48"/>
  <c r="E15" i="59" s="1"/>
  <c r="S21" i="48"/>
  <c r="G16" i="59" s="1"/>
  <c r="K57" i="20"/>
  <c r="J41" i="20"/>
  <c r="J45" i="20"/>
  <c r="K56" i="20"/>
  <c r="J40" i="19"/>
  <c r="J51" i="20"/>
  <c r="CD20" i="2"/>
  <c r="F21" i="2"/>
  <c r="E45" i="14"/>
  <c r="D45" i="13"/>
  <c r="D42" i="14"/>
  <c r="E42" i="15"/>
  <c r="E47" i="15"/>
  <c r="D47" i="14"/>
  <c r="E39" i="15"/>
  <c r="D39" i="14"/>
  <c r="E48" i="11"/>
  <c r="D48" i="10"/>
  <c r="E52" i="16"/>
  <c r="E53" i="16" s="1"/>
  <c r="D46" i="14"/>
  <c r="E46" i="15"/>
  <c r="E51" i="14"/>
  <c r="D51" i="13"/>
  <c r="D49" i="12"/>
  <c r="E49" i="13"/>
  <c r="E40" i="12"/>
  <c r="D40" i="11"/>
  <c r="E50" i="13"/>
  <c r="D50" i="12"/>
  <c r="J37" i="16"/>
  <c r="J39" i="17"/>
  <c r="E41" i="14"/>
  <c r="D41" i="13"/>
  <c r="D52" i="15"/>
  <c r="D53" i="15" s="1"/>
  <c r="E38" i="15"/>
  <c r="D38" i="14"/>
  <c r="A29" i="1"/>
  <c r="A30" i="2" s="1"/>
  <c r="D44" i="8"/>
  <c r="E44" i="9"/>
  <c r="J56" i="7"/>
  <c r="D43" i="12"/>
  <c r="E43" i="13"/>
  <c r="J49" i="14"/>
  <c r="J50" i="15"/>
  <c r="J44" i="15"/>
  <c r="J43" i="14"/>
  <c r="M7" i="12"/>
  <c r="M34" i="13"/>
  <c r="M24" i="48"/>
  <c r="Q28" i="48"/>
  <c r="W27" i="48"/>
  <c r="Y21" i="48" l="1"/>
  <c r="I16" i="59" s="1"/>
  <c r="S22" i="48"/>
  <c r="G17" i="59" s="1"/>
  <c r="AK21" i="48"/>
  <c r="E16" i="59" s="1"/>
  <c r="K21" i="48"/>
  <c r="C16" i="59" s="1"/>
  <c r="J40" i="18"/>
  <c r="K56" i="19"/>
  <c r="K57" i="19"/>
  <c r="J51" i="19"/>
  <c r="J45" i="19"/>
  <c r="J41" i="19"/>
  <c r="CD21" i="2"/>
  <c r="F22" i="2"/>
  <c r="E45" i="13"/>
  <c r="D45" i="12"/>
  <c r="E52" i="15"/>
  <c r="E53" i="15" s="1"/>
  <c r="D42" i="13"/>
  <c r="E42" i="14"/>
  <c r="D46" i="13"/>
  <c r="E46" i="14"/>
  <c r="E48" i="10"/>
  <c r="D48" i="9"/>
  <c r="E39" i="14"/>
  <c r="D39" i="13"/>
  <c r="D47" i="13"/>
  <c r="E47" i="14"/>
  <c r="E50" i="12"/>
  <c r="D50" i="11"/>
  <c r="D40" i="10"/>
  <c r="E40" i="11"/>
  <c r="D51" i="12"/>
  <c r="E51" i="13"/>
  <c r="J39" i="16"/>
  <c r="J37" i="15"/>
  <c r="E49" i="12"/>
  <c r="D49" i="11"/>
  <c r="J49" i="13"/>
  <c r="J50" i="14"/>
  <c r="E43" i="12"/>
  <c r="D43" i="11"/>
  <c r="J56" i="6"/>
  <c r="A30" i="1"/>
  <c r="A31" i="2" s="1"/>
  <c r="D52" i="14"/>
  <c r="D53" i="14" s="1"/>
  <c r="D38" i="13"/>
  <c r="E38" i="14"/>
  <c r="Q29" i="48"/>
  <c r="W28" i="48"/>
  <c r="M25" i="48"/>
  <c r="M7" i="11"/>
  <c r="M34" i="12"/>
  <c r="J43" i="13"/>
  <c r="J44" i="14"/>
  <c r="D44" i="7"/>
  <c r="E44" i="8"/>
  <c r="D41" i="12"/>
  <c r="E41" i="13"/>
  <c r="S23" i="48" l="1"/>
  <c r="G18" i="59" s="1"/>
  <c r="K22" i="48"/>
  <c r="C17" i="59" s="1"/>
  <c r="Y22" i="48"/>
  <c r="I17" i="59" s="1"/>
  <c r="AK22" i="48"/>
  <c r="E17" i="59" s="1"/>
  <c r="CD22" i="2"/>
  <c r="F23" i="2"/>
  <c r="J41" i="18"/>
  <c r="K56" i="18"/>
  <c r="K57" i="18"/>
  <c r="J51" i="18"/>
  <c r="J40" i="17"/>
  <c r="J45" i="18"/>
  <c r="D45" i="11"/>
  <c r="E45" i="12"/>
  <c r="E42" i="13"/>
  <c r="D42" i="12"/>
  <c r="E52" i="14"/>
  <c r="E53" i="14" s="1"/>
  <c r="E39" i="13"/>
  <c r="D39" i="12"/>
  <c r="D48" i="8"/>
  <c r="E48" i="9"/>
  <c r="D47" i="12"/>
  <c r="E47" i="13"/>
  <c r="D46" i="12"/>
  <c r="E46" i="13"/>
  <c r="D49" i="10"/>
  <c r="E49" i="11"/>
  <c r="J37" i="14"/>
  <c r="J39" i="15"/>
  <c r="D50" i="10"/>
  <c r="E50" i="11"/>
  <c r="E51" i="12"/>
  <c r="D51" i="11"/>
  <c r="E40" i="10"/>
  <c r="D40" i="9"/>
  <c r="J56" i="37"/>
  <c r="D43" i="10"/>
  <c r="E43" i="11"/>
  <c r="J49" i="12"/>
  <c r="J50" i="13"/>
  <c r="E41" i="12"/>
  <c r="D41" i="11"/>
  <c r="D44" i="6"/>
  <c r="E44" i="7"/>
  <c r="J43" i="12"/>
  <c r="J44" i="13"/>
  <c r="M7" i="10"/>
  <c r="M34" i="11"/>
  <c r="M26" i="48"/>
  <c r="Q30" i="48"/>
  <c r="W29" i="48"/>
  <c r="D52" i="13"/>
  <c r="D53" i="13" s="1"/>
  <c r="D38" i="12"/>
  <c r="E38" i="13"/>
  <c r="A31" i="1"/>
  <c r="A32" i="2" s="1"/>
  <c r="S24" i="48" l="1"/>
  <c r="G19" i="59" s="1"/>
  <c r="Y23" i="48"/>
  <c r="I18" i="59" s="1"/>
  <c r="AK23" i="48"/>
  <c r="E18" i="59" s="1"/>
  <c r="K23" i="48"/>
  <c r="C18" i="59" s="1"/>
  <c r="J41" i="17"/>
  <c r="K56" i="17"/>
  <c r="J51" i="17"/>
  <c r="K57" i="17"/>
  <c r="J40" i="16"/>
  <c r="J45" i="17"/>
  <c r="CD23" i="2"/>
  <c r="F24" i="2"/>
  <c r="D45" i="10"/>
  <c r="E45" i="11"/>
  <c r="E42" i="12"/>
  <c r="D42" i="11"/>
  <c r="E52" i="13"/>
  <c r="E53" i="13" s="1"/>
  <c r="E39" i="12"/>
  <c r="D39" i="11"/>
  <c r="E46" i="12"/>
  <c r="D46" i="11"/>
  <c r="E47" i="12"/>
  <c r="D47" i="11"/>
  <c r="E48" i="8"/>
  <c r="D48" i="7"/>
  <c r="E40" i="9"/>
  <c r="D40" i="8"/>
  <c r="D51" i="10"/>
  <c r="E51" i="11"/>
  <c r="E50" i="10"/>
  <c r="D50" i="9"/>
  <c r="J37" i="13"/>
  <c r="J39" i="14"/>
  <c r="E49" i="10"/>
  <c r="D49" i="9"/>
  <c r="A32" i="1"/>
  <c r="A33" i="2" s="1"/>
  <c r="E38" i="12"/>
  <c r="D52" i="12"/>
  <c r="D53" i="12" s="1"/>
  <c r="D38" i="11"/>
  <c r="M27" i="48"/>
  <c r="J43" i="11"/>
  <c r="J44" i="12"/>
  <c r="D44" i="37"/>
  <c r="E44" i="6"/>
  <c r="J50" i="12"/>
  <c r="J49" i="11"/>
  <c r="D43" i="9"/>
  <c r="E43" i="10"/>
  <c r="J56" i="4"/>
  <c r="W30" i="48"/>
  <c r="Q31" i="48"/>
  <c r="M7" i="9"/>
  <c r="M34" i="10"/>
  <c r="D41" i="10"/>
  <c r="E41" i="11"/>
  <c r="S25" i="48" l="1"/>
  <c r="G20" i="59" s="1"/>
  <c r="K24" i="48"/>
  <c r="C19" i="59" s="1"/>
  <c r="AK24" i="48"/>
  <c r="E19" i="59" s="1"/>
  <c r="Y24" i="48"/>
  <c r="I19" i="59" s="1"/>
  <c r="J45" i="16"/>
  <c r="K57" i="16"/>
  <c r="J40" i="15"/>
  <c r="J51" i="16"/>
  <c r="J41" i="16"/>
  <c r="K56" i="16"/>
  <c r="F25" i="2"/>
  <c r="CD24" i="2"/>
  <c r="E45" i="10"/>
  <c r="D45" i="9"/>
  <c r="D42" i="10"/>
  <c r="E42" i="11"/>
  <c r="E52" i="12"/>
  <c r="E53" i="12" s="1"/>
  <c r="E48" i="7"/>
  <c r="D48" i="6"/>
  <c r="E47" i="11"/>
  <c r="D47" i="10"/>
  <c r="D46" i="10"/>
  <c r="E46" i="11"/>
  <c r="E39" i="11"/>
  <c r="D39" i="10"/>
  <c r="E49" i="9"/>
  <c r="D49" i="8"/>
  <c r="J37" i="12"/>
  <c r="J39" i="13"/>
  <c r="D40" i="7"/>
  <c r="E40" i="8"/>
  <c r="D50" i="8"/>
  <c r="E50" i="9"/>
  <c r="D51" i="9"/>
  <c r="E51" i="10"/>
  <c r="W31" i="48"/>
  <c r="Q32" i="48"/>
  <c r="J56" i="43"/>
  <c r="E43" i="9"/>
  <c r="D43" i="8"/>
  <c r="J43" i="10"/>
  <c r="J44" i="11"/>
  <c r="M28" i="48"/>
  <c r="E41" i="10"/>
  <c r="D41" i="9"/>
  <c r="M34" i="9"/>
  <c r="M7" i="8"/>
  <c r="J49" i="10"/>
  <c r="J50" i="11"/>
  <c r="D44" i="4"/>
  <c r="E44" i="37"/>
  <c r="E38" i="11"/>
  <c r="D38" i="10"/>
  <c r="D52" i="11"/>
  <c r="D53" i="11" s="1"/>
  <c r="A33" i="1"/>
  <c r="A34" i="2" s="1"/>
  <c r="S26" i="48" l="1"/>
  <c r="G21" i="59" s="1"/>
  <c r="Y25" i="48"/>
  <c r="I20" i="59" s="1"/>
  <c r="AK25" i="48"/>
  <c r="E20" i="59" s="1"/>
  <c r="K25" i="48"/>
  <c r="C20" i="59" s="1"/>
  <c r="Z155" i="58"/>
  <c r="Z155" i="46"/>
  <c r="J40" i="14"/>
  <c r="J51" i="15"/>
  <c r="K56" i="15"/>
  <c r="J41" i="15"/>
  <c r="J45" i="15"/>
  <c r="K57" i="15"/>
  <c r="CD25" i="2"/>
  <c r="F26" i="2"/>
  <c r="E45" i="9"/>
  <c r="D45" i="8"/>
  <c r="E42" i="10"/>
  <c r="D42" i="9"/>
  <c r="D39" i="9"/>
  <c r="E39" i="10"/>
  <c r="E47" i="10"/>
  <c r="D47" i="9"/>
  <c r="E48" i="6"/>
  <c r="D48" i="37"/>
  <c r="E52" i="11"/>
  <c r="E53" i="11" s="1"/>
  <c r="D46" i="9"/>
  <c r="E46" i="10"/>
  <c r="D51" i="8"/>
  <c r="E51" i="9"/>
  <c r="E50" i="8"/>
  <c r="D50" i="7"/>
  <c r="E49" i="8"/>
  <c r="D49" i="7"/>
  <c r="D40" i="6"/>
  <c r="E40" i="7"/>
  <c r="J37" i="11"/>
  <c r="J39" i="12"/>
  <c r="A34" i="1"/>
  <c r="A35" i="2" s="1"/>
  <c r="D52" i="10"/>
  <c r="D53" i="10" s="1"/>
  <c r="E38" i="10"/>
  <c r="D38" i="9"/>
  <c r="J49" i="9"/>
  <c r="J50" i="10"/>
  <c r="J43" i="9"/>
  <c r="J44" i="10"/>
  <c r="E43" i="8"/>
  <c r="D43" i="7"/>
  <c r="E44" i="4"/>
  <c r="D44" i="43"/>
  <c r="E44" i="43" s="1"/>
  <c r="M7" i="7"/>
  <c r="M34" i="8"/>
  <c r="E41" i="9"/>
  <c r="D41" i="8"/>
  <c r="M29" i="48"/>
  <c r="W32" i="48"/>
  <c r="Q33" i="48"/>
  <c r="Y26" i="48" l="1"/>
  <c r="I21" i="59" s="1"/>
  <c r="S27" i="48"/>
  <c r="G22" i="59" s="1"/>
  <c r="K26" i="48"/>
  <c r="C21" i="59" s="1"/>
  <c r="AK26" i="48"/>
  <c r="E21" i="59" s="1"/>
  <c r="CD26" i="2"/>
  <c r="F27" i="2"/>
  <c r="J41" i="14"/>
  <c r="K56" i="14"/>
  <c r="J45" i="14"/>
  <c r="J40" i="13"/>
  <c r="K57" i="14"/>
  <c r="J51" i="14"/>
  <c r="E45" i="8"/>
  <c r="D45" i="7"/>
  <c r="E52" i="10"/>
  <c r="E53" i="10" s="1"/>
  <c r="D42" i="8"/>
  <c r="E42" i="9"/>
  <c r="E46" i="9"/>
  <c r="D46" i="8"/>
  <c r="E48" i="37"/>
  <c r="D48" i="4"/>
  <c r="D47" i="8"/>
  <c r="E47" i="9"/>
  <c r="E39" i="9"/>
  <c r="D39" i="8"/>
  <c r="J37" i="10"/>
  <c r="J39" i="11"/>
  <c r="D40" i="37"/>
  <c r="E40" i="6"/>
  <c r="E49" i="7"/>
  <c r="D49" i="6"/>
  <c r="D50" i="6"/>
  <c r="E50" i="7"/>
  <c r="D51" i="7"/>
  <c r="E51" i="8"/>
  <c r="W33" i="48"/>
  <c r="Q34" i="48"/>
  <c r="D41" i="7"/>
  <c r="E41" i="8"/>
  <c r="D43" i="6"/>
  <c r="E43" i="7"/>
  <c r="J43" i="8"/>
  <c r="J44" i="9"/>
  <c r="E38" i="9"/>
  <c r="D52" i="9"/>
  <c r="D53" i="9" s="1"/>
  <c r="D38" i="8"/>
  <c r="A35" i="1"/>
  <c r="A36" i="2" s="1"/>
  <c r="M30" i="48"/>
  <c r="M7" i="6"/>
  <c r="M34" i="7"/>
  <c r="J49" i="8"/>
  <c r="J50" i="9"/>
  <c r="S28" i="48" l="1"/>
  <c r="G23" i="59" s="1"/>
  <c r="Y27" i="48"/>
  <c r="I22" i="59" s="1"/>
  <c r="K27" i="48"/>
  <c r="C22" i="59" s="1"/>
  <c r="AK27" i="48"/>
  <c r="E22" i="59" s="1"/>
  <c r="J51" i="13"/>
  <c r="J41" i="13"/>
  <c r="K56" i="13"/>
  <c r="J45" i="13"/>
  <c r="K57" i="13"/>
  <c r="J40" i="12"/>
  <c r="F28" i="2"/>
  <c r="CD27" i="2"/>
  <c r="E45" i="7"/>
  <c r="D45" i="6"/>
  <c r="E42" i="8"/>
  <c r="D42" i="7"/>
  <c r="D39" i="7"/>
  <c r="E39" i="8"/>
  <c r="E48" i="4"/>
  <c r="D48" i="43"/>
  <c r="E48" i="43" s="1"/>
  <c r="E46" i="8"/>
  <c r="D46" i="7"/>
  <c r="E52" i="9"/>
  <c r="E53" i="9" s="1"/>
  <c r="E47" i="8"/>
  <c r="D47" i="7"/>
  <c r="D51" i="6"/>
  <c r="E51" i="7"/>
  <c r="E50" i="6"/>
  <c r="D50" i="37"/>
  <c r="D40" i="4"/>
  <c r="E40" i="37"/>
  <c r="D49" i="37"/>
  <c r="E49" i="6"/>
  <c r="J39" i="10"/>
  <c r="J37" i="9"/>
  <c r="J50" i="8"/>
  <c r="J49" i="7"/>
  <c r="M31" i="48"/>
  <c r="D38" i="7"/>
  <c r="E38" i="8"/>
  <c r="D52" i="8"/>
  <c r="D53" i="8" s="1"/>
  <c r="D41" i="6"/>
  <c r="E41" i="7"/>
  <c r="M7" i="37"/>
  <c r="M34" i="6"/>
  <c r="A36" i="1"/>
  <c r="A37" i="2" s="1"/>
  <c r="J43" i="7"/>
  <c r="J44" i="8"/>
  <c r="D43" i="37"/>
  <c r="E43" i="6"/>
  <c r="Q35" i="48"/>
  <c r="W34" i="48"/>
  <c r="Y28" i="48" l="1"/>
  <c r="I23" i="59" s="1"/>
  <c r="K28" i="48"/>
  <c r="C23" i="59" s="1"/>
  <c r="S29" i="48"/>
  <c r="G24" i="59" s="1"/>
  <c r="AK28" i="48"/>
  <c r="E23" i="59" s="1"/>
  <c r="J40" i="11"/>
  <c r="J51" i="12"/>
  <c r="K56" i="12"/>
  <c r="K57" i="12"/>
  <c r="J41" i="12"/>
  <c r="J45" i="12"/>
  <c r="F29" i="2"/>
  <c r="CD28" i="2"/>
  <c r="D45" i="37"/>
  <c r="E45" i="6"/>
  <c r="E52" i="8"/>
  <c r="E53" i="8" s="1"/>
  <c r="D42" i="6"/>
  <c r="E42" i="7"/>
  <c r="D46" i="6"/>
  <c r="E46" i="7"/>
  <c r="D47" i="6"/>
  <c r="E47" i="7"/>
  <c r="E39" i="7"/>
  <c r="D39" i="6"/>
  <c r="J37" i="8"/>
  <c r="J39" i="9"/>
  <c r="E49" i="37"/>
  <c r="D49" i="4"/>
  <c r="D50" i="4"/>
  <c r="E50" i="37"/>
  <c r="E40" i="4"/>
  <c r="D40" i="43"/>
  <c r="E40" i="43" s="1"/>
  <c r="D51" i="37"/>
  <c r="E51" i="6"/>
  <c r="E43" i="37"/>
  <c r="D43" i="4"/>
  <c r="A37" i="1"/>
  <c r="A38" i="2" s="1"/>
  <c r="M7" i="4"/>
  <c r="M34" i="37"/>
  <c r="E41" i="6"/>
  <c r="D41" i="37"/>
  <c r="D52" i="7"/>
  <c r="D53" i="7" s="1"/>
  <c r="E38" i="7"/>
  <c r="D38" i="6"/>
  <c r="M32" i="48"/>
  <c r="W35" i="48"/>
  <c r="Q36" i="48"/>
  <c r="J43" i="6"/>
  <c r="J44" i="7"/>
  <c r="J49" i="6"/>
  <c r="J50" i="7"/>
  <c r="Y29" i="48" l="1"/>
  <c r="I24" i="59" s="1"/>
  <c r="K29" i="48"/>
  <c r="C24" i="59" s="1"/>
  <c r="AK29" i="48"/>
  <c r="E24" i="59" s="1"/>
  <c r="S30" i="48"/>
  <c r="G25" i="59" s="1"/>
  <c r="CD29" i="2"/>
  <c r="F30" i="2"/>
  <c r="J45" i="11"/>
  <c r="K56" i="11"/>
  <c r="K57" i="11"/>
  <c r="J40" i="10"/>
  <c r="J51" i="11"/>
  <c r="J41" i="11"/>
  <c r="D45" i="4"/>
  <c r="E45" i="37"/>
  <c r="D42" i="37"/>
  <c r="E42" i="6"/>
  <c r="E39" i="6"/>
  <c r="D39" i="37"/>
  <c r="E52" i="7"/>
  <c r="E53" i="7" s="1"/>
  <c r="E47" i="6"/>
  <c r="D47" i="37"/>
  <c r="E46" i="6"/>
  <c r="D46" i="37"/>
  <c r="E49" i="4"/>
  <c r="D49" i="43"/>
  <c r="E49" i="43" s="1"/>
  <c r="D51" i="4"/>
  <c r="E51" i="37"/>
  <c r="D50" i="43"/>
  <c r="E50" i="43" s="1"/>
  <c r="E50" i="4"/>
  <c r="J39" i="8"/>
  <c r="J37" i="7"/>
  <c r="J49" i="37"/>
  <c r="J50" i="6"/>
  <c r="M33" i="48"/>
  <c r="D52" i="6"/>
  <c r="D53" i="6" s="1"/>
  <c r="D38" i="37"/>
  <c r="E38" i="6"/>
  <c r="M7" i="43"/>
  <c r="M34" i="43" s="1"/>
  <c r="M34" i="4"/>
  <c r="D43" i="43"/>
  <c r="E43" i="43" s="1"/>
  <c r="E43" i="4"/>
  <c r="J43" i="37"/>
  <c r="J44" i="6"/>
  <c r="Q37" i="48"/>
  <c r="W36" i="48"/>
  <c r="D41" i="4"/>
  <c r="E41" i="37"/>
  <c r="A38" i="1"/>
  <c r="A39" i="2" s="1"/>
  <c r="Y30" i="48" l="1"/>
  <c r="I25" i="59" s="1"/>
  <c r="S31" i="48"/>
  <c r="G26" i="59" s="1"/>
  <c r="AK30" i="48"/>
  <c r="E25" i="59" s="1"/>
  <c r="K30" i="48"/>
  <c r="C25" i="59" s="1"/>
  <c r="W155" i="58"/>
  <c r="W155" i="46"/>
  <c r="K57" i="10"/>
  <c r="J45" i="10"/>
  <c r="J40" i="9"/>
  <c r="K56" i="10"/>
  <c r="J51" i="10"/>
  <c r="J41" i="10"/>
  <c r="CD30" i="2"/>
  <c r="F31" i="2"/>
  <c r="D45" i="43"/>
  <c r="E45" i="43" s="1"/>
  <c r="E45" i="4"/>
  <c r="E52" i="6"/>
  <c r="E53" i="6" s="1"/>
  <c r="E42" i="37"/>
  <c r="D42" i="4"/>
  <c r="E39" i="37"/>
  <c r="D39" i="4"/>
  <c r="E46" i="37"/>
  <c r="D46" i="4"/>
  <c r="D47" i="4"/>
  <c r="E47" i="37"/>
  <c r="J37" i="6"/>
  <c r="J39" i="7"/>
  <c r="D51" i="43"/>
  <c r="E51" i="43" s="1"/>
  <c r="E51" i="4"/>
  <c r="J43" i="4"/>
  <c r="J44" i="37"/>
  <c r="M34" i="48"/>
  <c r="J49" i="4"/>
  <c r="J50" i="37"/>
  <c r="E41" i="4"/>
  <c r="D41" i="43"/>
  <c r="E41" i="43" s="1"/>
  <c r="Q38" i="48"/>
  <c r="W37" i="48"/>
  <c r="D38" i="4"/>
  <c r="E38" i="37"/>
  <c r="D52" i="37"/>
  <c r="D53" i="37" s="1"/>
  <c r="S32" i="48" l="1"/>
  <c r="G27" i="59" s="1"/>
  <c r="K31" i="48"/>
  <c r="C26" i="59" s="1"/>
  <c r="AK31" i="48"/>
  <c r="E26" i="59" s="1"/>
  <c r="Y31" i="48"/>
  <c r="I26" i="59" s="1"/>
  <c r="J40" i="8"/>
  <c r="K56" i="9"/>
  <c r="J51" i="9"/>
  <c r="J45" i="9"/>
  <c r="J41" i="9"/>
  <c r="K57" i="9"/>
  <c r="CD31" i="2"/>
  <c r="F32" i="2"/>
  <c r="D42" i="43"/>
  <c r="E42" i="43" s="1"/>
  <c r="E42" i="4"/>
  <c r="D47" i="43"/>
  <c r="E47" i="43" s="1"/>
  <c r="E47" i="4"/>
  <c r="E52" i="37"/>
  <c r="E53" i="37" s="1"/>
  <c r="E46" i="4"/>
  <c r="D46" i="43"/>
  <c r="E46" i="43" s="1"/>
  <c r="E39" i="4"/>
  <c r="D39" i="43"/>
  <c r="E39" i="43" s="1"/>
  <c r="J39" i="6"/>
  <c r="J37" i="37"/>
  <c r="E38" i="4"/>
  <c r="D38" i="43"/>
  <c r="D52" i="4"/>
  <c r="D53" i="4" s="1"/>
  <c r="Q39" i="48"/>
  <c r="W39" i="48" s="1"/>
  <c r="W38" i="48"/>
  <c r="J49" i="43"/>
  <c r="J50" i="4"/>
  <c r="J43" i="43"/>
  <c r="J44" i="4"/>
  <c r="M35" i="48"/>
  <c r="AK32" i="48" l="1"/>
  <c r="E27" i="59" s="1"/>
  <c r="S33" i="48"/>
  <c r="G28" i="59" s="1"/>
  <c r="Y32" i="48"/>
  <c r="I27" i="59" s="1"/>
  <c r="K32" i="48"/>
  <c r="C27" i="59" s="1"/>
  <c r="CD32" i="2"/>
  <c r="F33" i="2"/>
  <c r="J45" i="8"/>
  <c r="J51" i="8"/>
  <c r="K57" i="8"/>
  <c r="J40" i="7"/>
  <c r="K56" i="8"/>
  <c r="J41" i="8"/>
  <c r="E52" i="4"/>
  <c r="E53" i="4" s="1"/>
  <c r="J37" i="4"/>
  <c r="J39" i="37"/>
  <c r="M36" i="48"/>
  <c r="J44" i="43"/>
  <c r="J50" i="43"/>
  <c r="D52" i="43"/>
  <c r="E38" i="43"/>
  <c r="E52" i="43" s="1"/>
  <c r="E53" i="43" s="1"/>
  <c r="S34" i="48" l="1"/>
  <c r="G29" i="59" s="1"/>
  <c r="Y33" i="48"/>
  <c r="I28" i="59" s="1"/>
  <c r="AK33" i="48"/>
  <c r="E28" i="59" s="1"/>
  <c r="K33" i="48"/>
  <c r="C28" i="59" s="1"/>
  <c r="D53" i="43"/>
  <c r="K56" i="7"/>
  <c r="K57" i="7"/>
  <c r="J45" i="7"/>
  <c r="J41" i="7"/>
  <c r="J40" i="6"/>
  <c r="J51" i="7"/>
  <c r="CD33" i="2"/>
  <c r="F34" i="2"/>
  <c r="J37" i="43"/>
  <c r="J39" i="43" s="1"/>
  <c r="J39" i="4"/>
  <c r="M37" i="48"/>
  <c r="Y34" i="48" l="1"/>
  <c r="I29" i="59" s="1"/>
  <c r="S35" i="48"/>
  <c r="G30" i="59" s="1"/>
  <c r="K34" i="48"/>
  <c r="C29" i="59" s="1"/>
  <c r="AK34" i="48"/>
  <c r="E29" i="59" s="1"/>
  <c r="J41" i="6"/>
  <c r="K56" i="6"/>
  <c r="J40" i="37"/>
  <c r="J45" i="6"/>
  <c r="J51" i="6"/>
  <c r="K57" i="6"/>
  <c r="F35" i="2"/>
  <c r="CD34" i="2"/>
  <c r="M38" i="48"/>
  <c r="S36" i="48" l="1"/>
  <c r="G31" i="59" s="1"/>
  <c r="AK35" i="48"/>
  <c r="E30" i="59" s="1"/>
  <c r="Y35" i="48"/>
  <c r="I30" i="59" s="1"/>
  <c r="K35" i="48"/>
  <c r="C30" i="59" s="1"/>
  <c r="CD35" i="2"/>
  <c r="F36" i="2"/>
  <c r="J41" i="37"/>
  <c r="K56" i="37"/>
  <c r="J45" i="37"/>
  <c r="J51" i="37"/>
  <c r="J40" i="4"/>
  <c r="K57" i="37"/>
  <c r="M39" i="48"/>
  <c r="S37" i="48" l="1"/>
  <c r="G32" i="59" s="1"/>
  <c r="AK36" i="48"/>
  <c r="E31" i="59" s="1"/>
  <c r="Y36" i="48"/>
  <c r="I31" i="59" s="1"/>
  <c r="K36" i="48"/>
  <c r="C31" i="59" s="1"/>
  <c r="K57" i="4"/>
  <c r="J51" i="4"/>
  <c r="J45" i="4"/>
  <c r="J40" i="43"/>
  <c r="J41" i="4"/>
  <c r="K56" i="4"/>
  <c r="CD36" i="2"/>
  <c r="F37" i="2"/>
  <c r="S38" i="48" l="1"/>
  <c r="G33" i="59" s="1"/>
  <c r="F37" i="59" s="1"/>
  <c r="AK37" i="48"/>
  <c r="E32" i="59" s="1"/>
  <c r="Y37" i="48"/>
  <c r="I32" i="59" s="1"/>
  <c r="K37" i="48"/>
  <c r="C32" i="59" s="1"/>
  <c r="J51" i="43"/>
  <c r="J41" i="43"/>
  <c r="J45" i="43"/>
  <c r="K56" i="43"/>
  <c r="K57" i="43"/>
  <c r="F38" i="2"/>
  <c r="CD37" i="2"/>
  <c r="Y38" i="48" l="1"/>
  <c r="I33" i="59" s="1"/>
  <c r="H37" i="59" s="1"/>
  <c r="AK38" i="48"/>
  <c r="E33" i="59" s="1"/>
  <c r="D37" i="59" s="1"/>
  <c r="K38" i="48"/>
  <c r="C33" i="59" s="1"/>
  <c r="B37" i="59" s="1"/>
  <c r="S39" i="48"/>
  <c r="F39" i="2"/>
  <c r="CD38" i="2"/>
  <c r="Y39" i="48" l="1"/>
  <c r="K39" i="48"/>
  <c r="AK39" i="48"/>
  <c r="CD39" i="2"/>
  <c r="AR12" i="45" l="1"/>
  <c r="F12" i="45"/>
  <c r="G12" i="45"/>
  <c r="AR17" i="45"/>
  <c r="F17" i="45"/>
  <c r="G17" i="45"/>
  <c r="AR23" i="45"/>
  <c r="F23" i="45"/>
  <c r="G23" i="45"/>
  <c r="AR13" i="45"/>
  <c r="F13" i="45"/>
  <c r="G13" i="45"/>
  <c r="AR24" i="45"/>
  <c r="F24" i="45"/>
  <c r="G24" i="45"/>
  <c r="AR30" i="45"/>
  <c r="F30" i="45"/>
  <c r="G30" i="45"/>
  <c r="AR18" i="45"/>
  <c r="F18" i="45"/>
  <c r="G18" i="45"/>
  <c r="AR25" i="45"/>
  <c r="F25" i="45"/>
  <c r="G25" i="45"/>
  <c r="AR34" i="45"/>
  <c r="F34" i="45"/>
  <c r="G34" i="45"/>
  <c r="AR14" i="45"/>
  <c r="F14" i="45"/>
  <c r="G14" i="45"/>
  <c r="AR26" i="45"/>
  <c r="F26" i="45"/>
  <c r="G26" i="45"/>
  <c r="AR31" i="45"/>
  <c r="F31" i="45"/>
  <c r="G31" i="45"/>
  <c r="AR15" i="45"/>
  <c r="F15" i="45"/>
  <c r="G15" i="45"/>
  <c r="AR19" i="45"/>
  <c r="F19" i="45"/>
  <c r="G19" i="45"/>
  <c r="AR27" i="45"/>
  <c r="F27" i="45"/>
  <c r="G27" i="45"/>
  <c r="AR32" i="45"/>
  <c r="F32" i="45"/>
  <c r="G32" i="45"/>
  <c r="AR33" i="45"/>
  <c r="F33" i="45"/>
  <c r="G33" i="45"/>
  <c r="AR35" i="45"/>
  <c r="F35" i="45"/>
  <c r="G35" i="45"/>
  <c r="AR10" i="45"/>
  <c r="F10" i="45"/>
  <c r="G10" i="45"/>
  <c r="AR20" i="45"/>
  <c r="G20" i="45"/>
  <c r="F20" i="45"/>
  <c r="AR9" i="45"/>
  <c r="F9" i="45"/>
  <c r="G9" i="45"/>
  <c r="AR16" i="45"/>
  <c r="F16" i="45"/>
  <c r="G16" i="45"/>
  <c r="AR28" i="45"/>
  <c r="F28" i="45"/>
  <c r="G28" i="45"/>
  <c r="AR36" i="45"/>
  <c r="F36" i="45"/>
  <c r="G36" i="45"/>
  <c r="AR37" i="45"/>
  <c r="F37" i="45"/>
  <c r="G37" i="45"/>
  <c r="AR11" i="45"/>
  <c r="F11" i="45"/>
  <c r="G11" i="45"/>
  <c r="AR21" i="45"/>
  <c r="F21" i="45"/>
  <c r="G21" i="45"/>
  <c r="AR29" i="45"/>
  <c r="F29" i="45"/>
  <c r="G29" i="45"/>
  <c r="I46" i="20" l="1"/>
  <c r="AS21" i="45"/>
  <c r="AT21" i="45"/>
  <c r="I46" i="14"/>
  <c r="AS27" i="45"/>
  <c r="AT27" i="45"/>
  <c r="AR38" i="45"/>
  <c r="F38" i="45"/>
  <c r="G38" i="45"/>
  <c r="I46" i="31"/>
  <c r="AS10" i="45"/>
  <c r="AT10" i="45"/>
  <c r="I46" i="27"/>
  <c r="AS13" i="45"/>
  <c r="AT13" i="45"/>
  <c r="I46" i="22"/>
  <c r="AT20" i="45"/>
  <c r="AS20" i="45"/>
  <c r="I46" i="17"/>
  <c r="AS24" i="45"/>
  <c r="AT24" i="45"/>
  <c r="I46" i="4"/>
  <c r="AS37" i="45"/>
  <c r="AT37" i="45"/>
  <c r="I46" i="25"/>
  <c r="AS16" i="45"/>
  <c r="AT16" i="45"/>
  <c r="I46" i="21"/>
  <c r="AS19" i="45"/>
  <c r="AT19" i="45"/>
  <c r="I46" i="12"/>
  <c r="AS29" i="45"/>
  <c r="AT29" i="45"/>
  <c r="I46" i="10"/>
  <c r="AS31" i="45"/>
  <c r="AT31" i="45"/>
  <c r="I46" i="18"/>
  <c r="AS23" i="45"/>
  <c r="AT23" i="45"/>
  <c r="I46" i="30"/>
  <c r="AS11" i="45"/>
  <c r="AT11" i="45"/>
  <c r="I46" i="6"/>
  <c r="AS35" i="45"/>
  <c r="AT35" i="45"/>
  <c r="I46" i="28"/>
  <c r="AS14" i="45"/>
  <c r="AT14" i="45"/>
  <c r="I46" i="7"/>
  <c r="AS34" i="45"/>
  <c r="AT34" i="45"/>
  <c r="I46" i="11"/>
  <c r="AS30" i="45"/>
  <c r="AT30" i="45"/>
  <c r="I46" i="26"/>
  <c r="AS15" i="45"/>
  <c r="AT15" i="45"/>
  <c r="I46" i="15"/>
  <c r="AS26" i="45"/>
  <c r="AT26" i="45"/>
  <c r="I46" i="8"/>
  <c r="AS33" i="45"/>
  <c r="AT33" i="45"/>
  <c r="I46" i="16"/>
  <c r="AS25" i="45"/>
  <c r="AT25" i="45"/>
  <c r="I46" i="24"/>
  <c r="AS17" i="45"/>
  <c r="AT17" i="45"/>
  <c r="I46" i="13"/>
  <c r="AS28" i="45"/>
  <c r="AT28" i="45"/>
  <c r="I46" i="9"/>
  <c r="AS32" i="45"/>
  <c r="AT32" i="45"/>
  <c r="I46" i="23"/>
  <c r="AS18" i="45"/>
  <c r="AT18" i="45"/>
  <c r="I46" i="37"/>
  <c r="AS36" i="45"/>
  <c r="AT36" i="45"/>
  <c r="I46" i="19"/>
  <c r="I46" i="32"/>
  <c r="AS9" i="45"/>
  <c r="AT9" i="45"/>
  <c r="AR8" i="45"/>
  <c r="E40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F8" i="45"/>
  <c r="G8" i="45"/>
  <c r="I46" i="29"/>
  <c r="AS12" i="45"/>
  <c r="AT12" i="45"/>
  <c r="D22" i="45" l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I47" i="8"/>
  <c r="I48" i="8"/>
  <c r="Z34" i="48"/>
  <c r="Z16" i="48"/>
  <c r="I47" i="26"/>
  <c r="I48" i="26"/>
  <c r="I48" i="22"/>
  <c r="Z21" i="48"/>
  <c r="I47" i="22"/>
  <c r="Z19" i="48"/>
  <c r="I47" i="23"/>
  <c r="I48" i="23"/>
  <c r="I47" i="28"/>
  <c r="Z15" i="48"/>
  <c r="I48" i="28"/>
  <c r="Z30" i="48"/>
  <c r="I47" i="12"/>
  <c r="I48" i="12"/>
  <c r="I46" i="43"/>
  <c r="AS38" i="45"/>
  <c r="AT38" i="45"/>
  <c r="Z23" i="48"/>
  <c r="I47" i="19"/>
  <c r="I48" i="19"/>
  <c r="Z18" i="48"/>
  <c r="I47" i="24"/>
  <c r="I48" i="24"/>
  <c r="Z38" i="48"/>
  <c r="I47" i="4"/>
  <c r="I48" i="4"/>
  <c r="AR40" i="45"/>
  <c r="AR42" i="45" s="1"/>
  <c r="F40" i="45"/>
  <c r="G40" i="45"/>
  <c r="Z31" i="48"/>
  <c r="I47" i="11"/>
  <c r="I48" i="11"/>
  <c r="Z24" i="48"/>
  <c r="I47" i="18"/>
  <c r="I48" i="18"/>
  <c r="I47" i="27"/>
  <c r="Z14" i="48"/>
  <c r="I48" i="27"/>
  <c r="I46" i="33"/>
  <c r="AS8" i="45"/>
  <c r="AT8" i="45"/>
  <c r="Z33" i="48"/>
  <c r="I47" i="9"/>
  <c r="I48" i="9"/>
  <c r="Z36" i="48"/>
  <c r="I48" i="6"/>
  <c r="I47" i="6"/>
  <c r="I47" i="21"/>
  <c r="Z20" i="48"/>
  <c r="I48" i="21"/>
  <c r="I47" i="14"/>
  <c r="Z28" i="48"/>
  <c r="I48" i="14"/>
  <c r="I47" i="37"/>
  <c r="Z37" i="48"/>
  <c r="I48" i="37"/>
  <c r="I47" i="16"/>
  <c r="Z26" i="48"/>
  <c r="I48" i="16"/>
  <c r="I47" i="15"/>
  <c r="Z27" i="48"/>
  <c r="I48" i="15"/>
  <c r="I47" i="17"/>
  <c r="Z25" i="48"/>
  <c r="I48" i="17"/>
  <c r="Z35" i="48"/>
  <c r="I47" i="7"/>
  <c r="I48" i="7"/>
  <c r="I47" i="10"/>
  <c r="I48" i="10"/>
  <c r="Z32" i="48"/>
  <c r="I47" i="31"/>
  <c r="Z11" i="48"/>
  <c r="I48" i="31"/>
  <c r="I47" i="29"/>
  <c r="Z13" i="48"/>
  <c r="I48" i="29"/>
  <c r="Z10" i="48"/>
  <c r="I47" i="32"/>
  <c r="I48" i="32"/>
  <c r="Z29" i="48"/>
  <c r="I47" i="13"/>
  <c r="I48" i="13"/>
  <c r="Z12" i="48"/>
  <c r="I47" i="30"/>
  <c r="I48" i="30"/>
  <c r="Z17" i="48"/>
  <c r="I47" i="25"/>
  <c r="I48" i="25"/>
  <c r="Z22" i="48"/>
  <c r="I47" i="20"/>
  <c r="I48" i="20"/>
  <c r="AB35" i="48" l="1"/>
  <c r="AD35" i="48"/>
  <c r="J30" i="59" s="1"/>
  <c r="AB33" i="48"/>
  <c r="AD33" i="48"/>
  <c r="J28" i="59" s="1"/>
  <c r="I47" i="43"/>
  <c r="I48" i="43"/>
  <c r="Z39" i="48"/>
  <c r="AS40" i="45"/>
  <c r="AT40" i="45"/>
  <c r="AB18" i="48"/>
  <c r="AD18" i="48"/>
  <c r="J13" i="59" s="1"/>
  <c r="AB10" i="48"/>
  <c r="AD10" i="48"/>
  <c r="J5" i="59" s="1"/>
  <c r="AB32" i="48"/>
  <c r="AD32" i="48"/>
  <c r="J27" i="59" s="1"/>
  <c r="AB24" i="48"/>
  <c r="AD24" i="48"/>
  <c r="J19" i="59" s="1"/>
  <c r="AB25" i="48"/>
  <c r="AD25" i="48"/>
  <c r="J20" i="59" s="1"/>
  <c r="AB26" i="48"/>
  <c r="AD26" i="48"/>
  <c r="J21" i="59" s="1"/>
  <c r="AB28" i="48"/>
  <c r="AD28" i="48"/>
  <c r="J23" i="59" s="1"/>
  <c r="J46" i="33"/>
  <c r="I47" i="33"/>
  <c r="Z9" i="48"/>
  <c r="I48" i="33"/>
  <c r="AB16" i="48"/>
  <c r="AD16" i="48"/>
  <c r="J11" i="59" s="1"/>
  <c r="AB13" i="48"/>
  <c r="AD13" i="48"/>
  <c r="J8" i="59" s="1"/>
  <c r="AB36" i="48"/>
  <c r="AD36" i="48"/>
  <c r="J31" i="59" s="1"/>
  <c r="AB30" i="48"/>
  <c r="AD30" i="48"/>
  <c r="J25" i="59" s="1"/>
  <c r="AB19" i="48"/>
  <c r="AD19" i="48"/>
  <c r="J14" i="59" s="1"/>
  <c r="AB14" i="48"/>
  <c r="AD14" i="48"/>
  <c r="J9" i="59" s="1"/>
  <c r="AB38" i="48"/>
  <c r="AD38" i="48"/>
  <c r="J33" i="59" s="1"/>
  <c r="AB23" i="48"/>
  <c r="AD23" i="48"/>
  <c r="J18" i="59" s="1"/>
  <c r="AD34" i="48"/>
  <c r="J29" i="59" s="1"/>
  <c r="AB34" i="48"/>
  <c r="AB22" i="48"/>
  <c r="AD22" i="48"/>
  <c r="J17" i="59" s="1"/>
  <c r="AB31" i="48"/>
  <c r="AD31" i="48"/>
  <c r="J26" i="59" s="1"/>
  <c r="AB12" i="48"/>
  <c r="AD12" i="48"/>
  <c r="J7" i="59" s="1"/>
  <c r="AB17" i="48"/>
  <c r="AD17" i="48"/>
  <c r="J12" i="59" s="1"/>
  <c r="AB29" i="48"/>
  <c r="AD29" i="48"/>
  <c r="J24" i="59" s="1"/>
  <c r="AB11" i="48"/>
  <c r="AD11" i="48"/>
  <c r="J6" i="59" s="1"/>
  <c r="AB27" i="48"/>
  <c r="AD27" i="48"/>
  <c r="J22" i="59" s="1"/>
  <c r="AB37" i="48"/>
  <c r="AD37" i="48"/>
  <c r="J32" i="59" s="1"/>
  <c r="AB20" i="48"/>
  <c r="AD20" i="48"/>
  <c r="J15" i="59" s="1"/>
  <c r="AB15" i="48"/>
  <c r="AD15" i="48"/>
  <c r="J10" i="59" s="1"/>
  <c r="AD21" i="48"/>
  <c r="J16" i="59" s="1"/>
  <c r="AB21" i="48"/>
  <c r="AB39" i="48" l="1"/>
  <c r="AD39" i="48"/>
  <c r="AA9" i="48"/>
  <c r="Z41" i="48"/>
  <c r="AD9" i="48"/>
  <c r="J4" i="59" s="1"/>
  <c r="AB9" i="48"/>
  <c r="J46" i="32"/>
  <c r="J47" i="33"/>
  <c r="J48" i="33"/>
  <c r="J46" i="31" l="1"/>
  <c r="J47" i="32"/>
  <c r="J48" i="32"/>
  <c r="AB41" i="48"/>
  <c r="AD41" i="48"/>
  <c r="AE9" i="48"/>
  <c r="K4" i="59" s="1"/>
  <c r="AC9" i="48"/>
  <c r="AA10" i="48"/>
  <c r="AA11" i="48" l="1"/>
  <c r="AE10" i="48"/>
  <c r="K5" i="59" s="1"/>
  <c r="AC10" i="48"/>
  <c r="J47" i="31"/>
  <c r="J48" i="31"/>
  <c r="J46" i="30"/>
  <c r="J46" i="29" l="1"/>
  <c r="J47" i="30"/>
  <c r="J48" i="30"/>
  <c r="AA12" i="48"/>
  <c r="AC11" i="48"/>
  <c r="AE11" i="48"/>
  <c r="K6" i="59" s="1"/>
  <c r="AA13" i="48" l="1"/>
  <c r="AC12" i="48"/>
  <c r="AE12" i="48"/>
  <c r="K7" i="59" s="1"/>
  <c r="J46" i="27"/>
  <c r="J47" i="29"/>
  <c r="J48" i="29"/>
  <c r="J47" i="27" l="1"/>
  <c r="J48" i="27"/>
  <c r="J46" i="28"/>
  <c r="AA14" i="48"/>
  <c r="AC13" i="48"/>
  <c r="AE13" i="48"/>
  <c r="K8" i="59" s="1"/>
  <c r="J46" i="26" l="1"/>
  <c r="J47" i="28"/>
  <c r="J48" i="28"/>
  <c r="AA15" i="48"/>
  <c r="AC14" i="48"/>
  <c r="AE14" i="48"/>
  <c r="K9" i="59" s="1"/>
  <c r="AA16" i="48" l="1"/>
  <c r="AC15" i="48"/>
  <c r="AE15" i="48"/>
  <c r="K10" i="59" s="1"/>
  <c r="J47" i="26"/>
  <c r="J48" i="26"/>
  <c r="J46" i="25"/>
  <c r="J47" i="25" l="1"/>
  <c r="J48" i="25"/>
  <c r="J46" i="24"/>
  <c r="AA17" i="48"/>
  <c r="AC16" i="48"/>
  <c r="AE16" i="48"/>
  <c r="K11" i="59" s="1"/>
  <c r="J47" i="24" l="1"/>
  <c r="J48" i="24"/>
  <c r="J46" i="23"/>
  <c r="AA18" i="48"/>
  <c r="AC17" i="48"/>
  <c r="AE17" i="48"/>
  <c r="K12" i="59" s="1"/>
  <c r="AA19" i="48" l="1"/>
  <c r="AC18" i="48"/>
  <c r="AE18" i="48"/>
  <c r="K13" i="59" s="1"/>
  <c r="J47" i="23"/>
  <c r="J48" i="23"/>
  <c r="J46" i="21"/>
  <c r="J47" i="21" l="1"/>
  <c r="J48" i="21"/>
  <c r="J46" i="22"/>
  <c r="AA20" i="48"/>
  <c r="AC19" i="48"/>
  <c r="AE19" i="48"/>
  <c r="K14" i="59" s="1"/>
  <c r="AA21" i="48" l="1"/>
  <c r="AC20" i="48"/>
  <c r="AE20" i="48"/>
  <c r="K15" i="59" s="1"/>
  <c r="J47" i="22"/>
  <c r="J48" i="22"/>
  <c r="J46" i="20"/>
  <c r="J47" i="20" l="1"/>
  <c r="J48" i="20"/>
  <c r="J46" i="19"/>
  <c r="AA22" i="48"/>
  <c r="AC21" i="48"/>
  <c r="AE21" i="48"/>
  <c r="K16" i="59" s="1"/>
  <c r="AA23" i="48" l="1"/>
  <c r="AC22" i="48"/>
  <c r="AE22" i="48"/>
  <c r="K17" i="59" s="1"/>
  <c r="J47" i="19"/>
  <c r="J48" i="19"/>
  <c r="J46" i="18"/>
  <c r="J47" i="18" l="1"/>
  <c r="J48" i="18"/>
  <c r="J46" i="17"/>
  <c r="AA24" i="48"/>
  <c r="AC23" i="48"/>
  <c r="AE23" i="48"/>
  <c r="K18" i="59" s="1"/>
  <c r="AA25" i="48" l="1"/>
  <c r="AC24" i="48"/>
  <c r="AE24" i="48"/>
  <c r="K19" i="59" s="1"/>
  <c r="J47" i="17"/>
  <c r="J48" i="17"/>
  <c r="J46" i="16"/>
  <c r="J47" i="16" l="1"/>
  <c r="J48" i="16"/>
  <c r="J46" i="15"/>
  <c r="AA26" i="48"/>
  <c r="AC25" i="48"/>
  <c r="AE25" i="48"/>
  <c r="K20" i="59" s="1"/>
  <c r="AA27" i="48" l="1"/>
  <c r="AC26" i="48"/>
  <c r="AE26" i="48"/>
  <c r="K21" i="59" s="1"/>
  <c r="J47" i="15"/>
  <c r="J48" i="15"/>
  <c r="J46" i="14"/>
  <c r="J47" i="14" l="1"/>
  <c r="J48" i="14"/>
  <c r="J46" i="13"/>
  <c r="AA28" i="48"/>
  <c r="AC27" i="48"/>
  <c r="AE27" i="48"/>
  <c r="K22" i="59" s="1"/>
  <c r="AA29" i="48" l="1"/>
  <c r="AC28" i="48"/>
  <c r="AE28" i="48"/>
  <c r="K23" i="59" s="1"/>
  <c r="J47" i="13"/>
  <c r="J48" i="13"/>
  <c r="J46" i="12"/>
  <c r="J47" i="12" l="1"/>
  <c r="J48" i="12"/>
  <c r="J46" i="11"/>
  <c r="AA30" i="48"/>
  <c r="AC29" i="48"/>
  <c r="AE29" i="48"/>
  <c r="K24" i="59" s="1"/>
  <c r="AA31" i="48" l="1"/>
  <c r="AC30" i="48"/>
  <c r="AE30" i="48"/>
  <c r="K25" i="59" s="1"/>
  <c r="J47" i="11"/>
  <c r="J48" i="11"/>
  <c r="J46" i="10"/>
  <c r="J47" i="10" l="1"/>
  <c r="J48" i="10"/>
  <c r="J46" i="9"/>
  <c r="AA32" i="48"/>
  <c r="AC31" i="48"/>
  <c r="AE31" i="48"/>
  <c r="K26" i="59" s="1"/>
  <c r="AA33" i="48" l="1"/>
  <c r="AC32" i="48"/>
  <c r="AE32" i="48"/>
  <c r="K27" i="59" s="1"/>
  <c r="J47" i="9"/>
  <c r="J48" i="9"/>
  <c r="J46" i="8"/>
  <c r="J47" i="8" l="1"/>
  <c r="J48" i="8"/>
  <c r="J46" i="7"/>
  <c r="AA34" i="48"/>
  <c r="AC33" i="48"/>
  <c r="AE33" i="48"/>
  <c r="K28" i="59" s="1"/>
  <c r="AA35" i="48" l="1"/>
  <c r="AC34" i="48"/>
  <c r="AE34" i="48"/>
  <c r="K29" i="59" s="1"/>
  <c r="J47" i="7"/>
  <c r="J48" i="7"/>
  <c r="J46" i="6"/>
  <c r="J47" i="6" l="1"/>
  <c r="J48" i="6"/>
  <c r="J46" i="37"/>
  <c r="AA36" i="48"/>
  <c r="AC35" i="48"/>
  <c r="AE35" i="48"/>
  <c r="K30" i="59" s="1"/>
  <c r="AA37" i="48" l="1"/>
  <c r="AC36" i="48"/>
  <c r="AE36" i="48"/>
  <c r="K31" i="59" s="1"/>
  <c r="J47" i="37"/>
  <c r="J48" i="37"/>
  <c r="J46" i="4"/>
  <c r="J47" i="4" l="1"/>
  <c r="J48" i="4"/>
  <c r="J46" i="43"/>
  <c r="AA38" i="48"/>
  <c r="AC37" i="48"/>
  <c r="AE37" i="48"/>
  <c r="K32" i="59" s="1"/>
  <c r="AA39" i="48" l="1"/>
  <c r="AC38" i="48"/>
  <c r="AE38" i="48"/>
  <c r="K33" i="59" s="1"/>
  <c r="J37" i="59" s="1"/>
  <c r="J47" i="43"/>
  <c r="J48" i="43"/>
  <c r="AC39" i="48" l="1"/>
  <c r="AE39" i="48"/>
  <c r="CC41" i="1" l="1"/>
  <c r="CD18" i="1"/>
  <c r="CE18" i="1"/>
  <c r="CD41" i="1" l="1"/>
  <c r="CE41" i="1"/>
  <c r="BY27" i="1" l="1"/>
  <c r="KT27" i="1"/>
  <c r="BX27" i="1"/>
  <c r="BW41" i="1"/>
  <c r="BX41" i="1" l="1"/>
  <c r="BY41" i="1"/>
  <c r="BJ6" i="59" l="1"/>
  <c r="BL6" i="59" l="1"/>
  <c r="BK6" i="59" l="1"/>
  <c r="BM6" i="59"/>
  <c r="BK7" i="59" l="1"/>
  <c r="BM7" i="59"/>
  <c r="BJ8" i="59" l="1"/>
  <c r="BL8" i="59" l="1"/>
  <c r="BK8" i="59" l="1"/>
  <c r="BM8" i="59" l="1"/>
  <c r="BJ9" i="59" l="1"/>
  <c r="BL9" i="59" l="1"/>
  <c r="BK9" i="59" l="1"/>
  <c r="BM9" i="59" l="1"/>
  <c r="BJ10" i="59" l="1"/>
  <c r="BL10" i="59"/>
  <c r="BK10" i="59" l="1"/>
  <c r="BM10" i="59" l="1"/>
  <c r="BK11" i="59"/>
  <c r="BK12" i="59" l="1"/>
  <c r="BM11" i="59"/>
  <c r="BM12" i="59" l="1"/>
  <c r="P12" i="59" l="1"/>
  <c r="T12" i="59" l="1"/>
  <c r="P11" i="59"/>
  <c r="T11" i="59" l="1"/>
  <c r="S11" i="59" l="1"/>
  <c r="Q12" i="59" l="1"/>
  <c r="Q11" i="59"/>
  <c r="U11" i="59"/>
  <c r="U12" i="59"/>
  <c r="S12" i="59"/>
  <c r="Q13" i="59"/>
  <c r="Q14" i="59" l="1"/>
  <c r="U13" i="59"/>
  <c r="S13" i="59"/>
  <c r="U14" i="59" l="1"/>
  <c r="S14" i="59"/>
  <c r="Q15" i="59"/>
  <c r="U15" i="59" l="1"/>
  <c r="Q16" i="59"/>
  <c r="S15" i="59"/>
  <c r="S16" i="59" l="1"/>
  <c r="U16" i="59"/>
  <c r="Q17" i="59"/>
  <c r="U17" i="59" l="1"/>
  <c r="Q18" i="59"/>
  <c r="S17" i="59"/>
  <c r="Q19" i="59" l="1"/>
  <c r="U18" i="59"/>
  <c r="S18" i="59"/>
  <c r="S19" i="59" l="1"/>
  <c r="Q20" i="59"/>
  <c r="U19" i="59"/>
  <c r="Q21" i="59" l="1"/>
  <c r="U20" i="59"/>
  <c r="S20" i="59"/>
  <c r="U21" i="59" l="1"/>
  <c r="S21" i="59"/>
  <c r="Q22" i="59"/>
  <c r="S22" i="59" l="1"/>
  <c r="U22" i="59"/>
  <c r="BJ13" i="59" l="1"/>
  <c r="BL13" i="59"/>
  <c r="BK13" i="59" l="1"/>
  <c r="BM13" i="59" l="1"/>
  <c r="KV18" i="1" l="1"/>
  <c r="AL18" i="1"/>
  <c r="KT18" i="1" s="1"/>
  <c r="AJ41" i="1"/>
  <c r="KV41" i="1" s="1"/>
  <c r="AK18" i="1"/>
  <c r="AK41" i="1" l="1"/>
  <c r="AL41" i="1"/>
  <c r="KT41" i="1" s="1"/>
  <c r="BJ14" i="59" l="1"/>
  <c r="BL14" i="59" l="1"/>
  <c r="BK14" i="59" l="1"/>
  <c r="BM14" i="59" l="1"/>
  <c r="BJ15" i="59" l="1"/>
  <c r="BL15" i="59" l="1"/>
  <c r="BK15" i="59" l="1"/>
  <c r="BK16" i="59" l="1"/>
  <c r="BM15" i="59"/>
  <c r="BM16" i="59" l="1"/>
  <c r="BJ17" i="59" l="1"/>
  <c r="BL17" i="59"/>
  <c r="BK17" i="59" l="1"/>
  <c r="BM17" i="59" l="1"/>
  <c r="BJ18" i="59" l="1"/>
  <c r="BJ19" i="59"/>
  <c r="BL18" i="59" l="1"/>
  <c r="BL19" i="59"/>
  <c r="BK18" i="59" l="1"/>
  <c r="BK19" i="59" l="1"/>
  <c r="BM18" i="59"/>
  <c r="BM19" i="59" l="1"/>
  <c r="BJ20" i="59" l="1"/>
  <c r="BL20" i="59"/>
  <c r="BK20" i="59" l="1"/>
  <c r="BK21" i="59" l="1"/>
  <c r="BM20" i="59"/>
  <c r="BM21" i="59" l="1"/>
  <c r="BJ22" i="59" l="1"/>
  <c r="BL22" i="59" l="1"/>
  <c r="BK22" i="59" l="1"/>
  <c r="BM22" i="59" l="1"/>
  <c r="BK23" i="59"/>
  <c r="BM23" i="59" l="1"/>
  <c r="N12" i="59" l="1"/>
  <c r="L12" i="59"/>
  <c r="P23" i="59"/>
  <c r="N23" i="59" l="1"/>
  <c r="L20" i="59"/>
  <c r="N10" i="59"/>
  <c r="L10" i="59"/>
  <c r="N20" i="59"/>
  <c r="N21" i="59"/>
  <c r="N19" i="59"/>
  <c r="N11" i="59"/>
  <c r="N16" i="59"/>
  <c r="N17" i="59"/>
  <c r="N22" i="59"/>
  <c r="N15" i="59"/>
  <c r="N13" i="59"/>
  <c r="N14" i="59"/>
  <c r="N18" i="59"/>
  <c r="L23" i="59"/>
  <c r="R23" i="59"/>
  <c r="T23" i="59"/>
  <c r="L22" i="59"/>
  <c r="L21" i="59"/>
  <c r="L19" i="59"/>
  <c r="L18" i="59"/>
  <c r="L17" i="59"/>
  <c r="L16" i="59"/>
  <c r="L15" i="59"/>
  <c r="L14" i="59"/>
  <c r="L13" i="59"/>
  <c r="L11" i="59"/>
  <c r="N4" i="59" l="1"/>
  <c r="L4" i="59"/>
  <c r="L9" i="59"/>
  <c r="N9" i="59"/>
  <c r="L8" i="59"/>
  <c r="N8" i="59"/>
  <c r="L7" i="59" l="1"/>
  <c r="N7" i="59"/>
  <c r="O4" i="59"/>
  <c r="M4" i="59"/>
  <c r="N5" i="59" l="1"/>
  <c r="N6" i="59"/>
  <c r="L6" i="59"/>
  <c r="O5" i="59" l="1"/>
  <c r="O6" i="59" l="1"/>
  <c r="O7" i="59" l="1"/>
  <c r="O8" i="59" l="1"/>
  <c r="O9" i="59" l="1"/>
  <c r="O10" i="59" l="1"/>
  <c r="O11" i="59" l="1"/>
  <c r="O12" i="59"/>
  <c r="O13" i="59" l="1"/>
  <c r="O14" i="59" l="1"/>
  <c r="O15" i="59" l="1"/>
  <c r="O16" i="59" l="1"/>
  <c r="O17" i="59" l="1"/>
  <c r="O18" i="59" l="1"/>
  <c r="O19" i="59" l="1"/>
  <c r="O20" i="59" l="1"/>
  <c r="O21" i="59" l="1"/>
  <c r="O22" i="59" l="1"/>
  <c r="Q23" i="59"/>
  <c r="O23" i="59" l="1"/>
  <c r="U23" i="59"/>
  <c r="Q24" i="59"/>
  <c r="S23" i="59"/>
  <c r="O24" i="59" l="1"/>
  <c r="Q25" i="59"/>
  <c r="S24" i="59"/>
  <c r="U24" i="59"/>
  <c r="S25" i="59" l="1"/>
  <c r="O25" i="59"/>
  <c r="Q26" i="59"/>
  <c r="U25" i="59"/>
  <c r="U26" i="59" l="1"/>
  <c r="S26" i="59"/>
  <c r="Q27" i="59"/>
  <c r="O26" i="59"/>
  <c r="Q28" i="59" l="1"/>
  <c r="S27" i="59"/>
  <c r="U27" i="59"/>
  <c r="O27" i="59"/>
  <c r="S28" i="59" l="1"/>
  <c r="O28" i="59"/>
  <c r="Q29" i="59"/>
  <c r="U28" i="59"/>
  <c r="U29" i="59" l="1"/>
  <c r="S29" i="59"/>
  <c r="O29" i="59"/>
  <c r="Q30" i="59"/>
  <c r="U30" i="59" l="1"/>
  <c r="Q31" i="59"/>
  <c r="S30" i="59"/>
  <c r="O30" i="59"/>
  <c r="Q32" i="59" l="1"/>
  <c r="O31" i="59"/>
  <c r="U31" i="59"/>
  <c r="S31" i="59"/>
  <c r="O32" i="59" l="1"/>
  <c r="U32" i="59"/>
  <c r="Q33" i="59"/>
  <c r="P37" i="59" s="1"/>
  <c r="S32" i="59"/>
  <c r="S33" i="59" l="1"/>
  <c r="R37" i="59" s="1"/>
  <c r="O33" i="59"/>
  <c r="N37" i="59" s="1"/>
  <c r="U33" i="59"/>
  <c r="T37" i="59" s="1"/>
  <c r="L5" i="59" l="1"/>
  <c r="M5" i="59" l="1"/>
  <c r="M6" i="59" l="1"/>
  <c r="M7" i="59" l="1"/>
  <c r="M8" i="59" l="1"/>
  <c r="M9" i="59" l="1"/>
  <c r="M10" i="59" l="1"/>
  <c r="M11" i="59" l="1"/>
  <c r="M12" i="59" l="1"/>
  <c r="M13" i="59" l="1"/>
  <c r="M14" i="59" l="1"/>
  <c r="M15" i="59" l="1"/>
  <c r="M16" i="59" l="1"/>
  <c r="M17" i="59" l="1"/>
  <c r="M18" i="59" l="1"/>
  <c r="M19" i="59" l="1"/>
  <c r="M20" i="59" l="1"/>
  <c r="M21" i="59" l="1"/>
  <c r="M22" i="59" l="1"/>
  <c r="M23" i="59" l="1"/>
  <c r="M24" i="59" l="1"/>
  <c r="M25" i="59" l="1"/>
  <c r="M26" i="59" l="1"/>
  <c r="M27" i="59" l="1"/>
  <c r="M28" i="59" l="1"/>
  <c r="M29" i="59" l="1"/>
  <c r="M30" i="59" l="1"/>
  <c r="M31" i="59" l="1"/>
  <c r="M32" i="59" l="1"/>
  <c r="M33" i="59" l="1"/>
  <c r="L37" i="59" s="1"/>
  <c r="BJ24" i="59" l="1"/>
  <c r="BK24" i="59" l="1"/>
  <c r="AP24" i="59" l="1"/>
  <c r="AQ24" i="59" l="1"/>
  <c r="AQ25" i="59" l="1"/>
  <c r="AQ26" i="59" l="1"/>
  <c r="AQ27" i="59" l="1"/>
  <c r="AQ28" i="59" l="1"/>
  <c r="AQ29" i="59" l="1"/>
  <c r="AQ31" i="59" l="1"/>
  <c r="AQ30" i="59"/>
  <c r="AQ32" i="59" l="1"/>
  <c r="AQ33" i="59"/>
  <c r="AP37" i="59" s="1"/>
  <c r="BV24" i="59" l="1"/>
  <c r="BW24" i="59" l="1"/>
  <c r="BW25" i="59" l="1"/>
  <c r="BW26" i="59" l="1"/>
  <c r="BW27" i="59" l="1"/>
  <c r="BW28" i="59" l="1"/>
  <c r="BW29" i="59" l="1"/>
  <c r="BW30" i="59" l="1"/>
  <c r="BW31" i="59" l="1"/>
  <c r="BW32" i="59" l="1"/>
  <c r="BW33" i="59" l="1"/>
  <c r="BV37" i="59" s="1"/>
  <c r="BJ25" i="59" l="1"/>
  <c r="BL24" i="59" l="1"/>
  <c r="BJ26" i="59" l="1"/>
  <c r="BK25" i="59" l="1"/>
  <c r="BM24" i="59"/>
  <c r="BM25" i="59" l="1"/>
  <c r="BK26" i="59"/>
  <c r="BK27" i="59" l="1"/>
  <c r="BM26" i="59"/>
  <c r="BM27" i="59" l="1"/>
  <c r="AB16" i="59" l="1"/>
  <c r="AB19" i="59"/>
  <c r="AB4" i="59" l="1"/>
  <c r="AB15" i="59"/>
  <c r="AB17" i="59"/>
  <c r="AC4" i="59"/>
  <c r="AB13" i="59" l="1"/>
  <c r="AB20" i="59"/>
  <c r="AB24" i="59" l="1"/>
  <c r="AB25" i="59"/>
  <c r="AB26" i="59"/>
  <c r="AB22" i="59"/>
  <c r="AB18" i="59"/>
  <c r="AB21" i="59"/>
  <c r="AB23" i="59"/>
  <c r="AB14" i="59"/>
  <c r="AB12" i="59"/>
  <c r="AB11" i="59"/>
  <c r="AB10" i="59"/>
  <c r="AB8" i="59"/>
  <c r="AB7" i="59"/>
  <c r="AB6" i="59"/>
  <c r="AB5" i="59" l="1"/>
  <c r="AC5" i="59"/>
  <c r="AB9" i="59"/>
  <c r="AC6" i="59" l="1"/>
  <c r="AC7" i="59" l="1"/>
  <c r="AC8" i="59" l="1"/>
  <c r="AC9" i="59" l="1"/>
  <c r="AC10" i="59" l="1"/>
  <c r="AC11" i="59" l="1"/>
  <c r="AC12" i="59" l="1"/>
  <c r="AC13" i="59" l="1"/>
  <c r="AC14" i="59" l="1"/>
  <c r="AC15" i="59" l="1"/>
  <c r="AC16" i="59" l="1"/>
  <c r="AC17" i="59" l="1"/>
  <c r="AC18" i="59" l="1"/>
  <c r="AC19" i="59" l="1"/>
  <c r="AC20" i="59" l="1"/>
  <c r="AC21" i="59" l="1"/>
  <c r="AC22" i="59" l="1"/>
  <c r="AC23" i="59" l="1"/>
  <c r="AC24" i="59" l="1"/>
  <c r="AC25" i="59" l="1"/>
  <c r="AC26" i="59" l="1"/>
  <c r="AC27" i="59" l="1"/>
  <c r="AC28" i="59" l="1"/>
  <c r="AC29" i="59" l="1"/>
  <c r="AC30" i="59" l="1"/>
  <c r="AC31" i="59" l="1"/>
  <c r="AC32" i="59" l="1"/>
  <c r="AC33" i="59" l="1"/>
  <c r="AB37" i="59" s="1"/>
  <c r="BH7" i="59" l="1"/>
  <c r="BF7" i="59" l="1"/>
  <c r="BJ28" i="59" l="1"/>
  <c r="BH25" i="59"/>
  <c r="BF25" i="59"/>
  <c r="BH12" i="59"/>
  <c r="BH14" i="59"/>
  <c r="BH16" i="59"/>
  <c r="BF12" i="59"/>
  <c r="BF14" i="59"/>
  <c r="BH28" i="59" l="1"/>
  <c r="BH20" i="59"/>
  <c r="BH17" i="59"/>
  <c r="BH13" i="59"/>
  <c r="BH10" i="59"/>
  <c r="BF28" i="59"/>
  <c r="BF13" i="59"/>
  <c r="BF20" i="59"/>
  <c r="BF11" i="59"/>
  <c r="BF10" i="59"/>
  <c r="BH11" i="59"/>
  <c r="BF9" i="59"/>
  <c r="BH9" i="59"/>
  <c r="BH22" i="59"/>
  <c r="BH23" i="59"/>
  <c r="BH19" i="59"/>
  <c r="BH15" i="59"/>
  <c r="BH21" i="59"/>
  <c r="BH18" i="59"/>
  <c r="BH8" i="59"/>
  <c r="BH24" i="59"/>
  <c r="BF17" i="59"/>
  <c r="BF16" i="59"/>
  <c r="BF24" i="59"/>
  <c r="BF15" i="59"/>
  <c r="BF18" i="59"/>
  <c r="BF19" i="59"/>
  <c r="BF22" i="59"/>
  <c r="BF21" i="59"/>
  <c r="BF8" i="59"/>
  <c r="BF23" i="59"/>
  <c r="BH26" i="59" l="1"/>
  <c r="BF26" i="59"/>
  <c r="BH6" i="59" l="1"/>
  <c r="BH4" i="59"/>
  <c r="BH5" i="59"/>
  <c r="BF6" i="59"/>
  <c r="BF4" i="59" l="1"/>
  <c r="BI4" i="59"/>
  <c r="BF5" i="59"/>
  <c r="BI5" i="59" l="1"/>
  <c r="BG4" i="59"/>
  <c r="BG5" i="59" l="1"/>
  <c r="BI6" i="59" l="1"/>
  <c r="BG6" i="59"/>
  <c r="BI7" i="59" l="1"/>
  <c r="BI8" i="59"/>
  <c r="BG7" i="59"/>
  <c r="BG8" i="59"/>
  <c r="BI9" i="59" l="1"/>
  <c r="BG9" i="59"/>
  <c r="BI10" i="59" l="1"/>
  <c r="BG10" i="59"/>
  <c r="BI11" i="59" l="1"/>
  <c r="BG11" i="59"/>
  <c r="BI12" i="59" l="1"/>
  <c r="BG12" i="59"/>
  <c r="BI13" i="59" l="1"/>
  <c r="BG13" i="59"/>
  <c r="BI14" i="59" l="1"/>
  <c r="BG14" i="59"/>
  <c r="BI15" i="59" l="1"/>
  <c r="BG15" i="59"/>
  <c r="BI16" i="59" l="1"/>
  <c r="BG16" i="59"/>
  <c r="BI17" i="59" l="1"/>
  <c r="BG17" i="59"/>
  <c r="BI18" i="59" l="1"/>
  <c r="BG18" i="59"/>
  <c r="BI19" i="59" l="1"/>
  <c r="BG19" i="59"/>
  <c r="BI20" i="59" l="1"/>
  <c r="BG20" i="59"/>
  <c r="BI21" i="59" l="1"/>
  <c r="BG21" i="59"/>
  <c r="BI22" i="59" l="1"/>
  <c r="BG22" i="59"/>
  <c r="BI23" i="59" l="1"/>
  <c r="BG23" i="59"/>
  <c r="BI24" i="59" l="1"/>
  <c r="BG24" i="59"/>
  <c r="BI25" i="59" l="1"/>
  <c r="BG25" i="59"/>
  <c r="BI26" i="59" l="1"/>
  <c r="BG26" i="59"/>
  <c r="BH27" i="59" l="1"/>
  <c r="BF27" i="59"/>
  <c r="BI27" i="59" l="1"/>
  <c r="BK28" i="59"/>
  <c r="BG27" i="59"/>
  <c r="BG28" i="59" l="1"/>
  <c r="BM28" i="59"/>
  <c r="BK29" i="59"/>
  <c r="BI28" i="59"/>
  <c r="BM29" i="59" l="1"/>
  <c r="BI29" i="59"/>
  <c r="BK30" i="59"/>
  <c r="BD33" i="59" l="1"/>
  <c r="BB33" i="59"/>
  <c r="BD12" i="59"/>
  <c r="AZ33" i="59"/>
  <c r="BD20" i="59" l="1"/>
  <c r="AZ12" i="59"/>
  <c r="BB12" i="59"/>
  <c r="BD24" i="59"/>
  <c r="BD10" i="59"/>
  <c r="BD27" i="59"/>
  <c r="BD23" i="59"/>
  <c r="BD25" i="59"/>
  <c r="BD30" i="59"/>
  <c r="BD29" i="59"/>
  <c r="BD22" i="59"/>
  <c r="BD21" i="59"/>
  <c r="BD19" i="59"/>
  <c r="BD18" i="59"/>
  <c r="BD17" i="59"/>
  <c r="BD16" i="59"/>
  <c r="BD15" i="59"/>
  <c r="BD14" i="59"/>
  <c r="BD13" i="59"/>
  <c r="BD11" i="59"/>
  <c r="AZ28" i="59" l="1"/>
  <c r="BB28" i="59"/>
  <c r="AZ32" i="59"/>
  <c r="BD7" i="59"/>
  <c r="BD28" i="59"/>
  <c r="BD32" i="59"/>
  <c r="BB32" i="59"/>
  <c r="AZ24" i="59"/>
  <c r="BB24" i="59"/>
  <c r="BD31" i="59"/>
  <c r="AZ27" i="59"/>
  <c r="BB10" i="59"/>
  <c r="AZ10" i="59"/>
  <c r="BB27" i="59"/>
  <c r="BB7" i="59"/>
  <c r="AZ7" i="59"/>
  <c r="BB20" i="59"/>
  <c r="AZ20" i="59"/>
  <c r="BD9" i="59"/>
  <c r="AZ23" i="59"/>
  <c r="BD8" i="59"/>
  <c r="BB23" i="59"/>
  <c r="BB25" i="59"/>
  <c r="AZ25" i="59"/>
  <c r="BD4" i="59"/>
  <c r="BB30" i="59"/>
  <c r="AZ30" i="59"/>
  <c r="BB29" i="59"/>
  <c r="AZ29" i="59"/>
  <c r="BB22" i="59"/>
  <c r="AZ22" i="59"/>
  <c r="BB21" i="59"/>
  <c r="AZ21" i="59"/>
  <c r="BB19" i="59"/>
  <c r="AZ19" i="59"/>
  <c r="AZ18" i="59"/>
  <c r="BB18" i="59"/>
  <c r="BB17" i="59"/>
  <c r="AZ17" i="59"/>
  <c r="BB16" i="59"/>
  <c r="AZ16" i="59"/>
  <c r="BB15" i="59"/>
  <c r="AZ15" i="59"/>
  <c r="BB14" i="59"/>
  <c r="AZ14" i="59"/>
  <c r="BB13" i="59"/>
  <c r="AZ13" i="59"/>
  <c r="AZ11" i="59"/>
  <c r="BB11" i="59"/>
  <c r="BD5" i="59" l="1"/>
  <c r="BB4" i="59"/>
  <c r="AZ4" i="59"/>
  <c r="AZ31" i="59"/>
  <c r="BB31" i="59"/>
  <c r="BB9" i="59"/>
  <c r="AZ9" i="59"/>
  <c r="AZ8" i="59"/>
  <c r="BB8" i="59"/>
  <c r="BE4" i="59" l="1"/>
  <c r="AZ5" i="59"/>
  <c r="BB5" i="59"/>
  <c r="BC4" i="59"/>
  <c r="BA4" i="59"/>
  <c r="BD26" i="59"/>
  <c r="BD6" i="59"/>
  <c r="AZ26" i="59" l="1"/>
  <c r="BB26" i="59"/>
  <c r="AZ6" i="59"/>
  <c r="BB6" i="59"/>
  <c r="BE5" i="59" l="1"/>
  <c r="BA5" i="59"/>
  <c r="BC5" i="59"/>
  <c r="BE6" i="59" l="1"/>
  <c r="BC6" i="59"/>
  <c r="BA6" i="59"/>
  <c r="BE7" i="59" l="1"/>
  <c r="BA7" i="59"/>
  <c r="BC7" i="59"/>
  <c r="BE8" i="59" l="1"/>
  <c r="BC8" i="59"/>
  <c r="BA8" i="59"/>
  <c r="BE9" i="59" l="1"/>
  <c r="BC9" i="59"/>
  <c r="BA9" i="59"/>
  <c r="BE10" i="59" l="1"/>
  <c r="BA10" i="59"/>
  <c r="BC10" i="59"/>
  <c r="BE12" i="59" l="1"/>
  <c r="BE11" i="59"/>
  <c r="BA11" i="59"/>
  <c r="BC11" i="59"/>
  <c r="BC12" i="59"/>
  <c r="BA12" i="59"/>
  <c r="BE13" i="59" l="1"/>
  <c r="BC13" i="59"/>
  <c r="BA13" i="59"/>
  <c r="BE14" i="59" l="1"/>
  <c r="BC14" i="59"/>
  <c r="BA14" i="59"/>
  <c r="BE15" i="59" l="1"/>
  <c r="BA15" i="59"/>
  <c r="BC15" i="59"/>
  <c r="BE16" i="59" l="1"/>
  <c r="BC16" i="59"/>
  <c r="BA16" i="59"/>
  <c r="BE17" i="59" l="1"/>
  <c r="BA17" i="59"/>
  <c r="BC17" i="59"/>
  <c r="BE18" i="59" l="1"/>
  <c r="BC18" i="59"/>
  <c r="BA18" i="59"/>
  <c r="BE19" i="59" l="1"/>
  <c r="BC19" i="59"/>
  <c r="BA19" i="59"/>
  <c r="BE20" i="59" l="1"/>
  <c r="BC20" i="59"/>
  <c r="BA20" i="59"/>
  <c r="BE21" i="59" l="1"/>
  <c r="BC21" i="59"/>
  <c r="BA21" i="59"/>
  <c r="BE22" i="59" l="1"/>
  <c r="BA22" i="59"/>
  <c r="BC22" i="59"/>
  <c r="BE23" i="59" l="1"/>
  <c r="BC23" i="59"/>
  <c r="BA23" i="59"/>
  <c r="BE24" i="59" l="1"/>
  <c r="BA24" i="59"/>
  <c r="BC24" i="59"/>
  <c r="BE25" i="59" l="1"/>
  <c r="BC25" i="59"/>
  <c r="BA25" i="59"/>
  <c r="BE26" i="59" l="1"/>
  <c r="BC26" i="59"/>
  <c r="BE27" i="59"/>
  <c r="BA26" i="59"/>
  <c r="BE28" i="59" l="1"/>
  <c r="BC27" i="59"/>
  <c r="BA27" i="59"/>
  <c r="BC28" i="59" l="1"/>
  <c r="BA28" i="59"/>
  <c r="BE29" i="59"/>
  <c r="BA29" i="59" l="1"/>
  <c r="BE30" i="59"/>
  <c r="BC29" i="59"/>
  <c r="BE31" i="59" l="1"/>
  <c r="BC30" i="59"/>
  <c r="BA30" i="59"/>
  <c r="BA32" i="59"/>
  <c r="BC31" i="59"/>
  <c r="BA31" i="59"/>
  <c r="BC32" i="59" l="1"/>
  <c r="BE32" i="59"/>
  <c r="BE33" i="59"/>
  <c r="BD37" i="59" s="1"/>
  <c r="BC33" i="59"/>
  <c r="BB37" i="59" s="1"/>
  <c r="BA33" i="59"/>
  <c r="AZ37" i="59" s="1"/>
  <c r="AJ19" i="59" l="1"/>
  <c r="AJ16" i="59"/>
  <c r="AJ27" i="59"/>
  <c r="AJ4" i="59" l="1"/>
  <c r="AJ33" i="59"/>
  <c r="AJ15" i="59"/>
  <c r="AJ31" i="59"/>
  <c r="AJ17" i="59"/>
  <c r="AJ32" i="59" l="1"/>
  <c r="AJ20" i="59"/>
  <c r="AJ29" i="59"/>
  <c r="AJ13" i="59"/>
  <c r="AK4" i="59"/>
  <c r="AJ28" i="59" l="1"/>
  <c r="AJ30" i="59"/>
  <c r="AJ24" i="59"/>
  <c r="AJ25" i="59"/>
  <c r="AJ26" i="59"/>
  <c r="AJ22" i="59"/>
  <c r="AJ18" i="59"/>
  <c r="AJ21" i="59"/>
  <c r="AJ23" i="59"/>
  <c r="AJ14" i="59"/>
  <c r="AJ12" i="59"/>
  <c r="AJ11" i="59"/>
  <c r="AJ10" i="59"/>
  <c r="AJ8" i="59"/>
  <c r="AJ7" i="59"/>
  <c r="AJ6" i="59"/>
  <c r="AJ5" i="59" l="1"/>
  <c r="AJ9" i="59"/>
  <c r="AK5" i="59" l="1"/>
  <c r="AK6" i="59" l="1"/>
  <c r="AK7" i="59" l="1"/>
  <c r="AK8" i="59" l="1"/>
  <c r="AK9" i="59" l="1"/>
  <c r="AK10" i="59" l="1"/>
  <c r="AK11" i="59" l="1"/>
  <c r="AK12" i="59" l="1"/>
  <c r="AK13" i="59" l="1"/>
  <c r="AK14" i="59" l="1"/>
  <c r="AK15" i="59" l="1"/>
  <c r="AK16" i="59" l="1"/>
  <c r="AK17" i="59" l="1"/>
  <c r="AK18" i="59" l="1"/>
  <c r="AK19" i="59" l="1"/>
  <c r="AK20" i="59" l="1"/>
  <c r="AK21" i="59" l="1"/>
  <c r="AK22" i="59" l="1"/>
  <c r="AK23" i="59" l="1"/>
  <c r="AK24" i="59" l="1"/>
  <c r="AK25" i="59" l="1"/>
  <c r="AK26" i="59" l="1"/>
  <c r="AK27" i="59" l="1"/>
  <c r="AK28" i="59" l="1"/>
  <c r="AK29" i="59" l="1"/>
  <c r="AK30" i="59" l="1"/>
  <c r="AK31" i="59" l="1"/>
  <c r="AK32" i="59" l="1"/>
  <c r="AK33" i="59" l="1"/>
  <c r="AJ37" i="59" s="1"/>
  <c r="BF29" i="59" l="1"/>
  <c r="BH30" i="59" l="1"/>
  <c r="BF30" i="59"/>
  <c r="BL30" i="59"/>
  <c r="BG29" i="59" l="1"/>
  <c r="BI30" i="59" l="1"/>
  <c r="BM30" i="59"/>
  <c r="BG30" i="59"/>
  <c r="CF13" i="59" l="1"/>
  <c r="CH13" i="59" l="1"/>
  <c r="CH27" i="59"/>
  <c r="CH14" i="59"/>
  <c r="CF11" i="59"/>
  <c r="CH11" i="59"/>
  <c r="CF29" i="59"/>
  <c r="CF5" i="59"/>
  <c r="CF32" i="59"/>
  <c r="CH5" i="59"/>
  <c r="CH33" i="59"/>
  <c r="CH25" i="59"/>
  <c r="CH20" i="59"/>
  <c r="CH32" i="59"/>
  <c r="CH29" i="59"/>
  <c r="CH24" i="59"/>
  <c r="CH23" i="59"/>
  <c r="CF33" i="59"/>
  <c r="CF25" i="59"/>
  <c r="CF14" i="59"/>
  <c r="CF23" i="59"/>
  <c r="CF20" i="59"/>
  <c r="CF24" i="59"/>
  <c r="CF27" i="59"/>
  <c r="CH30" i="59" l="1"/>
  <c r="CF9" i="59"/>
  <c r="CH9" i="59"/>
  <c r="CF30" i="59"/>
  <c r="CF15" i="59"/>
  <c r="CH15" i="59"/>
  <c r="CF26" i="59"/>
  <c r="CH26" i="59"/>
  <c r="CH28" i="59"/>
  <c r="CF28" i="59"/>
  <c r="CH8" i="59"/>
  <c r="CH17" i="59"/>
  <c r="CF17" i="59"/>
  <c r="CH7" i="59"/>
  <c r="CH10" i="59"/>
  <c r="CF10" i="59"/>
  <c r="CF8" i="59"/>
  <c r="CF7" i="59"/>
  <c r="CH21" i="59"/>
  <c r="CF21" i="59"/>
  <c r="CH19" i="59" l="1"/>
  <c r="CF19" i="59"/>
  <c r="CF22" i="59"/>
  <c r="CH6" i="59"/>
  <c r="CF6" i="59"/>
  <c r="CH18" i="59"/>
  <c r="CF18" i="59"/>
  <c r="CH22" i="59" l="1"/>
  <c r="CH31" i="59"/>
  <c r="CF31" i="59"/>
  <c r="CH4" i="59"/>
  <c r="CF4" i="59"/>
  <c r="CH12" i="59"/>
  <c r="CF12" i="59"/>
  <c r="CH16" i="59"/>
  <c r="CF16" i="59"/>
  <c r="CI4" i="59" l="1"/>
  <c r="CG4" i="59"/>
  <c r="CI5" i="59" l="1"/>
  <c r="CG5" i="59"/>
  <c r="CG6" i="59" l="1"/>
  <c r="CI6" i="59"/>
  <c r="CI7" i="59" l="1"/>
  <c r="CG7" i="59"/>
  <c r="CI8" i="59" l="1"/>
  <c r="CG8" i="59"/>
  <c r="CG9" i="59" l="1"/>
  <c r="CI9" i="59"/>
  <c r="CI10" i="59"/>
  <c r="CG10" i="59"/>
  <c r="CG11" i="59" l="1"/>
  <c r="CI11" i="59"/>
  <c r="CG12" i="59" l="1"/>
  <c r="CI12" i="59"/>
  <c r="CI13" i="59" l="1"/>
  <c r="CG13" i="59"/>
  <c r="CI14" i="59" l="1"/>
  <c r="CG14" i="59"/>
  <c r="CI15" i="59"/>
  <c r="CG15" i="59"/>
  <c r="CI16" i="59" l="1"/>
  <c r="CG16" i="59"/>
  <c r="CI17" i="59" l="1"/>
  <c r="CG17" i="59"/>
  <c r="CI18" i="59" l="1"/>
  <c r="CG18" i="59"/>
  <c r="CI19" i="59" l="1"/>
  <c r="CG19" i="59"/>
  <c r="CI20" i="59" l="1"/>
  <c r="CG20" i="59"/>
  <c r="CI21" i="59" l="1"/>
  <c r="CG21" i="59"/>
  <c r="CI22" i="59" l="1"/>
  <c r="CG22" i="59"/>
  <c r="CI23" i="59" l="1"/>
  <c r="CG23" i="59"/>
  <c r="CI24" i="59" l="1"/>
  <c r="CG24" i="59"/>
  <c r="CI25" i="59" l="1"/>
  <c r="CG25" i="59"/>
  <c r="CI26" i="59" l="1"/>
  <c r="CG26" i="59"/>
  <c r="CI27" i="59" l="1"/>
  <c r="CG27" i="59"/>
  <c r="CI28" i="59" l="1"/>
  <c r="CG28" i="59"/>
  <c r="CI29" i="59" l="1"/>
  <c r="CG29" i="59"/>
  <c r="CI30" i="59" l="1"/>
  <c r="CG30" i="59"/>
  <c r="CI31" i="59" l="1"/>
  <c r="CG31" i="59"/>
  <c r="CI32" i="59" l="1"/>
  <c r="CG32" i="59"/>
  <c r="CI33" i="59" l="1"/>
  <c r="CH37" i="59" s="1"/>
  <c r="CG33" i="59"/>
  <c r="CF37" i="59" s="1"/>
  <c r="BZ4" i="59" l="1"/>
  <c r="BZ5" i="59" l="1"/>
  <c r="BZ8" i="59"/>
  <c r="BZ7" i="59"/>
  <c r="BZ6" i="59"/>
  <c r="CA4" i="59"/>
  <c r="BZ26" i="59" l="1"/>
  <c r="BZ12" i="59"/>
  <c r="BZ14" i="59"/>
  <c r="CA5" i="59"/>
  <c r="BZ20" i="59"/>
  <c r="BZ15" i="59"/>
  <c r="BZ30" i="59"/>
  <c r="BZ11" i="59"/>
  <c r="BZ25" i="59"/>
  <c r="BZ28" i="59"/>
  <c r="BZ24" i="59"/>
  <c r="BZ17" i="59"/>
  <c r="BZ21" i="59"/>
  <c r="BZ10" i="59"/>
  <c r="BZ13" i="59"/>
  <c r="BZ16" i="59"/>
  <c r="BZ23" i="59"/>
  <c r="BZ18" i="59"/>
  <c r="BZ27" i="59"/>
  <c r="BZ9" i="59"/>
  <c r="BZ19" i="59"/>
  <c r="BZ29" i="59"/>
  <c r="BZ22" i="59"/>
  <c r="CA6" i="59" l="1"/>
  <c r="CA7" i="59" l="1"/>
  <c r="CA8" i="59" l="1"/>
  <c r="CA9" i="59" l="1"/>
  <c r="CA10" i="59" l="1"/>
  <c r="CA11" i="59" l="1"/>
  <c r="CA12" i="59" l="1"/>
  <c r="CA13" i="59" l="1"/>
  <c r="CA14" i="59" l="1"/>
  <c r="CA15" i="59" l="1"/>
  <c r="CA16" i="59" l="1"/>
  <c r="CA17" i="59" l="1"/>
  <c r="CA18" i="59" l="1"/>
  <c r="CA19" i="59" l="1"/>
  <c r="CA20" i="59" l="1"/>
  <c r="CA21" i="59" l="1"/>
  <c r="CA22" i="59" l="1"/>
  <c r="CA23" i="59" l="1"/>
  <c r="CA24" i="59" l="1"/>
  <c r="CA25" i="59" l="1"/>
  <c r="CA26" i="59" l="1"/>
  <c r="CA27" i="59" l="1"/>
  <c r="CA28" i="59" l="1"/>
  <c r="CA29" i="59" l="1"/>
  <c r="CA30" i="59" l="1"/>
  <c r="CA31" i="59" l="1"/>
  <c r="CA32" i="59" l="1"/>
  <c r="CA33" i="59" l="1"/>
  <c r="BZ37" i="59" s="1"/>
  <c r="BJ31" i="59" l="1"/>
  <c r="BH31" i="59" l="1"/>
  <c r="BF31" i="59"/>
  <c r="BL31" i="59"/>
  <c r="BK31" i="59" l="1"/>
  <c r="BM31" i="59" l="1"/>
  <c r="BI31" i="59"/>
  <c r="BK32" i="59"/>
  <c r="BG31" i="59"/>
  <c r="BI32" i="59" l="1"/>
  <c r="BG32" i="59"/>
  <c r="BK33" i="59"/>
  <c r="BJ37" i="59" s="1"/>
  <c r="BM32" i="59"/>
  <c r="BM33" i="59" l="1"/>
  <c r="BL37" i="59" s="1"/>
  <c r="BG33" i="59"/>
  <c r="BF37" i="59" s="1"/>
  <c r="BI33" i="59"/>
  <c r="BH37" i="59" s="1"/>
  <c r="X33" i="59" l="1"/>
  <c r="V33" i="59" l="1"/>
  <c r="X32" i="59" l="1"/>
  <c r="V12" i="59"/>
  <c r="X12" i="59"/>
  <c r="V32" i="59" l="1"/>
  <c r="X28" i="59"/>
  <c r="V28" i="59"/>
  <c r="V27" i="59"/>
  <c r="X10" i="59"/>
  <c r="V10" i="59"/>
  <c r="X27" i="59"/>
  <c r="X20" i="59"/>
  <c r="V20" i="59"/>
  <c r="V23" i="59"/>
  <c r="X23" i="59"/>
  <c r="X25" i="59"/>
  <c r="V25" i="59"/>
  <c r="X30" i="59"/>
  <c r="V30" i="59"/>
  <c r="X29" i="59"/>
  <c r="V29" i="59"/>
  <c r="X22" i="59"/>
  <c r="V22" i="59"/>
  <c r="X21" i="59"/>
  <c r="V21" i="59"/>
  <c r="X19" i="59"/>
  <c r="V19" i="59"/>
  <c r="V18" i="59"/>
  <c r="X18" i="59"/>
  <c r="X17" i="59"/>
  <c r="V17" i="59"/>
  <c r="X16" i="59"/>
  <c r="V16" i="59"/>
  <c r="X15" i="59"/>
  <c r="V15" i="59"/>
  <c r="X14" i="59"/>
  <c r="V14" i="59"/>
  <c r="X13" i="59"/>
  <c r="V13" i="59"/>
  <c r="V11" i="59"/>
  <c r="X11" i="59"/>
  <c r="X24" i="59" l="1"/>
  <c r="V24" i="59"/>
  <c r="X4" i="59"/>
  <c r="V4" i="59"/>
  <c r="V31" i="59"/>
  <c r="X31" i="59"/>
  <c r="X9" i="59"/>
  <c r="V9" i="59"/>
  <c r="V8" i="59"/>
  <c r="X8" i="59"/>
  <c r="X7" i="59" l="1"/>
  <c r="V7" i="59"/>
  <c r="Y4" i="59"/>
  <c r="W4" i="59"/>
  <c r="V5" i="59" l="1"/>
  <c r="X5" i="59"/>
  <c r="V26" i="59"/>
  <c r="X26" i="59"/>
  <c r="V6" i="59"/>
  <c r="X6" i="59"/>
  <c r="W5" i="59" l="1"/>
  <c r="Y5" i="59"/>
  <c r="Y6" i="59" l="1"/>
  <c r="W6" i="59"/>
  <c r="W7" i="59" l="1"/>
  <c r="Y7" i="59"/>
  <c r="Y8" i="59" l="1"/>
  <c r="W8" i="59"/>
  <c r="Y9" i="59"/>
  <c r="W9" i="59" l="1"/>
  <c r="W10" i="59" l="1"/>
  <c r="Y10" i="59"/>
  <c r="W11" i="59" l="1"/>
  <c r="Y11" i="59"/>
  <c r="Y12" i="59"/>
  <c r="W12" i="59"/>
  <c r="Y13" i="59" l="1"/>
  <c r="W13" i="59"/>
  <c r="Y14" i="59" l="1"/>
  <c r="W14" i="59"/>
  <c r="W15" i="59" l="1"/>
  <c r="Y15" i="59"/>
  <c r="Y16" i="59" l="1"/>
  <c r="W16" i="59"/>
  <c r="W17" i="59" l="1"/>
  <c r="Y17" i="59"/>
  <c r="Y18" i="59" l="1"/>
  <c r="W18" i="59"/>
  <c r="Y19" i="59" l="1"/>
  <c r="W19" i="59"/>
  <c r="Y20" i="59" l="1"/>
  <c r="W20" i="59"/>
  <c r="Y21" i="59" l="1"/>
  <c r="W21" i="59"/>
  <c r="W22" i="59" l="1"/>
  <c r="Y22" i="59"/>
  <c r="Y23" i="59" l="1"/>
  <c r="W23" i="59"/>
  <c r="W24" i="59" l="1"/>
  <c r="Y24" i="59"/>
  <c r="W25" i="59" l="1"/>
  <c r="Y25" i="59"/>
  <c r="Y26" i="59" l="1"/>
  <c r="W26" i="59"/>
  <c r="W27" i="59" l="1"/>
  <c r="Y27" i="59"/>
  <c r="Y28" i="59" l="1"/>
  <c r="W28" i="59"/>
  <c r="W29" i="59" l="1"/>
  <c r="Y29" i="59"/>
  <c r="Y30" i="59" l="1"/>
  <c r="W30" i="59"/>
  <c r="W31" i="59" l="1"/>
  <c r="Y31" i="59"/>
  <c r="Y32" i="59" l="1"/>
  <c r="W32" i="59"/>
  <c r="Y33" i="59" l="1"/>
  <c r="X37" i="59" s="1"/>
  <c r="W33" i="59"/>
  <c r="V37" i="59" s="1"/>
  <c r="BP7" i="59" l="1"/>
  <c r="BP25" i="59" l="1"/>
  <c r="BP12" i="59"/>
  <c r="BP31" i="59"/>
  <c r="BP29" i="59"/>
  <c r="BP14" i="59"/>
  <c r="BP28" i="59" l="1"/>
  <c r="BP26" i="59"/>
  <c r="BP11" i="59"/>
  <c r="BP13" i="59"/>
  <c r="BP30" i="59"/>
  <c r="BP20" i="59"/>
  <c r="BP16" i="59"/>
  <c r="BP9" i="59"/>
  <c r="BP10" i="59"/>
  <c r="BP17" i="59"/>
  <c r="BP15" i="59"/>
  <c r="BP24" i="59"/>
  <c r="BP18" i="59"/>
  <c r="BP19" i="59"/>
  <c r="BP22" i="59"/>
  <c r="BP32" i="59"/>
  <c r="BP21" i="59"/>
  <c r="BP33" i="59"/>
  <c r="BP8" i="59"/>
  <c r="BP23" i="59"/>
  <c r="BP6" i="59" l="1"/>
  <c r="BP4" i="59" l="1"/>
  <c r="BP5" i="59"/>
  <c r="BQ4" i="59" l="1"/>
  <c r="BQ5" i="59" l="1"/>
  <c r="BQ6" i="59" l="1"/>
  <c r="BQ7" i="59" l="1"/>
  <c r="BQ8" i="59"/>
  <c r="BQ9" i="59" l="1"/>
  <c r="BQ10" i="59" l="1"/>
  <c r="BQ11" i="59" l="1"/>
  <c r="BQ12" i="59" l="1"/>
  <c r="BQ13" i="59" l="1"/>
  <c r="BQ14" i="59" l="1"/>
  <c r="BQ15" i="59" l="1"/>
  <c r="BQ16" i="59" l="1"/>
  <c r="BQ17" i="59" l="1"/>
  <c r="BQ18" i="59" l="1"/>
  <c r="BQ19" i="59" l="1"/>
  <c r="BQ20" i="59" l="1"/>
  <c r="BQ21" i="59" l="1"/>
  <c r="BQ22" i="59" l="1"/>
  <c r="BQ23" i="59" l="1"/>
  <c r="BQ24" i="59" l="1"/>
  <c r="BQ25" i="59" l="1"/>
  <c r="BQ26" i="59" l="1"/>
  <c r="BP27" i="59" l="1"/>
  <c r="BQ27" i="59" l="1"/>
  <c r="BQ28" i="59" l="1"/>
  <c r="BQ29" i="59" l="1"/>
  <c r="BQ30" i="59" l="1"/>
  <c r="BQ31" i="59" l="1"/>
  <c r="BQ32" i="59" l="1"/>
  <c r="BQ33" i="59" l="1"/>
  <c r="BP37" i="59" s="1"/>
</calcChain>
</file>

<file path=xl/comments1.xml><?xml version="1.0" encoding="utf-8"?>
<comments xmlns="http://schemas.openxmlformats.org/spreadsheetml/2006/main">
  <authors>
    <author>Produksi-PM</author>
  </authors>
  <commentList>
    <comment ref="R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1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BL24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25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26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27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28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3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</commentList>
</comments>
</file>

<file path=xl/comments3.xml><?xml version="1.0" encoding="utf-8"?>
<comments xmlns="http://schemas.openxmlformats.org/spreadsheetml/2006/main">
  <authors>
    <author>Produksi-PM</author>
  </authors>
  <commentList>
    <comment ref="H3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</commentList>
</comments>
</file>

<file path=xl/comments4.xml><?xml version="1.0" encoding="utf-8"?>
<comments xmlns="http://schemas.openxmlformats.org/spreadsheetml/2006/main">
  <authors>
    <author>win10</author>
  </authors>
  <commentList>
    <comment ref="V11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Seset Trial</t>
        </r>
      </text>
    </comment>
  </commentList>
</comments>
</file>

<file path=xl/sharedStrings.xml><?xml version="1.0" encoding="utf-8"?>
<sst xmlns="http://schemas.openxmlformats.org/spreadsheetml/2006/main" count="6214" uniqueCount="851">
  <si>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</si>
  <si>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</si>
  <si>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</si>
  <si>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</si>
  <si>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</si>
  <si>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</si>
  <si>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</si>
  <si>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</si>
  <si>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</si>
  <si>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</si>
  <si>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</si>
  <si>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</si>
  <si>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</si>
  <si>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</si>
  <si>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</si>
  <si>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</si>
  <si>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</si>
  <si>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</si>
  <si>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</si>
  <si>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</si>
  <si>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</si>
  <si>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</si>
  <si>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</si>
  <si>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</si>
  <si>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</si>
  <si>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</si>
  <si>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</si>
  <si>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</si>
  <si>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</si>
  <si>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</si>
  <si>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</si>
  <si>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</si>
  <si>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</si>
  <si>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</si>
  <si>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</si>
  <si>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</si>
  <si>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</si>
  <si>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</si>
  <si>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</si>
  <si>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</si>
  <si>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</si>
  <si>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</si>
  <si>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LBKP RAPP MHW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</si>
  <si>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</si>
  <si>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</si>
  <si>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</si>
  <si>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</si>
  <si>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</si>
  <si>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</si>
  <si>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</si>
  <si>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</si>
  <si>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</si>
  <si>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</si>
  <si>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</si>
  <si>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</si>
  <si>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</si>
  <si>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</si>
  <si>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</si>
  <si>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</si>
  <si>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</si>
  <si>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</si>
  <si>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</si>
  <si>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</si>
  <si>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</si>
  <si>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</si>
  <si>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</si>
  <si>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</si>
  <si>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</si>
  <si>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</si>
  <si>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</si>
  <si>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</si>
  <si>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</si>
  <si>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</si>
  <si>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</si>
  <si>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</si>
  <si>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</si>
  <si>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</si>
  <si>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</si>
  <si>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</si>
  <si>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</si>
  <si>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</si>
  <si>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</si>
  <si>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</si>
  <si>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</si>
  <si>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</si>
  <si>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</si>
  <si>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</si>
  <si>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</si>
  <si>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</si>
  <si>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</si>
  <si>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</si>
  <si>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</si>
  <si>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</si>
  <si>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</si>
  <si>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</si>
  <si>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</si>
  <si>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</si>
  <si>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</si>
  <si>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</si>
  <si>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</si>
  <si>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</si>
  <si>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</si>
  <si>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</si>
  <si>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</si>
  <si>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</si>
  <si>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</si>
  <si>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</si>
  <si>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</si>
  <si>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</si>
  <si>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</si>
  <si>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</si>
  <si>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</si>
  <si>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</si>
  <si>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</si>
  <si>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</si>
  <si>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</si>
  <si>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</si>
  <si>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</si>
  <si>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</si>
  <si>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</si>
  <si>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</si>
  <si>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</si>
  <si>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</si>
  <si>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</si>
  <si>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</si>
  <si>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</si>
  <si>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</si>
  <si>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</si>
  <si>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</si>
  <si>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</si>
  <si>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</si>
  <si>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</si>
  <si>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</si>
  <si>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</si>
  <si>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</si>
  <si>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</si>
  <si>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</si>
  <si>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</si>
  <si>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</si>
  <si>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</si>
  <si>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</si>
  <si>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</si>
  <si>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</si>
  <si>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</si>
  <si>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</si>
  <si>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MONDE</t>
  </si>
  <si>
    <t>Total PM11</t>
  </si>
  <si>
    <t>TISSUE MACHINE 11</t>
  </si>
  <si>
    <t>PM 11</t>
  </si>
  <si>
    <t xml:space="preserve">PM11 Efficiency Report </t>
  </si>
  <si>
    <t>TISSUE MACHINE 45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</si>
  <si>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</si>
  <si>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</si>
  <si>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</si>
  <si>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</si>
  <si>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</si>
  <si>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</si>
  <si>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</si>
  <si>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</si>
  <si>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</si>
  <si>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</si>
  <si>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</si>
  <si>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</si>
  <si>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</si>
  <si>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</si>
  <si>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</si>
  <si>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</si>
  <si>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</si>
  <si>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</si>
  <si>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</si>
  <si>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</si>
  <si>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</si>
  <si>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</si>
  <si>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</si>
  <si>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</si>
  <si>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</si>
  <si>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</si>
  <si>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</si>
  <si>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</si>
  <si>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</si>
  <si>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</si>
  <si>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</si>
  <si>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</si>
  <si>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</si>
  <si>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</si>
  <si>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</si>
  <si>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</si>
  <si>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</si>
  <si>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</si>
  <si>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</si>
  <si>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</si>
  <si>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</si>
  <si>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</si>
  <si>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</si>
  <si>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</si>
  <si>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</si>
  <si>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</si>
  <si>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</si>
  <si>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</si>
  <si>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>PAPER MACHINE 11 DAILY REPORT 1</t>
  </si>
  <si>
    <t xml:space="preserve">Kapasitas Teori Real (ton) </t>
  </si>
  <si>
    <t>Speed real (ton) with Available Time</t>
  </si>
  <si>
    <t>Change Grade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</si>
  <si>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</si>
  <si>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</si>
  <si>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</si>
  <si>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</si>
  <si>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</si>
  <si>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</si>
  <si>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</si>
  <si>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CANFOR</t>
  </si>
  <si>
    <t>LBKP TEL PELITA</t>
  </si>
  <si>
    <t>PM 12</t>
  </si>
  <si>
    <t>PM 16</t>
  </si>
  <si>
    <t>PHP (ton)</t>
  </si>
  <si>
    <t>STEAM/Ton FG</t>
  </si>
  <si>
    <t>ELECTRIC/ton FG</t>
  </si>
  <si>
    <t>STEAM /ton FG</t>
  </si>
  <si>
    <t>ELECTRIC /ton FG</t>
  </si>
  <si>
    <t>Today</t>
  </si>
  <si>
    <t>Todate</t>
  </si>
  <si>
    <t>November</t>
  </si>
  <si>
    <t>Oktober</t>
  </si>
  <si>
    <t>Juli</t>
  </si>
  <si>
    <t>Juni</t>
  </si>
  <si>
    <t>Mei</t>
  </si>
  <si>
    <t>April</t>
  </si>
  <si>
    <t>Maret</t>
  </si>
  <si>
    <t>Februari</t>
  </si>
  <si>
    <t>Januari</t>
  </si>
  <si>
    <t>Kehilangan Effisiensi PM 11 terdiri dari:</t>
  </si>
  <si>
    <t>MG</t>
  </si>
  <si>
    <t>awal bulan produksi MG mengikuti real speed karea usia felt sudah 7minggu</t>
  </si>
  <si>
    <t>CAKRAWALA</t>
  </si>
  <si>
    <t/>
  </si>
  <si>
    <t>NB : info pak hartono untuk napkin + towel speed 1600mpm, gsm tinggi 92ton(&gt;17)</t>
  </si>
  <si>
    <t>change Grade</t>
  </si>
  <si>
    <t>PM 11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</si>
  <si>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</si>
  <si>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</si>
  <si>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</si>
  <si>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</si>
  <si>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</si>
  <si>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</si>
  <si>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</si>
  <si>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</si>
  <si>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</si>
  <si>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</si>
  <si>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</si>
  <si>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</si>
  <si>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</si>
  <si>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</si>
  <si>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</si>
  <si>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</si>
  <si>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</si>
  <si>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</si>
  <si>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</si>
  <si>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</si>
  <si>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</si>
  <si>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Hole</t>
  </si>
  <si>
    <t>Maintenance</t>
  </si>
  <si>
    <t>Down Time EID</t>
  </si>
  <si>
    <t>Down Time Mekanik</t>
  </si>
  <si>
    <t>Loss Time EID</t>
  </si>
  <si>
    <t>Loss Time Mekanik</t>
  </si>
  <si>
    <t>Scheduled Shut Down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</si>
  <si>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</si>
  <si>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</si>
  <si>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</si>
  <si>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</si>
  <si>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</si>
  <si>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</si>
  <si>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</si>
  <si>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</si>
  <si>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</si>
  <si>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LT/DT Percentage</t>
  </si>
  <si>
    <t>Total LT/DT (ton)</t>
  </si>
  <si>
    <t>Tonase</t>
  </si>
  <si>
    <t>Prosentase</t>
  </si>
  <si>
    <t>Total Prosentase</t>
  </si>
  <si>
    <t>Baklog</t>
  </si>
  <si>
    <t>Sisa spool popereel</t>
  </si>
  <si>
    <t xml:space="preserve">Sisa Spool seset </t>
  </si>
  <si>
    <t>Sisa Spool rewinder</t>
  </si>
  <si>
    <t>Pending</t>
  </si>
  <si>
    <t>Ngelokor</t>
  </si>
  <si>
    <t>Keriput</t>
  </si>
  <si>
    <t>Start up</t>
  </si>
  <si>
    <t>Potongan jelek</t>
  </si>
  <si>
    <t>Trim</t>
  </si>
  <si>
    <t>Warisan</t>
  </si>
  <si>
    <t>Kertas sobek pinggir</t>
  </si>
  <si>
    <t>Joint</t>
  </si>
  <si>
    <t>Dirt</t>
  </si>
  <si>
    <t>Formasi jelek</t>
  </si>
  <si>
    <t>MDT &lt; std</t>
  </si>
  <si>
    <t>Lembab</t>
  </si>
  <si>
    <t>Seset Change Grade</t>
  </si>
  <si>
    <t>Diameter &lt; std</t>
  </si>
  <si>
    <t>soping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</si>
  <si>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</si>
  <si>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</si>
  <si>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</si>
  <si>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</si>
  <si>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</si>
  <si>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</si>
  <si>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</si>
  <si>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</si>
  <si>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warna kehijauan</t>
  </si>
  <si>
    <t>UNKNOWN</t>
  </si>
  <si>
    <t>Gripis</t>
  </si>
  <si>
    <t>TOTALIZER</t>
  </si>
  <si>
    <t>SUZANO</t>
  </si>
  <si>
    <t>PM 14</t>
  </si>
  <si>
    <t>PM 15</t>
  </si>
  <si>
    <t>PM 17</t>
  </si>
  <si>
    <t>STEAM/ton FG</t>
  </si>
  <si>
    <t>STEAM DIP/ton FG</t>
  </si>
  <si>
    <t>ELECTRIC DIP/ton FG</t>
  </si>
  <si>
    <t>GAS /ton FG</t>
  </si>
  <si>
    <t>STEAM DIP /ton FG</t>
  </si>
  <si>
    <t>ELECTRIC DIP /ton FG</t>
  </si>
  <si>
    <t>Desember</t>
  </si>
  <si>
    <t>PULP AND BROKE DAILY REPORT 11</t>
  </si>
  <si>
    <t>CHEMICAL DAILY REPORT PM 11</t>
  </si>
  <si>
    <t>SINERGY</t>
  </si>
  <si>
    <t>Loss time</t>
  </si>
  <si>
    <t>Down Time</t>
  </si>
  <si>
    <t>Backlog</t>
  </si>
  <si>
    <t>Loss Time Marketing</t>
  </si>
  <si>
    <t>Hood</t>
  </si>
  <si>
    <t>Yankee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</si>
  <si>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</si>
  <si>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</si>
  <si>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</si>
  <si>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</si>
  <si>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</si>
  <si>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</si>
  <si>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</si>
  <si>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</si>
  <si>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</si>
  <si>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</si>
  <si>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</si>
  <si>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</si>
  <si>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</si>
  <si>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</si>
  <si>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</si>
  <si>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</si>
  <si>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</si>
  <si>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</si>
  <si>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</si>
  <si>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</si>
  <si>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</si>
  <si>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</si>
  <si>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</si>
  <si>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</si>
  <si>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</si>
  <si>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</si>
  <si>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</si>
  <si>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</si>
  <si>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</si>
  <si>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</si>
  <si>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</si>
  <si>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</si>
  <si>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</si>
  <si>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</si>
  <si>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</si>
  <si>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</si>
  <si>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</si>
  <si>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</si>
  <si>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</si>
  <si>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</si>
  <si>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</si>
  <si>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</si>
  <si>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</si>
  <si>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</si>
  <si>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</si>
  <si>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</si>
  <si>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</si>
  <si>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</si>
  <si>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</si>
  <si>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</si>
  <si>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</si>
  <si>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</si>
  <si>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</si>
  <si>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</si>
  <si>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</si>
  <si>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</si>
  <si>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</si>
  <si>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</si>
  <si>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</si>
  <si>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</si>
  <si>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</si>
  <si>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</si>
  <si>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</si>
  <si>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</si>
  <si>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</si>
  <si>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</si>
  <si>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</si>
  <si>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11 Running Time</t>
  </si>
  <si>
    <t>Down Time PLN</t>
  </si>
  <si>
    <t>Eff Avaliable</t>
  </si>
  <si>
    <t>Eff Running</t>
  </si>
  <si>
    <t xml:space="preserve">Kapasitas Running (ton) </t>
  </si>
  <si>
    <t>Eff FG vs Target  Running(%)</t>
  </si>
  <si>
    <t>EBKP NAVIA/ENCE</t>
  </si>
  <si>
    <t>Seset Spol Getar &amp; Astor</t>
  </si>
  <si>
    <t>NBKP Catalyst/Crafton</t>
  </si>
  <si>
    <t>Steam, &amp; gangguan sinergy (X)</t>
  </si>
  <si>
    <t>Freq, Trip PLN (X)</t>
  </si>
  <si>
    <t>Cleaning Holes (X)</t>
  </si>
  <si>
    <t>Per hari</t>
  </si>
  <si>
    <t>Blowing</t>
  </si>
  <si>
    <t>0</t>
  </si>
  <si>
    <t>- Sheet Breaks (2x)</t>
  </si>
  <si>
    <t>- Change Grade</t>
  </si>
  <si>
    <t>Vaccum Turbo</t>
  </si>
  <si>
    <t>CRESSBROOKE</t>
  </si>
  <si>
    <t>Agustus</t>
  </si>
  <si>
    <t>September</t>
  </si>
  <si>
    <t>SS</t>
  </si>
  <si>
    <t>PHP PM</t>
  </si>
  <si>
    <t xml:space="preserve">PM11 Efficiency Running Report </t>
  </si>
  <si>
    <t>Electric WPL /ton FG</t>
  </si>
  <si>
    <t>ELECTRIC WPL /ton FG</t>
  </si>
  <si>
    <t>.11.25</t>
  </si>
  <si>
    <t>NOVEMBER</t>
  </si>
  <si>
    <t>- Change Blade (0x)</t>
  </si>
  <si>
    <t>- Change Spool (8x)</t>
  </si>
  <si>
    <t>- Awal Shift PM Prod MG14HW Speed 1290/-0.35%</t>
  </si>
  <si>
    <t>- Awal Shift PM Prod MG16,5 HW Speed 1200/-0.35%</t>
  </si>
  <si>
    <t>- 21:40 Change Grade MG 16,5 speed 1200/-0,35%</t>
  </si>
  <si>
    <t>1290/1285</t>
  </si>
  <si>
    <t>- Change Blade (2x)</t>
  </si>
  <si>
    <t>- Sheet Breaks (0x)</t>
  </si>
  <si>
    <t>MG 14 VP HW</t>
  </si>
  <si>
    <t>1200/1195</t>
  </si>
  <si>
    <t>1285/1281</t>
  </si>
  <si>
    <t>- Sheet Breaks (1x)</t>
  </si>
  <si>
    <t>- Sheet Breaks (4x)</t>
  </si>
  <si>
    <t>- Speed belum maksimal rawan blowing speed naik bertahap..</t>
  </si>
  <si>
    <t>1275/1270</t>
  </si>
  <si>
    <t>High White</t>
  </si>
  <si>
    <t>- Sheet Breaks (5x)</t>
  </si>
  <si>
    <t>- Change Spool (24x)</t>
  </si>
  <si>
    <t>14</t>
  </si>
  <si>
    <t>14/16,5</t>
  </si>
  <si>
    <t>Angga Permana</t>
  </si>
  <si>
    <t>Dicky Fahrizal</t>
  </si>
  <si>
    <t>Slamet Ariadi</t>
  </si>
  <si>
    <t>MG 14</t>
  </si>
  <si>
    <t>42*5+61</t>
  </si>
  <si>
    <t>42*2+61*3</t>
  </si>
  <si>
    <t>MG 16,5</t>
  </si>
  <si>
    <t>MG 16,5 VP HW</t>
  </si>
  <si>
    <t>NBKP UPM Conifer</t>
  </si>
  <si>
    <t>- 20.22 kertas muncul blowing DS speed turun 1200, karcher SPR blowing masih ada, speed turun lagi 1180, karcher SPR blowing masih tetap ada</t>
  </si>
  <si>
    <t>- Awal Shift PM Prod MG16,5 HW Speed 1160/-0.35%</t>
  </si>
  <si>
    <t>- Masalah : pm kurang lancar putus ds, kadang pecah. Permukaan yankke cepat ngerak harus sering2 ganti blade</t>
  </si>
  <si>
    <t>- 20.30 Speed turun lagi 1160 blowing baru bisa hilang.</t>
  </si>
  <si>
    <t>1187/1183</t>
  </si>
  <si>
    <t>1160/1155</t>
  </si>
  <si>
    <t>1182/1178</t>
  </si>
  <si>
    <t>- Change Spool (9x)</t>
  </si>
  <si>
    <t>- Sheet Breaks (6x)</t>
  </si>
  <si>
    <t>Iir Endra</t>
  </si>
  <si>
    <t>- Change Spool (25x)</t>
  </si>
  <si>
    <t>16,5</t>
  </si>
  <si>
    <t>100*2+61</t>
  </si>
  <si>
    <t>86,5*3</t>
  </si>
  <si>
    <t>61*3+42*2</t>
  </si>
  <si>
    <t>SODIUM HYPOCHLORID</t>
  </si>
  <si>
    <t>CHEMZYME CL</t>
  </si>
  <si>
    <t>- 10.35 change grade Mg 30 HW speed 700/-0.35%</t>
  </si>
  <si>
    <t>- 12.40 change grade MG 17 OW speed 1200/-0.35%</t>
  </si>
  <si>
    <t>- Masalah : change gradeMG 17 Ow pm kurang lancar putus ds, kadang pecah. Permukaan yankke cepat ngerak harus sering2 ganti blade</t>
  </si>
  <si>
    <t>- Awal Shift PM Prod MG18 HW Speed 1160/-0.35%</t>
  </si>
  <si>
    <t>- 20.30 Kertas mucul blowing DS, PM speed  turun 1170 ke 1140 Mpm blowing hilang.</t>
  </si>
  <si>
    <t>- 00.00 Change Grade MG 14 OW Speed 1270 / -0.35 %</t>
  </si>
  <si>
    <t>1051/1048</t>
  </si>
  <si>
    <t>1256/1251</t>
  </si>
  <si>
    <t>MG 30 VP HW</t>
  </si>
  <si>
    <t>MG 17 VP HW</t>
  </si>
  <si>
    <t>MG 18 VP HW</t>
  </si>
  <si>
    <t>MG 14 VP OW</t>
  </si>
  <si>
    <t>MG 14 VP HW/OW</t>
  </si>
  <si>
    <t>- Awal Shift PM Prod MG18 HW Speed 1170/-0.35%</t>
  </si>
  <si>
    <t>1160/1156</t>
  </si>
  <si>
    <t>1156/1152</t>
  </si>
  <si>
    <t>Off White</t>
  </si>
  <si>
    <t>- Sheet Breaks (7x)</t>
  </si>
  <si>
    <t>16,5/30/17/18/14</t>
  </si>
  <si>
    <t>MG 21,5</t>
  </si>
  <si>
    <t>62,5*4</t>
  </si>
  <si>
    <t>MG 17</t>
  </si>
  <si>
    <t>101,5*2+61</t>
  </si>
  <si>
    <t>MG 30</t>
  </si>
  <si>
    <t>127+90</t>
  </si>
  <si>
    <t>90*3</t>
  </si>
  <si>
    <t>MG 18</t>
  </si>
  <si>
    <t>28*9+20</t>
  </si>
  <si>
    <t>22+60*4</t>
  </si>
  <si>
    <t>79*2+109</t>
  </si>
  <si>
    <t>MG 21,5 VP HW</t>
  </si>
  <si>
    <t>- Awal Shift PM Prod MG 14 OW Speed 1180/-0.35%</t>
  </si>
  <si>
    <t>- 12.30 On reel</t>
  </si>
  <si>
    <t>- 14.10 change grade F10.3 speed 1720/-16%
- kertas putus putus kurang lancar</t>
  </si>
  <si>
    <t>- 17.00 pm mulai lancar</t>
  </si>
  <si>
    <t>- Awal shift pm speed 1700 kurang lancar kertas putus2 sebelah DS gripis dan ada hole acak pm turun speed 1600</t>
  </si>
  <si>
    <t>- 15.56 kertas sudah tidak putus tp masih ada soping sebelah DS ada indikasi felt tepi DS berbulu geser wire ke FS soping berkurang</t>
  </si>
  <si>
    <t xml:space="preserve">- 06.10 Pm start </t>
  </si>
  <si>
    <t>- 06.20 on reel</t>
  </si>
  <si>
    <t>- Change Spool (5x)</t>
  </si>
  <si>
    <t>- Change Spool (6x)</t>
  </si>
  <si>
    <t>- Awal Shift PM Prod F10.3 speed 1600/-16%</t>
  </si>
  <si>
    <t>1244/1207</t>
  </si>
  <si>
    <t>1600/1344</t>
  </si>
  <si>
    <t>Facial</t>
  </si>
  <si>
    <t>1479/1297</t>
  </si>
  <si>
    <t>F 10,3 VP OW</t>
  </si>
  <si>
    <t>- Sheet Breaks (10x)</t>
  </si>
  <si>
    <t>- Change Spool (19x)</t>
  </si>
  <si>
    <t>Pm stop, turbo vaccum trip</t>
  </si>
  <si>
    <t>PM Stop, Van belt vertikal screen putus tinggal 1, Med Ganti Van belt</t>
  </si>
  <si>
    <t>- 04.00 PM Stop, Van belt vertikal screen putus tinggal 1, Med Ganti Van belt</t>
  </si>
  <si>
    <t>- 11.30 Pm stop, turbo vaccum trip</t>
  </si>
  <si>
    <t>14/10,3</t>
  </si>
  <si>
    <t>MG/Facial</t>
  </si>
  <si>
    <t>MG 18 VP OW</t>
  </si>
  <si>
    <t>F 10,3</t>
  </si>
  <si>
    <t>109+79*2</t>
  </si>
  <si>
    <t>126+144</t>
  </si>
  <si>
    <t>- 12.20 pm trip stock flow alarm</t>
  </si>
  <si>
    <t>- 12.40 On reel.</t>
  </si>
  <si>
    <t>- Awal Shift PM Produksi F 12, Speed 1520/-24%</t>
  </si>
  <si>
    <t>- 16.45 jumbo roll turun ada hole + susah nyambung</t>
  </si>
  <si>
    <t>- Pm turun speed 1600mpm</t>
  </si>
  <si>
    <t>- 18.10 jumbo roll turun hole hilang</t>
  </si>
  <si>
    <t>- 06.45 Change Grade F 13, Speed 1600/24%</t>
  </si>
  <si>
    <t>1520/1155</t>
  </si>
  <si>
    <t>1582/1202</t>
  </si>
  <si>
    <t>- Awal Shift PM Produksi F 12, Speed 1600/-24%</t>
  </si>
  <si>
    <t>1600/1216</t>
  </si>
  <si>
    <t>1568/1191</t>
  </si>
  <si>
    <t>- Change Spool (10x)</t>
  </si>
  <si>
    <t>- Sheet Breaks (9x)</t>
  </si>
  <si>
    <t>- Change Spool (7x)</t>
  </si>
  <si>
    <t>- Sheet Breaks (27x)</t>
  </si>
  <si>
    <t>- Change Spool (26x)</t>
  </si>
  <si>
    <t>PM trip stock flow alarm</t>
  </si>
  <si>
    <t>12/13</t>
  </si>
  <si>
    <t>F 12 VP OW</t>
  </si>
  <si>
    <t>F 13 VP OW</t>
  </si>
  <si>
    <t>F 12</t>
  </si>
  <si>
    <t>120+150</t>
  </si>
  <si>
    <t>133*2</t>
  </si>
  <si>
    <t>130*2</t>
  </si>
  <si>
    <t>F 13</t>
  </si>
  <si>
    <t>128,5*2+15</t>
  </si>
  <si>
    <t>- Awal Shift PM Produksi F 13, Speed 1600/24%</t>
  </si>
  <si>
    <t>- Speed masih belum maksimal rawan hole</t>
  </si>
  <si>
    <t>- 21.25 change F 10.3 LB Speed 1630/-16%</t>
  </si>
  <si>
    <t>- Awal Shift PM Produksi F 10.3 LB Speed 1630/-16%</t>
  </si>
  <si>
    <t>- 04.30 Consitensi Stock Flow sudah stabil 
- 06.00 consistensi error lagi di manual</t>
  </si>
  <si>
    <t xml:space="preserve">- PM Kurang Lancar </t>
  </si>
  <si>
    <t>- Consitensi Stock Flow Hunting</t>
  </si>
  <si>
    <t>- PM turun Speed 1550 Kertas muncul hole &amp; Sebelah FS Ngeple &amp; geripis</t>
  </si>
  <si>
    <t>1603/1218</t>
  </si>
  <si>
    <t>- Change Blade (4x)</t>
  </si>
  <si>
    <t>- Change Blade (3x)</t>
  </si>
  <si>
    <t>- Sheet Breaks (14x)</t>
  </si>
  <si>
    <t>1605/1246</t>
  </si>
  <si>
    <t>1605/1348</t>
  </si>
  <si>
    <t>- Sheet Breaks (18x)</t>
  </si>
  <si>
    <t>- Change Blade (7x)</t>
  </si>
  <si>
    <t>13/10,3</t>
  </si>
  <si>
    <t>266*1</t>
  </si>
  <si>
    <t>- Speed blm target kertas rawan hole</t>
  </si>
  <si>
    <t>- Awal Shift PM Produksi F 10.3 LB Speed 1560/-16%</t>
  </si>
  <si>
    <t>- Speed Belum Bisa Maksimal Masih Rawan Hole</t>
  </si>
  <si>
    <t>- Awal Shift PM Produksi F 10.3 LB Speed 1580/-16%</t>
  </si>
  <si>
    <t>- 21.26 change F 12.5 HB Speed 1580/-24%</t>
  </si>
  <si>
    <t>- Awal Shift PM Produksi F 12.5 HB Speed 1580/-24%</t>
  </si>
  <si>
    <t>- Awal Shift PM Produksi F 10.3 LB Speed 1550/-16%</t>
  </si>
  <si>
    <t>1550/1302</t>
  </si>
  <si>
    <t>1560/1310</t>
  </si>
  <si>
    <t>1553/1304</t>
  </si>
  <si>
    <t>- Change Blade (5x)</t>
  </si>
  <si>
    <t>1580/1302</t>
  </si>
  <si>
    <t>1580/1327</t>
  </si>
  <si>
    <t>1580/1200</t>
  </si>
  <si>
    <t>1580/1276</t>
  </si>
  <si>
    <t>- Change Blade (11x)</t>
  </si>
  <si>
    <t>- Change Blade (10x)</t>
  </si>
  <si>
    <t>10,3/12,5</t>
  </si>
  <si>
    <t>10,3</t>
  </si>
  <si>
    <t>60+68+140</t>
  </si>
  <si>
    <t>F 12,5</t>
  </si>
  <si>
    <t>F 12,5 VP OW</t>
  </si>
  <si>
    <t>- 09.00 Change ke SN.13 Gsm Speed 1350 Mpm/-20%</t>
  </si>
  <si>
    <t>- 12.15 baru bisa acc Qc.</t>
  </si>
  <si>
    <t>1407/1110</t>
  </si>
  <si>
    <t>- Change Blade (1x)</t>
  </si>
  <si>
    <t>SN 13 VP OW</t>
  </si>
  <si>
    <t>Sanitary Napkin</t>
  </si>
  <si>
    <t>- Change Blade (9x)</t>
  </si>
  <si>
    <t>- Change Spool (18x)</t>
  </si>
  <si>
    <t>Facial/Sanitary Napkin</t>
  </si>
  <si>
    <t>SN 13</t>
  </si>
  <si>
    <t>48*3+58*2</t>
  </si>
  <si>
    <t>- Awal Shift PM Produksi SN 13 Speed 1350/-20%</t>
  </si>
  <si>
    <t>1350/1080</t>
  </si>
  <si>
    <t>1369/1090</t>
  </si>
  <si>
    <t>- 03.00 pm stop flicker listrik</t>
  </si>
  <si>
    <t>- 04.15 on rell</t>
  </si>
  <si>
    <t>- 03.00 Rew A error setelah flicker, perbaikan eid</t>
  </si>
  <si>
    <t>- 05.30 Rewinder mulai jalan.</t>
  </si>
  <si>
    <t>1380/1104</t>
  </si>
  <si>
    <t>1400/1120</t>
  </si>
  <si>
    <t>- Change Spool (20x)</t>
  </si>
  <si>
    <t>PM stop PLN flicker</t>
  </si>
  <si>
    <t>13</t>
  </si>
  <si>
    <t>- 21.30 Change Grade SN 15, Speed 1250/-20%</t>
  </si>
  <si>
    <t>- Awal Shift PM Produksi SN 15 Speed 1250/-20%</t>
  </si>
  <si>
    <t>- speed PM belum maksimal rawan hole</t>
  </si>
  <si>
    <t>- 14.44 Change ke SN.14 Gsm Speed 1400 Mpm/-20%</t>
  </si>
  <si>
    <t>- Awal Shift PM Produksi SN 14 Speed 1400/-20%</t>
  </si>
  <si>
    <t>- 17.22 PM Turun Speed 1300 Muncul Hole</t>
  </si>
  <si>
    <t>1351/1081</t>
  </si>
  <si>
    <t>1320/1056</t>
  </si>
  <si>
    <t>1250/1000</t>
  </si>
  <si>
    <t>1307/1045</t>
  </si>
  <si>
    <t>SN 14 VP OW</t>
  </si>
  <si>
    <t>SN 15 VP OW</t>
  </si>
  <si>
    <t>- Change Blade (8x)</t>
  </si>
  <si>
    <t>13/14/15</t>
  </si>
  <si>
    <t>SN 14</t>
  </si>
  <si>
    <t>SN 15</t>
  </si>
  <si>
    <t>54*5</t>
  </si>
  <si>
    <t>39*6+26</t>
  </si>
  <si>
    <t>23*4+28*6</t>
  </si>
  <si>
    <t>- 11.05 change F12.5 Speed 1510/-24%</t>
  </si>
  <si>
    <t>- 11.05 pm change F12.5 kertas ada hole
- Pm coba turun speed 1510 mpm, pin hole masih ada</t>
  </si>
  <si>
    <t>- 13.40 pm stop ganti felt</t>
  </si>
  <si>
    <t>- Awal Shift PM STOP Ganti Felt</t>
  </si>
  <si>
    <t>- Felt Masih Baru ( felt berbulu tepi FS DS) PM Speed Naik Bertahap</t>
  </si>
  <si>
    <t>1377/1101</t>
  </si>
  <si>
    <t>- 19.30 PM On Reel F 13, Speed 1210 / 24 %</t>
  </si>
  <si>
    <t>- Awal Shift PM Produksi F 13 Speed 1210/-20%</t>
  </si>
  <si>
    <t>1210/919</t>
  </si>
  <si>
    <t>1271/986</t>
  </si>
  <si>
    <t>- Change Spool (23x)</t>
  </si>
  <si>
    <t>- PM STOP Ganti Felt</t>
  </si>
  <si>
    <t>DT</t>
  </si>
  <si>
    <t>PM STOP Ganti Felt</t>
  </si>
  <si>
    <t>PM Stop Ganti Felt</t>
  </si>
  <si>
    <t>Sanitary Napkin/Facial</t>
  </si>
  <si>
    <t>15/12,5/13</t>
  </si>
  <si>
    <t>20+27,5*9</t>
  </si>
  <si>
    <t>16*7+25,5*6</t>
  </si>
  <si>
    <t>140+116+16</t>
  </si>
  <si>
    <t>140+135</t>
  </si>
  <si>
    <t>- Awal Shift PM Produksi F 13 Speed 1300/-24%</t>
  </si>
  <si>
    <t>- 09.23 pm on reel
- Speed naik bertahap felt masih baru</t>
  </si>
  <si>
    <t>- 09.10 pm sirkulasi di utm, med ganti selang hidrolis yang bocor</t>
  </si>
  <si>
    <t>- Awal Shift PM Produksi F 12,5 Speed 1460/-24%</t>
  </si>
  <si>
    <t>- Felt Masih Baru ( Felt Berbulu Tepi FS&amp; DS) PM Speed Naik Bertahap</t>
  </si>
  <si>
    <t>- 10.33 change F12.5 Speed 1440/-24%</t>
  </si>
  <si>
    <t>- Awal Shift PM Produksi F 12,5 Speed 1480/-24%</t>
  </si>
  <si>
    <t>LT</t>
  </si>
  <si>
    <r>
      <t xml:space="preserve">- </t>
    </r>
    <r>
      <rPr>
        <b/>
        <sz val="10"/>
        <color rgb="FFFF0000"/>
        <rFont val="Arial"/>
        <family val="2"/>
      </rPr>
      <t>09.10 pm sirkulasi di utm</t>
    </r>
    <r>
      <rPr>
        <b/>
        <sz val="10"/>
        <color indexed="8"/>
        <rFont val="Arial"/>
        <family val="2"/>
      </rPr>
      <t>, med ganti selang hidrolis yang bocor</t>
    </r>
  </si>
  <si>
    <t>1480/1124,8</t>
  </si>
  <si>
    <t>1460/1109,6</t>
  </si>
  <si>
    <t>1377,88/1047,19</t>
  </si>
  <si>
    <t>1439,29/1093,86</t>
  </si>
  <si>
    <t>13/12,5</t>
  </si>
  <si>
    <t>130,5+140</t>
  </si>
  <si>
    <t>140+68+60</t>
  </si>
  <si>
    <t>120+140</t>
  </si>
  <si>
    <t>- Awal Shift PM Produksi F 12,5 Speed 1520/-24%</t>
  </si>
  <si>
    <t>- 20.00 Change Grade F 12, Speed 1540 / 24 %</t>
  </si>
  <si>
    <t>- Awal Shift PM Produksi F 12 Speed 1540/-24%</t>
  </si>
  <si>
    <t>- 09.45 change F13 Speed awal : 1540/-24%</t>
  </si>
  <si>
    <t>- Speed naik bertahap, rawan hole</t>
  </si>
  <si>
    <t>- Awal Shift PM Produksi F 13 Speed 1540/-24%</t>
  </si>
  <si>
    <t>- 16.30 PM Coba Naik Speed 1580 Mpm</t>
  </si>
  <si>
    <t xml:space="preserve">- 17.30 Muncul  Hole Sebelah FS &amp; DS, PM Turun Speed lagi 1550 Mpm </t>
  </si>
  <si>
    <t>- Speed PM Belum Bisa Maksimal rawan hole</t>
  </si>
  <si>
    <t>1540/1170</t>
  </si>
  <si>
    <t>1551/1179</t>
  </si>
  <si>
    <t>1550/1178</t>
  </si>
  <si>
    <t>- Awal Shift PM Produksi F 13 Speed 1550/-24%</t>
  </si>
  <si>
    <t>1547/1175</t>
  </si>
  <si>
    <t>- 14:34 Pm turun speed 1580mpm semprot felt masih hole
- Akhir shift Pm turun speed lagi sampai 1550 mpm hole masih ada</t>
  </si>
  <si>
    <t>- Speed naik bertahap felt masih baru</t>
  </si>
  <si>
    <t>- Pkl 13.23 jumbo turun kertas ada hole, speed 1600mpm</t>
  </si>
  <si>
    <t>1533/1165</t>
  </si>
  <si>
    <t>- Awal Shift PM Produksi F 12,5 Speed 1550/-24%</t>
  </si>
  <si>
    <t>1546/1175</t>
  </si>
  <si>
    <t>1539/1170</t>
  </si>
  <si>
    <t>- Change Blade (12x)</t>
  </si>
  <si>
    <t>- Change Blade (14x)</t>
  </si>
  <si>
    <t>12,5/12</t>
  </si>
  <si>
    <t>Dicky F</t>
  </si>
  <si>
    <t>140+122,5</t>
  </si>
  <si>
    <t>- coba naik speed ke 1600mpm kertas ada hole
- Pm turun speed 1550mpm hole hilang</t>
  </si>
  <si>
    <t>- 13.41 pm stop cek felt dan wire</t>
  </si>
  <si>
    <t>- 13.45 pm ganti wire</t>
  </si>
  <si>
    <t>- Awal Shift PM Stop pasang wire</t>
  </si>
  <si>
    <t>- 17.00 on reel PM jalan F 13 speed 1650/24%</t>
  </si>
  <si>
    <t>- 18.10 change grade F12 speed 1600/24%</t>
  </si>
  <si>
    <t>- 16.00 PM persiapan jalan
- 16.15 On reel
- 16.30 PM stop turbo vakum trip</t>
  </si>
  <si>
    <t>- PM jalan speed 1650 muncul hole sebelah FS, PM turun speed 1600 hole berkurang</t>
  </si>
  <si>
    <t>- Awal Shift PM Produksi F 12 Speed 1600/-24%</t>
  </si>
  <si>
    <t>- 23.22 tambor OFF Reel kertas blowing dan hole acak.</t>
  </si>
  <si>
    <t>- 23.30 Speed turun 1580 blowing &amp; hole acak berkurang</t>
  </si>
  <si>
    <t>- 00.00 speed turun 1560 blowing hilang</t>
  </si>
  <si>
    <t>1550/1174</t>
  </si>
  <si>
    <t>1609/1223</t>
  </si>
  <si>
    <t>1563/1188</t>
  </si>
  <si>
    <t>Planned Shut</t>
  </si>
  <si>
    <t>- Sheet Breaks (3x)</t>
  </si>
  <si>
    <t>- Change Spool (30x)</t>
  </si>
  <si>
    <t>PM Stop ganti wire</t>
  </si>
  <si>
    <t>PM sirkulasi di utm, med ganti selang hidrolis yang bocor</t>
  </si>
  <si>
    <t>13/12</t>
  </si>
  <si>
    <t>1572/1195</t>
  </si>
  <si>
    <t>146+122,5</t>
  </si>
  <si>
    <t>122,5*2</t>
  </si>
  <si>
    <t>15.40 Pm trip Outled presure low lubrication nipcoplex , cek lapangan selang outlet bocor perbaikan mekanik. 
18.00 On reel</t>
  </si>
  <si>
    <t xml:space="preserve">21.00 Med perbaikan piston lock spool clamp. pm sirkulasi utm 30 menit
21.30 pm on reel, med masih perbaikan piston lock sampai akhir shift belum selesai. </t>
  </si>
  <si>
    <t>Sementara pm change spool manual pakai crane.</t>
  </si>
  <si>
    <t xml:space="preserve">- Awal shift change spool manual pakai crane, piston spool clamp repair Med. </t>
  </si>
  <si>
    <t>- 01.13-01.29 Kertas sirkulasi/pope Reel OFF</t>
  </si>
  <si>
    <t>- Med pasang piston clamp spool dan change spool Auto.</t>
  </si>
  <si>
    <t>- Awal Shift PM Produksi F 13 Speed 1600/-24%</t>
  </si>
  <si>
    <t>- Speed belum maksimal rawan hole</t>
  </si>
  <si>
    <t>- Awal Shift PM Produksi F 12 Speed 1550/-24%</t>
  </si>
  <si>
    <t>- 11.20 change F13 Speed 1600/24%</t>
  </si>
  <si>
    <t>- Awal Shift PM Produksi F 13 Speed 1650/-24%</t>
  </si>
  <si>
    <t>1650/1254</t>
  </si>
  <si>
    <t>1608/1222</t>
  </si>
  <si>
    <t>- Change Spool (27x)</t>
  </si>
  <si>
    <t xml:space="preserve">- Change spool manual pakai crane, piston spool clamp repair Med. </t>
  </si>
  <si>
    <t>Med perbaikan piston lock spool clamp</t>
  </si>
  <si>
    <t xml:space="preserve">Change spool manual pakai crane, piston spool clamp repair Med. </t>
  </si>
  <si>
    <t>Pm trip Outled presure low lubrication nipcoplex, perbaikan mekanik</t>
  </si>
  <si>
    <t>- 15.40 Pm trip Outled presure low lubrication nipcoplex, perbaikan mekanik</t>
  </si>
  <si>
    <t>- 21.00 Med perbaikan piston lock spool clamp.</t>
  </si>
  <si>
    <t>LBKP ACACIA/RAPP</t>
  </si>
  <si>
    <t>- 03.23-03.48 Kertas sirkulasi/UTM,</t>
  </si>
  <si>
    <t>- Primary Arm saat lower berhenti sendiri/blm sampai down position karena signal ceck valve tiba² hilang.</t>
  </si>
  <si>
    <t>- Awal Shift PM Produksi F 13 Speed 1700/-24%</t>
  </si>
  <si>
    <t>1700/1292</t>
  </si>
  <si>
    <t>1683/1279</t>
  </si>
  <si>
    <t>- Change Blade (15x)</t>
  </si>
  <si>
    <t>- 03.23 Kertas sirkulasi/UTM</t>
  </si>
  <si>
    <t>Kertas sirkulasi/UTM</t>
  </si>
  <si>
    <t>- Ganti Selang Hydrolic Pope Reel &amp; Ganti Lock clamp spool sebelah DS yg Putus</t>
  </si>
  <si>
    <t>07.30 Spool Clamp Sebelah DS Putus &amp; Change Spool Manual Pakai Crane
10.25 kertas sirkulasi utm, med ganti selang Hydrolic pope reel</t>
  </si>
  <si>
    <t>10.40 Perbaikan Med Selesai Lanjut Ganti Selang Hydrolic pope reel. 
13.00 Pm Turun speed 1600 Mpm ada hole sebelah FS.</t>
  </si>
  <si>
    <t>- Awal Shift PM Produksi F 13 Speed 1620/-24%</t>
  </si>
  <si>
    <t>- Speed Pm belum bisa maksimal kadang muncul hole, speed naik bertahap.</t>
  </si>
  <si>
    <t>- 02.25 Change spool pakai crane</t>
  </si>
  <si>
    <t>- Piston spool clamp bengkok</t>
  </si>
  <si>
    <t>- Speed blm target kertas rawan hole.</t>
  </si>
  <si>
    <t>- Awal Shift PM Produksi F 13 Speed 1660/-24%</t>
  </si>
  <si>
    <t>1620/480</t>
  </si>
  <si>
    <t>1660/1261</t>
  </si>
  <si>
    <t>1626/1236</t>
  </si>
  <si>
    <t>- Speed PM Belum Bisa Maksimal Kadang Muncul Hole, Speed Naik Bertahap.</t>
  </si>
  <si>
    <t>- Med Pasang Piston Lock Pope Reel Kertas Di sirkulasi di UTM</t>
  </si>
  <si>
    <t>- Crane Macet Tidak Bisa Naik Perbaikan Eid + Change Spool Manual Pakai Crane</t>
  </si>
  <si>
    <t>- 19.30 Saat change spool clamp tidak bisa open perbaikan eid, Pm sirkulasi lagi. 
- 20.15 pm on reel</t>
  </si>
  <si>
    <t xml:space="preserve">- Speed PM Belum Bisa Maksimal Kadang Muncul Hole, Speed Naik Bertahap. </t>
  </si>
  <si>
    <t>- 18.35 saat change spool, primary arm eror perbaikan eid, pm sirkulasi utm</t>
  </si>
  <si>
    <t>- 19.00 ok pm on reel</t>
  </si>
  <si>
    <t>- Awal Shift PM Produksi F 13 Speed 1670/-24%</t>
  </si>
  <si>
    <t>- Speed belum maximal rawan hole</t>
  </si>
  <si>
    <t>1670/1269</t>
  </si>
  <si>
    <t>1663/1264</t>
  </si>
  <si>
    <t>- Crane Macet Tidak Bisa Naik, Change Spool Manual Pakai Crane &amp; Primary arm eror perbaikan eid</t>
  </si>
  <si>
    <t>- Change Blade (13x)</t>
  </si>
  <si>
    <t>Crane Macet Tidak Bisa Naik, Change Spool Manual Pakai Crane &amp; Primary arm eror perbaikan eid</t>
  </si>
  <si>
    <t>Med Pasang Piston Lock Pope Reel Kertas Di sirkulasi di UTM</t>
  </si>
  <si>
    <t>NBKP SODRA</t>
  </si>
  <si>
    <t>SCA</t>
  </si>
  <si>
    <t xml:space="preserve">03.18 selang hidrolis spool clamp pecah sebelah DS, pm sirkulasi di utm
05.00 mekanik pasang selang hidrolis spool clamp </t>
  </si>
  <si>
    <t>05.15 selang hidrolis spool clamp bocor lagi
05.40 pm terpaksa stop broke penuh</t>
  </si>
  <si>
    <t>Akhir shift belum bisa jalan primary masih belum bisa Up dan selang yang bocor sementara ditutup/ditumbeng</t>
  </si>
  <si>
    <t xml:space="preserve">- Awal Shift PM Masih Stop, Tunggu Med Perbaikan Selang Hidrolis Spool Clamp Yang Bocor ( Di Tumbeng) </t>
  </si>
  <si>
    <t xml:space="preserve">- 07.50 Med Selesai Perbaikan PM langsung Start 
- 08.00 On Reel, Kertas Blm Acc QC( keriput) </t>
  </si>
  <si>
    <t>- 09.30 On Reel
- 14.00 PM Turun Speed 1650 Mpm, Ada Hole Sebelah FS
- Speed PM Belum Bisa Maksimal Kadang Muncul Hole, Speed Naik Bertahap.</t>
  </si>
  <si>
    <t>- 08.10 On Reel Acc Qc speed 1680/-24%
- 09.10 Loss Time MED 20 Menit, Kertas Masuk UTM Karena MED Pasang Selang Hydrolic Spool Clamp Sebelah DS</t>
  </si>
  <si>
    <t>1675/1273</t>
  </si>
  <si>
    <t>1657/1259</t>
  </si>
  <si>
    <t>- Change Spool (22x)</t>
  </si>
  <si>
    <t>- 03.18 selang hidrolis spool clamp pecah sebelah DS, pm sirkulasi di utm, perbaikan mekanik</t>
  </si>
  <si>
    <t>- Awal Shift PM Masih Stop, Tunggu Med Perbaikan Selang Hidrolis Spool Clamp Yang Bocor</t>
  </si>
  <si>
    <t>- 09.10 Kertas Masuk UTM Karena MED Pasang Selang Hydrolic Spool Clamp Sebelah DS</t>
  </si>
  <si>
    <t>Selang hidrolis spool clamp pecah sebelah DS, pm sirkulasi di utm, perbaikan mekanik</t>
  </si>
  <si>
    <t>Selang hidrolis spool clamp pecah sebelah DS, PM STOP krn utm penuh, perbaikan mekanik</t>
  </si>
  <si>
    <t xml:space="preserve">- Speed turun 1660 ke 1600 Mpm pinhole masih ada. </t>
  </si>
  <si>
    <t>- Speed turun lagi 1550 Mpm kertas baru bisa acc Qc.</t>
  </si>
  <si>
    <t>- Awal Shift PM Produksi F 10,3 Speed 1550/-16%</t>
  </si>
  <si>
    <t>- Speed naik bertahap</t>
  </si>
  <si>
    <t xml:space="preserve">- 22:00 Change ke F.10,3 LB speed 1550/-16% kertas muncul pinhole acak. </t>
  </si>
  <si>
    <t>1612/1272</t>
  </si>
  <si>
    <t>pengalian</t>
  </si>
  <si>
    <t>- Awal Shift PM Produksi F 10,3 Speed 1570/-16%</t>
  </si>
  <si>
    <t>Speed masih belum maksimal rawan hole</t>
  </si>
  <si>
    <t>Speed naik bertahap</t>
  </si>
  <si>
    <t>- Awal Shift PM Produksi F 10,3 Speed 1630/-16%</t>
  </si>
  <si>
    <t>- Speed blm target kertas rawan pinhole</t>
  </si>
  <si>
    <t>- Awal Shift PM Produksi F 10,3 Speed 1600/-16%</t>
  </si>
  <si>
    <t>1570/1318</t>
  </si>
  <si>
    <t>1630/1369</t>
  </si>
  <si>
    <t>- Awal Shift PM Produksi F 10,3 Speed 1670/-16%</t>
  </si>
  <si>
    <t>- 18.40 kertas muncul blowing DS, speed turun 1670 ke 1620 sambil cleaning/karcher SPR. 19.00 Blowing baru bisa hilang.</t>
  </si>
  <si>
    <t>1642/1380</t>
  </si>
  <si>
    <t>- Awal Shift PM Produksi F 10,3 Speed 1620/-16%</t>
  </si>
  <si>
    <t>1620/1360</t>
  </si>
  <si>
    <t>1630/1370</t>
  </si>
  <si>
    <t>Speed blm target kertas rawan hole.</t>
  </si>
  <si>
    <t xml:space="preserve">- Speed Masih Belum Bisa Maksimal Rawan Hole </t>
  </si>
  <si>
    <t>- Speed Naik Bertahap</t>
  </si>
  <si>
    <t>- 22:00 Change ke F.12 Gsm HB Speed 1620 Mpm/-24%</t>
  </si>
  <si>
    <t>- Awal Shift PM Produksi F.12 Gsm HB Speed 1620 Mpm/-24%</t>
  </si>
  <si>
    <t>1620/1344</t>
  </si>
  <si>
    <t>1620/1231</t>
  </si>
  <si>
    <t>1620/1312</t>
  </si>
  <si>
    <t>10,3/12</t>
  </si>
  <si>
    <t>- 09.00 Rewinder A stop  ganti battom roll (perbaikan med) sampai akhir shift</t>
  </si>
  <si>
    <t>- Awal Shift PM Produksi F.12 Gsm HB Speed 1600 Mpm/-24%</t>
  </si>
  <si>
    <t>12</t>
  </si>
  <si>
    <t>seset rewinder chuck macet     : 350 kg (lost time med)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</si>
  <si>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</si>
  <si>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</si>
  <si>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</si>
  <si>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</si>
  <si>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</si>
  <si>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</si>
  <si>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</si>
  <si>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</si>
  <si>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>- Speed Masih Belum Bisa Maksimal Rawan Hole</t>
  </si>
  <si>
    <t>- 04:00 Ropegate Crane 15 Ton Lepas</t>
  </si>
  <si>
    <t>- sementara ganti crane 10 ton</t>
  </si>
  <si>
    <t>- Awal Shift PM Produksi F 13 Gsm HB Speed 1600 Mpm/-24%</t>
  </si>
  <si>
    <t>- 20:58 change F 13 speed 1600/-24%</t>
  </si>
  <si>
    <t>Slamet A</t>
  </si>
  <si>
    <t>135*2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</si>
</sst>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.00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_-* #,##0.000_-;\-* #,##0.000_-;_-* &quot;-&quot;???_-;_-@_-"/>
  </numFmts>
  <fonts count="7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C9EE9C"/>
        <bgColor indexed="64"/>
      </patternFill>
    </fill>
    <fill>
      <patternFill patternType="solid">
        <fgColor rgb="FFEAA0C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9" fillId="0" borderId="0"/>
    <xf numFmtId="0" fontId="4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5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015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165" fontId="0" fillId="0" borderId="0" xfId="0" applyNumberFormat="1"/>
    <xf numFmtId="170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0" xfId="0" applyNumberFormat="1" applyFont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28" fillId="24" borderId="11" xfId="0" quotePrefix="1" applyFont="1" applyFill="1" applyBorder="1"/>
    <xf numFmtId="0" fontId="28" fillId="24" borderId="13" xfId="0" quotePrefix="1" applyFont="1" applyFill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7" fontId="43" fillId="0" borderId="0" xfId="0" applyNumberFormat="1" applyFont="1" applyAlignment="1">
      <alignment horizontal="center" vertical="center" wrapText="1"/>
    </xf>
    <xf numFmtId="178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1" applyNumberFormat="1" applyFont="1" applyFill="1" applyBorder="1" applyAlignment="1">
      <alignment horizontal="center" vertical="center" wrapText="1"/>
    </xf>
    <xf numFmtId="0" fontId="44" fillId="0" borderId="0" xfId="0" applyFont="1"/>
    <xf numFmtId="178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7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7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8" fontId="43" fillId="0" borderId="11" xfId="29" applyNumberFormat="1" applyFont="1" applyFill="1" applyBorder="1" applyAlignment="1">
      <alignment vertical="center"/>
    </xf>
    <xf numFmtId="166" fontId="43" fillId="0" borderId="11" xfId="51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2" fontId="40" fillId="0" borderId="11" xfId="45" applyNumberFormat="1" applyFont="1" applyBorder="1" applyAlignment="1">
      <alignment horizontal="center"/>
    </xf>
    <xf numFmtId="0" fontId="40" fillId="0" borderId="11" xfId="45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1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8" fontId="40" fillId="0" borderId="11" xfId="29" applyNumberFormat="1" applyFont="1" applyFill="1" applyBorder="1" applyAlignment="1">
      <alignment horizontal="center"/>
    </xf>
    <xf numFmtId="178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7" applyNumberFormat="1" applyFont="1" applyBorder="1"/>
    <xf numFmtId="178" fontId="44" fillId="0" borderId="11" xfId="29" applyNumberFormat="1" applyFont="1" applyFill="1" applyBorder="1" applyAlignment="1">
      <alignment vertical="center"/>
    </xf>
    <xf numFmtId="2" fontId="37" fillId="0" borderId="11" xfId="47" applyNumberFormat="1" applyFont="1" applyBorder="1"/>
    <xf numFmtId="0" fontId="43" fillId="0" borderId="11" xfId="0" applyFont="1" applyBorder="1" applyAlignment="1">
      <alignment horizontal="center" wrapText="1"/>
    </xf>
    <xf numFmtId="9" fontId="43" fillId="0" borderId="11" xfId="0" applyNumberFormat="1" applyFont="1" applyBorder="1" applyAlignment="1">
      <alignment horizontal="center" wrapText="1"/>
    </xf>
    <xf numFmtId="0" fontId="24" fillId="24" borderId="11" xfId="44" applyFont="1" applyFill="1" applyBorder="1"/>
    <xf numFmtId="178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7" fontId="43" fillId="0" borderId="0" xfId="0" applyNumberFormat="1" applyFont="1"/>
    <xf numFmtId="172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8" fontId="44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8" applyFont="1" applyBorder="1"/>
    <xf numFmtId="10" fontId="44" fillId="25" borderId="11" xfId="51" applyNumberFormat="1" applyFont="1" applyFill="1" applyBorder="1" applyAlignment="1">
      <alignment vertical="center"/>
    </xf>
    <xf numFmtId="166" fontId="44" fillId="25" borderId="11" xfId="51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2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8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8" fontId="44" fillId="0" borderId="0" xfId="29" applyNumberFormat="1" applyFont="1" applyFill="1" applyBorder="1" applyAlignment="1">
      <alignment horizontal="right"/>
    </xf>
    <xf numFmtId="166" fontId="44" fillId="0" borderId="0" xfId="51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1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79" fontId="51" fillId="0" borderId="11" xfId="29" applyNumberFormat="1" applyFont="1" applyFill="1" applyBorder="1" applyAlignment="1">
      <alignment vertical="center"/>
    </xf>
    <xf numFmtId="166" fontId="51" fillId="0" borderId="0" xfId="52" applyNumberFormat="1" applyFont="1" applyFill="1" applyBorder="1" applyAlignment="1">
      <alignment vertical="center"/>
    </xf>
    <xf numFmtId="178" fontId="50" fillId="0" borderId="11" xfId="29" applyNumberFormat="1" applyFont="1" applyFill="1" applyBorder="1" applyAlignment="1">
      <alignment vertical="center"/>
    </xf>
    <xf numFmtId="10" fontId="51" fillId="25" borderId="11" xfId="51" applyNumberFormat="1" applyFont="1" applyFill="1" applyBorder="1"/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5" fontId="28" fillId="24" borderId="36" xfId="28" applyFont="1" applyFill="1" applyBorder="1" applyAlignment="1" applyProtection="1">
      <alignment horizontal="center" vertical="center"/>
    </xf>
    <xf numFmtId="166" fontId="28" fillId="24" borderId="37" xfId="51" applyNumberFormat="1" applyFont="1" applyFill="1" applyBorder="1" applyAlignment="1" applyProtection="1">
      <alignment horizontal="center" vertical="center"/>
    </xf>
    <xf numFmtId="166" fontId="28" fillId="24" borderId="30" xfId="51" applyNumberFormat="1" applyFont="1" applyFill="1" applyBorder="1" applyAlignment="1" applyProtection="1">
      <alignment horizontal="center" vertical="center"/>
    </xf>
    <xf numFmtId="166" fontId="28" fillId="24" borderId="38" xfId="51" applyNumberFormat="1" applyFont="1" applyFill="1" applyBorder="1" applyAlignment="1" applyProtection="1">
      <alignment horizontal="center" vertical="center"/>
    </xf>
    <xf numFmtId="165" fontId="28" fillId="24" borderId="39" xfId="28" applyFont="1" applyFill="1" applyBorder="1" applyAlignment="1" applyProtection="1">
      <alignment horizontal="center" vertical="center"/>
    </xf>
    <xf numFmtId="165" fontId="28" fillId="24" borderId="39" xfId="28" applyFont="1" applyFill="1" applyBorder="1" applyAlignment="1" applyProtection="1">
      <alignment horizontal="center"/>
    </xf>
    <xf numFmtId="165" fontId="28" fillId="24" borderId="40" xfId="28" applyFont="1" applyFill="1" applyBorder="1" applyAlignment="1" applyProtection="1">
      <alignment horizontal="center"/>
    </xf>
    <xf numFmtId="166" fontId="28" fillId="24" borderId="41" xfId="51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2" xfId="28" applyFont="1" applyFill="1" applyBorder="1" applyAlignment="1" applyProtection="1">
      <alignment horizontal="center" vertical="center"/>
    </xf>
    <xf numFmtId="166" fontId="28" fillId="24" borderId="36" xfId="51" applyNumberFormat="1" applyFont="1" applyFill="1" applyBorder="1" applyAlignment="1" applyProtection="1">
      <alignment horizontal="center" vertical="center"/>
    </xf>
    <xf numFmtId="166" fontId="28" fillId="24" borderId="15" xfId="51" applyNumberFormat="1" applyFont="1" applyFill="1" applyBorder="1" applyAlignment="1" applyProtection="1">
      <alignment horizontal="center" vertical="center"/>
    </xf>
    <xf numFmtId="166" fontId="28" fillId="24" borderId="35" xfId="51" applyNumberFormat="1" applyFont="1" applyFill="1" applyBorder="1" applyAlignment="1" applyProtection="1">
      <alignment horizontal="center" vertical="center"/>
    </xf>
    <xf numFmtId="165" fontId="28" fillId="24" borderId="36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4" xfId="28" applyFont="1" applyFill="1" applyBorder="1" applyAlignment="1" applyProtection="1">
      <alignment horizontal="center"/>
    </xf>
    <xf numFmtId="165" fontId="28" fillId="24" borderId="38" xfId="28" applyFont="1" applyFill="1" applyBorder="1" applyAlignment="1" applyProtection="1">
      <alignment horizontal="center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0" fontId="28" fillId="24" borderId="47" xfId="0" applyFont="1" applyFill="1" applyBorder="1" applyAlignment="1">
      <alignment horizontal="left"/>
    </xf>
    <xf numFmtId="165" fontId="28" fillId="24" borderId="27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9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4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1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50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8" xfId="28" applyFont="1" applyFill="1" applyBorder="1" applyAlignment="1" applyProtection="1">
      <alignment horizontal="center"/>
    </xf>
    <xf numFmtId="166" fontId="28" fillId="24" borderId="23" xfId="51" applyNumberFormat="1" applyFont="1" applyFill="1" applyBorder="1" applyProtection="1"/>
    <xf numFmtId="166" fontId="28" fillId="24" borderId="24" xfId="51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3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2" xfId="0" applyFont="1" applyFill="1" applyBorder="1" applyAlignment="1">
      <alignment horizontal="center" vertical="center"/>
    </xf>
    <xf numFmtId="0" fontId="28" fillId="24" borderId="52" xfId="0" applyFont="1" applyFill="1" applyBorder="1" applyAlignment="1">
      <alignment horizontal="center"/>
    </xf>
    <xf numFmtId="0" fontId="28" fillId="24" borderId="42" xfId="0" applyFont="1" applyFill="1" applyBorder="1" applyAlignment="1">
      <alignment horizontal="center" wrapText="1"/>
    </xf>
    <xf numFmtId="0" fontId="28" fillId="24" borderId="33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53" xfId="0" applyFont="1" applyFill="1" applyBorder="1" applyAlignment="1">
      <alignment horizontal="left" vertical="center"/>
    </xf>
    <xf numFmtId="0" fontId="28" fillId="24" borderId="54" xfId="0" quotePrefix="1" applyFont="1" applyFill="1" applyBorder="1"/>
    <xf numFmtId="0" fontId="28" fillId="24" borderId="35" xfId="0" applyFont="1" applyFill="1" applyBorder="1" applyAlignment="1">
      <alignment vertical="center" wrapText="1"/>
    </xf>
    <xf numFmtId="0" fontId="28" fillId="24" borderId="30" xfId="0" applyFont="1" applyFill="1" applyBorder="1" applyAlignment="1">
      <alignment horizontal="left" vertical="center"/>
    </xf>
    <xf numFmtId="0" fontId="28" fillId="24" borderId="41" xfId="0" applyFont="1" applyFill="1" applyBorder="1" applyAlignment="1">
      <alignment vertical="center" wrapText="1"/>
    </xf>
    <xf numFmtId="0" fontId="28" fillId="24" borderId="55" xfId="0" applyFont="1" applyFill="1" applyBorder="1" applyAlignment="1">
      <alignment horizontal="left" vertical="center"/>
    </xf>
    <xf numFmtId="0" fontId="28" fillId="24" borderId="54" xfId="0" applyFont="1" applyFill="1" applyBorder="1" applyAlignment="1">
      <alignment horizontal="center"/>
    </xf>
    <xf numFmtId="0" fontId="28" fillId="24" borderId="54" xfId="0" applyFont="1" applyFill="1" applyBorder="1"/>
    <xf numFmtId="0" fontId="28" fillId="24" borderId="56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left" vertical="center"/>
    </xf>
    <xf numFmtId="0" fontId="28" fillId="24" borderId="29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7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/>
    </xf>
    <xf numFmtId="0" fontId="24" fillId="24" borderId="33" xfId="0" applyFont="1" applyFill="1" applyBorder="1"/>
    <xf numFmtId="0" fontId="24" fillId="24" borderId="42" xfId="0" applyFont="1" applyFill="1" applyBorder="1"/>
    <xf numFmtId="0" fontId="28" fillId="24" borderId="15" xfId="0" applyFont="1" applyFill="1" applyBorder="1"/>
    <xf numFmtId="0" fontId="28" fillId="24" borderId="42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7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8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9" xfId="0" applyFont="1" applyFill="1" applyBorder="1"/>
    <xf numFmtId="0" fontId="28" fillId="24" borderId="60" xfId="0" applyFont="1" applyFill="1" applyBorder="1" applyAlignment="1">
      <alignment horizontal="left"/>
    </xf>
    <xf numFmtId="0" fontId="24" fillId="24" borderId="60" xfId="0" applyFont="1" applyFill="1" applyBorder="1"/>
    <xf numFmtId="165" fontId="24" fillId="24" borderId="60" xfId="28" applyFont="1" applyFill="1" applyBorder="1" applyProtection="1"/>
    <xf numFmtId="0" fontId="24" fillId="24" borderId="32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1" applyNumberFormat="1" applyFont="1" applyFill="1" applyBorder="1" applyProtection="1"/>
    <xf numFmtId="0" fontId="28" fillId="24" borderId="29" xfId="0" applyFont="1" applyFill="1" applyBorder="1"/>
    <xf numFmtId="0" fontId="28" fillId="24" borderId="0" xfId="0" applyFont="1" applyFill="1" applyAlignment="1">
      <alignment horizontal="left"/>
    </xf>
    <xf numFmtId="0" fontId="24" fillId="24" borderId="61" xfId="0" applyFont="1" applyFill="1" applyBorder="1"/>
    <xf numFmtId="0" fontId="24" fillId="24" borderId="29" xfId="0" applyFont="1" applyFill="1" applyBorder="1"/>
    <xf numFmtId="0" fontId="24" fillId="24" borderId="31" xfId="0" applyFont="1" applyFill="1" applyBorder="1"/>
    <xf numFmtId="0" fontId="28" fillId="24" borderId="62" xfId="0" applyFont="1" applyFill="1" applyBorder="1"/>
    <xf numFmtId="165" fontId="28" fillId="24" borderId="62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1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3" xfId="0" applyFont="1" applyFill="1" applyBorder="1" applyAlignment="1" applyProtection="1">
      <alignment horizontal="left" vertical="center"/>
      <protection locked="0"/>
    </xf>
    <xf numFmtId="165" fontId="28" fillId="24" borderId="61" xfId="28" applyFont="1" applyFill="1" applyBorder="1" applyAlignment="1" applyProtection="1">
      <alignment horizontal="center" vertical="center"/>
      <protection locked="0"/>
    </xf>
    <xf numFmtId="165" fontId="28" fillId="24" borderId="63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44" xfId="28" applyFont="1" applyFill="1" applyBorder="1" applyAlignment="1" applyProtection="1">
      <protection locked="0"/>
    </xf>
    <xf numFmtId="165" fontId="28" fillId="24" borderId="44" xfId="28" applyFont="1" applyFill="1" applyBorder="1" applyAlignment="1" applyProtection="1">
      <alignment horizontal="center"/>
      <protection locked="0"/>
    </xf>
    <xf numFmtId="165" fontId="28" fillId="24" borderId="56" xfId="51" applyNumberFormat="1" applyFont="1" applyFill="1" applyBorder="1" applyAlignment="1" applyProtection="1">
      <alignment horizontal="center" vertical="center"/>
      <protection locked="0"/>
    </xf>
    <xf numFmtId="165" fontId="28" fillId="24" borderId="55" xfId="51" applyNumberFormat="1" applyFont="1" applyFill="1" applyBorder="1" applyAlignment="1" applyProtection="1">
      <alignment horizontal="center" vertical="center"/>
      <protection locked="0"/>
    </xf>
    <xf numFmtId="165" fontId="28" fillId="24" borderId="65" xfId="51" applyNumberFormat="1" applyFont="1" applyFill="1" applyBorder="1" applyAlignment="1" applyProtection="1">
      <alignment horizontal="center" vertical="center"/>
      <protection locked="0"/>
    </xf>
    <xf numFmtId="165" fontId="28" fillId="24" borderId="44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4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8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4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5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68" fontId="40" fillId="0" borderId="11" xfId="0" applyNumberFormat="1" applyFont="1" applyBorder="1" applyAlignment="1">
      <alignment horizontal="center"/>
    </xf>
    <xf numFmtId="178" fontId="43" fillId="0" borderId="17" xfId="29" applyNumberFormat="1" applyFont="1" applyBorder="1" applyAlignment="1">
      <alignment vertical="center"/>
    </xf>
    <xf numFmtId="178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8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6" xfId="0" applyBorder="1"/>
    <xf numFmtId="165" fontId="0" fillId="0" borderId="66" xfId="0" applyNumberFormat="1" applyBorder="1"/>
    <xf numFmtId="0" fontId="54" fillId="0" borderId="0" xfId="41" applyFont="1"/>
    <xf numFmtId="0" fontId="55" fillId="0" borderId="0" xfId="41" applyFont="1"/>
    <xf numFmtId="0" fontId="55" fillId="0" borderId="0" xfId="41" applyFont="1" applyAlignment="1">
      <alignment horizontal="center"/>
    </xf>
    <xf numFmtId="2" fontId="55" fillId="0" borderId="0" xfId="41" applyNumberFormat="1" applyFont="1" applyAlignment="1">
      <alignment horizontal="center"/>
    </xf>
    <xf numFmtId="0" fontId="49" fillId="0" borderId="0" xfId="41"/>
    <xf numFmtId="0" fontId="49" fillId="0" borderId="0" xfId="41" applyAlignment="1">
      <alignment horizontal="center"/>
    </xf>
    <xf numFmtId="2" fontId="49" fillId="0" borderId="0" xfId="41" applyNumberFormat="1" applyAlignment="1">
      <alignment horizontal="center"/>
    </xf>
    <xf numFmtId="2" fontId="49" fillId="0" borderId="0" xfId="41" applyNumberFormat="1"/>
    <xf numFmtId="0" fontId="56" fillId="0" borderId="0" xfId="41" applyFont="1"/>
    <xf numFmtId="16" fontId="49" fillId="0" borderId="10" xfId="41" applyNumberFormat="1" applyBorder="1"/>
    <xf numFmtId="0" fontId="49" fillId="0" borderId="11" xfId="41" applyBorder="1"/>
    <xf numFmtId="2" fontId="49" fillId="0" borderId="11" xfId="41" applyNumberFormat="1" applyBorder="1" applyAlignment="1">
      <alignment horizontal="center"/>
    </xf>
    <xf numFmtId="165" fontId="49" fillId="11" borderId="11" xfId="28" applyFont="1" applyFill="1" applyBorder="1" applyAlignment="1" applyProtection="1">
      <alignment horizontal="center"/>
    </xf>
    <xf numFmtId="0" fontId="57" fillId="0" borderId="0" xfId="41" applyFont="1"/>
    <xf numFmtId="0" fontId="49" fillId="0" borderId="10" xfId="41" applyBorder="1"/>
    <xf numFmtId="0" fontId="49" fillId="0" borderId="11" xfId="41" applyBorder="1" applyAlignment="1">
      <alignment horizontal="left"/>
    </xf>
    <xf numFmtId="0" fontId="49" fillId="0" borderId="11" xfId="41" applyBorder="1" applyAlignment="1">
      <alignment horizontal="right"/>
    </xf>
    <xf numFmtId="165" fontId="57" fillId="0" borderId="23" xfId="28" applyFont="1" applyBorder="1" applyProtection="1"/>
    <xf numFmtId="0" fontId="49" fillId="0" borderId="0" xfId="42" applyAlignment="1">
      <alignment horizontal="center"/>
    </xf>
    <xf numFmtId="39" fontId="49" fillId="0" borderId="0" xfId="42" quotePrefix="1" applyNumberFormat="1" applyAlignment="1">
      <alignment horizontal="left"/>
    </xf>
    <xf numFmtId="0" fontId="49" fillId="0" borderId="0" xfId="41" quotePrefix="1"/>
    <xf numFmtId="39" fontId="49" fillId="0" borderId="0" xfId="42" applyNumberFormat="1"/>
    <xf numFmtId="39" fontId="49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0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0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170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1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2" fillId="0" borderId="17" xfId="28" applyNumberFormat="1" applyFont="1" applyBorder="1" applyProtection="1"/>
    <xf numFmtId="167" fontId="32" fillId="0" borderId="17" xfId="28" applyNumberFormat="1" applyFont="1" applyBorder="1" applyProtection="1"/>
    <xf numFmtId="171" fontId="32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3" fontId="29" fillId="0" borderId="17" xfId="28" applyNumberFormat="1" applyFont="1" applyBorder="1" applyProtection="1"/>
    <xf numFmtId="0" fontId="29" fillId="0" borderId="11" xfId="0" applyFont="1" applyBorder="1"/>
    <xf numFmtId="171" fontId="29" fillId="0" borderId="11" xfId="28" applyNumberFormat="1" applyFont="1" applyBorder="1" applyProtection="1"/>
    <xf numFmtId="38" fontId="29" fillId="0" borderId="11" xfId="28" applyNumberFormat="1" applyFont="1" applyBorder="1" applyProtection="1"/>
    <xf numFmtId="1" fontId="29" fillId="0" borderId="17" xfId="0" applyNumberFormat="1" applyFont="1" applyBorder="1" applyAlignment="1">
      <alignment horizontal="center"/>
    </xf>
    <xf numFmtId="165" fontId="29" fillId="0" borderId="17" xfId="28" applyFont="1" applyBorder="1" applyProtection="1"/>
    <xf numFmtId="177" fontId="0" fillId="0" borderId="0" xfId="0" applyNumberFormat="1"/>
    <xf numFmtId="173" fontId="32" fillId="0" borderId="0" xfId="28" applyNumberFormat="1" applyFont="1" applyBorder="1" applyProtection="1"/>
    <xf numFmtId="173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7" fillId="24" borderId="10" xfId="0" applyNumberFormat="1" applyFont="1" applyFill="1" applyBorder="1" applyAlignment="1">
      <alignment horizontal="left"/>
    </xf>
    <xf numFmtId="172" fontId="48" fillId="0" borderId="11" xfId="45" applyNumberFormat="1" applyFont="1" applyBorder="1" applyAlignment="1">
      <alignment horizontal="center"/>
    </xf>
    <xf numFmtId="0" fontId="54" fillId="0" borderId="0" xfId="0" applyFont="1"/>
    <xf numFmtId="0" fontId="49" fillId="0" borderId="0" xfId="0" applyFont="1"/>
    <xf numFmtId="16" fontId="24" fillId="24" borderId="0" xfId="28" applyNumberFormat="1" applyFont="1" applyFill="1" applyBorder="1" applyProtection="1">
      <protection locked="0"/>
    </xf>
    <xf numFmtId="167" fontId="57" fillId="0" borderId="11" xfId="28" applyNumberFormat="1" applyFont="1" applyBorder="1" applyProtection="1"/>
    <xf numFmtId="164" fontId="43" fillId="0" borderId="11" xfId="29" applyFont="1" applyFill="1" applyBorder="1"/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8" fontId="44" fillId="0" borderId="0" xfId="29" applyNumberFormat="1" applyFont="1" applyFill="1" applyBorder="1" applyAlignment="1">
      <alignment vertical="center"/>
    </xf>
    <xf numFmtId="178" fontId="28" fillId="24" borderId="21" xfId="29" applyNumberFormat="1" applyFont="1" applyFill="1" applyBorder="1" applyAlignment="1" applyProtection="1">
      <alignment horizontal="right" vertical="center"/>
    </xf>
    <xf numFmtId="178" fontId="28" fillId="24" borderId="17" xfId="29" applyNumberFormat="1" applyFont="1" applyFill="1" applyBorder="1" applyAlignment="1" applyProtection="1">
      <alignment horizontal="right" vertical="center"/>
    </xf>
    <xf numFmtId="178" fontId="28" fillId="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 vertical="center"/>
    </xf>
    <xf numFmtId="178" fontId="24" fillId="2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/>
    </xf>
    <xf numFmtId="178" fontId="28" fillId="24" borderId="14" xfId="29" applyNumberFormat="1" applyFont="1" applyFill="1" applyBorder="1" applyAlignment="1" applyProtection="1">
      <alignment horizontal="right"/>
    </xf>
    <xf numFmtId="178" fontId="28" fillId="24" borderId="23" xfId="29" applyNumberFormat="1" applyFont="1" applyFill="1" applyBorder="1" applyAlignment="1" applyProtection="1">
      <alignment horizontal="right"/>
    </xf>
    <xf numFmtId="10" fontId="43" fillId="0" borderId="0" xfId="51" applyNumberFormat="1" applyFont="1" applyFill="1" applyBorder="1"/>
    <xf numFmtId="10" fontId="44" fillId="0" borderId="11" xfId="51" applyNumberFormat="1" applyFont="1" applyFill="1" applyBorder="1"/>
    <xf numFmtId="10" fontId="43" fillId="0" borderId="0" xfId="51" applyNumberFormat="1" applyFont="1" applyFill="1" applyBorder="1" applyAlignment="1">
      <alignment vertical="center"/>
    </xf>
    <xf numFmtId="10" fontId="44" fillId="27" borderId="0" xfId="51" applyNumberFormat="1" applyFont="1" applyFill="1" applyBorder="1"/>
    <xf numFmtId="10" fontId="44" fillId="0" borderId="11" xfId="51" applyNumberFormat="1" applyFont="1" applyFill="1" applyBorder="1" applyAlignment="1">
      <alignment vertical="center"/>
    </xf>
    <xf numFmtId="0" fontId="43" fillId="28" borderId="0" xfId="0" applyFont="1" applyFill="1"/>
    <xf numFmtId="0" fontId="53" fillId="28" borderId="0" xfId="0" applyFont="1" applyFill="1"/>
    <xf numFmtId="178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0" fontId="43" fillId="28" borderId="0" xfId="0" applyNumberFormat="1" applyFont="1" applyFill="1" applyAlignment="1">
      <alignment horizontal="right"/>
    </xf>
    <xf numFmtId="165" fontId="44" fillId="28" borderId="0" xfId="0" applyNumberFormat="1" applyFont="1" applyFill="1" applyAlignment="1">
      <alignment horizontal="right"/>
    </xf>
    <xf numFmtId="166" fontId="44" fillId="28" borderId="0" xfId="51" applyNumberFormat="1" applyFont="1" applyFill="1" applyBorder="1" applyAlignment="1">
      <alignment vertical="center"/>
    </xf>
    <xf numFmtId="178" fontId="44" fillId="25" borderId="13" xfId="29" applyNumberFormat="1" applyFont="1" applyFill="1" applyBorder="1" applyAlignment="1">
      <alignment vertical="center"/>
    </xf>
    <xf numFmtId="178" fontId="44" fillId="25" borderId="19" xfId="29" applyNumberFormat="1" applyFont="1" applyFill="1" applyBorder="1" applyAlignment="1">
      <alignment vertical="center"/>
    </xf>
    <xf numFmtId="166" fontId="44" fillId="25" borderId="19" xfId="51" applyNumberFormat="1" applyFont="1" applyFill="1" applyBorder="1" applyAlignment="1">
      <alignment vertical="center"/>
    </xf>
    <xf numFmtId="0" fontId="43" fillId="0" borderId="17" xfId="0" applyFont="1" applyBorder="1"/>
    <xf numFmtId="10" fontId="51" fillId="29" borderId="11" xfId="51" applyNumberFormat="1" applyFont="1" applyFill="1" applyBorder="1" applyAlignment="1">
      <alignment vertical="center"/>
    </xf>
    <xf numFmtId="178" fontId="44" fillId="4" borderId="11" xfId="29" applyNumberFormat="1" applyFont="1" applyFill="1" applyBorder="1" applyAlignment="1">
      <alignment horizontal="center"/>
    </xf>
    <xf numFmtId="10" fontId="51" fillId="4" borderId="11" xfId="51" applyNumberFormat="1" applyFont="1" applyFill="1" applyBorder="1" applyAlignment="1">
      <alignment vertical="center"/>
    </xf>
    <xf numFmtId="0" fontId="46" fillId="0" borderId="0" xfId="0" applyFont="1"/>
    <xf numFmtId="0" fontId="0" fillId="0" borderId="68" xfId="0" applyBorder="1"/>
    <xf numFmtId="0" fontId="0" fillId="0" borderId="27" xfId="0" applyBorder="1"/>
    <xf numFmtId="0" fontId="46" fillId="0" borderId="27" xfId="0" applyFont="1" applyBorder="1"/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3" xfId="28" applyNumberFormat="1" applyFont="1" applyFill="1" applyBorder="1" applyAlignment="1" applyProtection="1">
      <alignment horizontal="center"/>
    </xf>
    <xf numFmtId="167" fontId="34" fillId="32" borderId="11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33" borderId="13" xfId="28" applyNumberFormat="1" applyFont="1" applyFill="1" applyBorder="1" applyAlignment="1" applyProtection="1">
      <alignment horizontal="center"/>
    </xf>
    <xf numFmtId="167" fontId="34" fillId="33" borderId="11" xfId="28" applyNumberFormat="1" applyFont="1" applyFill="1" applyBorder="1" applyAlignment="1" applyProtection="1">
      <alignment horizontal="center"/>
    </xf>
    <xf numFmtId="168" fontId="38" fillId="33" borderId="13" xfId="0" applyNumberFormat="1" applyFont="1" applyFill="1" applyBorder="1" applyAlignment="1">
      <alignment horizontal="center" vertical="center" wrapText="1"/>
    </xf>
    <xf numFmtId="167" fontId="34" fillId="34" borderId="11" xfId="28" applyNumberFormat="1" applyFont="1" applyFill="1" applyBorder="1" applyAlignment="1" applyProtection="1">
      <alignment horizontal="center"/>
    </xf>
    <xf numFmtId="167" fontId="34" fillId="35" borderId="13" xfId="28" applyNumberFormat="1" applyFont="1" applyFill="1" applyBorder="1" applyAlignment="1" applyProtection="1">
      <alignment horizontal="center"/>
    </xf>
    <xf numFmtId="167" fontId="34" fillId="35" borderId="11" xfId="28" applyNumberFormat="1" applyFont="1" applyFill="1" applyBorder="1" applyAlignment="1" applyProtection="1">
      <alignment horizontal="center"/>
    </xf>
    <xf numFmtId="168" fontId="38" fillId="35" borderId="13" xfId="0" applyNumberFormat="1" applyFont="1" applyFill="1" applyBorder="1" applyAlignment="1">
      <alignment horizontal="center" vertical="center" wrapText="1"/>
    </xf>
    <xf numFmtId="167" fontId="34" fillId="36" borderId="11" xfId="28" applyNumberFormat="1" applyFont="1" applyFill="1" applyBorder="1" applyAlignment="1" applyProtection="1">
      <alignment horizontal="center"/>
    </xf>
    <xf numFmtId="167" fontId="34" fillId="27" borderId="11" xfId="28" applyNumberFormat="1" applyFont="1" applyFill="1" applyBorder="1" applyAlignment="1" applyProtection="1">
      <alignment horizontal="center"/>
    </xf>
    <xf numFmtId="167" fontId="34" fillId="37" borderId="11" xfId="28" applyNumberFormat="1" applyFont="1" applyFill="1" applyBorder="1" applyAlignment="1" applyProtection="1">
      <alignment horizontal="center"/>
    </xf>
    <xf numFmtId="167" fontId="34" fillId="38" borderId="11" xfId="28" applyNumberFormat="1" applyFont="1" applyFill="1" applyBorder="1" applyAlignment="1" applyProtection="1">
      <alignment horizontal="center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0" fontId="29" fillId="0" borderId="11" xfId="28" applyNumberFormat="1" applyFont="1" applyBorder="1" applyProtection="1"/>
    <xf numFmtId="178" fontId="59" fillId="0" borderId="0" xfId="29" applyNumberFormat="1" applyFont="1" applyProtection="1"/>
    <xf numFmtId="9" fontId="0" fillId="0" borderId="0" xfId="51" applyFont="1" applyProtection="1"/>
    <xf numFmtId="0" fontId="46" fillId="0" borderId="37" xfId="0" applyFont="1" applyBorder="1"/>
    <xf numFmtId="2" fontId="0" fillId="0" borderId="71" xfId="0" applyNumberFormat="1" applyBorder="1" applyAlignment="1">
      <alignment vertical="center"/>
    </xf>
    <xf numFmtId="2" fontId="0" fillId="0" borderId="41" xfId="0" applyNumberFormat="1" applyBorder="1" applyAlignment="1">
      <alignment vertical="center"/>
    </xf>
    <xf numFmtId="10" fontId="43" fillId="0" borderId="11" xfId="51" applyNumberFormat="1" applyFont="1" applyFill="1" applyBorder="1" applyAlignment="1">
      <alignment vertical="center"/>
    </xf>
    <xf numFmtId="16" fontId="49" fillId="0" borderId="11" xfId="41" applyNumberFormat="1" applyBorder="1"/>
    <xf numFmtId="0" fontId="0" fillId="0" borderId="17" xfId="28" applyNumberFormat="1" applyFont="1" applyBorder="1" applyProtection="1"/>
    <xf numFmtId="2" fontId="40" fillId="0" borderId="11" xfId="46" applyNumberFormat="1" applyFont="1" applyBorder="1" applyAlignment="1">
      <alignment horizontal="center"/>
    </xf>
    <xf numFmtId="2" fontId="43" fillId="0" borderId="0" xfId="0" applyNumberFormat="1" applyFont="1"/>
    <xf numFmtId="0" fontId="0" fillId="0" borderId="11" xfId="0" applyBorder="1" applyAlignment="1" applyProtection="1">
      <alignment horizontal="center" vertical="center"/>
      <protection locked="0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3" xfId="0" applyBorder="1" applyAlignment="1">
      <alignment horizontal="center" vertical="center"/>
    </xf>
    <xf numFmtId="4" fontId="0" fillId="0" borderId="63" xfId="0" applyNumberFormat="1" applyBorder="1" applyAlignment="1">
      <alignment vertical="center" wrapText="1"/>
    </xf>
    <xf numFmtId="4" fontId="0" fillId="0" borderId="63" xfId="0" applyNumberFormat="1" applyBorder="1" applyAlignment="1">
      <alignment vertical="center"/>
    </xf>
    <xf numFmtId="168" fontId="0" fillId="0" borderId="63" xfId="0" applyNumberFormat="1" applyBorder="1" applyAlignment="1">
      <alignment vertical="center"/>
    </xf>
    <xf numFmtId="2" fontId="0" fillId="0" borderId="63" xfId="0" applyNumberFormat="1" applyBorder="1" applyAlignment="1">
      <alignment vertical="center" wrapText="1"/>
    </xf>
    <xf numFmtId="16" fontId="29" fillId="0" borderId="67" xfId="0" applyNumberFormat="1" applyFont="1" applyBorder="1" applyAlignment="1">
      <alignment vertical="center"/>
    </xf>
    <xf numFmtId="0" fontId="29" fillId="0" borderId="67" xfId="0" applyFont="1" applyBorder="1" applyAlignment="1">
      <alignment horizontal="center" vertical="center"/>
    </xf>
    <xf numFmtId="4" fontId="29" fillId="0" borderId="67" xfId="0" applyNumberFormat="1" applyFont="1" applyBorder="1" applyAlignment="1">
      <alignment vertical="center"/>
    </xf>
    <xf numFmtId="170" fontId="29" fillId="0" borderId="67" xfId="0" applyNumberFormat="1" applyFont="1" applyBorder="1" applyAlignment="1">
      <alignment vertical="center"/>
    </xf>
    <xf numFmtId="168" fontId="29" fillId="0" borderId="67" xfId="0" applyNumberFormat="1" applyFont="1" applyBorder="1" applyAlignment="1">
      <alignment vertical="center"/>
    </xf>
    <xf numFmtId="2" fontId="29" fillId="0" borderId="67" xfId="0" applyNumberFormat="1" applyFont="1" applyBorder="1" applyAlignment="1">
      <alignment vertical="center" wrapText="1"/>
    </xf>
    <xf numFmtId="4" fontId="29" fillId="0" borderId="67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1" applyFont="1" applyBorder="1" applyAlignment="1" applyProtection="1">
      <alignment horizontal="center" vertical="center"/>
      <protection locked="0"/>
    </xf>
    <xf numFmtId="9" fontId="0" fillId="0" borderId="63" xfId="51" applyFont="1" applyBorder="1" applyAlignment="1" applyProtection="1">
      <alignment horizontal="center" vertical="center"/>
    </xf>
    <xf numFmtId="9" fontId="29" fillId="0" borderId="67" xfId="51" applyFont="1" applyFill="1" applyBorder="1" applyAlignment="1" applyProtection="1">
      <alignment horizontal="center" vertical="center"/>
    </xf>
    <xf numFmtId="2" fontId="0" fillId="0" borderId="17" xfId="28" applyNumberFormat="1" applyFont="1" applyBorder="1" applyProtection="1"/>
    <xf numFmtId="10" fontId="46" fillId="0" borderId="11" xfId="51" applyNumberFormat="1" applyFont="1" applyFill="1" applyBorder="1" applyAlignment="1" applyProtection="1">
      <alignment horizontal="center" vertical="center"/>
      <protection locked="0"/>
    </xf>
    <xf numFmtId="10" fontId="46" fillId="27" borderId="11" xfId="51" applyNumberFormat="1" applyFont="1" applyFill="1" applyBorder="1" applyAlignment="1" applyProtection="1">
      <alignment horizontal="center" vertical="center"/>
      <protection locked="0"/>
    </xf>
    <xf numFmtId="2" fontId="40" fillId="0" borderId="11" xfId="45" applyNumberFormat="1" applyFont="1" applyBorder="1" applyAlignment="1">
      <alignment horizontal="center"/>
    </xf>
    <xf numFmtId="165" fontId="44" fillId="33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3" xfId="51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60" fillId="0" borderId="0" xfId="0" applyFont="1"/>
    <xf numFmtId="178" fontId="44" fillId="0" borderId="17" xfId="29" applyNumberFormat="1" applyFont="1" applyFill="1" applyBorder="1" applyAlignment="1">
      <alignment vertical="center" wrapText="1"/>
    </xf>
    <xf numFmtId="178" fontId="43" fillId="0" borderId="19" xfId="29" applyNumberFormat="1" applyFont="1" applyFill="1" applyBorder="1" applyAlignment="1">
      <alignment vertical="center"/>
    </xf>
    <xf numFmtId="0" fontId="61" fillId="41" borderId="0" xfId="0" applyFont="1" applyFill="1"/>
    <xf numFmtId="0" fontId="62" fillId="41" borderId="0" xfId="0" applyFont="1" applyFill="1"/>
    <xf numFmtId="181" fontId="44" fillId="25" borderId="11" xfId="29" applyNumberFormat="1" applyFont="1" applyFill="1" applyBorder="1" applyAlignment="1">
      <alignment vertical="center"/>
    </xf>
    <xf numFmtId="177" fontId="43" fillId="0" borderId="11" xfId="0" applyNumberFormat="1" applyFont="1" applyBorder="1" applyAlignment="1">
      <alignment horizontal="center" vertical="center" wrapText="1"/>
    </xf>
    <xf numFmtId="0" fontId="28" fillId="24" borderId="14" xfId="0" quotePrefix="1" applyFont="1" applyFill="1" applyBorder="1" applyAlignment="1" applyProtection="1">
      <alignment wrapText="1"/>
      <protection locked="0"/>
    </xf>
    <xf numFmtId="3" fontId="62" fillId="41" borderId="0" xfId="0" applyNumberFormat="1" applyFont="1" applyFill="1"/>
    <xf numFmtId="17" fontId="0" fillId="0" borderId="11" xfId="0" quotePrefix="1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2" fontId="60" fillId="27" borderId="11" xfId="0" applyNumberFormat="1" applyFont="1" applyFill="1" applyBorder="1" applyAlignment="1">
      <alignment horizontal="center" vertical="center" wrapText="1"/>
    </xf>
    <xf numFmtId="0" fontId="60" fillId="27" borderId="11" xfId="0" applyFont="1" applyFill="1" applyBorder="1" applyAlignment="1">
      <alignment horizontal="center" vertical="center" wrapText="1"/>
    </xf>
    <xf numFmtId="9" fontId="60" fillId="27" borderId="11" xfId="51" applyFont="1" applyFill="1" applyBorder="1" applyAlignment="1">
      <alignment horizontal="center" vertical="center" wrapText="1"/>
    </xf>
    <xf numFmtId="10" fontId="0" fillId="0" borderId="11" xfId="51" applyNumberFormat="1" applyFont="1" applyFill="1" applyBorder="1" applyAlignment="1">
      <alignment horizontal="center" vertical="center"/>
    </xf>
    <xf numFmtId="0" fontId="60" fillId="0" borderId="61" xfId="0" applyFont="1" applyBorder="1" applyAlignment="1">
      <alignment vertical="center"/>
    </xf>
    <xf numFmtId="10" fontId="0" fillId="0" borderId="11" xfId="51" applyNumberFormat="1" applyFont="1" applyBorder="1" applyAlignment="1">
      <alignment horizontal="center"/>
    </xf>
    <xf numFmtId="10" fontId="60" fillId="0" borderId="11" xfId="51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60" fillId="27" borderId="11" xfId="0" applyFont="1" applyFill="1" applyBorder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2" fontId="60" fillId="0" borderId="0" xfId="0" applyNumberFormat="1" applyFont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0" fillId="27" borderId="11" xfId="0" applyFill="1" applyBorder="1"/>
    <xf numFmtId="10" fontId="0" fillId="0" borderId="11" xfId="51" applyNumberFormat="1" applyFont="1" applyBorder="1"/>
    <xf numFmtId="10" fontId="0" fillId="0" borderId="11" xfId="0" applyNumberFormat="1" applyBorder="1" applyAlignment="1">
      <alignment horizontal="right"/>
    </xf>
    <xf numFmtId="0" fontId="29" fillId="0" borderId="17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2" fontId="60" fillId="39" borderId="11" xfId="0" applyNumberFormat="1" applyFont="1" applyFill="1" applyBorder="1" applyAlignment="1">
      <alignment horizontal="center"/>
    </xf>
    <xf numFmtId="10" fontId="60" fillId="39" borderId="11" xfId="51" applyNumberFormat="1" applyFont="1" applyFill="1" applyBorder="1" applyAlignment="1">
      <alignment horizontal="center"/>
    </xf>
    <xf numFmtId="0" fontId="29" fillId="39" borderId="11" xfId="0" applyFont="1" applyFill="1" applyBorder="1"/>
    <xf numFmtId="0" fontId="40" fillId="0" borderId="11" xfId="57" applyFont="1" applyBorder="1" applyAlignment="1">
      <alignment horizontal="left"/>
    </xf>
    <xf numFmtId="0" fontId="46" fillId="0" borderId="11" xfId="0" applyFont="1" applyBorder="1"/>
    <xf numFmtId="0" fontId="40" fillId="50" borderId="11" xfId="57" applyFont="1" applyFill="1" applyBorder="1" applyAlignment="1">
      <alignment horizontal="left"/>
    </xf>
    <xf numFmtId="0" fontId="0" fillId="51" borderId="11" xfId="0" applyFill="1" applyBorder="1"/>
    <xf numFmtId="0" fontId="46" fillId="51" borderId="11" xfId="0" applyFont="1" applyFill="1" applyBorder="1"/>
    <xf numFmtId="10" fontId="0" fillId="50" borderId="17" xfId="51" applyNumberFormat="1" applyFont="1" applyFill="1" applyBorder="1"/>
    <xf numFmtId="10" fontId="0" fillId="0" borderId="17" xfId="51" applyNumberFormat="1" applyFont="1" applyBorder="1"/>
    <xf numFmtId="0" fontId="40" fillId="0" borderId="19" xfId="57" applyFont="1" applyBorder="1" applyAlignment="1">
      <alignment horizontal="left"/>
    </xf>
    <xf numFmtId="0" fontId="32" fillId="0" borderId="11" xfId="57" applyFont="1" applyBorder="1" applyAlignment="1">
      <alignment horizontal="left"/>
    </xf>
    <xf numFmtId="0" fontId="66" fillId="0" borderId="11" xfId="57" applyFont="1" applyBorder="1" applyAlignment="1">
      <alignment horizontal="left"/>
    </xf>
    <xf numFmtId="10" fontId="65" fillId="27" borderId="11" xfId="51" applyNumberFormat="1" applyFont="1" applyFill="1" applyBorder="1"/>
    <xf numFmtId="10" fontId="29" fillId="0" borderId="11" xfId="0" applyNumberFormat="1" applyFont="1" applyBorder="1"/>
    <xf numFmtId="0" fontId="46" fillId="0" borderId="0" xfId="0" quotePrefix="1" applyFont="1"/>
    <xf numFmtId="0" fontId="69" fillId="24" borderId="13" xfId="0" quotePrefix="1" applyFont="1" applyFill="1" applyBorder="1" applyAlignment="1" applyProtection="1">
      <alignment wrapText="1"/>
      <protection locked="0"/>
    </xf>
    <xf numFmtId="16" fontId="46" fillId="0" borderId="11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11" xfId="0" applyBorder="1" applyAlignment="1">
      <alignment horizontal="center" vertical="center"/>
    </xf>
    <xf numFmtId="0" fontId="0" fillId="41" borderId="11" xfId="0" applyFill="1" applyBorder="1"/>
    <xf numFmtId="0" fontId="46" fillId="0" borderId="58" xfId="56" applyBorder="1"/>
    <xf numFmtId="0" fontId="46" fillId="0" borderId="23" xfId="56" applyBorder="1"/>
    <xf numFmtId="0" fontId="46" fillId="0" borderId="24" xfId="56" applyBorder="1"/>
    <xf numFmtId="165" fontId="0" fillId="0" borderId="11" xfId="51" applyNumberFormat="1" applyFont="1" applyFill="1" applyBorder="1"/>
    <xf numFmtId="165" fontId="0" fillId="0" borderId="50" xfId="51" applyNumberFormat="1" applyFont="1" applyFill="1" applyBorder="1"/>
    <xf numFmtId="10" fontId="46" fillId="0" borderId="10" xfId="56" applyNumberFormat="1" applyBorder="1"/>
    <xf numFmtId="10" fontId="46" fillId="0" borderId="11" xfId="56" applyNumberFormat="1" applyBorder="1"/>
    <xf numFmtId="165" fontId="46" fillId="0" borderId="11" xfId="51" applyNumberFormat="1" applyFont="1" applyFill="1" applyBorder="1"/>
    <xf numFmtId="165" fontId="46" fillId="0" borderId="50" xfId="51" applyNumberFormat="1" applyFont="1" applyFill="1" applyBorder="1"/>
    <xf numFmtId="0" fontId="23" fillId="0" borderId="0" xfId="41" applyFont="1"/>
    <xf numFmtId="10" fontId="46" fillId="0" borderId="57" xfId="56" applyNumberFormat="1" applyBorder="1"/>
    <xf numFmtId="10" fontId="46" fillId="0" borderId="21" xfId="56" applyNumberFormat="1" applyBorder="1"/>
    <xf numFmtId="165" fontId="0" fillId="0" borderId="21" xfId="51" applyNumberFormat="1" applyFont="1" applyFill="1" applyBorder="1"/>
    <xf numFmtId="165" fontId="46" fillId="0" borderId="21" xfId="51" applyNumberFormat="1" applyFont="1" applyFill="1" applyBorder="1"/>
    <xf numFmtId="165" fontId="46" fillId="0" borderId="48" xfId="51" applyNumberFormat="1" applyFont="1" applyFill="1" applyBorder="1"/>
    <xf numFmtId="0" fontId="46" fillId="0" borderId="11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0" fontId="0" fillId="27" borderId="0" xfId="0" applyNumberFormat="1" applyFill="1"/>
    <xf numFmtId="178" fontId="44" fillId="42" borderId="11" xfId="58" applyNumberFormat="1" applyFont="1" applyFill="1" applyBorder="1" applyAlignment="1">
      <alignment horizontal="center" vertical="center" wrapText="1"/>
    </xf>
    <xf numFmtId="178" fontId="44" fillId="26" borderId="14" xfId="58" applyNumberFormat="1" applyFont="1" applyFill="1" applyBorder="1" applyAlignment="1">
      <alignment horizontal="center" vertical="center" wrapText="1"/>
    </xf>
    <xf numFmtId="178" fontId="44" fillId="26" borderId="11" xfId="58" applyNumberFormat="1" applyFont="1" applyFill="1" applyBorder="1" applyAlignment="1">
      <alignment horizontal="center" vertical="center" wrapText="1"/>
    </xf>
    <xf numFmtId="178" fontId="44" fillId="42" borderId="14" xfId="58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88" xfId="28" applyNumberFormat="1" applyFont="1" applyFill="1" applyBorder="1" applyAlignment="1" applyProtection="1">
      <alignment horizontal="center" vertical="center"/>
    </xf>
    <xf numFmtId="2" fontId="29" fillId="0" borderId="90" xfId="28" applyNumberFormat="1" applyFont="1" applyBorder="1" applyAlignment="1">
      <alignment horizontal="center" vertical="center"/>
    </xf>
    <xf numFmtId="2" fontId="29" fillId="0" borderId="90" xfId="28" applyNumberFormat="1" applyFont="1" applyFill="1" applyBorder="1" applyAlignment="1" applyProtection="1">
      <alignment horizontal="center" vertical="center"/>
    </xf>
    <xf numFmtId="2" fontId="0" fillId="0" borderId="91" xfId="28" applyNumberFormat="1" applyFont="1" applyBorder="1" applyAlignment="1"/>
    <xf numFmtId="2" fontId="0" fillId="0" borderId="91" xfId="28" applyNumberFormat="1" applyFont="1" applyBorder="1" applyAlignment="1" applyProtection="1">
      <alignment horizontal="center" vertical="center"/>
      <protection hidden="1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0" fontId="44" fillId="0" borderId="14" xfId="0" applyFont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60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2" fillId="0" borderId="11" xfId="51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46" fillId="0" borderId="90" xfId="56" applyBorder="1"/>
    <xf numFmtId="0" fontId="46" fillId="0" borderId="93" xfId="56" applyBorder="1"/>
    <xf numFmtId="165" fontId="0" fillId="0" borderId="48" xfId="51" applyNumberFormat="1" applyFont="1" applyFill="1" applyBorder="1"/>
    <xf numFmtId="173" fontId="28" fillId="24" borderId="11" xfId="28" applyNumberFormat="1" applyFont="1" applyFill="1" applyBorder="1" applyAlignment="1" applyProtection="1">
      <alignment horizontal="center"/>
      <protection locked="0"/>
    </xf>
    <xf numFmtId="172" fontId="46" fillId="0" borderId="69" xfId="0" applyNumberFormat="1" applyFont="1" applyBorder="1"/>
    <xf numFmtId="172" fontId="46" fillId="0" borderId="3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6" fillId="0" borderId="36" xfId="0" applyFont="1" applyBorder="1" applyAlignment="1">
      <alignment horizontal="center" vertical="center" wrapText="1"/>
    </xf>
    <xf numFmtId="1" fontId="49" fillId="0" borderId="40" xfId="0" applyNumberFormat="1" applyFont="1" applyBorder="1" applyAlignment="1">
      <alignment horizontal="center" vertical="center"/>
    </xf>
    <xf numFmtId="0" fontId="0" fillId="0" borderId="71" xfId="0" applyBorder="1"/>
    <xf numFmtId="173" fontId="24" fillId="24" borderId="0" xfId="0" applyNumberFormat="1" applyFont="1" applyFill="1"/>
    <xf numFmtId="16" fontId="46" fillId="0" borderId="97" xfId="56" applyNumberFormat="1" applyBorder="1" applyAlignment="1">
      <alignment horizontal="center"/>
    </xf>
    <xf numFmtId="16" fontId="46" fillId="0" borderId="98" xfId="56" applyNumberFormat="1" applyBorder="1" applyAlignment="1">
      <alignment horizontal="center"/>
    </xf>
    <xf numFmtId="0" fontId="29" fillId="49" borderId="98" xfId="56" applyFont="1" applyFill="1" applyBorder="1"/>
    <xf numFmtId="16" fontId="29" fillId="34" borderId="98" xfId="56" applyNumberFormat="1" applyFont="1" applyFill="1" applyBorder="1"/>
    <xf numFmtId="16" fontId="29" fillId="44" borderId="98" xfId="56" applyNumberFormat="1" applyFont="1" applyFill="1" applyBorder="1"/>
    <xf numFmtId="16" fontId="29" fillId="40" borderId="98" xfId="56" applyNumberFormat="1" applyFont="1" applyFill="1" applyBorder="1"/>
    <xf numFmtId="16" fontId="29" fillId="35" borderId="98" xfId="56" applyNumberFormat="1" applyFont="1" applyFill="1" applyBorder="1"/>
    <xf numFmtId="0" fontId="29" fillId="45" borderId="98" xfId="56" applyFont="1" applyFill="1" applyBorder="1"/>
    <xf numFmtId="0" fontId="29" fillId="46" borderId="98" xfId="56" applyFont="1" applyFill="1" applyBorder="1"/>
    <xf numFmtId="0" fontId="29" fillId="47" borderId="98" xfId="56" applyFont="1" applyFill="1" applyBorder="1"/>
    <xf numFmtId="0" fontId="29" fillId="48" borderId="98" xfId="56" applyFont="1" applyFill="1" applyBorder="1"/>
    <xf numFmtId="0" fontId="29" fillId="40" borderId="98" xfId="56" applyFont="1" applyFill="1" applyBorder="1"/>
    <xf numFmtId="0" fontId="29" fillId="44" borderId="99" xfId="56" applyFont="1" applyFill="1" applyBorder="1"/>
    <xf numFmtId="170" fontId="0" fillId="0" borderId="11" xfId="0" applyNumberFormat="1" applyBorder="1" applyAlignment="1" applyProtection="1">
      <alignment vertical="center" wrapText="1"/>
      <protection locked="0"/>
    </xf>
    <xf numFmtId="1" fontId="44" fillId="0" borderId="0" xfId="51" applyNumberFormat="1" applyFont="1" applyFill="1" applyBorder="1" applyAlignment="1">
      <alignment vertical="center"/>
    </xf>
    <xf numFmtId="0" fontId="46" fillId="0" borderId="11" xfId="0" applyFont="1" applyBorder="1" applyAlignment="1">
      <alignment wrapText="1"/>
    </xf>
    <xf numFmtId="0" fontId="29" fillId="24" borderId="13" xfId="0" quotePrefix="1" applyFont="1" applyFill="1" applyBorder="1" applyAlignment="1" applyProtection="1">
      <alignment wrapText="1"/>
      <protection locked="0"/>
    </xf>
    <xf numFmtId="0" fontId="29" fillId="24" borderId="101" xfId="0" quotePrefix="1" applyFont="1" applyFill="1" applyBorder="1" applyAlignment="1" applyProtection="1">
      <alignment wrapText="1"/>
      <protection locked="0"/>
    </xf>
    <xf numFmtId="176" fontId="24" fillId="24" borderId="0" xfId="0" applyNumberFormat="1" applyFont="1" applyFill="1"/>
    <xf numFmtId="165" fontId="0" fillId="0" borderId="101" xfId="51" applyNumberFormat="1" applyFont="1" applyFill="1" applyBorder="1"/>
    <xf numFmtId="170" fontId="0" fillId="0" borderId="11" xfId="0" applyNumberFormat="1" applyBorder="1" applyAlignment="1">
      <alignment vertical="justify"/>
    </xf>
    <xf numFmtId="0" fontId="46" fillId="0" borderId="0" xfId="56"/>
    <xf numFmtId="0" fontId="46" fillId="0" borderId="11" xfId="56" applyBorder="1"/>
    <xf numFmtId="0" fontId="46" fillId="0" borderId="0" xfId="56" quotePrefix="1"/>
    <xf numFmtId="1" fontId="46" fillId="27" borderId="40" xfId="0" applyNumberFormat="1" applyFont="1" applyFill="1" applyBorder="1" applyAlignment="1">
      <alignment horizontal="center" vertical="center"/>
    </xf>
    <xf numFmtId="0" fontId="28" fillId="24" borderId="101" xfId="0" quotePrefix="1" applyFont="1" applyFill="1" applyBorder="1" applyAlignment="1" applyProtection="1">
      <alignment wrapText="1"/>
      <protection locked="0"/>
    </xf>
    <xf numFmtId="0" fontId="46" fillId="0" borderId="26" xfId="56" applyBorder="1"/>
    <xf numFmtId="165" fontId="0" fillId="0" borderId="17" xfId="51" applyNumberFormat="1" applyFont="1" applyFill="1" applyBorder="1"/>
    <xf numFmtId="165" fontId="0" fillId="0" borderId="31" xfId="51" applyNumberFormat="1" applyFont="1" applyFill="1" applyBorder="1"/>
    <xf numFmtId="10" fontId="46" fillId="0" borderId="17" xfId="56" applyNumberFormat="1" applyBorder="1"/>
    <xf numFmtId="165" fontId="46" fillId="0" borderId="17" xfId="51" applyNumberFormat="1" applyFont="1" applyFill="1" applyBorder="1"/>
    <xf numFmtId="165" fontId="46" fillId="0" borderId="49" xfId="51" applyNumberFormat="1" applyFont="1" applyFill="1" applyBorder="1"/>
    <xf numFmtId="10" fontId="46" fillId="0" borderId="106" xfId="56" applyNumberFormat="1" applyBorder="1"/>
    <xf numFmtId="0" fontId="46" fillId="34" borderId="0" xfId="56" applyFill="1"/>
    <xf numFmtId="0" fontId="46" fillId="0" borderId="70" xfId="0" applyFont="1" applyBorder="1"/>
    <xf numFmtId="170" fontId="61" fillId="41" borderId="0" xfId="0" applyNumberFormat="1" applyFont="1" applyFill="1"/>
    <xf numFmtId="182" fontId="24" fillId="24" borderId="0" xfId="0" applyNumberFormat="1" applyFont="1" applyFill="1"/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170" fontId="1" fillId="41" borderId="0" xfId="0" applyNumberFormat="1" applyFont="1" applyFill="1"/>
    <xf numFmtId="0" fontId="40" fillId="27" borderId="11" xfId="45" applyFont="1" applyFill="1" applyBorder="1" applyAlignment="1">
      <alignment horizontal="center"/>
    </xf>
    <xf numFmtId="0" fontId="46" fillId="27" borderId="11" xfId="0" applyFont="1" applyFill="1" applyBorder="1" applyAlignment="1" applyProtection="1">
      <alignment horizontal="center" vertical="center"/>
      <protection locked="0"/>
    </xf>
    <xf numFmtId="0" fontId="28" fillId="24" borderId="0" xfId="0" quotePrefix="1" applyFont="1" applyFill="1" applyAlignment="1">
      <alignment wrapText="1"/>
    </xf>
    <xf numFmtId="0" fontId="0" fillId="0" borderId="0" xfId="0" applyBorder="1" applyAlignment="1">
      <alignment vertical="top" wrapText="1"/>
    </xf>
    <xf numFmtId="2" fontId="0" fillId="0" borderId="0" xfId="0" applyNumberFormat="1" applyBorder="1"/>
    <xf numFmtId="10" fontId="0" fillId="0" borderId="0" xfId="0" applyNumberFormat="1" applyBorder="1" applyAlignment="1">
      <alignment horizontal="right"/>
    </xf>
    <xf numFmtId="0" fontId="0" fillId="0" borderId="0" xfId="0" applyBorder="1"/>
    <xf numFmtId="10" fontId="46" fillId="0" borderId="28" xfId="56" applyNumberFormat="1" applyBorder="1"/>
    <xf numFmtId="0" fontId="46" fillId="0" borderId="32" xfId="56" applyBorder="1"/>
    <xf numFmtId="165" fontId="0" fillId="27" borderId="11" xfId="51" applyNumberFormat="1" applyFont="1" applyFill="1" applyBorder="1"/>
    <xf numFmtId="172" fontId="46" fillId="0" borderId="0" xfId="0" applyNumberFormat="1" applyFont="1" applyBorder="1"/>
    <xf numFmtId="0" fontId="24" fillId="24" borderId="15" xfId="0" applyFont="1" applyFill="1" applyBorder="1"/>
    <xf numFmtId="0" fontId="24" fillId="24" borderId="15" xfId="0" applyFont="1" applyFill="1" applyBorder="1" applyAlignment="1">
      <alignment horizontal="center" wrapText="1"/>
    </xf>
    <xf numFmtId="0" fontId="24" fillId="24" borderId="57" xfId="0" applyFont="1" applyFill="1" applyBorder="1"/>
    <xf numFmtId="9" fontId="24" fillId="0" borderId="21" xfId="51" applyFont="1" applyFill="1" applyBorder="1" applyAlignment="1">
      <alignment vertical="center"/>
    </xf>
    <xf numFmtId="0" fontId="24" fillId="24" borderId="21" xfId="0" applyFont="1" applyFill="1" applyBorder="1"/>
    <xf numFmtId="2" fontId="24" fillId="24" borderId="21" xfId="0" applyNumberFormat="1" applyFont="1" applyFill="1" applyBorder="1"/>
    <xf numFmtId="165" fontId="24" fillId="0" borderId="11" xfId="29" applyNumberFormat="1" applyFont="1" applyFill="1" applyBorder="1" applyAlignment="1">
      <alignment vertical="center"/>
    </xf>
    <xf numFmtId="165" fontId="24" fillId="24" borderId="21" xfId="0" applyNumberFormat="1" applyFont="1" applyFill="1" applyBorder="1"/>
    <xf numFmtId="10" fontId="43" fillId="0" borderId="101" xfId="51" applyNumberFormat="1" applyFont="1" applyFill="1" applyBorder="1" applyAlignment="1">
      <alignment vertical="center"/>
    </xf>
    <xf numFmtId="2" fontId="29" fillId="49" borderId="101" xfId="56" applyNumberFormat="1" applyFont="1" applyFill="1" applyBorder="1" applyAlignment="1">
      <alignment horizontal="center"/>
    </xf>
    <xf numFmtId="2" fontId="29" fillId="49" borderId="103" xfId="56" applyNumberFormat="1" applyFont="1" applyFill="1" applyBorder="1" applyAlignment="1">
      <alignment horizontal="center"/>
    </xf>
    <xf numFmtId="2" fontId="29" fillId="49" borderId="11" xfId="56" applyNumberFormat="1" applyFont="1" applyFill="1" applyBorder="1" applyAlignment="1">
      <alignment horizontal="center"/>
    </xf>
    <xf numFmtId="10" fontId="29" fillId="49" borderId="28" xfId="56" applyNumberFormat="1" applyFont="1" applyFill="1" applyBorder="1" applyAlignment="1">
      <alignment horizontal="center"/>
    </xf>
    <xf numFmtId="10" fontId="29" fillId="49" borderId="103" xfId="56" applyNumberFormat="1" applyFont="1" applyFill="1" applyBorder="1" applyAlignment="1">
      <alignment horizontal="center"/>
    </xf>
    <xf numFmtId="10" fontId="29" fillId="49" borderId="101" xfId="56" applyNumberFormat="1" applyFont="1" applyFill="1" applyBorder="1" applyAlignment="1">
      <alignment horizontal="center"/>
    </xf>
    <xf numFmtId="10" fontId="29" fillId="34" borderId="101" xfId="56" applyNumberFormat="1" applyFont="1" applyFill="1" applyBorder="1" applyAlignment="1">
      <alignment horizontal="center"/>
    </xf>
    <xf numFmtId="10" fontId="29" fillId="34" borderId="103" xfId="56" applyNumberFormat="1" applyFont="1" applyFill="1" applyBorder="1" applyAlignment="1">
      <alignment horizontal="center"/>
    </xf>
    <xf numFmtId="0" fontId="46" fillId="0" borderId="95" xfId="56" applyBorder="1" applyAlignment="1">
      <alignment horizontal="center" vertical="center"/>
    </xf>
    <xf numFmtId="0" fontId="46" fillId="0" borderId="69" xfId="56" applyBorder="1" applyAlignment="1">
      <alignment horizontal="center" vertical="center"/>
    </xf>
    <xf numFmtId="0" fontId="46" fillId="0" borderId="96" xfId="56" applyBorder="1" applyAlignment="1">
      <alignment horizontal="center" vertical="center"/>
    </xf>
    <xf numFmtId="0" fontId="29" fillId="42" borderId="36" xfId="56" applyFont="1" applyFill="1" applyBorder="1" applyAlignment="1">
      <alignment horizontal="center" vertical="center"/>
    </xf>
    <xf numFmtId="0" fontId="29" fillId="42" borderId="54" xfId="56" applyFont="1" applyFill="1" applyBorder="1" applyAlignment="1">
      <alignment horizontal="center" vertical="center"/>
    </xf>
    <xf numFmtId="0" fontId="29" fillId="42" borderId="35" xfId="56" applyFont="1" applyFill="1" applyBorder="1" applyAlignment="1">
      <alignment horizontal="center" vertical="center"/>
    </xf>
    <xf numFmtId="0" fontId="29" fillId="43" borderId="36" xfId="56" applyFont="1" applyFill="1" applyBorder="1" applyAlignment="1">
      <alignment horizontal="center" vertical="center"/>
    </xf>
    <xf numFmtId="0" fontId="29" fillId="43" borderId="54" xfId="56" applyFont="1" applyFill="1" applyBorder="1" applyAlignment="1">
      <alignment horizontal="center" vertical="center"/>
    </xf>
    <xf numFmtId="0" fontId="29" fillId="43" borderId="35" xfId="56" applyFont="1" applyFill="1" applyBorder="1" applyAlignment="1">
      <alignment horizontal="center" vertical="center"/>
    </xf>
    <xf numFmtId="0" fontId="29" fillId="32" borderId="36" xfId="56" applyFont="1" applyFill="1" applyBorder="1" applyAlignment="1">
      <alignment horizontal="center" vertical="center" wrapText="1"/>
    </xf>
    <xf numFmtId="0" fontId="29" fillId="32" borderId="54" xfId="56" applyFont="1" applyFill="1" applyBorder="1" applyAlignment="1">
      <alignment horizontal="center" vertical="center" wrapText="1"/>
    </xf>
    <xf numFmtId="0" fontId="29" fillId="32" borderId="35" xfId="56" applyFont="1" applyFill="1" applyBorder="1" applyAlignment="1">
      <alignment horizontal="center" vertical="center" wrapText="1"/>
    </xf>
    <xf numFmtId="0" fontId="46" fillId="0" borderId="75" xfId="56" applyBorder="1" applyAlignment="1">
      <alignment horizontal="center"/>
    </xf>
    <xf numFmtId="0" fontId="46" fillId="0" borderId="77" xfId="56" applyBorder="1" applyAlignment="1">
      <alignment horizontal="center"/>
    </xf>
    <xf numFmtId="0" fontId="46" fillId="0" borderId="76" xfId="56" applyBorder="1" applyAlignment="1">
      <alignment horizontal="center"/>
    </xf>
    <xf numFmtId="0" fontId="46" fillId="0" borderId="78" xfId="56" applyBorder="1" applyAlignment="1">
      <alignment horizontal="center"/>
    </xf>
    <xf numFmtId="0" fontId="46" fillId="0" borderId="57" xfId="56" applyBorder="1" applyAlignment="1">
      <alignment horizontal="center"/>
    </xf>
    <xf numFmtId="0" fontId="46" fillId="0" borderId="21" xfId="56" applyBorder="1" applyAlignment="1">
      <alignment horizontal="center"/>
    </xf>
    <xf numFmtId="4" fontId="29" fillId="49" borderId="101" xfId="56" applyNumberFormat="1" applyFont="1" applyFill="1" applyBorder="1" applyAlignment="1">
      <alignment horizontal="center"/>
    </xf>
    <xf numFmtId="4" fontId="29" fillId="49" borderId="103" xfId="56" applyNumberFormat="1" applyFont="1" applyFill="1" applyBorder="1" applyAlignment="1">
      <alignment horizontal="center"/>
    </xf>
    <xf numFmtId="165" fontId="29" fillId="49" borderId="101" xfId="56" applyNumberFormat="1" applyFont="1" applyFill="1" applyBorder="1" applyAlignment="1">
      <alignment horizontal="center"/>
    </xf>
    <xf numFmtId="0" fontId="29" fillId="49" borderId="103" xfId="56" applyFont="1" applyFill="1" applyBorder="1" applyAlignment="1">
      <alignment horizontal="center"/>
    </xf>
    <xf numFmtId="0" fontId="29" fillId="49" borderId="102" xfId="56" applyFont="1" applyFill="1" applyBorder="1" applyAlignment="1">
      <alignment horizontal="center"/>
    </xf>
    <xf numFmtId="0" fontId="46" fillId="0" borderId="107" xfId="56" applyBorder="1" applyAlignment="1">
      <alignment horizontal="center"/>
    </xf>
    <xf numFmtId="10" fontId="29" fillId="40" borderId="101" xfId="56" applyNumberFormat="1" applyFont="1" applyFill="1" applyBorder="1" applyAlignment="1">
      <alignment horizontal="center"/>
    </xf>
    <xf numFmtId="10" fontId="29" fillId="40" borderId="103" xfId="56" applyNumberFormat="1" applyFont="1" applyFill="1" applyBorder="1" applyAlignment="1">
      <alignment horizontal="center"/>
    </xf>
    <xf numFmtId="4" fontId="29" fillId="40" borderId="101" xfId="56" applyNumberFormat="1" applyFont="1" applyFill="1" applyBorder="1" applyAlignment="1">
      <alignment horizontal="center"/>
    </xf>
    <xf numFmtId="4" fontId="29" fillId="40" borderId="103" xfId="56" applyNumberFormat="1" applyFont="1" applyFill="1" applyBorder="1" applyAlignment="1">
      <alignment horizontal="center"/>
    </xf>
    <xf numFmtId="4" fontId="29" fillId="49" borderId="11" xfId="56" applyNumberFormat="1" applyFont="1" applyFill="1" applyBorder="1" applyAlignment="1">
      <alignment horizontal="center"/>
    </xf>
    <xf numFmtId="10" fontId="29" fillId="49" borderId="10" xfId="56" applyNumberFormat="1" applyFont="1" applyFill="1" applyBorder="1" applyAlignment="1">
      <alignment horizontal="center"/>
    </xf>
    <xf numFmtId="10" fontId="29" fillId="49" borderId="11" xfId="56" applyNumberFormat="1" applyFont="1" applyFill="1" applyBorder="1" applyAlignment="1">
      <alignment horizontal="center"/>
    </xf>
    <xf numFmtId="2" fontId="29" fillId="49" borderId="104" xfId="56" applyNumberFormat="1" applyFont="1" applyFill="1" applyBorder="1" applyAlignment="1">
      <alignment horizontal="center"/>
    </xf>
    <xf numFmtId="10" fontId="29" fillId="34" borderId="28" xfId="56" applyNumberFormat="1" applyFont="1" applyFill="1" applyBorder="1" applyAlignment="1">
      <alignment horizontal="center"/>
    </xf>
    <xf numFmtId="2" fontId="29" fillId="34" borderId="101" xfId="56" applyNumberFormat="1" applyFont="1" applyFill="1" applyBorder="1" applyAlignment="1">
      <alignment horizontal="center"/>
    </xf>
    <xf numFmtId="2" fontId="29" fillId="34" borderId="103" xfId="56" applyNumberFormat="1" applyFont="1" applyFill="1" applyBorder="1" applyAlignment="1">
      <alignment horizontal="center"/>
    </xf>
    <xf numFmtId="4" fontId="29" fillId="34" borderId="101" xfId="56" applyNumberFormat="1" applyFont="1" applyFill="1" applyBorder="1" applyAlignment="1">
      <alignment horizontal="center"/>
    </xf>
    <xf numFmtId="4" fontId="29" fillId="34" borderId="103" xfId="56" applyNumberFormat="1" applyFont="1" applyFill="1" applyBorder="1" applyAlignment="1">
      <alignment horizontal="center"/>
    </xf>
    <xf numFmtId="175" fontId="29" fillId="34" borderId="101" xfId="56" applyNumberFormat="1" applyFont="1" applyFill="1" applyBorder="1" applyAlignment="1">
      <alignment horizontal="center"/>
    </xf>
    <xf numFmtId="175" fontId="29" fillId="34" borderId="103" xfId="56" applyNumberFormat="1" applyFont="1" applyFill="1" applyBorder="1" applyAlignment="1">
      <alignment horizontal="center"/>
    </xf>
    <xf numFmtId="4" fontId="29" fillId="34" borderId="11" xfId="56" applyNumberFormat="1" applyFont="1" applyFill="1" applyBorder="1" applyAlignment="1">
      <alignment horizontal="center"/>
    </xf>
    <xf numFmtId="2" fontId="29" fillId="49" borderId="102" xfId="56" applyNumberFormat="1" applyFont="1" applyFill="1" applyBorder="1" applyAlignment="1">
      <alignment horizontal="center"/>
    </xf>
    <xf numFmtId="0" fontId="46" fillId="0" borderId="64" xfId="56" applyBorder="1" applyAlignment="1">
      <alignment horizontal="center"/>
    </xf>
    <xf numFmtId="0" fontId="46" fillId="0" borderId="46" xfId="56" applyBorder="1" applyAlignment="1">
      <alignment horizontal="center"/>
    </xf>
    <xf numFmtId="2" fontId="29" fillId="34" borderId="102" xfId="56" applyNumberFormat="1" applyFont="1" applyFill="1" applyBorder="1" applyAlignment="1">
      <alignment horizontal="center"/>
    </xf>
    <xf numFmtId="2" fontId="29" fillId="34" borderId="11" xfId="56" applyNumberFormat="1" applyFont="1" applyFill="1" applyBorder="1" applyAlignment="1">
      <alignment horizontal="center"/>
    </xf>
    <xf numFmtId="4" fontId="29" fillId="44" borderId="101" xfId="56" applyNumberFormat="1" applyFont="1" applyFill="1" applyBorder="1" applyAlignment="1">
      <alignment horizontal="center"/>
    </xf>
    <xf numFmtId="4" fontId="29" fillId="44" borderId="103" xfId="56" applyNumberFormat="1" applyFont="1" applyFill="1" applyBorder="1" applyAlignment="1">
      <alignment horizontal="center"/>
    </xf>
    <xf numFmtId="2" fontId="29" fillId="44" borderId="101" xfId="56" applyNumberFormat="1" applyFont="1" applyFill="1" applyBorder="1" applyAlignment="1">
      <alignment horizontal="center"/>
    </xf>
    <xf numFmtId="2" fontId="29" fillId="44" borderId="103" xfId="56" applyNumberFormat="1" applyFont="1" applyFill="1" applyBorder="1" applyAlignment="1">
      <alignment horizontal="center"/>
    </xf>
    <xf numFmtId="4" fontId="29" fillId="44" borderId="102" xfId="56" applyNumberFormat="1" applyFont="1" applyFill="1" applyBorder="1" applyAlignment="1">
      <alignment horizontal="center"/>
    </xf>
    <xf numFmtId="10" fontId="29" fillId="44" borderId="28" xfId="56" applyNumberFormat="1" applyFont="1" applyFill="1" applyBorder="1" applyAlignment="1">
      <alignment horizontal="center"/>
    </xf>
    <xf numFmtId="10" fontId="29" fillId="44" borderId="103" xfId="56" applyNumberFormat="1" applyFont="1" applyFill="1" applyBorder="1" applyAlignment="1">
      <alignment horizontal="center"/>
    </xf>
    <xf numFmtId="2" fontId="29" fillId="44" borderId="11" xfId="56" applyNumberFormat="1" applyFont="1" applyFill="1" applyBorder="1" applyAlignment="1">
      <alignment horizontal="center"/>
    </xf>
    <xf numFmtId="10" fontId="29" fillId="44" borderId="101" xfId="56" applyNumberFormat="1" applyFont="1" applyFill="1" applyBorder="1" applyAlignment="1">
      <alignment horizontal="center"/>
    </xf>
    <xf numFmtId="4" fontId="29" fillId="44" borderId="11" xfId="56" applyNumberFormat="1" applyFont="1" applyFill="1" applyBorder="1" applyAlignment="1">
      <alignment horizontal="center"/>
    </xf>
    <xf numFmtId="4" fontId="29" fillId="34" borderId="102" xfId="56" applyNumberFormat="1" applyFont="1" applyFill="1" applyBorder="1" applyAlignment="1">
      <alignment horizontal="center"/>
    </xf>
    <xf numFmtId="2" fontId="29" fillId="44" borderId="102" xfId="56" applyNumberFormat="1" applyFont="1" applyFill="1" applyBorder="1" applyAlignment="1">
      <alignment horizontal="center"/>
    </xf>
    <xf numFmtId="175" fontId="29" fillId="44" borderId="101" xfId="56" applyNumberFormat="1" applyFont="1" applyFill="1" applyBorder="1" applyAlignment="1">
      <alignment horizontal="center"/>
    </xf>
    <xf numFmtId="175" fontId="29" fillId="44" borderId="103" xfId="56" applyNumberFormat="1" applyFont="1" applyFill="1" applyBorder="1" applyAlignment="1">
      <alignment horizontal="center"/>
    </xf>
    <xf numFmtId="10" fontId="29" fillId="40" borderId="28" xfId="56" applyNumberFormat="1" applyFont="1" applyFill="1" applyBorder="1" applyAlignment="1">
      <alignment horizontal="center"/>
    </xf>
    <xf numFmtId="2" fontId="29" fillId="40" borderId="101" xfId="56" applyNumberFormat="1" applyFont="1" applyFill="1" applyBorder="1" applyAlignment="1">
      <alignment horizontal="center"/>
    </xf>
    <xf numFmtId="2" fontId="29" fillId="40" borderId="103" xfId="56" applyNumberFormat="1" applyFont="1" applyFill="1" applyBorder="1" applyAlignment="1">
      <alignment horizontal="center"/>
    </xf>
    <xf numFmtId="2" fontId="29" fillId="40" borderId="102" xfId="56" applyNumberFormat="1" applyFont="1" applyFill="1" applyBorder="1" applyAlignment="1">
      <alignment horizontal="center"/>
    </xf>
    <xf numFmtId="175" fontId="29" fillId="53" borderId="101" xfId="56" applyNumberFormat="1" applyFont="1" applyFill="1" applyBorder="1" applyAlignment="1">
      <alignment horizontal="center"/>
    </xf>
    <xf numFmtId="175" fontId="29" fillId="53" borderId="103" xfId="56" applyNumberFormat="1" applyFont="1" applyFill="1" applyBorder="1" applyAlignment="1">
      <alignment horizontal="center"/>
    </xf>
    <xf numFmtId="4" fontId="29" fillId="40" borderId="102" xfId="56" applyNumberFormat="1" applyFont="1" applyFill="1" applyBorder="1" applyAlignment="1">
      <alignment horizontal="center"/>
    </xf>
    <xf numFmtId="2" fontId="29" fillId="53" borderId="101" xfId="56" applyNumberFormat="1" applyFont="1" applyFill="1" applyBorder="1" applyAlignment="1">
      <alignment horizontal="center"/>
    </xf>
    <xf numFmtId="2" fontId="29" fillId="53" borderId="103" xfId="56" applyNumberFormat="1" applyFont="1" applyFill="1" applyBorder="1" applyAlignment="1">
      <alignment horizontal="center"/>
    </xf>
    <xf numFmtId="4" fontId="29" fillId="53" borderId="101" xfId="56" applyNumberFormat="1" applyFont="1" applyFill="1" applyBorder="1" applyAlignment="1">
      <alignment horizontal="center"/>
    </xf>
    <xf numFmtId="4" fontId="29" fillId="53" borderId="103" xfId="56" applyNumberFormat="1" applyFont="1" applyFill="1" applyBorder="1" applyAlignment="1">
      <alignment horizontal="center"/>
    </xf>
    <xf numFmtId="4" fontId="29" fillId="40" borderId="11" xfId="56" applyNumberFormat="1" applyFont="1" applyFill="1" applyBorder="1" applyAlignment="1">
      <alignment horizontal="center"/>
    </xf>
    <xf numFmtId="2" fontId="29" fillId="40" borderId="11" xfId="56" applyNumberFormat="1" applyFont="1" applyFill="1" applyBorder="1" applyAlignment="1">
      <alignment horizontal="center"/>
    </xf>
    <xf numFmtId="2" fontId="29" fillId="53" borderId="102" xfId="56" applyNumberFormat="1" applyFont="1" applyFill="1" applyBorder="1" applyAlignment="1">
      <alignment horizontal="center"/>
    </xf>
    <xf numFmtId="10" fontId="29" fillId="35" borderId="28" xfId="56" applyNumberFormat="1" applyFont="1" applyFill="1" applyBorder="1" applyAlignment="1">
      <alignment horizontal="center"/>
    </xf>
    <xf numFmtId="10" fontId="29" fillId="35" borderId="103" xfId="56" applyNumberFormat="1" applyFont="1" applyFill="1" applyBorder="1" applyAlignment="1">
      <alignment horizontal="center"/>
    </xf>
    <xf numFmtId="2" fontId="29" fillId="35" borderId="101" xfId="56" applyNumberFormat="1" applyFont="1" applyFill="1" applyBorder="1" applyAlignment="1">
      <alignment horizontal="center"/>
    </xf>
    <xf numFmtId="2" fontId="29" fillId="35" borderId="103" xfId="56" applyNumberFormat="1" applyFont="1" applyFill="1" applyBorder="1" applyAlignment="1">
      <alignment horizontal="center"/>
    </xf>
    <xf numFmtId="2" fontId="29" fillId="35" borderId="102" xfId="56" applyNumberFormat="1" applyFont="1" applyFill="1" applyBorder="1" applyAlignment="1">
      <alignment horizontal="center"/>
    </xf>
    <xf numFmtId="4" fontId="29" fillId="35" borderId="101" xfId="56" applyNumberFormat="1" applyFont="1" applyFill="1" applyBorder="1" applyAlignment="1">
      <alignment horizontal="center"/>
    </xf>
    <xf numFmtId="4" fontId="29" fillId="35" borderId="103" xfId="56" applyNumberFormat="1" applyFont="1" applyFill="1" applyBorder="1" applyAlignment="1">
      <alignment horizontal="center"/>
    </xf>
    <xf numFmtId="10" fontId="29" fillId="35" borderId="101" xfId="56" applyNumberFormat="1" applyFont="1" applyFill="1" applyBorder="1" applyAlignment="1">
      <alignment horizontal="center"/>
    </xf>
    <xf numFmtId="175" fontId="29" fillId="35" borderId="101" xfId="56" applyNumberFormat="1" applyFont="1" applyFill="1" applyBorder="1" applyAlignment="1">
      <alignment horizontal="center"/>
    </xf>
    <xf numFmtId="175" fontId="29" fillId="35" borderId="103" xfId="56" applyNumberFormat="1" applyFont="1" applyFill="1" applyBorder="1" applyAlignment="1">
      <alignment horizontal="center"/>
    </xf>
    <xf numFmtId="10" fontId="29" fillId="35" borderId="102" xfId="56" applyNumberFormat="1" applyFont="1" applyFill="1" applyBorder="1" applyAlignment="1">
      <alignment horizontal="center"/>
    </xf>
    <xf numFmtId="4" fontId="29" fillId="45" borderId="101" xfId="56" applyNumberFormat="1" applyFont="1" applyFill="1" applyBorder="1" applyAlignment="1">
      <alignment horizontal="center"/>
    </xf>
    <xf numFmtId="4" fontId="29" fillId="45" borderId="103" xfId="56" applyNumberFormat="1" applyFont="1" applyFill="1" applyBorder="1" applyAlignment="1">
      <alignment horizontal="center"/>
    </xf>
    <xf numFmtId="2" fontId="29" fillId="45" borderId="101" xfId="56" applyNumberFormat="1" applyFont="1" applyFill="1" applyBorder="1" applyAlignment="1">
      <alignment horizontal="center"/>
    </xf>
    <xf numFmtId="2" fontId="29" fillId="45" borderId="103" xfId="56" applyNumberFormat="1" applyFont="1" applyFill="1" applyBorder="1" applyAlignment="1">
      <alignment horizontal="center"/>
    </xf>
    <xf numFmtId="2" fontId="29" fillId="45" borderId="102" xfId="56" applyNumberFormat="1" applyFont="1" applyFill="1" applyBorder="1" applyAlignment="1">
      <alignment horizontal="center"/>
    </xf>
    <xf numFmtId="10" fontId="29" fillId="45" borderId="28" xfId="56" applyNumberFormat="1" applyFont="1" applyFill="1" applyBorder="1" applyAlignment="1">
      <alignment horizontal="center"/>
    </xf>
    <xf numFmtId="10" fontId="29" fillId="45" borderId="103" xfId="56" applyNumberFormat="1" applyFont="1" applyFill="1" applyBorder="1" applyAlignment="1">
      <alignment horizontal="center"/>
    </xf>
    <xf numFmtId="10" fontId="29" fillId="45" borderId="101" xfId="56" applyNumberFormat="1" applyFont="1" applyFill="1" applyBorder="1" applyAlignment="1">
      <alignment horizontal="center"/>
    </xf>
    <xf numFmtId="2" fontId="29" fillId="35" borderId="11" xfId="56" applyNumberFormat="1" applyFont="1" applyFill="1" applyBorder="1" applyAlignment="1">
      <alignment horizontal="center"/>
    </xf>
    <xf numFmtId="2" fontId="29" fillId="52" borderId="101" xfId="56" applyNumberFormat="1" applyFont="1" applyFill="1" applyBorder="1" applyAlignment="1">
      <alignment horizontal="center"/>
    </xf>
    <xf numFmtId="2" fontId="29" fillId="52" borderId="103" xfId="56" applyNumberFormat="1" applyFont="1" applyFill="1" applyBorder="1" applyAlignment="1">
      <alignment horizontal="center"/>
    </xf>
    <xf numFmtId="175" fontId="29" fillId="52" borderId="101" xfId="56" applyNumberFormat="1" applyFont="1" applyFill="1" applyBorder="1" applyAlignment="1">
      <alignment horizontal="center"/>
    </xf>
    <xf numFmtId="175" fontId="29" fillId="52" borderId="103" xfId="56" applyNumberFormat="1" applyFont="1" applyFill="1" applyBorder="1" applyAlignment="1">
      <alignment horizontal="center"/>
    </xf>
    <xf numFmtId="2" fontId="29" fillId="46" borderId="101" xfId="56" applyNumberFormat="1" applyFont="1" applyFill="1" applyBorder="1" applyAlignment="1">
      <alignment horizontal="center"/>
    </xf>
    <xf numFmtId="2" fontId="29" fillId="46" borderId="103" xfId="56" applyNumberFormat="1" applyFont="1" applyFill="1" applyBorder="1" applyAlignment="1">
      <alignment horizontal="center"/>
    </xf>
    <xf numFmtId="4" fontId="29" fillId="46" borderId="101" xfId="56" applyNumberFormat="1" applyFont="1" applyFill="1" applyBorder="1" applyAlignment="1">
      <alignment horizontal="center"/>
    </xf>
    <xf numFmtId="4" fontId="29" fillId="46" borderId="103" xfId="56" applyNumberFormat="1" applyFont="1" applyFill="1" applyBorder="1" applyAlignment="1">
      <alignment horizontal="center"/>
    </xf>
    <xf numFmtId="2" fontId="29" fillId="45" borderId="11" xfId="56" applyNumberFormat="1" applyFont="1" applyFill="1" applyBorder="1" applyAlignment="1">
      <alignment horizontal="center"/>
    </xf>
    <xf numFmtId="10" fontId="29" fillId="46" borderId="28" xfId="56" applyNumberFormat="1" applyFont="1" applyFill="1" applyBorder="1" applyAlignment="1">
      <alignment horizontal="center"/>
    </xf>
    <xf numFmtId="10" fontId="29" fillId="46" borderId="103" xfId="56" applyNumberFormat="1" applyFont="1" applyFill="1" applyBorder="1" applyAlignment="1">
      <alignment horizontal="center"/>
    </xf>
    <xf numFmtId="10" fontId="29" fillId="46" borderId="101" xfId="56" applyNumberFormat="1" applyFont="1" applyFill="1" applyBorder="1" applyAlignment="1">
      <alignment horizontal="center"/>
    </xf>
    <xf numFmtId="2" fontId="29" fillId="46" borderId="102" xfId="56" applyNumberFormat="1" applyFont="1" applyFill="1" applyBorder="1" applyAlignment="1">
      <alignment horizontal="center"/>
    </xf>
    <xf numFmtId="10" fontId="29" fillId="52" borderId="101" xfId="56" applyNumberFormat="1" applyFont="1" applyFill="1" applyBorder="1" applyAlignment="1">
      <alignment horizontal="center"/>
    </xf>
    <xf numFmtId="10" fontId="29" fillId="52" borderId="103" xfId="56" applyNumberFormat="1" applyFont="1" applyFill="1" applyBorder="1" applyAlignment="1">
      <alignment horizontal="center"/>
    </xf>
    <xf numFmtId="2" fontId="29" fillId="47" borderId="101" xfId="56" applyNumberFormat="1" applyFont="1" applyFill="1" applyBorder="1" applyAlignment="1">
      <alignment horizontal="center"/>
    </xf>
    <xf numFmtId="2" fontId="29" fillId="47" borderId="102" xfId="56" applyNumberFormat="1" applyFont="1" applyFill="1" applyBorder="1" applyAlignment="1">
      <alignment horizontal="center"/>
    </xf>
    <xf numFmtId="10" fontId="29" fillId="47" borderId="101" xfId="56" applyNumberFormat="1" applyFont="1" applyFill="1" applyBorder="1" applyAlignment="1">
      <alignment horizontal="center"/>
    </xf>
    <xf numFmtId="10" fontId="29" fillId="47" borderId="103" xfId="56" applyNumberFormat="1" applyFont="1" applyFill="1" applyBorder="1" applyAlignment="1">
      <alignment horizontal="center"/>
    </xf>
    <xf numFmtId="2" fontId="29" fillId="47" borderId="103" xfId="56" applyNumberFormat="1" applyFont="1" applyFill="1" applyBorder="1" applyAlignment="1">
      <alignment horizontal="center"/>
    </xf>
    <xf numFmtId="10" fontId="29" fillId="47" borderId="28" xfId="56" applyNumberFormat="1" applyFont="1" applyFill="1" applyBorder="1" applyAlignment="1">
      <alignment horizontal="center"/>
    </xf>
    <xf numFmtId="4" fontId="29" fillId="47" borderId="101" xfId="56" applyNumberFormat="1" applyFont="1" applyFill="1" applyBorder="1" applyAlignment="1">
      <alignment horizontal="center"/>
    </xf>
    <xf numFmtId="4" fontId="29" fillId="47" borderId="103" xfId="56" applyNumberFormat="1" applyFont="1" applyFill="1" applyBorder="1" applyAlignment="1">
      <alignment horizontal="center"/>
    </xf>
    <xf numFmtId="175" fontId="29" fillId="46" borderId="101" xfId="56" applyNumberFormat="1" applyFont="1" applyFill="1" applyBorder="1" applyAlignment="1">
      <alignment horizontal="center"/>
    </xf>
    <xf numFmtId="175" fontId="29" fillId="46" borderId="103" xfId="56" applyNumberFormat="1" applyFont="1" applyFill="1" applyBorder="1" applyAlignment="1">
      <alignment horizontal="center"/>
    </xf>
    <xf numFmtId="4" fontId="29" fillId="48" borderId="101" xfId="56" applyNumberFormat="1" applyFont="1" applyFill="1" applyBorder="1" applyAlignment="1">
      <alignment horizontal="center"/>
    </xf>
    <xf numFmtId="4" fontId="29" fillId="48" borderId="103" xfId="56" applyNumberFormat="1" applyFont="1" applyFill="1" applyBorder="1" applyAlignment="1">
      <alignment horizontal="center"/>
    </xf>
    <xf numFmtId="10" fontId="29" fillId="48" borderId="28" xfId="56" applyNumberFormat="1" applyFont="1" applyFill="1" applyBorder="1" applyAlignment="1">
      <alignment horizontal="center"/>
    </xf>
    <xf numFmtId="10" fontId="29" fillId="48" borderId="103" xfId="56" applyNumberFormat="1" applyFont="1" applyFill="1" applyBorder="1" applyAlignment="1">
      <alignment horizontal="center"/>
    </xf>
    <xf numFmtId="10" fontId="29" fillId="48" borderId="101" xfId="56" applyNumberFormat="1" applyFont="1" applyFill="1" applyBorder="1" applyAlignment="1">
      <alignment horizontal="center"/>
    </xf>
    <xf numFmtId="2" fontId="29" fillId="48" borderId="101" xfId="56" applyNumberFormat="1" applyFont="1" applyFill="1" applyBorder="1" applyAlignment="1">
      <alignment horizontal="center"/>
    </xf>
    <xf numFmtId="2" fontId="29" fillId="48" borderId="103" xfId="56" applyNumberFormat="1" applyFont="1" applyFill="1" applyBorder="1" applyAlignment="1">
      <alignment horizontal="center"/>
    </xf>
    <xf numFmtId="175" fontId="29" fillId="47" borderId="101" xfId="56" applyNumberFormat="1" applyFont="1" applyFill="1" applyBorder="1" applyAlignment="1">
      <alignment horizontal="center"/>
    </xf>
    <xf numFmtId="175" fontId="29" fillId="47" borderId="103" xfId="56" applyNumberFormat="1" applyFont="1" applyFill="1" applyBorder="1" applyAlignment="1">
      <alignment horizontal="center"/>
    </xf>
    <xf numFmtId="2" fontId="29" fillId="46" borderId="11" xfId="56" applyNumberFormat="1" applyFont="1" applyFill="1" applyBorder="1" applyAlignment="1">
      <alignment horizontal="center"/>
    </xf>
    <xf numFmtId="2" fontId="29" fillId="48" borderId="102" xfId="56" applyNumberFormat="1" applyFont="1" applyFill="1" applyBorder="1" applyAlignment="1">
      <alignment horizontal="center"/>
    </xf>
    <xf numFmtId="4" fontId="29" fillId="48" borderId="102" xfId="56" applyNumberFormat="1" applyFont="1" applyFill="1" applyBorder="1" applyAlignment="1">
      <alignment horizontal="center"/>
    </xf>
    <xf numFmtId="4" fontId="29" fillId="48" borderId="11" xfId="56" applyNumberFormat="1" applyFont="1" applyFill="1" applyBorder="1" applyAlignment="1">
      <alignment horizontal="center"/>
    </xf>
    <xf numFmtId="2" fontId="29" fillId="48" borderId="11" xfId="56" applyNumberFormat="1" applyFont="1" applyFill="1" applyBorder="1" applyAlignment="1">
      <alignment horizontal="center"/>
    </xf>
    <xf numFmtId="2" fontId="29" fillId="48" borderId="50" xfId="56" applyNumberFormat="1" applyFont="1" applyFill="1" applyBorder="1" applyAlignment="1">
      <alignment horizontal="center"/>
    </xf>
    <xf numFmtId="10" fontId="29" fillId="48" borderId="10" xfId="56" applyNumberFormat="1" applyFont="1" applyFill="1" applyBorder="1" applyAlignment="1">
      <alignment horizontal="center"/>
    </xf>
    <xf numFmtId="10" fontId="29" fillId="48" borderId="11" xfId="56" applyNumberFormat="1" applyFont="1" applyFill="1" applyBorder="1" applyAlignment="1">
      <alignment horizontal="center"/>
    </xf>
    <xf numFmtId="175" fontId="29" fillId="48" borderId="101" xfId="56" applyNumberFormat="1" applyFont="1" applyFill="1" applyBorder="1" applyAlignment="1">
      <alignment horizontal="center"/>
    </xf>
    <xf numFmtId="175" fontId="29" fillId="48" borderId="103" xfId="56" applyNumberFormat="1" applyFont="1" applyFill="1" applyBorder="1" applyAlignment="1">
      <alignment horizontal="center"/>
    </xf>
    <xf numFmtId="4" fontId="29" fillId="49" borderId="50" xfId="56" applyNumberFormat="1" applyFont="1" applyFill="1" applyBorder="1" applyAlignment="1">
      <alignment horizontal="center"/>
    </xf>
    <xf numFmtId="4" fontId="29" fillId="49" borderId="102" xfId="56" applyNumberFormat="1" applyFont="1" applyFill="1" applyBorder="1" applyAlignment="1">
      <alignment horizontal="center"/>
    </xf>
    <xf numFmtId="175" fontId="29" fillId="49" borderId="101" xfId="56" applyNumberFormat="1" applyFont="1" applyFill="1" applyBorder="1" applyAlignment="1">
      <alignment horizontal="center"/>
    </xf>
    <xf numFmtId="175" fontId="29" fillId="49" borderId="103" xfId="56" applyNumberFormat="1" applyFont="1" applyFill="1" applyBorder="1" applyAlignment="1">
      <alignment horizontal="center"/>
    </xf>
    <xf numFmtId="2" fontId="29" fillId="40" borderId="50" xfId="56" applyNumberFormat="1" applyFont="1" applyFill="1" applyBorder="1" applyAlignment="1">
      <alignment horizontal="center"/>
    </xf>
    <xf numFmtId="10" fontId="29" fillId="40" borderId="10" xfId="56" applyNumberFormat="1" applyFont="1" applyFill="1" applyBorder="1" applyAlignment="1">
      <alignment horizontal="center"/>
    </xf>
    <xf numFmtId="10" fontId="29" fillId="40" borderId="11" xfId="56" applyNumberFormat="1" applyFont="1" applyFill="1" applyBorder="1" applyAlignment="1">
      <alignment horizontal="center"/>
    </xf>
    <xf numFmtId="10" fontId="29" fillId="44" borderId="26" xfId="56" applyNumberFormat="1" applyFont="1" applyFill="1" applyBorder="1" applyAlignment="1">
      <alignment horizontal="center"/>
    </xf>
    <xf numFmtId="10" fontId="29" fillId="44" borderId="22" xfId="56" applyNumberFormat="1" applyFont="1" applyFill="1" applyBorder="1" applyAlignment="1">
      <alignment horizontal="center"/>
    </xf>
    <xf numFmtId="2" fontId="29" fillId="44" borderId="26" xfId="56" applyNumberFormat="1" applyFont="1" applyFill="1" applyBorder="1" applyAlignment="1">
      <alignment horizontal="center"/>
    </xf>
    <xf numFmtId="2" fontId="29" fillId="44" borderId="22" xfId="56" applyNumberFormat="1" applyFont="1" applyFill="1" applyBorder="1" applyAlignment="1">
      <alignment horizontal="center"/>
    </xf>
    <xf numFmtId="4" fontId="29" fillId="44" borderId="26" xfId="56" applyNumberFormat="1" applyFont="1" applyFill="1" applyBorder="1" applyAlignment="1">
      <alignment horizontal="center"/>
    </xf>
    <xf numFmtId="4" fontId="29" fillId="44" borderId="22" xfId="56" applyNumberFormat="1" applyFont="1" applyFill="1" applyBorder="1" applyAlignment="1">
      <alignment horizontal="center"/>
    </xf>
    <xf numFmtId="4" fontId="29" fillId="44" borderId="100" xfId="56" applyNumberFormat="1" applyFont="1" applyFill="1" applyBorder="1" applyAlignment="1">
      <alignment horizontal="center"/>
    </xf>
    <xf numFmtId="10" fontId="29" fillId="44" borderId="79" xfId="56" applyNumberFormat="1" applyFont="1" applyFill="1" applyBorder="1" applyAlignment="1">
      <alignment horizontal="center"/>
    </xf>
    <xf numFmtId="2" fontId="29" fillId="44" borderId="100" xfId="56" applyNumberFormat="1" applyFont="1" applyFill="1" applyBorder="1" applyAlignment="1">
      <alignment horizontal="center"/>
    </xf>
    <xf numFmtId="10" fontId="29" fillId="44" borderId="58" xfId="56" applyNumberFormat="1" applyFont="1" applyFill="1" applyBorder="1" applyAlignment="1">
      <alignment horizontal="center"/>
    </xf>
    <xf numFmtId="10" fontId="29" fillId="44" borderId="23" xfId="56" applyNumberFormat="1" applyFont="1" applyFill="1" applyBorder="1" applyAlignment="1">
      <alignment horizontal="center"/>
    </xf>
    <xf numFmtId="175" fontId="29" fillId="44" borderId="26" xfId="56" applyNumberFormat="1" applyFont="1" applyFill="1" applyBorder="1" applyAlignment="1">
      <alignment horizontal="center"/>
    </xf>
    <xf numFmtId="175" fontId="29" fillId="44" borderId="22" xfId="56" applyNumberFormat="1" applyFont="1" applyFill="1" applyBorder="1" applyAlignment="1">
      <alignment horizontal="center"/>
    </xf>
    <xf numFmtId="0" fontId="29" fillId="27" borderId="36" xfId="56" applyFont="1" applyFill="1" applyBorder="1" applyAlignment="1">
      <alignment horizontal="center" vertical="center" wrapText="1"/>
    </xf>
    <xf numFmtId="0" fontId="29" fillId="27" borderId="54" xfId="56" applyFont="1" applyFill="1" applyBorder="1" applyAlignment="1">
      <alignment horizontal="center" vertical="center" wrapText="1"/>
    </xf>
    <xf numFmtId="0" fontId="29" fillId="27" borderId="35" xfId="56" applyFont="1" applyFill="1" applyBorder="1" applyAlignment="1">
      <alignment horizontal="center" vertical="center" wrapText="1"/>
    </xf>
    <xf numFmtId="0" fontId="46" fillId="0" borderId="48" xfId="56" applyBorder="1" applyAlignment="1">
      <alignment horizontal="center"/>
    </xf>
    <xf numFmtId="2" fontId="29" fillId="49" borderId="50" xfId="56" applyNumberFormat="1" applyFont="1" applyFill="1" applyBorder="1" applyAlignment="1">
      <alignment horizontal="center"/>
    </xf>
    <xf numFmtId="2" fontId="29" fillId="47" borderId="28" xfId="56" applyNumberFormat="1" applyFont="1" applyFill="1" applyBorder="1" applyAlignment="1">
      <alignment horizontal="center"/>
    </xf>
    <xf numFmtId="2" fontId="29" fillId="48" borderId="28" xfId="56" applyNumberFormat="1" applyFont="1" applyFill="1" applyBorder="1" applyAlignment="1">
      <alignment horizontal="center"/>
    </xf>
    <xf numFmtId="2" fontId="29" fillId="49" borderId="28" xfId="56" applyNumberFormat="1" applyFont="1" applyFill="1" applyBorder="1" applyAlignment="1">
      <alignment horizontal="center"/>
    </xf>
    <xf numFmtId="2" fontId="29" fillId="40" borderId="28" xfId="56" applyNumberFormat="1" applyFont="1" applyFill="1" applyBorder="1" applyAlignment="1">
      <alignment horizontal="center"/>
    </xf>
    <xf numFmtId="2" fontId="29" fillId="44" borderId="79" xfId="56" applyNumberFormat="1" applyFont="1" applyFill="1" applyBorder="1" applyAlignment="1">
      <alignment horizontal="center"/>
    </xf>
    <xf numFmtId="0" fontId="29" fillId="35" borderId="56" xfId="56" applyFont="1" applyFill="1" applyBorder="1" applyAlignment="1">
      <alignment horizontal="center" vertical="center" wrapText="1"/>
    </xf>
    <xf numFmtId="0" fontId="29" fillId="35" borderId="46" xfId="56" applyFont="1" applyFill="1" applyBorder="1" applyAlignment="1">
      <alignment horizontal="center" vertical="center" wrapText="1"/>
    </xf>
    <xf numFmtId="0" fontId="29" fillId="35" borderId="65" xfId="56" applyFont="1" applyFill="1" applyBorder="1" applyAlignment="1">
      <alignment horizontal="center" vertical="center" wrapText="1"/>
    </xf>
    <xf numFmtId="175" fontId="29" fillId="40" borderId="101" xfId="56" applyNumberFormat="1" applyFont="1" applyFill="1" applyBorder="1" applyAlignment="1">
      <alignment horizontal="center"/>
    </xf>
    <xf numFmtId="175" fontId="29" fillId="40" borderId="103" xfId="56" applyNumberFormat="1" applyFont="1" applyFill="1" applyBorder="1" applyAlignment="1">
      <alignment horizontal="center"/>
    </xf>
    <xf numFmtId="2" fontId="29" fillId="44" borderId="24" xfId="56" applyNumberFormat="1" applyFont="1" applyFill="1" applyBorder="1" applyAlignment="1">
      <alignment horizontal="center"/>
    </xf>
    <xf numFmtId="0" fontId="29" fillId="33" borderId="56" xfId="56" applyFont="1" applyFill="1" applyBorder="1" applyAlignment="1">
      <alignment horizontal="center" vertical="center" wrapText="1"/>
    </xf>
    <xf numFmtId="0" fontId="29" fillId="33" borderId="46" xfId="56" applyFont="1" applyFill="1" applyBorder="1" applyAlignment="1">
      <alignment horizontal="center" vertical="center" wrapText="1"/>
    </xf>
    <xf numFmtId="0" fontId="29" fillId="33" borderId="65" xfId="56" applyFont="1" applyFill="1" applyBorder="1" applyAlignment="1">
      <alignment horizontal="center" vertical="center" wrapText="1"/>
    </xf>
    <xf numFmtId="2" fontId="29" fillId="34" borderId="50" xfId="56" applyNumberFormat="1" applyFont="1" applyFill="1" applyBorder="1" applyAlignment="1">
      <alignment horizontal="center"/>
    </xf>
    <xf numFmtId="2" fontId="29" fillId="44" borderId="50" xfId="56" applyNumberFormat="1" applyFont="1" applyFill="1" applyBorder="1" applyAlignment="1">
      <alignment horizontal="center"/>
    </xf>
    <xf numFmtId="2" fontId="29" fillId="35" borderId="50" xfId="56" applyNumberFormat="1" applyFont="1" applyFill="1" applyBorder="1" applyAlignment="1">
      <alignment horizontal="center"/>
    </xf>
    <xf numFmtId="2" fontId="29" fillId="45" borderId="50" xfId="56" applyNumberFormat="1" applyFont="1" applyFill="1" applyBorder="1" applyAlignment="1">
      <alignment horizontal="center"/>
    </xf>
    <xf numFmtId="2" fontId="29" fillId="46" borderId="50" xfId="56" applyNumberFormat="1" applyFont="1" applyFill="1" applyBorder="1" applyAlignment="1">
      <alignment horizontal="center"/>
    </xf>
    <xf numFmtId="4" fontId="29" fillId="44" borderId="23" xfId="56" applyNumberFormat="1" applyFont="1" applyFill="1" applyBorder="1" applyAlignment="1">
      <alignment horizontal="center"/>
    </xf>
    <xf numFmtId="2" fontId="29" fillId="44" borderId="23" xfId="56" applyNumberFormat="1" applyFont="1" applyFill="1" applyBorder="1" applyAlignment="1">
      <alignment horizontal="center"/>
    </xf>
    <xf numFmtId="170" fontId="39" fillId="0" borderId="11" xfId="0" applyNumberFormat="1" applyFont="1" applyBorder="1" applyAlignment="1">
      <alignment horizontal="center" vertical="center" wrapText="1"/>
    </xf>
    <xf numFmtId="0" fontId="39" fillId="27" borderId="92" xfId="0" applyFont="1" applyFill="1" applyBorder="1" applyAlignment="1">
      <alignment horizontal="center" vertical="center" wrapText="1"/>
    </xf>
    <xf numFmtId="0" fontId="39" fillId="27" borderId="94" xfId="0" applyFont="1" applyFill="1" applyBorder="1" applyAlignment="1">
      <alignment horizontal="center" vertical="center" wrapText="1"/>
    </xf>
    <xf numFmtId="0" fontId="39" fillId="27" borderId="29" xfId="0" applyFont="1" applyFill="1" applyBorder="1" applyAlignment="1">
      <alignment horizontal="center" vertical="center" wrapText="1"/>
    </xf>
    <xf numFmtId="0" fontId="39" fillId="27" borderId="61" xfId="0" applyFont="1" applyFill="1" applyBorder="1" applyAlignment="1">
      <alignment horizontal="center" vertical="center" wrapText="1"/>
    </xf>
    <xf numFmtId="169" fontId="36" fillId="0" borderId="0" xfId="0" applyNumberFormat="1" applyFont="1" applyAlignment="1">
      <alignment horizontal="center" vertical="center"/>
    </xf>
    <xf numFmtId="168" fontId="39" fillId="0" borderId="11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0" borderId="73" xfId="0" applyFont="1" applyBorder="1" applyAlignment="1">
      <alignment horizontal="center" vertical="center" wrapText="1"/>
    </xf>
    <xf numFmtId="0" fontId="39" fillId="0" borderId="74" xfId="0" applyFont="1" applyBorder="1" applyAlignment="1">
      <alignment horizontal="center" vertical="center" wrapText="1"/>
    </xf>
    <xf numFmtId="0" fontId="39" fillId="27" borderId="59" xfId="0" applyFont="1" applyFill="1" applyBorder="1" applyAlignment="1">
      <alignment horizontal="center" vertical="center" wrapText="1"/>
    </xf>
    <xf numFmtId="0" fontId="39" fillId="27" borderId="32" xfId="0" applyFont="1" applyFill="1" applyBorder="1" applyAlignment="1">
      <alignment horizontal="center" vertical="center" wrapText="1"/>
    </xf>
    <xf numFmtId="0" fontId="46" fillId="0" borderId="59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61" xfId="0" applyFont="1" applyBorder="1" applyAlignment="1">
      <alignment horizontal="center" vertical="center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169" fontId="36" fillId="0" borderId="0" xfId="0" applyNumberFormat="1" applyFont="1" applyAlignment="1">
      <alignment horizontal="center" vertical="justify" wrapText="1"/>
    </xf>
    <xf numFmtId="0" fontId="41" fillId="4" borderId="14" xfId="0" applyFont="1" applyFill="1" applyBorder="1" applyAlignment="1">
      <alignment horizontal="center" vertical="center"/>
    </xf>
    <xf numFmtId="0" fontId="41" fillId="4" borderId="63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3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58" fillId="30" borderId="20" xfId="28" applyNumberFormat="1" applyFont="1" applyFill="1" applyBorder="1" applyAlignment="1" applyProtection="1">
      <alignment horizontal="center"/>
    </xf>
    <xf numFmtId="167" fontId="58" fillId="30" borderId="19" xfId="28" applyNumberFormat="1" applyFont="1" applyFill="1" applyBorder="1" applyAlignment="1" applyProtection="1">
      <alignment horizontal="center"/>
    </xf>
    <xf numFmtId="167" fontId="34" fillId="34" borderId="13" xfId="28" applyNumberFormat="1" applyFont="1" applyFill="1" applyBorder="1" applyAlignment="1" applyProtection="1">
      <alignment horizontal="center"/>
    </xf>
    <xf numFmtId="167" fontId="58" fillId="34" borderId="20" xfId="28" applyNumberFormat="1" applyFont="1" applyFill="1" applyBorder="1" applyAlignment="1" applyProtection="1">
      <alignment horizontal="center"/>
    </xf>
    <xf numFmtId="167" fontId="58" fillId="34" borderId="19" xfId="28" applyNumberFormat="1" applyFont="1" applyFill="1" applyBorder="1" applyAlignment="1" applyProtection="1">
      <alignment horizontal="center"/>
    </xf>
    <xf numFmtId="167" fontId="34" fillId="36" borderId="13" xfId="28" applyNumberFormat="1" applyFont="1" applyFill="1" applyBorder="1" applyAlignment="1" applyProtection="1">
      <alignment horizontal="center"/>
    </xf>
    <xf numFmtId="167" fontId="58" fillId="36" borderId="20" xfId="28" applyNumberFormat="1" applyFont="1" applyFill="1" applyBorder="1" applyAlignment="1" applyProtection="1">
      <alignment horizontal="center"/>
    </xf>
    <xf numFmtId="167" fontId="58" fillId="36" borderId="19" xfId="28" applyNumberFormat="1" applyFont="1" applyFill="1" applyBorder="1" applyAlignment="1" applyProtection="1">
      <alignment horizontal="center"/>
    </xf>
    <xf numFmtId="167" fontId="34" fillId="38" borderId="13" xfId="28" applyNumberFormat="1" applyFont="1" applyFill="1" applyBorder="1" applyAlignment="1" applyProtection="1">
      <alignment horizontal="center"/>
    </xf>
    <xf numFmtId="167" fontId="58" fillId="38" borderId="20" xfId="28" applyNumberFormat="1" applyFont="1" applyFill="1" applyBorder="1" applyAlignment="1" applyProtection="1">
      <alignment horizontal="center"/>
    </xf>
    <xf numFmtId="167" fontId="58" fillId="38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58" fillId="31" borderId="20" xfId="28" applyNumberFormat="1" applyFont="1" applyFill="1" applyBorder="1" applyAlignment="1" applyProtection="1">
      <alignment horizontal="center"/>
    </xf>
    <xf numFmtId="167" fontId="58" fillId="31" borderId="19" xfId="28" applyNumberFormat="1" applyFont="1" applyFill="1" applyBorder="1" applyAlignment="1" applyProtection="1">
      <alignment horizontal="center"/>
    </xf>
    <xf numFmtId="167" fontId="34" fillId="27" borderId="92" xfId="28" applyNumberFormat="1" applyFont="1" applyFill="1" applyBorder="1" applyAlignment="1" applyProtection="1">
      <alignment horizontal="center" vertical="center"/>
    </xf>
    <xf numFmtId="167" fontId="34" fillId="27" borderId="105" xfId="28" applyNumberFormat="1" applyFont="1" applyFill="1" applyBorder="1" applyAlignment="1" applyProtection="1">
      <alignment horizontal="center" vertical="center"/>
    </xf>
    <xf numFmtId="167" fontId="34" fillId="27" borderId="94" xfId="28" applyNumberFormat="1" applyFont="1" applyFill="1" applyBorder="1" applyAlignment="1" applyProtection="1">
      <alignment horizontal="center" vertical="center"/>
    </xf>
    <xf numFmtId="167" fontId="34" fillId="27" borderId="31" xfId="28" applyNumberFormat="1" applyFont="1" applyFill="1" applyBorder="1" applyAlignment="1" applyProtection="1">
      <alignment horizontal="center" vertical="center"/>
    </xf>
    <xf numFmtId="167" fontId="34" fillId="27" borderId="62" xfId="28" applyNumberFormat="1" applyFont="1" applyFill="1" applyBorder="1" applyAlignment="1" applyProtection="1">
      <alignment horizontal="center" vertical="center"/>
    </xf>
    <xf numFmtId="167" fontId="34" fillId="27" borderId="16" xfId="28" applyNumberFormat="1" applyFont="1" applyFill="1" applyBorder="1" applyAlignment="1" applyProtection="1">
      <alignment horizontal="center" vertical="center"/>
    </xf>
    <xf numFmtId="167" fontId="34" fillId="33" borderId="13" xfId="28" applyNumberFormat="1" applyFont="1" applyFill="1" applyBorder="1" applyAlignment="1" applyProtection="1">
      <alignment horizontal="center"/>
    </xf>
    <xf numFmtId="167" fontId="58" fillId="33" borderId="20" xfId="28" applyNumberFormat="1" applyFont="1" applyFill="1" applyBorder="1" applyAlignment="1" applyProtection="1">
      <alignment horizontal="center"/>
    </xf>
    <xf numFmtId="167" fontId="58" fillId="33" borderId="19" xfId="28" applyNumberFormat="1" applyFont="1" applyFill="1" applyBorder="1" applyAlignment="1" applyProtection="1">
      <alignment horizontal="center"/>
    </xf>
    <xf numFmtId="167" fontId="34" fillId="35" borderId="13" xfId="28" applyNumberFormat="1" applyFont="1" applyFill="1" applyBorder="1" applyAlignment="1" applyProtection="1">
      <alignment horizontal="center"/>
    </xf>
    <xf numFmtId="167" fontId="58" fillId="35" borderId="20" xfId="28" applyNumberFormat="1" applyFont="1" applyFill="1" applyBorder="1" applyAlignment="1" applyProtection="1">
      <alignment horizontal="center"/>
    </xf>
    <xf numFmtId="167" fontId="58" fillId="35" borderId="19" xfId="28" applyNumberFormat="1" applyFont="1" applyFill="1" applyBorder="1" applyAlignment="1" applyProtection="1">
      <alignment horizontal="center"/>
    </xf>
    <xf numFmtId="167" fontId="34" fillId="32" borderId="11" xfId="28" applyNumberFormat="1" applyFont="1" applyFill="1" applyBorder="1" applyAlignment="1" applyProtection="1">
      <alignment horizontal="center"/>
    </xf>
    <xf numFmtId="167" fontId="58" fillId="32" borderId="11" xfId="28" applyNumberFormat="1" applyFont="1" applyFill="1" applyBorder="1" applyAlignment="1" applyProtection="1">
      <alignment horizontal="center"/>
    </xf>
    <xf numFmtId="167" fontId="34" fillId="27" borderId="13" xfId="28" applyNumberFormat="1" applyFont="1" applyFill="1" applyBorder="1" applyAlignment="1" applyProtection="1">
      <alignment horizontal="center"/>
    </xf>
    <xf numFmtId="167" fontId="58" fillId="27" borderId="20" xfId="28" applyNumberFormat="1" applyFont="1" applyFill="1" applyBorder="1" applyAlignment="1" applyProtection="1">
      <alignment horizontal="center"/>
    </xf>
    <xf numFmtId="167" fontId="58" fillId="27" borderId="19" xfId="28" applyNumberFormat="1" applyFont="1" applyFill="1" applyBorder="1" applyAlignment="1" applyProtection="1">
      <alignment horizontal="center"/>
    </xf>
    <xf numFmtId="167" fontId="34" fillId="37" borderId="13" xfId="28" applyNumberFormat="1" applyFont="1" applyFill="1" applyBorder="1" applyAlignment="1" applyProtection="1">
      <alignment horizontal="center"/>
    </xf>
    <xf numFmtId="167" fontId="58" fillId="37" borderId="20" xfId="28" applyNumberFormat="1" applyFont="1" applyFill="1" applyBorder="1" applyAlignment="1" applyProtection="1">
      <alignment horizontal="center"/>
    </xf>
    <xf numFmtId="167" fontId="58" fillId="37" borderId="19" xfId="28" applyNumberFormat="1" applyFont="1" applyFill="1" applyBorder="1" applyAlignment="1" applyProtection="1">
      <alignment horizontal="center"/>
    </xf>
    <xf numFmtId="167" fontId="58" fillId="0" borderId="13" xfId="28" applyNumberFormat="1" applyFont="1" applyFill="1" applyBorder="1" applyAlignment="1" applyProtection="1">
      <alignment horizontal="center"/>
    </xf>
    <xf numFmtId="167" fontId="58" fillId="0" borderId="20" xfId="28" applyNumberFormat="1" applyFont="1" applyFill="1" applyBorder="1" applyAlignment="1" applyProtection="1">
      <alignment horizontal="center"/>
    </xf>
    <xf numFmtId="167" fontId="58" fillId="0" borderId="19" xfId="28" applyNumberFormat="1" applyFont="1" applyFill="1" applyBorder="1" applyAlignment="1" applyProtection="1">
      <alignment horizontal="center"/>
    </xf>
    <xf numFmtId="178" fontId="44" fillId="42" borderId="90" xfId="58" applyNumberFormat="1" applyFont="1" applyFill="1" applyBorder="1" applyAlignment="1">
      <alignment horizontal="center" vertical="center" wrapText="1"/>
    </xf>
    <xf numFmtId="178" fontId="44" fillId="42" borderId="63" xfId="58" applyNumberFormat="1" applyFont="1" applyFill="1" applyBorder="1" applyAlignment="1">
      <alignment horizontal="center" vertical="center" wrapText="1"/>
    </xf>
    <xf numFmtId="178" fontId="44" fillId="42" borderId="17" xfId="58" applyNumberFormat="1" applyFont="1" applyFill="1" applyBorder="1" applyAlignment="1">
      <alignment horizontal="center" vertical="center" wrapText="1"/>
    </xf>
    <xf numFmtId="178" fontId="44" fillId="26" borderId="90" xfId="58" applyNumberFormat="1" applyFont="1" applyFill="1" applyBorder="1" applyAlignment="1">
      <alignment horizontal="center" vertical="center" wrapText="1"/>
    </xf>
    <xf numFmtId="178" fontId="44" fillId="26" borderId="63" xfId="58" applyNumberFormat="1" applyFont="1" applyFill="1" applyBorder="1" applyAlignment="1">
      <alignment horizontal="center" vertical="center" wrapText="1"/>
    </xf>
    <xf numFmtId="178" fontId="44" fillId="26" borderId="17" xfId="58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63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90" xfId="0" applyFont="1" applyBorder="1" applyAlignment="1">
      <alignment horizontal="center" vertical="center" wrapText="1"/>
    </xf>
    <xf numFmtId="178" fontId="44" fillId="42" borderId="59" xfId="58" applyNumberFormat="1" applyFont="1" applyFill="1" applyBorder="1" applyAlignment="1">
      <alignment horizontal="center" vertical="center" wrapText="1"/>
    </xf>
    <xf numFmtId="178" fontId="44" fillId="42" borderId="32" xfId="58" applyNumberFormat="1" applyFont="1" applyFill="1" applyBorder="1" applyAlignment="1">
      <alignment horizontal="center" vertical="center" wrapText="1"/>
    </xf>
    <xf numFmtId="178" fontId="44" fillId="26" borderId="13" xfId="58" applyNumberFormat="1" applyFont="1" applyFill="1" applyBorder="1" applyAlignment="1">
      <alignment horizontal="center" vertical="center" wrapText="1"/>
    </xf>
    <xf numFmtId="178" fontId="44" fillId="26" borderId="19" xfId="58" applyNumberFormat="1" applyFont="1" applyFill="1" applyBorder="1" applyAlignment="1">
      <alignment horizontal="center" vertical="center" wrapText="1"/>
    </xf>
    <xf numFmtId="178" fontId="44" fillId="26" borderId="14" xfId="29" applyNumberFormat="1" applyFont="1" applyFill="1" applyBorder="1" applyAlignment="1">
      <alignment horizontal="center" vertical="center" wrapText="1"/>
    </xf>
    <xf numFmtId="178" fontId="44" fillId="26" borderId="63" xfId="29" applyNumberFormat="1" applyFont="1" applyFill="1" applyBorder="1" applyAlignment="1">
      <alignment horizontal="center" vertical="center" wrapText="1"/>
    </xf>
    <xf numFmtId="178" fontId="44" fillId="26" borderId="17" xfId="29" applyNumberFormat="1" applyFont="1" applyFill="1" applyBorder="1" applyAlignment="1">
      <alignment horizontal="center" vertical="center" wrapText="1"/>
    </xf>
    <xf numFmtId="178" fontId="44" fillId="25" borderId="11" xfId="29" applyNumberFormat="1" applyFont="1" applyFill="1" applyBorder="1" applyAlignment="1">
      <alignment horizontal="center" vertical="center" wrapText="1"/>
    </xf>
    <xf numFmtId="178" fontId="44" fillId="25" borderId="14" xfId="29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center" vertical="center" wrapText="1"/>
    </xf>
    <xf numFmtId="178" fontId="44" fillId="0" borderId="20" xfId="29" applyNumberFormat="1" applyFont="1" applyFill="1" applyBorder="1" applyAlignment="1">
      <alignment horizontal="center" vertical="center" wrapText="1"/>
    </xf>
    <xf numFmtId="178" fontId="44" fillId="0" borderId="19" xfId="29" applyNumberFormat="1" applyFont="1" applyFill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 vertical="center" wrapText="1"/>
    </xf>
    <xf numFmtId="178" fontId="44" fillId="0" borderId="14" xfId="29" applyNumberFormat="1" applyFont="1" applyFill="1" applyBorder="1" applyAlignment="1">
      <alignment horizontal="center" vertical="center" wrapText="1"/>
    </xf>
    <xf numFmtId="178" fontId="44" fillId="4" borderId="59" xfId="29" applyNumberFormat="1" applyFont="1" applyFill="1" applyBorder="1" applyAlignment="1">
      <alignment horizontal="center" vertical="center" wrapText="1"/>
    </xf>
    <xf numFmtId="178" fontId="44" fillId="4" borderId="32" xfId="29" applyNumberFormat="1" applyFont="1" applyFill="1" applyBorder="1" applyAlignment="1">
      <alignment horizontal="center" vertical="center" wrapText="1"/>
    </xf>
    <xf numFmtId="178" fontId="44" fillId="4" borderId="31" xfId="29" applyNumberFormat="1" applyFont="1" applyFill="1" applyBorder="1" applyAlignment="1">
      <alignment horizontal="center" vertical="center" wrapText="1"/>
    </xf>
    <xf numFmtId="178" fontId="44" fillId="4" borderId="16" xfId="29" applyNumberFormat="1" applyFont="1" applyFill="1" applyBorder="1" applyAlignment="1">
      <alignment horizontal="center" vertical="center" wrapText="1"/>
    </xf>
    <xf numFmtId="178" fontId="44" fillId="4" borderId="11" xfId="29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51" fillId="0" borderId="63" xfId="0" applyFont="1" applyBorder="1" applyAlignment="1">
      <alignment horizontal="center" vertical="center" wrapText="1"/>
    </xf>
    <xf numFmtId="0" fontId="53" fillId="22" borderId="11" xfId="0" applyFont="1" applyFill="1" applyBorder="1" applyAlignment="1">
      <alignment horizontal="center"/>
    </xf>
    <xf numFmtId="178" fontId="44" fillId="22" borderId="14" xfId="29" applyNumberFormat="1" applyFont="1" applyFill="1" applyBorder="1" applyAlignment="1">
      <alignment horizontal="center" vertical="center" wrapText="1"/>
    </xf>
    <xf numFmtId="178" fontId="44" fillId="22" borderId="63" xfId="29" applyNumberFormat="1" applyFont="1" applyFill="1" applyBorder="1" applyAlignment="1">
      <alignment horizontal="center" vertical="center" wrapText="1"/>
    </xf>
    <xf numFmtId="178" fontId="44" fillId="22" borderId="17" xfId="29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60" xfId="29" applyFont="1" applyFill="1" applyBorder="1" applyAlignment="1">
      <alignment horizontal="center" vertical="center"/>
    </xf>
    <xf numFmtId="164" fontId="44" fillId="0" borderId="32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62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7" fontId="44" fillId="0" borderId="59" xfId="0" applyNumberFormat="1" applyFont="1" applyBorder="1" applyAlignment="1">
      <alignment horizontal="center" vertical="center"/>
    </xf>
    <xf numFmtId="177" fontId="44" fillId="0" borderId="60" xfId="0" applyNumberFormat="1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/>
    </xf>
    <xf numFmtId="177" fontId="44" fillId="0" borderId="31" xfId="0" applyNumberFormat="1" applyFont="1" applyBorder="1" applyAlignment="1">
      <alignment horizontal="center" vertical="center"/>
    </xf>
    <xf numFmtId="177" fontId="44" fillId="0" borderId="62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3" xfId="29" applyFont="1" applyFill="1" applyBorder="1" applyAlignment="1">
      <alignment horizontal="center" vertical="center" wrapText="1"/>
    </xf>
    <xf numFmtId="178" fontId="44" fillId="0" borderId="63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78" fontId="44" fillId="25" borderId="63" xfId="29" applyNumberFormat="1" applyFont="1" applyFill="1" applyBorder="1" applyAlignment="1">
      <alignment horizontal="center" vertical="center" wrapText="1"/>
    </xf>
    <xf numFmtId="166" fontId="44" fillId="25" borderId="14" xfId="51" applyNumberFormat="1" applyFont="1" applyFill="1" applyBorder="1" applyAlignment="1">
      <alignment horizontal="center" vertical="center" wrapText="1"/>
    </xf>
    <xf numFmtId="166" fontId="44" fillId="25" borderId="63" xfId="51" applyNumberFormat="1" applyFont="1" applyFill="1" applyBorder="1" applyAlignment="1">
      <alignment horizontal="center" vertical="center" wrapText="1"/>
    </xf>
    <xf numFmtId="166" fontId="44" fillId="25" borderId="17" xfId="51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0" fontId="29" fillId="0" borderId="82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0" fontId="29" fillId="0" borderId="85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6" xfId="0" applyFont="1" applyBorder="1" applyAlignment="1">
      <alignment horizontal="center" vertical="center" wrapText="1"/>
    </xf>
    <xf numFmtId="0" fontId="29" fillId="0" borderId="87" xfId="0" applyFont="1" applyBorder="1" applyAlignment="1">
      <alignment horizontal="center" vertical="center" wrapText="1"/>
    </xf>
    <xf numFmtId="2" fontId="29" fillId="0" borderId="13" xfId="28" applyNumberFormat="1" applyFont="1" applyBorder="1" applyAlignment="1">
      <alignment horizontal="center" vertical="center"/>
    </xf>
    <xf numFmtId="2" fontId="29" fillId="0" borderId="89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2" fontId="29" fillId="0" borderId="31" xfId="28" applyNumberFormat="1" applyFont="1" applyBorder="1" applyAlignment="1">
      <alignment horizontal="center" vertical="center"/>
    </xf>
    <xf numFmtId="2" fontId="29" fillId="0" borderId="62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2" fontId="29" fillId="0" borderId="31" xfId="28" quotePrefix="1" applyNumberFormat="1" applyFont="1" applyBorder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2" fontId="29" fillId="0" borderId="88" xfId="28" applyNumberFormat="1" applyFont="1" applyBorder="1" applyAlignment="1">
      <alignment horizontal="center" vertical="center"/>
    </xf>
    <xf numFmtId="0" fontId="57" fillId="0" borderId="79" xfId="41" applyFont="1" applyBorder="1" applyAlignment="1">
      <alignment horizontal="center"/>
    </xf>
    <xf numFmtId="0" fontId="57" fillId="0" borderId="80" xfId="41" applyFont="1" applyBorder="1" applyAlignment="1">
      <alignment horizontal="center"/>
    </xf>
    <xf numFmtId="0" fontId="57" fillId="0" borderId="22" xfId="41" applyFont="1" applyBorder="1" applyAlignment="1">
      <alignment horizontal="center"/>
    </xf>
    <xf numFmtId="0" fontId="57" fillId="0" borderId="55" xfId="41" applyFont="1" applyBorder="1" applyAlignment="1">
      <alignment horizontal="center" vertical="center"/>
    </xf>
    <xf numFmtId="0" fontId="57" fillId="0" borderId="63" xfId="41" applyFont="1" applyBorder="1" applyAlignment="1">
      <alignment horizontal="center" vertical="center"/>
    </xf>
    <xf numFmtId="0" fontId="57" fillId="0" borderId="30" xfId="41" applyFont="1" applyBorder="1" applyAlignment="1">
      <alignment horizontal="center" vertical="center"/>
    </xf>
    <xf numFmtId="0" fontId="57" fillId="11" borderId="55" xfId="41" applyFont="1" applyFill="1" applyBorder="1" applyAlignment="1">
      <alignment horizontal="center" vertical="center" wrapText="1"/>
    </xf>
    <xf numFmtId="0" fontId="57" fillId="11" borderId="63" xfId="41" applyFont="1" applyFill="1" applyBorder="1" applyAlignment="1">
      <alignment horizontal="center" vertical="center" wrapText="1"/>
    </xf>
    <xf numFmtId="0" fontId="57" fillId="11" borderId="30" xfId="41" applyFont="1" applyFill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57" fillId="0" borderId="45" xfId="41" applyFont="1" applyBorder="1" applyAlignment="1">
      <alignment horizontal="center" vertical="center"/>
    </xf>
    <xf numFmtId="0" fontId="57" fillId="0" borderId="81" xfId="41" applyFont="1" applyBorder="1" applyAlignment="1">
      <alignment horizontal="center" vertical="center"/>
    </xf>
    <xf numFmtId="0" fontId="57" fillId="0" borderId="47" xfId="4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88" xfId="28" applyNumberFormat="1" applyFont="1" applyBorder="1" applyAlignment="1">
      <alignment horizontal="center"/>
    </xf>
    <xf numFmtId="2" fontId="0" fillId="0" borderId="89" xfId="28" applyNumberFormat="1" applyFont="1" applyBorder="1" applyAlignment="1">
      <alignment horizontal="center"/>
    </xf>
    <xf numFmtId="10" fontId="65" fillId="27" borderId="11" xfId="0" applyNumberFormat="1" applyFont="1" applyFill="1" applyBorder="1" applyAlignment="1">
      <alignment horizontal="center" vertical="center"/>
    </xf>
    <xf numFmtId="0" fontId="65" fillId="27" borderId="11" xfId="0" applyFont="1" applyFill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10" fontId="63" fillId="0" borderId="11" xfId="0" applyNumberFormat="1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0" fillId="0" borderId="90" xfId="0" applyFont="1" applyBorder="1" applyAlignment="1">
      <alignment horizontal="center" vertical="center"/>
    </xf>
    <xf numFmtId="0" fontId="60" fillId="0" borderId="63" xfId="0" applyFont="1" applyBorder="1" applyAlignment="1">
      <alignment horizontal="center" vertical="center"/>
    </xf>
    <xf numFmtId="10" fontId="64" fillId="0" borderId="11" xfId="0" applyNumberFormat="1" applyFont="1" applyBorder="1" applyAlignment="1">
      <alignment horizontal="center" vertical="center"/>
    </xf>
    <xf numFmtId="0" fontId="60" fillId="0" borderId="11" xfId="0" applyFont="1" applyBorder="1" applyAlignment="1">
      <alignment horizontal="left" vertical="center"/>
    </xf>
    <xf numFmtId="10" fontId="2" fillId="0" borderId="11" xfId="51" applyNumberFormat="1" applyFont="1" applyFill="1" applyBorder="1" applyAlignment="1">
      <alignment horizontal="center" vertical="center"/>
    </xf>
    <xf numFmtId="0" fontId="60" fillId="0" borderId="90" xfId="0" applyFont="1" applyBorder="1" applyAlignment="1">
      <alignment horizontal="left" vertical="center"/>
    </xf>
    <xf numFmtId="0" fontId="60" fillId="0" borderId="63" xfId="0" applyFont="1" applyBorder="1" applyAlignment="1">
      <alignment horizontal="left" vertical="center"/>
    </xf>
    <xf numFmtId="0" fontId="60" fillId="0" borderId="17" xfId="0" applyFont="1" applyBorder="1" applyAlignment="1">
      <alignment horizontal="left" vertical="center"/>
    </xf>
    <xf numFmtId="10" fontId="2" fillId="0" borderId="90" xfId="51" applyNumberFormat="1" applyFont="1" applyFill="1" applyBorder="1" applyAlignment="1">
      <alignment horizontal="center" vertical="center"/>
    </xf>
    <xf numFmtId="10" fontId="2" fillId="0" borderId="63" xfId="51" applyNumberFormat="1" applyFont="1" applyFill="1" applyBorder="1" applyAlignment="1">
      <alignment horizontal="center" vertical="center"/>
    </xf>
    <xf numFmtId="10" fontId="2" fillId="0" borderId="17" xfId="51" applyNumberFormat="1" applyFont="1" applyFill="1" applyBorder="1" applyAlignment="1">
      <alignment horizontal="center" vertical="center"/>
    </xf>
    <xf numFmtId="10" fontId="60" fillId="0" borderId="11" xfId="0" applyNumberFormat="1" applyFont="1" applyBorder="1" applyAlignment="1">
      <alignment horizontal="center" vertical="center"/>
    </xf>
    <xf numFmtId="0" fontId="60" fillId="27" borderId="11" xfId="0" applyFont="1" applyFill="1" applyBorder="1" applyAlignment="1">
      <alignment horizontal="center"/>
    </xf>
    <xf numFmtId="10" fontId="60" fillId="0" borderId="90" xfId="51" applyNumberFormat="1" applyFont="1" applyFill="1" applyBorder="1" applyAlignment="1">
      <alignment horizontal="center" vertical="center"/>
    </xf>
    <xf numFmtId="10" fontId="60" fillId="0" borderId="17" xfId="51" applyNumberFormat="1" applyFont="1" applyFill="1" applyBorder="1" applyAlignment="1">
      <alignment horizontal="center" vertical="center"/>
    </xf>
    <xf numFmtId="0" fontId="60" fillId="27" borderId="11" xfId="0" applyFont="1" applyFill="1" applyBorder="1" applyAlignment="1">
      <alignment horizontal="center" vertical="center"/>
    </xf>
    <xf numFmtId="0" fontId="60" fillId="27" borderId="11" xfId="0" applyFont="1" applyFill="1" applyBorder="1" applyAlignment="1">
      <alignment horizontal="center" vertical="top" wrapText="1"/>
    </xf>
    <xf numFmtId="0" fontId="60" fillId="27" borderId="90" xfId="0" applyFont="1" applyFill="1" applyBorder="1" applyAlignment="1">
      <alignment horizontal="center" vertical="center" wrapText="1"/>
    </xf>
    <xf numFmtId="0" fontId="60" fillId="27" borderId="17" xfId="0" applyFont="1" applyFill="1" applyBorder="1" applyAlignment="1">
      <alignment horizontal="center" vertical="center" wrapText="1"/>
    </xf>
    <xf numFmtId="0" fontId="24" fillId="24" borderId="79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28" fillId="24" borderId="28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79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8" xfId="0" applyFont="1" applyFill="1" applyBorder="1" applyAlignment="1">
      <alignment horizontal="center"/>
    </xf>
    <xf numFmtId="0" fontId="28" fillId="24" borderId="77" xfId="0" applyFont="1" applyFill="1" applyBorder="1" applyAlignment="1">
      <alignment horizontal="center"/>
    </xf>
    <xf numFmtId="0" fontId="28" fillId="24" borderId="45" xfId="0" applyFont="1" applyFill="1" applyBorder="1" applyAlignment="1" applyProtection="1">
      <alignment horizontal="center" vertical="center" textRotation="180" wrapText="1"/>
      <protection locked="0"/>
    </xf>
    <xf numFmtId="0" fontId="46" fillId="0" borderId="81" xfId="0" applyFont="1" applyBorder="1" applyAlignment="1" applyProtection="1">
      <alignment horizontal="center" vertical="center" textRotation="180" wrapText="1"/>
      <protection locked="0"/>
    </xf>
    <xf numFmtId="0" fontId="46" fillId="0" borderId="47" xfId="0" applyFont="1" applyBorder="1" applyAlignment="1" applyProtection="1">
      <alignment horizontal="center" vertical="center" textRotation="180" wrapText="1"/>
      <protection locked="0"/>
    </xf>
    <xf numFmtId="0" fontId="28" fillId="24" borderId="43" xfId="0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0" fillId="0" borderId="81" xfId="0" applyBorder="1" applyAlignment="1" applyProtection="1">
      <alignment horizontal="center" vertical="center" textRotation="180" wrapText="1"/>
      <protection locked="0"/>
    </xf>
    <xf numFmtId="0" fontId="0" fillId="0" borderId="47" xfId="0" applyBorder="1" applyAlignment="1" applyProtection="1">
      <alignment horizontal="center" vertical="center" textRotation="180" wrapText="1"/>
      <protection locked="0"/>
    </xf>
    <xf numFmtId="0" fontId="28" fillId="24" borderId="70" xfId="0" applyFont="1" applyFill="1" applyBorder="1" applyAlignment="1">
      <alignment horizontal="center"/>
    </xf>
    <xf numFmtId="0" fontId="28" fillId="24" borderId="71" xfId="0" applyFont="1" applyFill="1" applyBorder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0" fontId="47" fillId="24" borderId="28" xfId="0" applyFont="1" applyFill="1" applyBorder="1" applyAlignment="1">
      <alignment horizontal="center"/>
    </xf>
  </cellXfs>
  <cellStyles count="6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8"/>
    <cellStyle name="Comma 2" xfId="59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6"/>
    <cellStyle name="Normal 5" xfId="60"/>
    <cellStyle name="Normal_April_3" xfId="43"/>
    <cellStyle name="Normal_DES 11_1" xfId="57"/>
    <cellStyle name="Normal_Juli_37" xfId="44"/>
    <cellStyle name="Normal_Juni" xfId="45"/>
    <cellStyle name="Normal_Juni_4" xfId="46"/>
    <cellStyle name="Normal_Mar_18" xfId="47"/>
    <cellStyle name="Normal_Mar_6" xfId="48"/>
    <cellStyle name="Note" xfId="49" builtinId="10" customBuiltin="1"/>
    <cellStyle name="Output" xfId="50" builtinId="21" customBuiltin="1"/>
    <cellStyle name="Percent" xfId="51" builtinId="5"/>
    <cellStyle name="Percent 2" xfId="61"/>
    <cellStyle name="Percent_Okt_6" xfId="52"/>
    <cellStyle name="Title" xfId="53" builtinId="15" customBuiltin="1"/>
    <cellStyle name="Total" xfId="54" builtinId="25" customBuiltin="1"/>
    <cellStyle name="Warning Text" xfId="55" builtinId="11" customBuiltin="1"/>
  </cellStyles>
  <dxfs count="147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colors>
    <mruColors>
      <color rgb="FF00CC00"/>
      <color rgb="FFEAA0C1"/>
      <color rgb="FFFABF8F"/>
      <color rgb="FF9BBB59"/>
      <color rgb="FF8C91F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externalLink" Target="externalLinks/externalLink7.xml"/><Relationship Id="rId55" Type="http://schemas.openxmlformats.org/officeDocument/2006/relationships/externalLink" Target="externalLinks/externalLink12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1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externalLink" Target="externalLinks/externalLink10.xml"/><Relationship Id="rId58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externalLink" Target="externalLinks/externalLink14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externalLink" Target="externalLinks/externalLink1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59.673000000000002</c:v>
                </c:pt>
                <c:pt idx="1">
                  <c:v>62.746000000000002</c:v>
                </c:pt>
                <c:pt idx="2">
                  <c:v>65.622</c:v>
                </c:pt>
                <c:pt idx="3">
                  <c:v>59.649000000000001</c:v>
                </c:pt>
                <c:pt idx="4">
                  <c:v>55.176000000000002</c:v>
                </c:pt>
                <c:pt idx="5">
                  <c:v>44.353000000000002</c:v>
                </c:pt>
                <c:pt idx="6">
                  <c:v>48.692</c:v>
                </c:pt>
                <c:pt idx="7">
                  <c:v>47.743000000000002</c:v>
                </c:pt>
                <c:pt idx="8">
                  <c:v>53.112000000000002</c:v>
                </c:pt>
                <c:pt idx="9">
                  <c:v>43.384999999999998</c:v>
                </c:pt>
                <c:pt idx="10">
                  <c:v>51.335000000000001</c:v>
                </c:pt>
                <c:pt idx="11">
                  <c:v>48.634999999999998</c:v>
                </c:pt>
                <c:pt idx="12">
                  <c:v>43.908999999999999</c:v>
                </c:pt>
                <c:pt idx="13">
                  <c:v>47.758000000000003</c:v>
                </c:pt>
                <c:pt idx="14">
                  <c:v>46.701999999999998</c:v>
                </c:pt>
                <c:pt idx="15">
                  <c:v>55.676000000000002</c:v>
                </c:pt>
                <c:pt idx="16">
                  <c:v>45.265999999999998</c:v>
                </c:pt>
                <c:pt idx="17">
                  <c:v>45.436</c:v>
                </c:pt>
                <c:pt idx="18">
                  <c:v>62.713000000000001</c:v>
                </c:pt>
                <c:pt idx="19">
                  <c:v>57.715000000000003</c:v>
                </c:pt>
                <c:pt idx="20">
                  <c:v>56.137999999999998</c:v>
                </c:pt>
                <c:pt idx="21">
                  <c:v>54.898000000000003</c:v>
                </c:pt>
                <c:pt idx="22">
                  <c:v>51.46</c:v>
                </c:pt>
                <c:pt idx="23">
                  <c:v>55.963999999999999</c:v>
                </c:pt>
                <c:pt idx="24">
                  <c:v>53.747</c:v>
                </c:pt>
                <c:pt idx="25">
                  <c:v>51.795999999999999</c:v>
                </c:pt>
                <c:pt idx="26">
                  <c:v>60.527000000000001</c:v>
                </c:pt>
                <c:pt idx="27">
                  <c:v>51.81</c:v>
                </c:pt>
                <c:pt idx="28">
                  <c:v>55.331000000000003</c:v>
                </c:pt>
                <c:pt idx="29">
                  <c:v>58.088999999999999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035840"/>
        <c:axId val="277028864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FC6D-4B8B-91BF-BF47FD5D2F2B}"/>
              </c:ext>
            </c:extLst>
          </c:dPt>
          <c:cat>
            <c:numRef>
              <c:f>Report1!$A$9</c:f>
              <c:numCache>
                <c:formatCode>d\-mmm</c:formatCode>
                <c:ptCount val="1"/>
                <c:pt idx="0">
                  <c:v>45962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1.0026126095610461</c:v>
                </c:pt>
                <c:pt idx="1">
                  <c:v>0.85910238670422456</c:v>
                </c:pt>
                <c:pt idx="2">
                  <c:v>0.87121677976786538</c:v>
                </c:pt>
                <c:pt idx="3">
                  <c:v>0.79021126921829088</c:v>
                </c:pt>
                <c:pt idx="4">
                  <c:v>0.90111446399423623</c:v>
                </c:pt>
                <c:pt idx="5">
                  <c:v>0.74072481548311198</c:v>
                </c:pt>
                <c:pt idx="6">
                  <c:v>0.78018143522729932</c:v>
                </c:pt>
                <c:pt idx="7">
                  <c:v>0.83272760619467912</c:v>
                </c:pt>
                <c:pt idx="8">
                  <c:v>0.8952950192938236</c:v>
                </c:pt>
                <c:pt idx="9">
                  <c:v>0.81277098610842591</c:v>
                </c:pt>
                <c:pt idx="10">
                  <c:v>0.97658627973798917</c:v>
                </c:pt>
                <c:pt idx="11">
                  <c:v>0.84842955816779531</c:v>
                </c:pt>
                <c:pt idx="12">
                  <c:v>0.67228889269173642</c:v>
                </c:pt>
                <c:pt idx="13">
                  <c:v>0.76772461676314663</c:v>
                </c:pt>
                <c:pt idx="14">
                  <c:v>0.78342130090007389</c:v>
                </c:pt>
                <c:pt idx="15">
                  <c:v>0.85703249220818689</c:v>
                </c:pt>
                <c:pt idx="16">
                  <c:v>0.7280433272742024</c:v>
                </c:pt>
                <c:pt idx="17">
                  <c:v>0.70191175327409483</c:v>
                </c:pt>
                <c:pt idx="18">
                  <c:v>0.95327963337831756</c:v>
                </c:pt>
                <c:pt idx="19">
                  <c:v>0.87730668346960916</c:v>
                </c:pt>
                <c:pt idx="20">
                  <c:v>0.85333522648560867</c:v>
                </c:pt>
                <c:pt idx="21">
                  <c:v>0.83448639537580538</c:v>
                </c:pt>
                <c:pt idx="22">
                  <c:v>0.78222649105684983</c:v>
                </c:pt>
                <c:pt idx="23">
                  <c:v>0.89462070011974226</c:v>
                </c:pt>
                <c:pt idx="24">
                  <c:v>0.93744864483055979</c:v>
                </c:pt>
                <c:pt idx="25">
                  <c:v>0.90289199558061528</c:v>
                </c:pt>
                <c:pt idx="26">
                  <c:v>1.0425622476570926</c:v>
                </c:pt>
                <c:pt idx="27">
                  <c:v>0.88405245138991273</c:v>
                </c:pt>
                <c:pt idx="28">
                  <c:v>0.92475667222025415</c:v>
                </c:pt>
                <c:pt idx="29">
                  <c:v>0.93511365399264468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C6D-4B8B-91BF-BF47FD5D2F2B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</c:f>
              <c:numCache>
                <c:formatCode>d\-mmm</c:formatCode>
                <c:ptCount val="1"/>
                <c:pt idx="0">
                  <c:v>45962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1.0026126095610461</c:v>
                </c:pt>
                <c:pt idx="1">
                  <c:v>0.92353920011123369</c:v>
                </c:pt>
                <c:pt idx="2">
                  <c:v>0.90458062104850656</c:v>
                </c:pt>
                <c:pt idx="3">
                  <c:v>0.87411366645191357</c:v>
                </c:pt>
                <c:pt idx="4">
                  <c:v>0.87891145882291766</c:v>
                </c:pt>
                <c:pt idx="5">
                  <c:v>0.85845427446079592</c:v>
                </c:pt>
                <c:pt idx="6">
                  <c:v>0.84799102031939744</c:v>
                </c:pt>
                <c:pt idx="7">
                  <c:v>0.84632166230728612</c:v>
                </c:pt>
                <c:pt idx="8">
                  <c:v>0.8513003779705649</c:v>
                </c:pt>
                <c:pt idx="9">
                  <c:v>0.84807128359991757</c:v>
                </c:pt>
                <c:pt idx="10">
                  <c:v>0.85786919159736896</c:v>
                </c:pt>
                <c:pt idx="11">
                  <c:v>0.85714462169701267</c:v>
                </c:pt>
                <c:pt idx="12">
                  <c:v>0.84227804902218284</c:v>
                </c:pt>
                <c:pt idx="13">
                  <c:v>0.83697366671648032</c:v>
                </c:pt>
                <c:pt idx="14">
                  <c:v>0.83355544507008072</c:v>
                </c:pt>
                <c:pt idx="15">
                  <c:v>0.83508227615301722</c:v>
                </c:pt>
                <c:pt idx="16">
                  <c:v>0.82881022538247362</c:v>
                </c:pt>
                <c:pt idx="17">
                  <c:v>0.82151381775490562</c:v>
                </c:pt>
                <c:pt idx="18">
                  <c:v>0.82878844894484371</c:v>
                </c:pt>
                <c:pt idx="19">
                  <c:v>0.83132693519286616</c:v>
                </c:pt>
                <c:pt idx="20">
                  <c:v>0.83242116419824463</c:v>
                </c:pt>
                <c:pt idx="21">
                  <c:v>0.83251898191804918</c:v>
                </c:pt>
                <c:pt idx="22">
                  <c:v>0.8302446473963826</c:v>
                </c:pt>
                <c:pt idx="23">
                  <c:v>0.83289878323439592</c:v>
                </c:pt>
                <c:pt idx="24">
                  <c:v>0.83670550573244495</c:v>
                </c:pt>
                <c:pt idx="25">
                  <c:v>0.8390320430586472</c:v>
                </c:pt>
                <c:pt idx="26">
                  <c:v>0.84602362292498889</c:v>
                </c:pt>
                <c:pt idx="27">
                  <c:v>0.84729813288501943</c:v>
                </c:pt>
                <c:pt idx="28">
                  <c:v>0.84986080833249089</c:v>
                </c:pt>
                <c:pt idx="29">
                  <c:v>0.85269190429667641</c:v>
                </c:pt>
                <c:pt idx="30">
                  <c:v>0.85269190429667641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031936"/>
        <c:axId val="277030400"/>
      </c:lineChart>
      <c:dateAx>
        <c:axId val="27603584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277028864"/>
        <c:crosses val="autoZero"/>
        <c:auto val="1"/>
        <c:lblOffset val="100"/>
        <c:baseTimeUnit val="days"/>
      </c:dateAx>
      <c:valAx>
        <c:axId val="277028864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276035840"/>
        <c:crosses val="autoZero"/>
        <c:crossBetween val="between"/>
      </c:valAx>
      <c:valAx>
        <c:axId val="2770304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77031936"/>
        <c:crosses val="max"/>
        <c:crossBetween val="between"/>
      </c:valAx>
      <c:dateAx>
        <c:axId val="27703193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277030400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504824</xdr:colOff>
      <xdr:row>25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2%20NOV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NOV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5%20NOV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6%20NOVEM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7%20NOVEMBE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10.%20OKTOBER\DAILY%20REPORT%20PM%2011%20OKTOBER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DAILY%20REPORT%20PM%2011%20SEPTEMBER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8.%20AGUSTUS\DAILY%20REPORT%20PM%2011%20AGUSTUS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7.%20JULI\DAILY%20REPORT%20PM%2011%20JULI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6.%20JUNI\DAILY%20REPORT%20PM%2011%20JUNI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5.%20MEI\DAILY%20REPORT%20PM%2011%20MEI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4.%20APRIL\DAILY%20REPORT%20PM%2011%20APRIL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3.%20MARET\DAILY%20REPORT%20PM%2011%20MARET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.%20FEBRUARI\DAILY%20REPORT%20PM%2011%20FEBRUARI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1%20JANUARI%20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0.82240430729560743</v>
          </cell>
          <cell r="K9">
            <v>0.82240430729560743</v>
          </cell>
          <cell r="R9">
            <v>43.186</v>
          </cell>
          <cell r="S9">
            <v>43.186</v>
          </cell>
          <cell r="AL9">
            <v>2.9519520214884456</v>
          </cell>
          <cell r="AM9">
            <v>2.9519520214884456</v>
          </cell>
          <cell r="AR9">
            <v>0.29639234937248182</v>
          </cell>
          <cell r="AS9">
            <v>0.29639234937248182</v>
          </cell>
          <cell r="AX9">
            <v>738.69425276708216</v>
          </cell>
          <cell r="AY9">
            <v>738.69425276708216</v>
          </cell>
          <cell r="BD9">
            <v>478.95151206409486</v>
          </cell>
          <cell r="BE9">
            <v>478.95151206409486</v>
          </cell>
          <cell r="BJ9">
            <v>0.82240430729560743</v>
          </cell>
          <cell r="BK9">
            <v>0.82240430729560743</v>
          </cell>
        </row>
        <row r="10">
          <cell r="J10">
            <v>0.92430698159177727</v>
          </cell>
          <cell r="K10">
            <v>0.87307588236638778</v>
          </cell>
          <cell r="R10">
            <v>48.006999999999998</v>
          </cell>
          <cell r="S10">
            <v>91.192999999999998</v>
          </cell>
          <cell r="AL10">
            <v>2.6909617347470163</v>
          </cell>
          <cell r="AM10">
            <v>2.8145581349445683</v>
          </cell>
          <cell r="AR10">
            <v>0.28329201991376257</v>
          </cell>
          <cell r="AS10">
            <v>0.2894959042908995</v>
          </cell>
          <cell r="AX10">
            <v>909.66463224112942</v>
          </cell>
          <cell r="AY10">
            <v>828.69869397869479</v>
          </cell>
          <cell r="BD10">
            <v>463.43241610598454</v>
          </cell>
          <cell r="BE10">
            <v>470.78174859912491</v>
          </cell>
          <cell r="BJ10">
            <v>0.92430698159177727</v>
          </cell>
          <cell r="BK10">
            <v>0.87307588236638778</v>
          </cell>
        </row>
        <row r="11">
          <cell r="J11">
            <v>0.93399153617216479</v>
          </cell>
          <cell r="K11">
            <v>0.89330663649175424</v>
          </cell>
          <cell r="R11">
            <v>48.51</v>
          </cell>
          <cell r="S11">
            <v>139.703</v>
          </cell>
          <cell r="AL11">
            <v>2.8287569573283862</v>
          </cell>
          <cell r="AM11">
            <v>2.8194884862887699</v>
          </cell>
          <cell r="AR11">
            <v>0.23088023088023088</v>
          </cell>
          <cell r="AS11">
            <v>0.26914239493783237</v>
          </cell>
          <cell r="AX11">
            <v>730.23747680891699</v>
          </cell>
          <cell r="AY11">
            <v>794.50935198241757</v>
          </cell>
          <cell r="BD11">
            <v>403.25706039991752</v>
          </cell>
          <cell r="BE11">
            <v>447.33470290544943</v>
          </cell>
          <cell r="BJ11">
            <v>0.93399153617216479</v>
          </cell>
          <cell r="BK11">
            <v>0.89330663649175424</v>
          </cell>
        </row>
        <row r="12">
          <cell r="J12">
            <v>0.90803770004023165</v>
          </cell>
          <cell r="K12">
            <v>0.89697926393457683</v>
          </cell>
          <cell r="R12">
            <v>47.161999999999999</v>
          </cell>
          <cell r="S12">
            <v>186.86500000000001</v>
          </cell>
          <cell r="AL12">
            <v>2.9437046774945927</v>
          </cell>
          <cell r="AM12">
            <v>2.8508388408744278</v>
          </cell>
          <cell r="AR12">
            <v>0.32229337178236717</v>
          </cell>
          <cell r="AS12">
            <v>0.28255692612313699</v>
          </cell>
          <cell r="AX12">
            <v>806.5987447521286</v>
          </cell>
          <cell r="AY12">
            <v>797.5605383565653</v>
          </cell>
          <cell r="BD12">
            <v>507.82409567024303</v>
          </cell>
          <cell r="BE12">
            <v>462.60134321569046</v>
          </cell>
          <cell r="BJ12">
            <v>0.90803770004023165</v>
          </cell>
          <cell r="BK12">
            <v>0.89697926393457683</v>
          </cell>
        </row>
        <row r="13">
          <cell r="J13">
            <v>0.85890254439580027</v>
          </cell>
          <cell r="K13">
            <v>0.8893807009519189</v>
          </cell>
          <cell r="R13">
            <v>44.61</v>
          </cell>
          <cell r="S13">
            <v>231.47500000000002</v>
          </cell>
          <cell r="AL13">
            <v>3.1728312037659721</v>
          </cell>
          <cell r="AM13">
            <v>2.9128934010152281</v>
          </cell>
          <cell r="AR13">
            <v>0.34073077785249944</v>
          </cell>
          <cell r="AS13">
            <v>0.29376822551031428</v>
          </cell>
          <cell r="AX13">
            <v>835.60950459536753</v>
          </cell>
          <cell r="AY13">
            <v>804.89335781401394</v>
          </cell>
          <cell r="BD13">
            <v>519.99551670029143</v>
          </cell>
          <cell r="BE13">
            <v>473.66238254671123</v>
          </cell>
          <cell r="BJ13">
            <v>0.85890254439580027</v>
          </cell>
          <cell r="BK13">
            <v>0.8893807009519189</v>
          </cell>
        </row>
        <row r="14">
          <cell r="J14">
            <v>0.90230013092501193</v>
          </cell>
          <cell r="K14">
            <v>0.89152998382290105</v>
          </cell>
          <cell r="R14">
            <v>46.863999999999997</v>
          </cell>
          <cell r="S14">
            <v>278.339</v>
          </cell>
          <cell r="AL14">
            <v>3.0861002048480715</v>
          </cell>
          <cell r="AM14">
            <v>2.9420562695130754</v>
          </cell>
          <cell r="AR14">
            <v>0.30727210652099696</v>
          </cell>
          <cell r="AS14">
            <v>0.29604187699172596</v>
          </cell>
          <cell r="AX14">
            <v>867.68030897919107</v>
          </cell>
          <cell r="AY14">
            <v>815.46481089606459</v>
          </cell>
          <cell r="BD14">
            <v>453.69580061454423</v>
          </cell>
          <cell r="BE14">
            <v>470.30060465834828</v>
          </cell>
          <cell r="BJ14">
            <v>0.90230013092501193</v>
          </cell>
          <cell r="BK14">
            <v>0.89152998382290105</v>
          </cell>
        </row>
        <row r="15">
          <cell r="J15">
            <v>0.90688637788022219</v>
          </cell>
          <cell r="K15">
            <v>0.89371789865876383</v>
          </cell>
          <cell r="R15">
            <v>47.042000000000002</v>
          </cell>
          <cell r="S15">
            <v>325.38099999999997</v>
          </cell>
          <cell r="AL15">
            <v>2.6742060286552443</v>
          </cell>
          <cell r="AM15">
            <v>2.9033317864288324</v>
          </cell>
          <cell r="AR15">
            <v>0.27209727477573231</v>
          </cell>
          <cell r="AS15">
            <v>0.29258008304111183</v>
          </cell>
          <cell r="AX15">
            <v>738.8939670932358</v>
          </cell>
          <cell r="AY15">
            <v>804.39457128719778</v>
          </cell>
          <cell r="BD15">
            <v>396.26291399175204</v>
          </cell>
          <cell r="BE15">
            <v>459.59659599054646</v>
          </cell>
          <cell r="BJ15">
            <v>0.90688637788022219</v>
          </cell>
          <cell r="BK15">
            <v>0.89371789865876383</v>
          </cell>
        </row>
        <row r="16">
          <cell r="J16">
            <v>0.82066147908044917</v>
          </cell>
          <cell r="K16">
            <v>0.88447992808400677</v>
          </cell>
          <cell r="R16">
            <v>43.25</v>
          </cell>
          <cell r="S16">
            <v>368.63099999999997</v>
          </cell>
          <cell r="AL16">
            <v>3.0312138728323696</v>
          </cell>
          <cell r="AM16">
            <v>2.9183356798532945</v>
          </cell>
          <cell r="AR16">
            <v>0.33294797687861272</v>
          </cell>
          <cell r="AS16">
            <v>0.29731628647617814</v>
          </cell>
          <cell r="AX16">
            <v>935.97109826588587</v>
          </cell>
          <cell r="AY16">
            <v>819.83191863950469</v>
          </cell>
          <cell r="BD16">
            <v>569.89595375722547</v>
          </cell>
          <cell r="BE16">
            <v>472.53757822863514</v>
          </cell>
          <cell r="BJ16">
            <v>0.82066147908044917</v>
          </cell>
          <cell r="BK16">
            <v>0.88447992808400677</v>
          </cell>
        </row>
        <row r="17">
          <cell r="J17">
            <v>0.77458077103777667</v>
          </cell>
          <cell r="K17">
            <v>0.87142030531254722</v>
          </cell>
          <cell r="R17">
            <v>43.536000000000001</v>
          </cell>
          <cell r="S17">
            <v>412.16699999999997</v>
          </cell>
          <cell r="AL17">
            <v>2.9492833517089307</v>
          </cell>
          <cell r="AM17">
            <v>2.9216045923133098</v>
          </cell>
          <cell r="AR17">
            <v>0.34913634693127527</v>
          </cell>
          <cell r="AS17">
            <v>0.30278988856458672</v>
          </cell>
          <cell r="AX17">
            <v>839.76272510108765</v>
          </cell>
          <cell r="AY17">
            <v>821.93715168851509</v>
          </cell>
          <cell r="BD17">
            <v>555.21866960676221</v>
          </cell>
          <cell r="BE17">
            <v>481.27094114764162</v>
          </cell>
          <cell r="BJ17">
            <v>0.77458077103777667</v>
          </cell>
          <cell r="BK17">
            <v>0.87142030531254722</v>
          </cell>
        </row>
        <row r="18">
          <cell r="J18">
            <v>0.91681192106476606</v>
          </cell>
          <cell r="K18">
            <v>0.87633816279193999</v>
          </cell>
          <cell r="R18">
            <v>52.69</v>
          </cell>
          <cell r="S18">
            <v>464.85699999999997</v>
          </cell>
          <cell r="AL18">
            <v>2.4767508066046688</v>
          </cell>
          <cell r="AM18">
            <v>2.8711818903447726</v>
          </cell>
          <cell r="AR18">
            <v>0.25811349402163597</v>
          </cell>
          <cell r="AS18">
            <v>0.297725967340494</v>
          </cell>
          <cell r="AX18">
            <v>734.98880242928124</v>
          </cell>
          <cell r="AY18">
            <v>812.08184452422802</v>
          </cell>
          <cell r="BD18">
            <v>444.10704118428544</v>
          </cell>
          <cell r="BE18">
            <v>477.0585362810499</v>
          </cell>
          <cell r="BJ18">
            <v>0.91681192106476606</v>
          </cell>
          <cell r="BK18">
            <v>0.87633816279193999</v>
          </cell>
        </row>
        <row r="19">
          <cell r="J19">
            <v>0.88547431867650184</v>
          </cell>
          <cell r="K19">
            <v>0.87723124136469599</v>
          </cell>
          <cell r="R19">
            <v>50.889000000000003</v>
          </cell>
          <cell r="S19">
            <v>515.74599999999998</v>
          </cell>
          <cell r="AL19">
            <v>2.6532256479789345</v>
          </cell>
          <cell r="AM19">
            <v>2.8496760033039519</v>
          </cell>
          <cell r="AR19">
            <v>0.28296881447857097</v>
          </cell>
          <cell r="AS19">
            <v>0.29626986927673704</v>
          </cell>
          <cell r="AX19">
            <v>761.84853308181539</v>
          </cell>
          <cell r="AY19">
            <v>807.12529035610464</v>
          </cell>
          <cell r="BD19">
            <v>453.65403132307569</v>
          </cell>
          <cell r="BE19">
            <v>474.74919824875036</v>
          </cell>
          <cell r="BJ19">
            <v>0.88547431867650184</v>
          </cell>
          <cell r="BK19">
            <v>0.87723124136469599</v>
          </cell>
        </row>
        <row r="20">
          <cell r="J20">
            <v>0.88916361976760439</v>
          </cell>
          <cell r="K20">
            <v>0.87832425673850223</v>
          </cell>
          <cell r="R20">
            <v>52.713999999999999</v>
          </cell>
          <cell r="S20">
            <v>568.46</v>
          </cell>
          <cell r="AL20">
            <v>2.6122851614371894</v>
          </cell>
          <cell r="AM20">
            <v>2.827662456461316</v>
          </cell>
          <cell r="AR20">
            <v>0.25799597829798537</v>
          </cell>
          <cell r="AS20">
            <v>0.29272068395313655</v>
          </cell>
          <cell r="AX20">
            <v>755.31908032021579</v>
          </cell>
          <cell r="AY20">
            <v>802.32123632269531</v>
          </cell>
          <cell r="BD20">
            <v>419.0347915164852</v>
          </cell>
          <cell r="BE20">
            <v>469.58273229426874</v>
          </cell>
          <cell r="BJ20">
            <v>0.88916361976760439</v>
          </cell>
          <cell r="BK20">
            <v>0.87832425673850223</v>
          </cell>
        </row>
        <row r="21">
          <cell r="J21">
            <v>0.94029851898860628</v>
          </cell>
          <cell r="K21">
            <v>0.88380003097916349</v>
          </cell>
          <cell r="R21">
            <v>58.981999999999999</v>
          </cell>
          <cell r="S21">
            <v>627.44200000000001</v>
          </cell>
          <cell r="AL21">
            <v>2.3828964768912551</v>
          </cell>
          <cell r="AM21">
            <v>2.785852716267001</v>
          </cell>
          <cell r="AR21">
            <v>0.24414228069580551</v>
          </cell>
          <cell r="AS21">
            <v>0.2881541242059027</v>
          </cell>
          <cell r="AX21">
            <v>638.68553117899796</v>
          </cell>
          <cell r="AY21">
            <v>786.93884056215404</v>
          </cell>
          <cell r="BD21">
            <v>379.69210945712251</v>
          </cell>
          <cell r="BE21">
            <v>461.13266246123146</v>
          </cell>
          <cell r="BJ21">
            <v>0.94029851898860628</v>
          </cell>
          <cell r="BK21">
            <v>0.88380003097916349</v>
          </cell>
        </row>
        <row r="22">
          <cell r="J22">
            <v>0.9246224666005588</v>
          </cell>
          <cell r="K22">
            <v>0.88711422668951212</v>
          </cell>
          <cell r="R22">
            <v>58.000999999999998</v>
          </cell>
          <cell r="S22">
            <v>685.44299999999998</v>
          </cell>
          <cell r="AL22">
            <v>2.4100446544025105</v>
          </cell>
          <cell r="AM22">
            <v>2.7540524886825017</v>
          </cell>
          <cell r="AR22">
            <v>0.2344787158842089</v>
          </cell>
          <cell r="AS22">
            <v>0.28361220407823845</v>
          </cell>
          <cell r="AX22">
            <v>640.83326149548861</v>
          </cell>
          <cell r="AY22">
            <v>774.57563940400428</v>
          </cell>
          <cell r="BD22">
            <v>384.734745952656</v>
          </cell>
          <cell r="BE22">
            <v>454.66800302869825</v>
          </cell>
          <cell r="BJ22">
            <v>0.9246224666005588</v>
          </cell>
          <cell r="BK22">
            <v>0.88711422668951212</v>
          </cell>
        </row>
        <row r="23">
          <cell r="J23">
            <v>0.59369039719402683</v>
          </cell>
          <cell r="K23">
            <v>0.86090982356116108</v>
          </cell>
          <cell r="R23">
            <v>44.984000000000002</v>
          </cell>
          <cell r="S23">
            <v>730.42700000000002</v>
          </cell>
          <cell r="AL23">
            <v>2.8058643073092653</v>
          </cell>
          <cell r="AM23">
            <v>2.7572433658668145</v>
          </cell>
          <cell r="AR23">
            <v>0.39125022230126266</v>
          </cell>
          <cell r="AS23">
            <v>0.29024118768884499</v>
          </cell>
          <cell r="AX23">
            <v>837.33727547573505</v>
          </cell>
          <cell r="AY23">
            <v>778.44087088784977</v>
          </cell>
          <cell r="BD23">
            <v>605.92655166281338</v>
          </cell>
          <cell r="BE23">
            <v>463.98339601356463</v>
          </cell>
          <cell r="BJ23">
            <v>0.59369039719402683</v>
          </cell>
          <cell r="BK23">
            <v>0.86090982356116108</v>
          </cell>
        </row>
        <row r="24">
          <cell r="J24">
            <v>0.98286428917415825</v>
          </cell>
          <cell r="K24">
            <v>0.87025822048997503</v>
          </cell>
          <cell r="R24">
            <v>69.228999999999999</v>
          </cell>
          <cell r="S24">
            <v>799.65600000000006</v>
          </cell>
          <cell r="AL24">
            <v>1.9554377500758351</v>
          </cell>
          <cell r="AM24">
            <v>2.6878282661544457</v>
          </cell>
          <cell r="AR24">
            <v>0.2325614987938581</v>
          </cell>
          <cell r="AS24">
            <v>0.28524765649229167</v>
          </cell>
          <cell r="AX24">
            <v>555.72130176659834</v>
          </cell>
          <cell r="AY24">
            <v>759.15926348329663</v>
          </cell>
          <cell r="BD24">
            <v>371.4917158994063</v>
          </cell>
          <cell r="BE24">
            <v>455.97606970997521</v>
          </cell>
          <cell r="BJ24">
            <v>0.98286428917415825</v>
          </cell>
          <cell r="BK24">
            <v>0.87025822048997503</v>
          </cell>
        </row>
        <row r="25">
          <cell r="J25">
            <v>0.96618671979017001</v>
          </cell>
          <cell r="K25">
            <v>0.87713061192043962</v>
          </cell>
          <cell r="R25">
            <v>68.510999999999996</v>
          </cell>
          <cell r="S25">
            <v>868.16700000000003</v>
          </cell>
          <cell r="AL25">
            <v>1.9681948884120797</v>
          </cell>
          <cell r="AM25">
            <v>2.6310387287238508</v>
          </cell>
          <cell r="AR25">
            <v>0.21602370422267958</v>
          </cell>
          <cell r="AS25">
            <v>0.27978488009795349</v>
          </cell>
          <cell r="AX25">
            <v>580.00306520119989</v>
          </cell>
          <cell r="AY25">
            <v>745.02123439384195</v>
          </cell>
          <cell r="BD25">
            <v>325.29082920990788</v>
          </cell>
          <cell r="BE25">
            <v>445.66310398805757</v>
          </cell>
          <cell r="BJ25">
            <v>0.96618671979017001</v>
          </cell>
          <cell r="BK25">
            <v>0.87713061192043962</v>
          </cell>
        </row>
        <row r="26">
          <cell r="J26">
            <v>0.95680935377424836</v>
          </cell>
          <cell r="K26">
            <v>0.88234190211283758</v>
          </cell>
          <cell r="R26">
            <v>66.274000000000001</v>
          </cell>
          <cell r="S26">
            <v>934.44100000000003</v>
          </cell>
          <cell r="AL26">
            <v>2.0695747955457646</v>
          </cell>
          <cell r="AM26">
            <v>2.5912176370685787</v>
          </cell>
          <cell r="AR26">
            <v>0.24142197543531399</v>
          </cell>
          <cell r="AS26">
            <v>0.27706404149646685</v>
          </cell>
          <cell r="AX26">
            <v>553.18858074056322</v>
          </cell>
          <cell r="AY26">
            <v>731.41575551586322</v>
          </cell>
          <cell r="BD26">
            <v>408.42562694269247</v>
          </cell>
          <cell r="BE26">
            <v>443.02208486143053</v>
          </cell>
          <cell r="BJ26">
            <v>0.95680935377424836</v>
          </cell>
          <cell r="BK26">
            <v>0.88234190211283758</v>
          </cell>
        </row>
        <row r="27">
          <cell r="J27">
            <v>0.97993770855510287</v>
          </cell>
          <cell r="K27">
            <v>0.88833318349973722</v>
          </cell>
          <cell r="R27">
            <v>67.876000000000005</v>
          </cell>
          <cell r="S27">
            <v>1002.317</v>
          </cell>
          <cell r="AL27">
            <v>2.0119924568330485</v>
          </cell>
          <cell r="AM27">
            <v>2.5519930321445208</v>
          </cell>
          <cell r="AR27">
            <v>0.23867051682479815</v>
          </cell>
          <cell r="AS27">
            <v>0.27446406675732327</v>
          </cell>
          <cell r="AX27">
            <v>580.68978725913416</v>
          </cell>
          <cell r="AY27">
            <v>721.20872937403999</v>
          </cell>
          <cell r="BD27">
            <v>365.94672638340501</v>
          </cell>
          <cell r="BE27">
            <v>437.8026113495032</v>
          </cell>
          <cell r="BJ27">
            <v>0.97993770855510287</v>
          </cell>
          <cell r="BK27">
            <v>0.88833318349973722</v>
          </cell>
        </row>
        <row r="28">
          <cell r="J28">
            <v>0.97605179021139932</v>
          </cell>
          <cell r="K28">
            <v>0.89352457958945686</v>
          </cell>
          <cell r="R28">
            <v>69.277000000000001</v>
          </cell>
          <cell r="S28">
            <v>1071.5940000000001</v>
          </cell>
          <cell r="AL28">
            <v>1.946547916335869</v>
          </cell>
          <cell r="AM28">
            <v>2.5128518823360335</v>
          </cell>
          <cell r="AR28">
            <v>0.25982649364146831</v>
          </cell>
          <cell r="AS28">
            <v>0.27351776885648849</v>
          </cell>
          <cell r="AX28">
            <v>493.51862811611846</v>
          </cell>
          <cell r="AY28">
            <v>706.48889411474875</v>
          </cell>
          <cell r="BD28">
            <v>375.24719603908943</v>
          </cell>
          <cell r="BE28">
            <v>433.75849435513823</v>
          </cell>
          <cell r="BJ28">
            <v>0.97605179021139932</v>
          </cell>
          <cell r="BK28">
            <v>0.89352457958945686</v>
          </cell>
        </row>
        <row r="29">
          <cell r="J29">
            <v>0.97867089044103095</v>
          </cell>
          <cell r="K29">
            <v>0.8983475043832384</v>
          </cell>
          <cell r="R29">
            <v>70.474000000000004</v>
          </cell>
          <cell r="S29">
            <v>1142.068</v>
          </cell>
          <cell r="AL29">
            <v>1.9042483752873398</v>
          </cell>
          <cell r="AM29">
            <v>2.475296567279706</v>
          </cell>
          <cell r="AR29">
            <v>0.24973749184096264</v>
          </cell>
          <cell r="AS29">
            <v>0.27205035076720474</v>
          </cell>
          <cell r="AX29">
            <v>506.54326418253282</v>
          </cell>
          <cell r="AY29">
            <v>694.15077736176806</v>
          </cell>
          <cell r="BD29">
            <v>388.02962794789568</v>
          </cell>
          <cell r="BE29">
            <v>430.93668678222315</v>
          </cell>
          <cell r="BJ29">
            <v>0.97867089044103095</v>
          </cell>
          <cell r="BK29">
            <v>0.8983475043832384</v>
          </cell>
        </row>
        <row r="30">
          <cell r="J30">
            <v>0.96910276257098127</v>
          </cell>
          <cell r="K30">
            <v>0.90214043745148431</v>
          </cell>
          <cell r="R30">
            <v>69.784999999999997</v>
          </cell>
          <cell r="S30">
            <v>1211.8530000000001</v>
          </cell>
          <cell r="AL30">
            <v>1.9252991330515155</v>
          </cell>
          <cell r="AM30">
            <v>2.4436247630694474</v>
          </cell>
          <cell r="AR30">
            <v>0.243605359317905</v>
          </cell>
          <cell r="AS30">
            <v>0.27041233548953542</v>
          </cell>
          <cell r="AX30">
            <v>525.86873970049555</v>
          </cell>
          <cell r="AY30">
            <v>684.46019442952149</v>
          </cell>
          <cell r="BD30">
            <v>409.8588521888658</v>
          </cell>
          <cell r="BE30">
            <v>429.72291193733889</v>
          </cell>
          <cell r="BJ30">
            <v>0.96910276257098127</v>
          </cell>
          <cell r="BK30">
            <v>0.90214043745148431</v>
          </cell>
        </row>
        <row r="31">
          <cell r="J31">
            <v>0.97099410165765021</v>
          </cell>
          <cell r="K31">
            <v>0.9057339031294247</v>
          </cell>
          <cell r="R31">
            <v>71.822000000000003</v>
          </cell>
          <cell r="S31">
            <v>1283.6750000000002</v>
          </cell>
          <cell r="AL31">
            <v>1.8879451978502408</v>
          </cell>
          <cell r="AM31">
            <v>2.4125343252770359</v>
          </cell>
          <cell r="AR31">
            <v>0.24505026315056669</v>
          </cell>
          <cell r="AS31">
            <v>0.26899331996027026</v>
          </cell>
          <cell r="AX31">
            <v>531.74932471944805</v>
          </cell>
          <cell r="AY31">
            <v>675.91597561688036</v>
          </cell>
          <cell r="BD31">
            <v>398.74968672551586</v>
          </cell>
          <cell r="BE31">
            <v>427.98995072740365</v>
          </cell>
          <cell r="BJ31">
            <v>0.97099410165765021</v>
          </cell>
          <cell r="BK31">
            <v>0.9057339031294247</v>
          </cell>
        </row>
        <row r="32">
          <cell r="J32">
            <v>0.98216566128933958</v>
          </cell>
          <cell r="K32">
            <v>0.90953863107044308</v>
          </cell>
          <cell r="R32">
            <v>72.923000000000002</v>
          </cell>
          <cell r="S32">
            <v>1356.5980000000002</v>
          </cell>
          <cell r="AL32">
            <v>1.8303964455658706</v>
          </cell>
          <cell r="AM32">
            <v>2.3812419006957102</v>
          </cell>
          <cell r="AR32">
            <v>0.27974713053494782</v>
          </cell>
          <cell r="AS32">
            <v>0.26957138371131312</v>
          </cell>
          <cell r="AX32">
            <v>498.86620133567004</v>
          </cell>
          <cell r="AY32">
            <v>666.39878578620926</v>
          </cell>
          <cell r="BD32">
            <v>397.00780275084679</v>
          </cell>
          <cell r="BE32">
            <v>426.32452649937557</v>
          </cell>
          <cell r="BJ32">
            <v>0.98216566128933958</v>
          </cell>
          <cell r="BK32">
            <v>0.90953863107044308</v>
          </cell>
        </row>
        <row r="33">
          <cell r="J33">
            <v>0.67743153151985103</v>
          </cell>
          <cell r="K33">
            <v>0.89908536888324964</v>
          </cell>
          <cell r="R33">
            <v>47.651000000000003</v>
          </cell>
          <cell r="S33">
            <v>1404.2490000000003</v>
          </cell>
          <cell r="AL33">
            <v>1.9258777360391175</v>
          </cell>
          <cell r="AM33">
            <v>2.3657898278724065</v>
          </cell>
          <cell r="AR33">
            <v>0.2686197561436276</v>
          </cell>
          <cell r="AS33">
            <v>0.26953909171379148</v>
          </cell>
          <cell r="AX33">
            <v>529.49696753474427</v>
          </cell>
          <cell r="AY33">
            <v>661.75323607137909</v>
          </cell>
          <cell r="BD33">
            <v>448.86780969969152</v>
          </cell>
          <cell r="BE33">
            <v>427.0894976603152</v>
          </cell>
          <cell r="BJ33">
            <v>0.67743153151985103</v>
          </cell>
          <cell r="BK33">
            <v>0.89908536888324964</v>
          </cell>
        </row>
        <row r="34">
          <cell r="J34">
            <v>0.94005020702492115</v>
          </cell>
          <cell r="K34">
            <v>0.90088908490626263</v>
          </cell>
          <cell r="R34">
            <v>67.625</v>
          </cell>
          <cell r="S34">
            <v>1471.8740000000003</v>
          </cell>
          <cell r="AL34">
            <v>1.9288280961182995</v>
          </cell>
          <cell r="AM34">
            <v>2.3457136956016607</v>
          </cell>
          <cell r="AR34">
            <v>0.30166358595194082</v>
          </cell>
          <cell r="AS34">
            <v>0.27101504612487204</v>
          </cell>
          <cell r="AX34">
            <v>520.46565619224873</v>
          </cell>
          <cell r="AY34">
            <v>655.26180230101136</v>
          </cell>
          <cell r="BD34">
            <v>444.89463955637711</v>
          </cell>
          <cell r="BE34">
            <v>427.90755186924963</v>
          </cell>
          <cell r="BJ34">
            <v>0.94005020702492115</v>
          </cell>
          <cell r="BK34">
            <v>0.90088908490626263</v>
          </cell>
        </row>
        <row r="35">
          <cell r="J35">
            <v>0.86055079223470676</v>
          </cell>
          <cell r="K35">
            <v>0.89924102648321202</v>
          </cell>
          <cell r="R35">
            <v>59.889000000000003</v>
          </cell>
          <cell r="S35">
            <v>1531.7630000000001</v>
          </cell>
          <cell r="AL35">
            <v>1.9613785503180885</v>
          </cell>
          <cell r="AM35">
            <v>2.3306869274163167</v>
          </cell>
          <cell r="AR35">
            <v>0.3356208986625257</v>
          </cell>
          <cell r="AS35">
            <v>0.27354101123998947</v>
          </cell>
          <cell r="AX35">
            <v>494.60952762610657</v>
          </cell>
          <cell r="AY35">
            <v>648.98060600758652</v>
          </cell>
          <cell r="BD35">
            <v>483.04363071682616</v>
          </cell>
          <cell r="BE35">
            <v>430.06326696753996</v>
          </cell>
          <cell r="BJ35">
            <v>0.86055079223470676</v>
          </cell>
          <cell r="BK35">
            <v>0.89924102648321202</v>
          </cell>
        </row>
        <row r="36">
          <cell r="J36">
            <v>0.92910915905177593</v>
          </cell>
          <cell r="K36">
            <v>0.90039654118118484</v>
          </cell>
          <cell r="R36">
            <v>63.692</v>
          </cell>
          <cell r="S36">
            <v>1595.4550000000002</v>
          </cell>
          <cell r="AL36">
            <v>1.8085473842868807</v>
          </cell>
          <cell r="AM36">
            <v>2.3098426467684763</v>
          </cell>
          <cell r="AR36">
            <v>0.31872134647993472</v>
          </cell>
          <cell r="AS36">
            <v>0.27534465089895982</v>
          </cell>
          <cell r="AX36">
            <v>457.26621867737992</v>
          </cell>
          <cell r="AY36">
            <v>641.32719506347621</v>
          </cell>
          <cell r="BD36">
            <v>475.74263643785719</v>
          </cell>
          <cell r="BE36">
            <v>431.886828522271</v>
          </cell>
          <cell r="BJ36">
            <v>0.92910915905177593</v>
          </cell>
          <cell r="BK36">
            <v>0.90039654118118484</v>
          </cell>
        </row>
        <row r="37">
          <cell r="J37">
            <v>0.96209057917583229</v>
          </cell>
          <cell r="K37">
            <v>0.90269572353862571</v>
          </cell>
          <cell r="R37">
            <v>65.992000000000004</v>
          </cell>
          <cell r="S37">
            <v>1661.4470000000001</v>
          </cell>
          <cell r="AL37">
            <v>1.7602285125469752</v>
          </cell>
          <cell r="AM37">
            <v>2.288012196597303</v>
          </cell>
          <cell r="AR37">
            <v>0.30912837919747843</v>
          </cell>
          <cell r="AS37">
            <v>0.27668652686483525</v>
          </cell>
          <cell r="AX37">
            <v>471.61519578130367</v>
          </cell>
          <cell r="AY37">
            <v>634.58630338493992</v>
          </cell>
          <cell r="BD37">
            <v>468.90532185719479</v>
          </cell>
          <cell r="BE37">
            <v>433.35718804150844</v>
          </cell>
          <cell r="BJ37">
            <v>0.96209057917583229</v>
          </cell>
          <cell r="BK37">
            <v>0.90269572353862571</v>
          </cell>
        </row>
        <row r="38">
          <cell r="J38">
            <v>0.9398988334850632</v>
          </cell>
          <cell r="K38">
            <v>0.90405788689995714</v>
          </cell>
          <cell r="R38">
            <v>65.747</v>
          </cell>
          <cell r="S38">
            <v>1727.1940000000002</v>
          </cell>
          <cell r="AL38">
            <v>1.7229379287267861</v>
          </cell>
          <cell r="AM38">
            <v>2.2665021995213039</v>
          </cell>
          <cell r="AR38">
            <v>0.29202853362130593</v>
          </cell>
          <cell r="AS38">
            <v>0.27727053243584676</v>
          </cell>
          <cell r="AX38">
            <v>452.71875522839235</v>
          </cell>
          <cell r="AY38">
            <v>627.66337192000401</v>
          </cell>
          <cell r="BD38">
            <v>449.92166942978383</v>
          </cell>
          <cell r="BE38">
            <v>433.98772807223736</v>
          </cell>
          <cell r="BJ38">
            <v>0.9398988334850632</v>
          </cell>
          <cell r="BK38">
            <v>0.90405788689995714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</v>
          </cell>
          <cell r="K9">
            <v>0</v>
          </cell>
          <cell r="R9">
            <v>0</v>
          </cell>
          <cell r="S9">
            <v>0</v>
          </cell>
          <cell r="X9">
            <v>0</v>
          </cell>
          <cell r="Y9">
            <v>0</v>
          </cell>
          <cell r="AD9">
            <v>0</v>
          </cell>
          <cell r="AE9">
            <v>0</v>
          </cell>
          <cell r="AJ9">
            <v>0</v>
          </cell>
          <cell r="AK9">
            <v>0</v>
          </cell>
          <cell r="BC9" t="e">
            <v>#DIV/0!</v>
          </cell>
          <cell r="BD9" t="e">
            <v>#DIV/0!</v>
          </cell>
        </row>
        <row r="10">
          <cell r="J10">
            <v>0</v>
          </cell>
          <cell r="K10">
            <v>0</v>
          </cell>
          <cell r="R10">
            <v>0</v>
          </cell>
          <cell r="S10">
            <v>0</v>
          </cell>
          <cell r="X10">
            <v>0</v>
          </cell>
          <cell r="Y10">
            <v>0</v>
          </cell>
          <cell r="AD10">
            <v>0</v>
          </cell>
          <cell r="AE10">
            <v>0</v>
          </cell>
          <cell r="AJ10">
            <v>0</v>
          </cell>
          <cell r="AK10">
            <v>0</v>
          </cell>
          <cell r="BC10" t="e">
            <v>#DIV/0!</v>
          </cell>
          <cell r="BD10" t="e">
            <v>#DIV/0!</v>
          </cell>
        </row>
        <row r="11">
          <cell r="J11">
            <v>0</v>
          </cell>
          <cell r="K11">
            <v>0</v>
          </cell>
          <cell r="R11">
            <v>0</v>
          </cell>
          <cell r="S11">
            <v>0</v>
          </cell>
          <cell r="X11">
            <v>0</v>
          </cell>
          <cell r="Y11">
            <v>0</v>
          </cell>
          <cell r="AD11">
            <v>0</v>
          </cell>
          <cell r="AE11">
            <v>0</v>
          </cell>
          <cell r="AJ11">
            <v>0</v>
          </cell>
          <cell r="AK11">
            <v>0</v>
          </cell>
          <cell r="BC11" t="e">
            <v>#DIV/0!</v>
          </cell>
          <cell r="BD11" t="e">
            <v>#DIV/0!</v>
          </cell>
        </row>
        <row r="12">
          <cell r="J12">
            <v>0</v>
          </cell>
          <cell r="K12">
            <v>0</v>
          </cell>
          <cell r="R12">
            <v>0</v>
          </cell>
          <cell r="S12">
            <v>0</v>
          </cell>
          <cell r="X12">
            <v>0</v>
          </cell>
          <cell r="Y12">
            <v>0</v>
          </cell>
          <cell r="AD12">
            <v>0</v>
          </cell>
          <cell r="AE12">
            <v>0</v>
          </cell>
          <cell r="AJ12">
            <v>0</v>
          </cell>
          <cell r="AK12">
            <v>0</v>
          </cell>
          <cell r="BC12" t="e">
            <v>#DIV/0!</v>
          </cell>
          <cell r="BD12" t="e">
            <v>#DIV/0!</v>
          </cell>
        </row>
        <row r="13">
          <cell r="J13">
            <v>0</v>
          </cell>
          <cell r="K13">
            <v>0</v>
          </cell>
          <cell r="R13">
            <v>0</v>
          </cell>
          <cell r="S13">
            <v>0</v>
          </cell>
          <cell r="X13">
            <v>0</v>
          </cell>
          <cell r="Y13">
            <v>0</v>
          </cell>
          <cell r="AD13">
            <v>0</v>
          </cell>
          <cell r="AE13">
            <v>0</v>
          </cell>
          <cell r="AJ13">
            <v>0</v>
          </cell>
          <cell r="AK13">
            <v>0</v>
          </cell>
          <cell r="BC13" t="e">
            <v>#DIV/0!</v>
          </cell>
          <cell r="BD13" t="e">
            <v>#DIV/0!</v>
          </cell>
        </row>
        <row r="14">
          <cell r="J14">
            <v>0</v>
          </cell>
          <cell r="K14">
            <v>0</v>
          </cell>
          <cell r="R14">
            <v>0</v>
          </cell>
          <cell r="S14">
            <v>0</v>
          </cell>
          <cell r="X14">
            <v>0</v>
          </cell>
          <cell r="Y14">
            <v>0</v>
          </cell>
          <cell r="AD14">
            <v>0</v>
          </cell>
          <cell r="AE14">
            <v>0</v>
          </cell>
          <cell r="AJ14">
            <v>0</v>
          </cell>
          <cell r="AK14">
            <v>0</v>
          </cell>
          <cell r="BC14" t="e">
            <v>#DIV/0!</v>
          </cell>
          <cell r="BD14" t="e">
            <v>#DIV/0!</v>
          </cell>
        </row>
        <row r="15">
          <cell r="J15">
            <v>0</v>
          </cell>
          <cell r="K15">
            <v>0</v>
          </cell>
          <cell r="R15">
            <v>0</v>
          </cell>
          <cell r="S15">
            <v>0</v>
          </cell>
          <cell r="X15">
            <v>0</v>
          </cell>
          <cell r="Y15">
            <v>0</v>
          </cell>
          <cell r="AD15">
            <v>0</v>
          </cell>
          <cell r="AE15">
            <v>0</v>
          </cell>
          <cell r="AJ15">
            <v>0</v>
          </cell>
          <cell r="AK15">
            <v>0</v>
          </cell>
          <cell r="BC15" t="e">
            <v>#DIV/0!</v>
          </cell>
          <cell r="BD15" t="e">
            <v>#DIV/0!</v>
          </cell>
        </row>
        <row r="16">
          <cell r="J16">
            <v>0</v>
          </cell>
          <cell r="K16">
            <v>0</v>
          </cell>
          <cell r="R16">
            <v>0</v>
          </cell>
          <cell r="S16">
            <v>0</v>
          </cell>
          <cell r="X16">
            <v>0</v>
          </cell>
          <cell r="Y16">
            <v>0</v>
          </cell>
          <cell r="AD16">
            <v>0</v>
          </cell>
          <cell r="AE16">
            <v>0</v>
          </cell>
          <cell r="AJ16">
            <v>0</v>
          </cell>
          <cell r="AK16">
            <v>0</v>
          </cell>
          <cell r="BC16" t="e">
            <v>#DIV/0!</v>
          </cell>
          <cell r="BD16" t="e">
            <v>#DIV/0!</v>
          </cell>
        </row>
        <row r="17">
          <cell r="J17">
            <v>0</v>
          </cell>
          <cell r="K17">
            <v>0</v>
          </cell>
          <cell r="R17">
            <v>0</v>
          </cell>
          <cell r="S17">
            <v>0</v>
          </cell>
          <cell r="X17">
            <v>0</v>
          </cell>
          <cell r="Y17">
            <v>0</v>
          </cell>
          <cell r="AD17">
            <v>0</v>
          </cell>
          <cell r="AE17">
            <v>0</v>
          </cell>
          <cell r="AJ17">
            <v>0</v>
          </cell>
          <cell r="AK17">
            <v>0</v>
          </cell>
          <cell r="BC17" t="e">
            <v>#DIV/0!</v>
          </cell>
          <cell r="BD17" t="e">
            <v>#DIV/0!</v>
          </cell>
        </row>
        <row r="18">
          <cell r="J18">
            <v>0</v>
          </cell>
          <cell r="K18">
            <v>0</v>
          </cell>
          <cell r="R18">
            <v>0</v>
          </cell>
          <cell r="S18">
            <v>0</v>
          </cell>
          <cell r="X18">
            <v>0</v>
          </cell>
          <cell r="Y18">
            <v>0</v>
          </cell>
          <cell r="AD18">
            <v>0</v>
          </cell>
          <cell r="AE18">
            <v>0</v>
          </cell>
          <cell r="AJ18">
            <v>0</v>
          </cell>
          <cell r="AK18">
            <v>0</v>
          </cell>
          <cell r="BC18" t="e">
            <v>#DIV/0!</v>
          </cell>
          <cell r="BD18" t="e">
            <v>#DIV/0!</v>
          </cell>
        </row>
        <row r="19">
          <cell r="J19">
            <v>0</v>
          </cell>
          <cell r="K19">
            <v>0</v>
          </cell>
          <cell r="R19">
            <v>0</v>
          </cell>
          <cell r="S19">
            <v>0</v>
          </cell>
          <cell r="X19">
            <v>0</v>
          </cell>
          <cell r="Y19">
            <v>0</v>
          </cell>
          <cell r="AD19">
            <v>0</v>
          </cell>
          <cell r="AE19">
            <v>0</v>
          </cell>
          <cell r="AJ19">
            <v>0</v>
          </cell>
          <cell r="AK19">
            <v>0</v>
          </cell>
          <cell r="BC19" t="e">
            <v>#DIV/0!</v>
          </cell>
          <cell r="BD19" t="e">
            <v>#DIV/0!</v>
          </cell>
        </row>
        <row r="20">
          <cell r="J20">
            <v>0</v>
          </cell>
          <cell r="K20">
            <v>0</v>
          </cell>
          <cell r="R20">
            <v>0</v>
          </cell>
          <cell r="S20">
            <v>0</v>
          </cell>
          <cell r="X20">
            <v>0</v>
          </cell>
          <cell r="Y20">
            <v>0</v>
          </cell>
          <cell r="AD20">
            <v>0</v>
          </cell>
          <cell r="AE20">
            <v>0</v>
          </cell>
          <cell r="AJ20">
            <v>0</v>
          </cell>
          <cell r="AK20">
            <v>0</v>
          </cell>
          <cell r="BC20" t="e">
            <v>#DIV/0!</v>
          </cell>
          <cell r="BD20" t="e">
            <v>#DIV/0!</v>
          </cell>
        </row>
        <row r="21">
          <cell r="J21">
            <v>0</v>
          </cell>
          <cell r="K21">
            <v>0</v>
          </cell>
          <cell r="R21">
            <v>0</v>
          </cell>
          <cell r="S21">
            <v>0</v>
          </cell>
          <cell r="X21">
            <v>0</v>
          </cell>
          <cell r="Y21">
            <v>0</v>
          </cell>
          <cell r="AD21">
            <v>0</v>
          </cell>
          <cell r="AE21">
            <v>0</v>
          </cell>
          <cell r="AJ21">
            <v>0</v>
          </cell>
          <cell r="AK21">
            <v>0</v>
          </cell>
          <cell r="BC21" t="e">
            <v>#DIV/0!</v>
          </cell>
          <cell r="BD21" t="e">
            <v>#DIV/0!</v>
          </cell>
        </row>
        <row r="22">
          <cell r="J22">
            <v>0</v>
          </cell>
          <cell r="K22">
            <v>0</v>
          </cell>
          <cell r="R22">
            <v>0</v>
          </cell>
          <cell r="S22">
            <v>0</v>
          </cell>
          <cell r="X22">
            <v>0</v>
          </cell>
          <cell r="Y22">
            <v>0</v>
          </cell>
          <cell r="AD22">
            <v>0</v>
          </cell>
          <cell r="AE22">
            <v>0</v>
          </cell>
          <cell r="AJ22">
            <v>0</v>
          </cell>
          <cell r="AK22">
            <v>0</v>
          </cell>
          <cell r="BC22" t="e">
            <v>#DIV/0!</v>
          </cell>
          <cell r="BD22" t="e">
            <v>#DIV/0!</v>
          </cell>
        </row>
        <row r="23">
          <cell r="J23">
            <v>0</v>
          </cell>
          <cell r="K23">
            <v>0</v>
          </cell>
          <cell r="R23">
            <v>0</v>
          </cell>
          <cell r="S23">
            <v>0</v>
          </cell>
          <cell r="X23">
            <v>0</v>
          </cell>
          <cell r="Y23">
            <v>0</v>
          </cell>
          <cell r="AD23">
            <v>0</v>
          </cell>
          <cell r="AE23">
            <v>0</v>
          </cell>
          <cell r="AJ23">
            <v>0</v>
          </cell>
          <cell r="AK23">
            <v>0</v>
          </cell>
          <cell r="BC23" t="e">
            <v>#DIV/0!</v>
          </cell>
          <cell r="BD23" t="e">
            <v>#DIV/0!</v>
          </cell>
        </row>
        <row r="24">
          <cell r="J24">
            <v>0.52236410153560753</v>
          </cell>
          <cell r="K24">
            <v>3.240951566510393E-2</v>
          </cell>
          <cell r="R24">
            <v>22.440999999999999</v>
          </cell>
          <cell r="S24">
            <v>22.440999999999999</v>
          </cell>
          <cell r="X24">
            <v>129.86238221379963</v>
          </cell>
          <cell r="Y24">
            <v>139.77464992980171</v>
          </cell>
          <cell r="AD24">
            <v>2.4419589144868765</v>
          </cell>
          <cell r="AE24">
            <v>16.93329174279221</v>
          </cell>
          <cell r="AJ24">
            <v>1313.8817343255973</v>
          </cell>
          <cell r="AK24">
            <v>4964.2012388039757</v>
          </cell>
          <cell r="BC24">
            <v>0.58310411334207357</v>
          </cell>
          <cell r="BD24">
            <v>0.58310411334207357</v>
          </cell>
        </row>
        <row r="25">
          <cell r="J25">
            <v>0.59466314789582309</v>
          </cell>
          <cell r="K25">
            <v>6.5256008967164492E-2</v>
          </cell>
          <cell r="R25">
            <v>25.547000000000001</v>
          </cell>
          <cell r="S25">
            <v>47.988</v>
          </cell>
          <cell r="X25">
            <v>156.68069465891028</v>
          </cell>
          <cell r="Y25">
            <v>148.77479006263778</v>
          </cell>
          <cell r="AD25">
            <v>2.3916702548244411</v>
          </cell>
          <cell r="AE25">
            <v>9.1918813036592493</v>
          </cell>
          <cell r="AJ25">
            <v>1414.610717501105</v>
          </cell>
          <cell r="AK25">
            <v>3074.5332166375083</v>
          </cell>
          <cell r="BC25">
            <v>0.59466314789582309</v>
          </cell>
          <cell r="BD25">
            <v>0.58920118651328213</v>
          </cell>
        </row>
        <row r="26">
          <cell r="J26">
            <v>0.80760888974803402</v>
          </cell>
          <cell r="K26">
            <v>0.1058636592717377</v>
          </cell>
          <cell r="R26">
            <v>34.366999999999997</v>
          </cell>
          <cell r="S26">
            <v>82.35499999999999</v>
          </cell>
          <cell r="X26">
            <v>129.71690934114199</v>
          </cell>
          <cell r="Y26">
            <v>140.82187661772679</v>
          </cell>
          <cell r="AD26">
            <v>1.6236505950475748</v>
          </cell>
          <cell r="AE26">
            <v>6.0336348734138801</v>
          </cell>
          <cell r="AJ26">
            <v>1093.8947245904183</v>
          </cell>
          <cell r="AK26">
            <v>2248.0065569789285</v>
          </cell>
          <cell r="BC26">
            <v>0.84897980625055791</v>
          </cell>
          <cell r="BD26">
            <v>0.67544949294955425</v>
          </cell>
        </row>
        <row r="27">
          <cell r="J27">
            <v>0.60527929400063352</v>
          </cell>
          <cell r="K27">
            <v>0.13146010408207578</v>
          </cell>
          <cell r="R27">
            <v>25.437000000000001</v>
          </cell>
          <cell r="S27">
            <v>107.79199999999999</v>
          </cell>
          <cell r="X27">
            <v>100.1695220878657</v>
          </cell>
          <cell r="Y27">
            <v>131.22864203467725</v>
          </cell>
          <cell r="AD27">
            <v>1.1440028305224672</v>
          </cell>
          <cell r="AE27">
            <v>4.8797684429271193</v>
          </cell>
          <cell r="AJ27">
            <v>1115.5403546015932</v>
          </cell>
          <cell r="AK27">
            <v>1980.7646207510797</v>
          </cell>
          <cell r="BC27">
            <v>1.1074995976631667</v>
          </cell>
          <cell r="BD27">
            <v>0.7439360791958739</v>
          </cell>
        </row>
        <row r="28">
          <cell r="J28">
            <v>0.25645272839111277</v>
          </cell>
          <cell r="K28">
            <v>0.13810409973045307</v>
          </cell>
          <cell r="R28">
            <v>11.805</v>
          </cell>
          <cell r="S28">
            <v>119.59699999999998</v>
          </cell>
          <cell r="X28">
            <v>218.32445353087547</v>
          </cell>
          <cell r="Y28">
            <v>139.82556381961018</v>
          </cell>
          <cell r="AD28">
            <v>2.8293096145700973</v>
          </cell>
          <cell r="AE28">
            <v>4.6773748505397297</v>
          </cell>
          <cell r="AJ28">
            <v>1681.4112664125371</v>
          </cell>
          <cell r="AK28">
            <v>1951.216502086176</v>
          </cell>
          <cell r="BC28">
            <v>0.5106185064612293</v>
          </cell>
          <cell r="BD28">
            <v>0.71183101724604747</v>
          </cell>
        </row>
        <row r="29">
          <cell r="J29">
            <v>0.92279177112584931</v>
          </cell>
          <cell r="K29">
            <v>0.17520868642240017</v>
          </cell>
          <cell r="R29">
            <v>39.662999999999997</v>
          </cell>
          <cell r="S29">
            <v>159.26</v>
          </cell>
          <cell r="X29">
            <v>114.58427602837681</v>
          </cell>
          <cell r="Y29">
            <v>133.53933251442564</v>
          </cell>
          <cell r="AD29">
            <v>1.3992890099084792</v>
          </cell>
          <cell r="AE29">
            <v>3.8609820419439909</v>
          </cell>
          <cell r="AJ29">
            <v>1019.2375765827184</v>
          </cell>
          <cell r="AK29">
            <v>1719.1112645987739</v>
          </cell>
          <cell r="BC29">
            <v>0.92279177112584931</v>
          </cell>
          <cell r="BD29">
            <v>0.75480562613258406</v>
          </cell>
        </row>
        <row r="30">
          <cell r="J30">
            <v>0.83116241400620816</v>
          </cell>
          <cell r="K30">
            <v>0.2037315060733452</v>
          </cell>
          <cell r="R30">
            <v>34.344999999999999</v>
          </cell>
          <cell r="S30">
            <v>193.60499999999999</v>
          </cell>
          <cell r="X30">
            <v>129.31343372637164</v>
          </cell>
          <cell r="Y30">
            <v>132.78966957247829</v>
          </cell>
          <cell r="AD30">
            <v>1.5402533119813655</v>
          </cell>
          <cell r="AE30">
            <v>3.44929108235841</v>
          </cell>
          <cell r="AJ30">
            <v>1116.6603581307004</v>
          </cell>
          <cell r="AK30">
            <v>1612.2381136850786</v>
          </cell>
          <cell r="BC30">
            <v>0.83116241400620816</v>
          </cell>
          <cell r="BD30">
            <v>0.76731051557279661</v>
          </cell>
        </row>
        <row r="31">
          <cell r="J31">
            <v>0.81768215916552578</v>
          </cell>
          <cell r="K31">
            <v>0.23205714549018236</v>
          </cell>
          <cell r="R31">
            <v>37.584000000000003</v>
          </cell>
          <cell r="S31">
            <v>231.18899999999999</v>
          </cell>
          <cell r="X31">
            <v>118.21849509805561</v>
          </cell>
          <cell r="Y31">
            <v>130.42085867988953</v>
          </cell>
          <cell r="AD31">
            <v>1.4766922094508299</v>
          </cell>
          <cell r="AE31">
            <v>3.1286090601196421</v>
          </cell>
          <cell r="AJ31">
            <v>1015.3682418050524</v>
          </cell>
          <cell r="AK31">
            <v>1515.2060002854839</v>
          </cell>
          <cell r="BC31">
            <v>0.81768215916552578</v>
          </cell>
          <cell r="BD31">
            <v>0.77507262626301165</v>
          </cell>
        </row>
        <row r="32">
          <cell r="J32">
            <v>0.72082169690597142</v>
          </cell>
          <cell r="K32">
            <v>0.25500098326897219</v>
          </cell>
          <cell r="R32">
            <v>35.371000000000002</v>
          </cell>
          <cell r="S32">
            <v>266.56</v>
          </cell>
          <cell r="X32">
            <v>137.38050024252195</v>
          </cell>
          <cell r="Y32">
            <v>131.34436363829241</v>
          </cell>
          <cell r="AD32">
            <v>1.5125385202567074</v>
          </cell>
          <cell r="AE32">
            <v>2.9141656662665065</v>
          </cell>
          <cell r="AJ32">
            <v>1024.8983630657576</v>
          </cell>
          <cell r="AK32">
            <v>1450.1449579831917</v>
          </cell>
          <cell r="BC32">
            <v>0.72082169690597142</v>
          </cell>
          <cell r="BD32">
            <v>0.76740857609975965</v>
          </cell>
        </row>
        <row r="33">
          <cell r="J33">
            <v>0.75741496713922296</v>
          </cell>
          <cell r="K33">
            <v>0.27827741261004524</v>
          </cell>
          <cell r="R33">
            <v>38.463000000000001</v>
          </cell>
          <cell r="S33">
            <v>305.02300000000002</v>
          </cell>
          <cell r="X33">
            <v>129.46130689960171</v>
          </cell>
          <cell r="Y33">
            <v>131.10691265479193</v>
          </cell>
          <cell r="AD33">
            <v>1.414346254842316</v>
          </cell>
          <cell r="AE33">
            <v>2.7250404067889957</v>
          </cell>
          <cell r="AJ33">
            <v>918.45773860596137</v>
          </cell>
          <cell r="AK33">
            <v>1383.0998973847898</v>
          </cell>
          <cell r="BC33">
            <v>0.75741496713922296</v>
          </cell>
          <cell r="BD33">
            <v>0.7661338886530511</v>
          </cell>
        </row>
        <row r="34">
          <cell r="J34">
            <v>0.7392249780886202</v>
          </cell>
          <cell r="K34">
            <v>0.29940914742404651</v>
          </cell>
          <cell r="R34">
            <v>38.930999999999997</v>
          </cell>
          <cell r="S34">
            <v>343.95400000000001</v>
          </cell>
          <cell r="X34">
            <v>133.74717223741112</v>
          </cell>
          <cell r="Y34">
            <v>131.40575478429457</v>
          </cell>
          <cell r="AD34">
            <v>1.4076186072795458</v>
          </cell>
          <cell r="AE34">
            <v>2.5759258505497824</v>
          </cell>
          <cell r="AJ34">
            <v>957.96306285479443</v>
          </cell>
          <cell r="AK34">
            <v>1334.9800845461914</v>
          </cell>
          <cell r="BC34">
            <v>0.7392249780886202</v>
          </cell>
          <cell r="BD34">
            <v>0.76299024246449776</v>
          </cell>
        </row>
        <row r="35">
          <cell r="J35">
            <v>0.84598749520666394</v>
          </cell>
          <cell r="K35">
            <v>0.31968468085613555</v>
          </cell>
          <cell r="R35">
            <v>37.44</v>
          </cell>
          <cell r="S35">
            <v>381.39400000000001</v>
          </cell>
          <cell r="X35">
            <v>125.06909486551032</v>
          </cell>
          <cell r="Y35">
            <v>130.78370895410509</v>
          </cell>
          <cell r="AD35">
            <v>1.4449786324786327</v>
          </cell>
          <cell r="AE35">
            <v>2.4649050588105736</v>
          </cell>
          <cell r="AJ35">
            <v>1046.949252136752</v>
          </cell>
          <cell r="AK35">
            <v>1306.7051920061688</v>
          </cell>
          <cell r="BC35">
            <v>0.84598749520666394</v>
          </cell>
          <cell r="BD35">
            <v>0.77040989571784158</v>
          </cell>
        </row>
        <row r="36">
          <cell r="J36">
            <v>0.88846416455897692</v>
          </cell>
          <cell r="K36">
            <v>0.33992288040243035</v>
          </cell>
          <cell r="R36">
            <v>39.106999999999999</v>
          </cell>
          <cell r="S36">
            <v>420.50099999999998</v>
          </cell>
          <cell r="X36">
            <v>126.94823176719517</v>
          </cell>
          <cell r="Y36">
            <v>130.42700586339075</v>
          </cell>
          <cell r="AD36">
            <v>1.3501419183266423</v>
          </cell>
          <cell r="AE36">
            <v>2.3612310077740597</v>
          </cell>
          <cell r="AJ36">
            <v>1024.389495486723</v>
          </cell>
          <cell r="AK36">
            <v>1280.4495589784565</v>
          </cell>
          <cell r="BC36">
            <v>0.88846416455897692</v>
          </cell>
          <cell r="BD36">
            <v>0.78004932482987199</v>
          </cell>
        </row>
        <row r="37">
          <cell r="J37">
            <v>0.80833331055278401</v>
          </cell>
          <cell r="K37">
            <v>0.35736586749660282</v>
          </cell>
          <cell r="R37">
            <v>38.677</v>
          </cell>
          <cell r="S37">
            <v>459.178</v>
          </cell>
          <cell r="X37">
            <v>110.856317796198</v>
          </cell>
          <cell r="Y37">
            <v>128.77854817949731</v>
          </cell>
          <cell r="AD37">
            <v>1.3005145176720014</v>
          </cell>
          <cell r="AE37">
            <v>2.2718858481895907</v>
          </cell>
          <cell r="AJ37">
            <v>949.17444476045193</v>
          </cell>
          <cell r="AK37">
            <v>1252.5459407898461</v>
          </cell>
          <cell r="BC37">
            <v>0.80833331055278401</v>
          </cell>
          <cell r="BD37">
            <v>0.7823551468682316</v>
          </cell>
        </row>
        <row r="38">
          <cell r="J38">
            <v>0.83776073626843861</v>
          </cell>
          <cell r="K38">
            <v>0.37501240246787071</v>
          </cell>
          <cell r="R38">
            <v>41.048999999999999</v>
          </cell>
          <cell r="S38">
            <v>500.22699999999998</v>
          </cell>
          <cell r="X38">
            <v>113.94938807739574</v>
          </cell>
          <cell r="Y38">
            <v>127.56165626236535</v>
          </cell>
          <cell r="AD38">
            <v>1.2692148408000195</v>
          </cell>
          <cell r="AE38">
            <v>2.1896059189128132</v>
          </cell>
          <cell r="AJ38">
            <v>918.81897244754498</v>
          </cell>
          <cell r="AK38">
            <v>1225.1600573339688</v>
          </cell>
          <cell r="BC38">
            <v>0.83776073626843861</v>
          </cell>
          <cell r="BD38">
            <v>0.78662424716927493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K"/>
      <sheetName val="Report1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 refreshError="1"/>
      <sheetData sheetId="1">
        <row r="9">
          <cell r="J9">
            <v>0.72220006040347318</v>
          </cell>
          <cell r="K9">
            <v>0.72220006040347318</v>
          </cell>
          <cell r="R9">
            <v>39.835000000000001</v>
          </cell>
          <cell r="S9">
            <v>39.835000000000001</v>
          </cell>
          <cell r="AF9">
            <v>121.34643527811075</v>
          </cell>
          <cell r="AG9">
            <v>121.34643527811075</v>
          </cell>
          <cell r="AL9">
            <v>1.5790134304004015</v>
          </cell>
          <cell r="AM9">
            <v>1.5790134304004015</v>
          </cell>
          <cell r="AR9">
            <v>0.19831806200577382</v>
          </cell>
          <cell r="AS9">
            <v>0.19831806200577382</v>
          </cell>
          <cell r="AX9">
            <v>913.55089745198973</v>
          </cell>
          <cell r="AY9">
            <v>913.55089745198973</v>
          </cell>
          <cell r="BD9">
            <v>563.58679553156765</v>
          </cell>
          <cell r="BE9">
            <v>563.58679553156765</v>
          </cell>
          <cell r="BJ9">
            <v>7.832308271620434</v>
          </cell>
          <cell r="BK9">
            <v>7.832308271620434</v>
          </cell>
          <cell r="BN9">
            <v>0.72220006040347318</v>
          </cell>
          <cell r="BO9">
            <v>0.72220006040347318</v>
          </cell>
        </row>
        <row r="10">
          <cell r="J10">
            <v>0.89075190777271496</v>
          </cell>
          <cell r="K10">
            <v>0.80644942556810795</v>
          </cell>
          <cell r="R10">
            <v>49.100999999999999</v>
          </cell>
          <cell r="S10">
            <v>88.936000000000007</v>
          </cell>
          <cell r="AF10">
            <v>117.27096079252567</v>
          </cell>
          <cell r="AG10">
            <v>119.09639173312657</v>
          </cell>
          <cell r="AL10">
            <v>1.3808272743935968</v>
          </cell>
          <cell r="AM10">
            <v>1.4695961140595482</v>
          </cell>
          <cell r="AR10">
            <v>0.22199140547035703</v>
          </cell>
          <cell r="AS10">
            <v>0.21138796437887919</v>
          </cell>
          <cell r="AX10">
            <v>905.06873587095947</v>
          </cell>
          <cell r="AY10">
            <v>908.86794998650703</v>
          </cell>
          <cell r="BD10">
            <v>490.00427689863744</v>
          </cell>
          <cell r="BE10">
            <v>522.96235495187534</v>
          </cell>
          <cell r="BJ10">
            <v>4.6434899492882016</v>
          </cell>
          <cell r="BK10">
            <v>6.0717819555635515</v>
          </cell>
          <cell r="BN10">
            <v>0.89075190777271496</v>
          </cell>
          <cell r="BO10">
            <v>0.80644942556810795</v>
          </cell>
        </row>
        <row r="11">
          <cell r="J11">
            <v>0.88021327852624942</v>
          </cell>
          <cell r="K11">
            <v>0.8308963504674044</v>
          </cell>
          <cell r="R11">
            <v>48.119</v>
          </cell>
          <cell r="S11">
            <v>137.05500000000001</v>
          </cell>
          <cell r="AF11">
            <v>117.98355836916087</v>
          </cell>
          <cell r="AG11">
            <v>118.7056841439057</v>
          </cell>
          <cell r="AL11">
            <v>1.4339450113260874</v>
          </cell>
          <cell r="AM11">
            <v>1.4570792747437158</v>
          </cell>
          <cell r="AR11">
            <v>0.20573993640765603</v>
          </cell>
          <cell r="AS11">
            <v>0.2094049834008245</v>
          </cell>
          <cell r="AX11">
            <v>906.23412789126951</v>
          </cell>
          <cell r="AY11">
            <v>907.94323446791429</v>
          </cell>
          <cell r="BD11">
            <v>434.52274569296992</v>
          </cell>
          <cell r="BE11">
            <v>491.9118602021087</v>
          </cell>
          <cell r="BJ11">
            <v>6.0080217793394484</v>
          </cell>
          <cell r="BK11">
            <v>6.049396227792017</v>
          </cell>
          <cell r="BN11">
            <v>0.88021327852624942</v>
          </cell>
          <cell r="BO11">
            <v>0.8308963504674044</v>
          </cell>
        </row>
        <row r="12">
          <cell r="J12">
            <v>0.92179422004169198</v>
          </cell>
          <cell r="K12">
            <v>0.85357949206054795</v>
          </cell>
          <cell r="R12">
            <v>50.56</v>
          </cell>
          <cell r="S12">
            <v>187.61500000000001</v>
          </cell>
          <cell r="AF12">
            <v>114.65588258562465</v>
          </cell>
          <cell r="AG12">
            <v>117.61431102988662</v>
          </cell>
          <cell r="AL12">
            <v>1.3548259493670884</v>
          </cell>
          <cell r="AM12">
            <v>1.4295232257548702</v>
          </cell>
          <cell r="AR12">
            <v>0.21954113924050631</v>
          </cell>
          <cell r="AS12">
            <v>0.21213655624550276</v>
          </cell>
          <cell r="AX12">
            <v>801.26068037974744</v>
          </cell>
          <cell r="AY12">
            <v>879.1935612824135</v>
          </cell>
          <cell r="BD12">
            <v>505.1582278481024</v>
          </cell>
          <cell r="BE12">
            <v>495.48159795325563</v>
          </cell>
          <cell r="BJ12">
            <v>6.388449367088608</v>
          </cell>
          <cell r="BK12">
            <v>6.1407669962424913</v>
          </cell>
          <cell r="BN12">
            <v>0.92179422004169198</v>
          </cell>
          <cell r="BO12">
            <v>0.85357949206054795</v>
          </cell>
        </row>
        <row r="13">
          <cell r="J13">
            <v>0.54867609079830204</v>
          </cell>
          <cell r="K13">
            <v>0.79449769110573631</v>
          </cell>
          <cell r="R13">
            <v>28.984999999999999</v>
          </cell>
          <cell r="S13">
            <v>216.60000000000002</v>
          </cell>
          <cell r="AF13">
            <v>113.30276559865217</v>
          </cell>
          <cell r="AG13">
            <v>117.03734822137172</v>
          </cell>
          <cell r="AL13">
            <v>1.5732275314818009</v>
          </cell>
          <cell r="AM13">
            <v>1.4487534626038781</v>
          </cell>
          <cell r="AR13">
            <v>0.20700362256339486</v>
          </cell>
          <cell r="AS13">
            <v>0.21144967682363805</v>
          </cell>
          <cell r="AX13">
            <v>792.98119717095108</v>
          </cell>
          <cell r="AY13">
            <v>867.65678670360126</v>
          </cell>
          <cell r="BD13">
            <v>479.6983957219241</v>
          </cell>
          <cell r="BE13">
            <v>493.36951985226227</v>
          </cell>
          <cell r="BJ13">
            <v>7.4383301707771858</v>
          </cell>
          <cell r="BK13">
            <v>6.3144044321330171</v>
          </cell>
          <cell r="BN13">
            <v>0.54867609079830204</v>
          </cell>
          <cell r="BO13">
            <v>0.79449769110573631</v>
          </cell>
        </row>
        <row r="14">
          <cell r="J14">
            <v>1.005139451875384</v>
          </cell>
          <cell r="K14">
            <v>0.83030316087430944</v>
          </cell>
          <cell r="R14">
            <v>56.119</v>
          </cell>
          <cell r="S14">
            <v>272.71900000000005</v>
          </cell>
          <cell r="AF14">
            <v>98.465119333674537</v>
          </cell>
          <cell r="AG14">
            <v>113.21563094846927</v>
          </cell>
          <cell r="AL14">
            <v>1.2598228763876762</v>
          </cell>
          <cell r="AM14">
            <v>1.4098760995750201</v>
          </cell>
          <cell r="AR14">
            <v>0.19601204583118018</v>
          </cell>
          <cell r="AS14">
            <v>0.20827298428052315</v>
          </cell>
          <cell r="AX14">
            <v>681.76161371371404</v>
          </cell>
          <cell r="AY14">
            <v>829.40403858917023</v>
          </cell>
          <cell r="BD14">
            <v>474.30520857462841</v>
          </cell>
          <cell r="BE14">
            <v>489.44654387849607</v>
          </cell>
          <cell r="BJ14">
            <v>5.3778577665311085</v>
          </cell>
          <cell r="BK14">
            <v>6.121685691132523</v>
          </cell>
          <cell r="BN14">
            <v>1.005139451875384</v>
          </cell>
          <cell r="BO14">
            <v>0.83030316087430944</v>
          </cell>
        </row>
        <row r="15">
          <cell r="J15">
            <v>0.95309107847395524</v>
          </cell>
          <cell r="K15">
            <v>0.8491238885079474</v>
          </cell>
          <cell r="R15">
            <v>56.67</v>
          </cell>
          <cell r="S15">
            <v>329.38900000000007</v>
          </cell>
          <cell r="AF15">
            <v>99.362510598630763</v>
          </cell>
          <cell r="AG15">
            <v>110.83225952372419</v>
          </cell>
          <cell r="AL15">
            <v>1.1664019763543321</v>
          </cell>
          <cell r="AM15">
            <v>1.3679873948431791</v>
          </cell>
          <cell r="AR15">
            <v>0.19057702488088937</v>
          </cell>
          <cell r="AS15">
            <v>0.20522846846737441</v>
          </cell>
          <cell r="AX15">
            <v>667.83306864302153</v>
          </cell>
          <cell r="AY15">
            <v>801.60642887285223</v>
          </cell>
          <cell r="BD15">
            <v>468.73063349216079</v>
          </cell>
          <cell r="BE15">
            <v>485.88245812701797</v>
          </cell>
          <cell r="BJ15">
            <v>5.7702488088935953</v>
          </cell>
          <cell r="BK15">
            <v>6.0612224451938914</v>
          </cell>
          <cell r="BN15">
            <v>0.95309107847395524</v>
          </cell>
          <cell r="BO15">
            <v>0.8491238885079474</v>
          </cell>
        </row>
        <row r="16">
          <cell r="J16">
            <v>0.97811112813571321</v>
          </cell>
          <cell r="K16">
            <v>0.8645254838849219</v>
          </cell>
          <cell r="R16">
            <v>51.448</v>
          </cell>
          <cell r="S16">
            <v>380.83700000000005</v>
          </cell>
          <cell r="AF16">
            <v>111.50918668756003</v>
          </cell>
          <cell r="AG16">
            <v>110.9237069112549</v>
          </cell>
          <cell r="AL16">
            <v>1.2945109625252682</v>
          </cell>
          <cell r="AM16">
            <v>1.35806132282315</v>
          </cell>
          <cell r="AR16">
            <v>0.2021458560099518</v>
          </cell>
          <cell r="AS16">
            <v>0.20481203244432658</v>
          </cell>
          <cell r="AX16">
            <v>811.27546260301699</v>
          </cell>
          <cell r="AY16">
            <v>802.91263716498122</v>
          </cell>
          <cell r="BD16">
            <v>542.95022158295149</v>
          </cell>
          <cell r="BE16">
            <v>493.59185163206308</v>
          </cell>
          <cell r="BJ16">
            <v>5.7747628673618978</v>
          </cell>
          <cell r="BK16">
            <v>6.0225240719783146</v>
          </cell>
          <cell r="BN16">
            <v>0.97811112813571321</v>
          </cell>
          <cell r="BO16">
            <v>0.8645254838849219</v>
          </cell>
        </row>
        <row r="17">
          <cell r="J17">
            <v>0.94802685303952994</v>
          </cell>
          <cell r="K17">
            <v>0.87351674606644625</v>
          </cell>
          <cell r="R17">
            <v>50.395000000000003</v>
          </cell>
          <cell r="S17">
            <v>431.23200000000003</v>
          </cell>
          <cell r="AF17">
            <v>102.75838502910234</v>
          </cell>
          <cell r="AG17">
            <v>109.96948413499739</v>
          </cell>
          <cell r="AL17">
            <v>1.3056850878063297</v>
          </cell>
          <cell r="AM17">
            <v>1.3519404867913327</v>
          </cell>
          <cell r="AR17">
            <v>0.21430697489830342</v>
          </cell>
          <cell r="AS17">
            <v>0.20592163846838826</v>
          </cell>
          <cell r="AX17">
            <v>777.81406885603712</v>
          </cell>
          <cell r="AY17">
            <v>799.97954697239527</v>
          </cell>
          <cell r="BD17">
            <v>497.68230975295023</v>
          </cell>
          <cell r="BE17">
            <v>494.06987422083699</v>
          </cell>
          <cell r="BJ17">
            <v>5.881535866653322</v>
          </cell>
          <cell r="BK17">
            <v>6.0060477886613244</v>
          </cell>
          <cell r="BN17">
            <v>0.94802685303952994</v>
          </cell>
          <cell r="BO17">
            <v>0.87351674606644625</v>
          </cell>
        </row>
        <row r="18">
          <cell r="J18">
            <v>0.92780651878810616</v>
          </cell>
          <cell r="K18">
            <v>0.87897349197453722</v>
          </cell>
          <cell r="R18">
            <v>51.182000000000002</v>
          </cell>
          <cell r="S18">
            <v>482.41400000000004</v>
          </cell>
          <cell r="AF18">
            <v>118.3468680564872</v>
          </cell>
          <cell r="AG18">
            <v>110.85828766032976</v>
          </cell>
          <cell r="AL18">
            <v>1.2875620335274121</v>
          </cell>
          <cell r="AM18">
            <v>1.3451102165360043</v>
          </cell>
          <cell r="AR18">
            <v>0.18756594115118594</v>
          </cell>
          <cell r="AS18">
            <v>0.20397417985381849</v>
          </cell>
          <cell r="AX18">
            <v>838.42444609432937</v>
          </cell>
          <cell r="AY18">
            <v>804.05838139025798</v>
          </cell>
          <cell r="BD18">
            <v>487.46043530928853</v>
          </cell>
          <cell r="BE18">
            <v>493.36864187191901</v>
          </cell>
          <cell r="BJ18">
            <v>6.0587706615608186</v>
          </cell>
          <cell r="BK18">
            <v>6.0116414531916682</v>
          </cell>
          <cell r="BN18">
            <v>0.92780651878810616</v>
          </cell>
          <cell r="BO18">
            <v>0.87897349197453722</v>
          </cell>
        </row>
        <row r="19">
          <cell r="J19">
            <v>0.91821702153440543</v>
          </cell>
          <cell r="K19">
            <v>0.882557666822814</v>
          </cell>
          <cell r="R19">
            <v>50.652999999999999</v>
          </cell>
          <cell r="S19">
            <v>533.06700000000001</v>
          </cell>
          <cell r="AF19">
            <v>108.98567754106628</v>
          </cell>
          <cell r="AG19">
            <v>110.68034882642887</v>
          </cell>
          <cell r="AL19">
            <v>1.3799774939292837</v>
          </cell>
          <cell r="AM19">
            <v>1.3484233689198541</v>
          </cell>
          <cell r="AR19">
            <v>0.19347323949223147</v>
          </cell>
          <cell r="AS19">
            <v>0.2029763613204344</v>
          </cell>
          <cell r="AX19">
            <v>873.50680117663364</v>
          </cell>
          <cell r="AY19">
            <v>810.65749708760814</v>
          </cell>
          <cell r="BD19">
            <v>453.75397311116819</v>
          </cell>
          <cell r="BE19">
            <v>489.60438368910468</v>
          </cell>
          <cell r="BJ19">
            <v>6.7103626636130969</v>
          </cell>
          <cell r="BK19">
            <v>6.0780352188374076</v>
          </cell>
          <cell r="BN19">
            <v>0.91821702153440543</v>
          </cell>
          <cell r="BO19">
            <v>0.882557666822814</v>
          </cell>
        </row>
        <row r="20">
          <cell r="J20">
            <v>0.89060869579265478</v>
          </cell>
          <cell r="K20">
            <v>0.88323144320040026</v>
          </cell>
          <cell r="R20">
            <v>49.13</v>
          </cell>
          <cell r="S20">
            <v>582.197</v>
          </cell>
          <cell r="AF20">
            <v>105.90073876131082</v>
          </cell>
          <cell r="AG20">
            <v>110.2770107080613</v>
          </cell>
          <cell r="AL20">
            <v>1.457358029717077</v>
          </cell>
          <cell r="AM20">
            <v>1.3576160646653967</v>
          </cell>
          <cell r="AR20">
            <v>0.17504579686545896</v>
          </cell>
          <cell r="AS20">
            <v>0.20061937797687038</v>
          </cell>
          <cell r="AX20">
            <v>870.62609403623173</v>
          </cell>
          <cell r="AY20">
            <v>815.71808168025609</v>
          </cell>
          <cell r="BD20">
            <v>479.51150010177082</v>
          </cell>
          <cell r="BE20">
            <v>488.75267306427202</v>
          </cell>
          <cell r="BJ20">
            <v>6.9224506411562352</v>
          </cell>
          <cell r="BK20">
            <v>6.1492931086900242</v>
          </cell>
          <cell r="BN20">
            <v>0.89060869579265478</v>
          </cell>
          <cell r="BO20">
            <v>0.88323144320040026</v>
          </cell>
        </row>
        <row r="21">
          <cell r="J21">
            <v>0.53402079318859785</v>
          </cell>
          <cell r="K21">
            <v>0.85626351928575861</v>
          </cell>
          <cell r="R21">
            <v>29.459</v>
          </cell>
          <cell r="S21">
            <v>611.65599999999995</v>
          </cell>
          <cell r="AF21">
            <v>141.78211280135176</v>
          </cell>
          <cell r="AG21">
            <v>111.79438126040813</v>
          </cell>
          <cell r="AL21">
            <v>2.0876472385349127</v>
          </cell>
          <cell r="AM21">
            <v>1.392776331794342</v>
          </cell>
          <cell r="AR21">
            <v>0.27495841678264704</v>
          </cell>
          <cell r="AS21">
            <v>0.20419974626260512</v>
          </cell>
          <cell r="AX21">
            <v>1268.8584133880979</v>
          </cell>
          <cell r="AY21">
            <v>837.54254025138323</v>
          </cell>
          <cell r="BD21">
            <v>678.44461794358278</v>
          </cell>
          <cell r="BE21">
            <v>497.88874792366943</v>
          </cell>
          <cell r="BJ21">
            <v>7.8108557656405786</v>
          </cell>
          <cell r="BK21">
            <v>6.2293184404305881</v>
          </cell>
          <cell r="BN21">
            <v>0.53402079318859785</v>
          </cell>
          <cell r="BO21">
            <v>0.85626351928575861</v>
          </cell>
        </row>
        <row r="22">
          <cell r="J22">
            <v>0.98328789770011327</v>
          </cell>
          <cell r="K22">
            <v>0.86525222698801574</v>
          </cell>
          <cell r="R22">
            <v>53.488999999999997</v>
          </cell>
          <cell r="S22">
            <v>665.14499999999998</v>
          </cell>
          <cell r="AF22">
            <v>86.889978321074182</v>
          </cell>
          <cell r="AG22">
            <v>109.79164259617396</v>
          </cell>
          <cell r="AL22">
            <v>1.2862457701583503</v>
          </cell>
          <cell r="AM22">
            <v>1.3842094580880859</v>
          </cell>
          <cell r="AR22">
            <v>0.18134569724616276</v>
          </cell>
          <cell r="AS22">
            <v>0.20236189101624458</v>
          </cell>
          <cell r="AX22">
            <v>711.91048626820486</v>
          </cell>
          <cell r="AY22">
            <v>827.43958084327483</v>
          </cell>
          <cell r="BD22">
            <v>438.0676400755288</v>
          </cell>
          <cell r="BE22">
            <v>493.07811078787324</v>
          </cell>
          <cell r="BJ22">
            <v>5.9787993793114165</v>
          </cell>
          <cell r="BK22">
            <v>6.2091724360853648</v>
          </cell>
          <cell r="BN22">
            <v>0.98328789770011327</v>
          </cell>
          <cell r="BO22">
            <v>0.86525222698801574</v>
          </cell>
        </row>
        <row r="23">
          <cell r="J23">
            <v>0.92907907059960848</v>
          </cell>
          <cell r="K23">
            <v>0.86945537634644154</v>
          </cell>
          <cell r="R23">
            <v>50.347999999999999</v>
          </cell>
          <cell r="S23">
            <v>715.49299999999994</v>
          </cell>
          <cell r="AF23">
            <v>103.35746713686945</v>
          </cell>
          <cell r="AG23">
            <v>109.33888084165636</v>
          </cell>
          <cell r="AL23">
            <v>1.4062127591959959</v>
          </cell>
          <cell r="AM23">
            <v>1.385757792179658</v>
          </cell>
          <cell r="AR23">
            <v>0.21450703106379601</v>
          </cell>
          <cell r="AS23">
            <v>0.20321652343209509</v>
          </cell>
          <cell r="AX23">
            <v>731.10193056327807</v>
          </cell>
          <cell r="AY23">
            <v>820.66046767753153</v>
          </cell>
          <cell r="BD23">
            <v>531.88706602049911</v>
          </cell>
          <cell r="BE23">
            <v>495.809029578207</v>
          </cell>
          <cell r="BJ23">
            <v>6.5563676809407685</v>
          </cell>
          <cell r="BK23">
            <v>6.2336039625824524</v>
          </cell>
          <cell r="BN23">
            <v>0.92907907059960848</v>
          </cell>
          <cell r="BO23">
            <v>0.86945537634644154</v>
          </cell>
        </row>
        <row r="24">
          <cell r="J24">
            <v>0.96297080014302994</v>
          </cell>
          <cell r="K24">
            <v>0.8752562039367513</v>
          </cell>
          <cell r="R24">
            <v>52.406999999999996</v>
          </cell>
          <cell r="S24">
            <v>767.9</v>
          </cell>
          <cell r="AF24">
            <v>84.556596130012537</v>
          </cell>
          <cell r="AG24">
            <v>107.64756010343118</v>
          </cell>
          <cell r="AL24">
            <v>1.3643215600969336</v>
          </cell>
          <cell r="AM24">
            <v>1.384294830055997</v>
          </cell>
          <cell r="AR24">
            <v>0.22897704505123362</v>
          </cell>
          <cell r="AS24">
            <v>0.20497460606849852</v>
          </cell>
          <cell r="AX24">
            <v>836.23981529185187</v>
          </cell>
          <cell r="AY24">
            <v>821.72371402526369</v>
          </cell>
          <cell r="BD24">
            <v>556.19379090579525</v>
          </cell>
          <cell r="BE24">
            <v>499.93011850501375</v>
          </cell>
          <cell r="BJ24">
            <v>5.1538916556949612</v>
          </cell>
          <cell r="BK24">
            <v>6.1599166558145741</v>
          </cell>
          <cell r="BN24">
            <v>0.96297080014302994</v>
          </cell>
          <cell r="BO24">
            <v>0.8752562039367513</v>
          </cell>
        </row>
        <row r="25">
          <cell r="J25">
            <v>0.93426728035711137</v>
          </cell>
          <cell r="K25">
            <v>0.87877767921810501</v>
          </cell>
          <cell r="R25">
            <v>52.018000000000001</v>
          </cell>
          <cell r="S25">
            <v>819.91800000000001</v>
          </cell>
          <cell r="AF25">
            <v>94.821416306773244</v>
          </cell>
          <cell r="AG25">
            <v>106.8338319647459</v>
          </cell>
          <cell r="AL25">
            <v>1.3533776769579762</v>
          </cell>
          <cell r="AM25">
            <v>1.3823333552867483</v>
          </cell>
          <cell r="AR25">
            <v>0.22299973086239377</v>
          </cell>
          <cell r="AS25">
            <v>0.20611817279288905</v>
          </cell>
          <cell r="AX25">
            <v>790.88123341919913</v>
          </cell>
          <cell r="AY25">
            <v>819.76697669766975</v>
          </cell>
          <cell r="BD25">
            <v>550.05350071129783</v>
          </cell>
          <cell r="BE25">
            <v>503.11009271658912</v>
          </cell>
          <cell r="BJ25">
            <v>6.5765696489672179</v>
          </cell>
          <cell r="BK25">
            <v>6.186350342351294</v>
          </cell>
          <cell r="BN25">
            <v>0.93426728035711137</v>
          </cell>
          <cell r="BO25">
            <v>0.87877767921810501</v>
          </cell>
        </row>
        <row r="26">
          <cell r="J26">
            <v>0.85466379693890182</v>
          </cell>
          <cell r="K26">
            <v>0.87745872676918213</v>
          </cell>
          <cell r="R26">
            <v>46.14</v>
          </cell>
          <cell r="S26">
            <v>866.05799999999999</v>
          </cell>
          <cell r="AF26">
            <v>99.540265143684451</v>
          </cell>
          <cell r="AG26">
            <v>106.44526079154068</v>
          </cell>
          <cell r="AL26">
            <v>1.4217598612917206</v>
          </cell>
          <cell r="AM26">
            <v>1.3844338369947509</v>
          </cell>
          <cell r="AR26">
            <v>0.19505851755526657</v>
          </cell>
          <cell r="AS26">
            <v>0.20552895995418322</v>
          </cell>
          <cell r="AX26">
            <v>811.07238838318142</v>
          </cell>
          <cell r="AY26">
            <v>819.30376487486978</v>
          </cell>
          <cell r="BD26">
            <v>446.74447334199516</v>
          </cell>
          <cell r="BE26">
            <v>500.10716487810282</v>
          </cell>
          <cell r="BJ26">
            <v>6.6688339835286436</v>
          </cell>
          <cell r="BK26">
            <v>6.2120550817612683</v>
          </cell>
          <cell r="BN26">
            <v>0.85466379693890182</v>
          </cell>
          <cell r="BO26">
            <v>0.87745872676918213</v>
          </cell>
        </row>
        <row r="27">
          <cell r="J27">
            <v>0.94715342732880969</v>
          </cell>
          <cell r="K27">
            <v>0.88100117522208743</v>
          </cell>
          <cell r="R27">
            <v>50.061</v>
          </cell>
          <cell r="S27">
            <v>916.11900000000003</v>
          </cell>
          <cell r="AF27">
            <v>98.601101402431098</v>
          </cell>
          <cell r="AG27">
            <v>106.01661946527386</v>
          </cell>
          <cell r="AL27">
            <v>1.3863087033818742</v>
          </cell>
          <cell r="AM27">
            <v>1.3845362884079471</v>
          </cell>
          <cell r="AR27">
            <v>0.20774654920996385</v>
          </cell>
          <cell r="AS27">
            <v>0.20565013933779344</v>
          </cell>
          <cell r="AX27">
            <v>817.12310980603695</v>
          </cell>
          <cell r="AY27">
            <v>819.184603746893</v>
          </cell>
          <cell r="BD27">
            <v>553.2849923093836</v>
          </cell>
          <cell r="BE27">
            <v>503.0130485231723</v>
          </cell>
          <cell r="BJ27">
            <v>6.3941990771260224</v>
          </cell>
          <cell r="BK27">
            <v>6.2220082762173972</v>
          </cell>
          <cell r="BN27">
            <v>0.94715342732880969</v>
          </cell>
          <cell r="BO27">
            <v>0.88100117522208743</v>
          </cell>
        </row>
        <row r="28">
          <cell r="J28">
            <v>0.96062044160805338</v>
          </cell>
          <cell r="K28">
            <v>0.88505584891061162</v>
          </cell>
          <cell r="R28">
            <v>53.6</v>
          </cell>
          <cell r="S28">
            <v>969.71900000000005</v>
          </cell>
          <cell r="AF28">
            <v>92.609363055946915</v>
          </cell>
          <cell r="AG28">
            <v>105.27555020341561</v>
          </cell>
          <cell r="AL28">
            <v>1.3003731343283582</v>
          </cell>
          <cell r="AM28">
            <v>1.3798842757541103</v>
          </cell>
          <cell r="AR28">
            <v>0.18656716417910446</v>
          </cell>
          <cell r="AS28">
            <v>0.20459535184935015</v>
          </cell>
          <cell r="AX28">
            <v>709.31082089552365</v>
          </cell>
          <cell r="AY28">
            <v>813.11146837382785</v>
          </cell>
          <cell r="BD28">
            <v>479.1567164179105</v>
          </cell>
          <cell r="BE28">
            <v>501.69441972365189</v>
          </cell>
          <cell r="BJ28">
            <v>6.1585820895523478</v>
          </cell>
          <cell r="BK28">
            <v>6.2185024733969447</v>
          </cell>
          <cell r="BN28">
            <v>0.96062044160805338</v>
          </cell>
          <cell r="BO28">
            <v>0.88505584891061162</v>
          </cell>
        </row>
        <row r="29">
          <cell r="J29">
            <v>0.97684577591390198</v>
          </cell>
          <cell r="K29">
            <v>0.88944441561694243</v>
          </cell>
          <cell r="R29">
            <v>53.741</v>
          </cell>
          <cell r="S29">
            <v>1023.46</v>
          </cell>
          <cell r="AF29">
            <v>88.323400967416944</v>
          </cell>
          <cell r="AG29">
            <v>104.38540749916551</v>
          </cell>
          <cell r="AL29">
            <v>1.3081260117973241</v>
          </cell>
          <cell r="AM29">
            <v>1.3761163113360562</v>
          </cell>
          <cell r="AR29">
            <v>0.18235611544258576</v>
          </cell>
          <cell r="AS29">
            <v>0.20342758876751413</v>
          </cell>
          <cell r="AX29">
            <v>709.62616996334168</v>
          </cell>
          <cell r="AY29">
            <v>807.67754479901498</v>
          </cell>
          <cell r="BD29">
            <v>452.44785173331354</v>
          </cell>
          <cell r="BE29">
            <v>499.1085250034198</v>
          </cell>
          <cell r="BJ29">
            <v>6.5089968552871804</v>
          </cell>
          <cell r="BK29">
            <v>6.2337560823090303</v>
          </cell>
          <cell r="BN29">
            <v>0.97684577591390198</v>
          </cell>
          <cell r="BO29">
            <v>0.88944441561694243</v>
          </cell>
        </row>
        <row r="30">
          <cell r="J30">
            <v>0.93131034253043377</v>
          </cell>
          <cell r="K30">
            <v>0.89135395418980623</v>
          </cell>
          <cell r="R30">
            <v>51.213999999999999</v>
          </cell>
          <cell r="S30">
            <v>1074.674</v>
          </cell>
          <cell r="AF30">
            <v>103.21968402897016</v>
          </cell>
          <cell r="AG30">
            <v>104.32985450188207</v>
          </cell>
          <cell r="AL30">
            <v>1.3707189440387395</v>
          </cell>
          <cell r="AM30">
            <v>1.3758590977356855</v>
          </cell>
          <cell r="AR30">
            <v>0.18940133557230443</v>
          </cell>
          <cell r="AS30">
            <v>0.20275916231340854</v>
          </cell>
          <cell r="AX30">
            <v>765.64415980005572</v>
          </cell>
          <cell r="AY30">
            <v>805.67442777995939</v>
          </cell>
          <cell r="BD30">
            <v>480.29835591830368</v>
          </cell>
          <cell r="BE30">
            <v>498.21211921010467</v>
          </cell>
          <cell r="BJ30">
            <v>6.6407622915610149</v>
          </cell>
          <cell r="BK30">
            <v>6.2531521186890222</v>
          </cell>
          <cell r="BN30">
            <v>0.93131034253043377</v>
          </cell>
          <cell r="BO30">
            <v>0.89135395418980623</v>
          </cell>
        </row>
        <row r="31">
          <cell r="J31">
            <v>0.90018751841225031</v>
          </cell>
          <cell r="K31">
            <v>0.89173278446705495</v>
          </cell>
          <cell r="R31">
            <v>48.63</v>
          </cell>
          <cell r="S31">
            <v>1123.3040000000001</v>
          </cell>
          <cell r="AF31">
            <v>98.903231816513767</v>
          </cell>
          <cell r="AG31">
            <v>104.09492552344928</v>
          </cell>
          <cell r="AL31">
            <v>1.4209335800945917</v>
          </cell>
          <cell r="AM31">
            <v>1.3778104591455207</v>
          </cell>
          <cell r="AR31">
            <v>0.21591610117211596</v>
          </cell>
          <cell r="AS31">
            <v>0.20332875161131803</v>
          </cell>
          <cell r="AX31">
            <v>860.61279045856475</v>
          </cell>
          <cell r="AY31">
            <v>808.05281562248513</v>
          </cell>
          <cell r="BD31">
            <v>467.00596339708005</v>
          </cell>
          <cell r="BE31">
            <v>496.86114444531495</v>
          </cell>
          <cell r="BJ31">
            <v>5.7598190417438992</v>
          </cell>
          <cell r="BK31">
            <v>6.2317947768369129</v>
          </cell>
          <cell r="BN31">
            <v>0.90018751841225031</v>
          </cell>
          <cell r="BO31">
            <v>0.89173278446705495</v>
          </cell>
        </row>
        <row r="32">
          <cell r="J32">
            <v>0.93009409381491182</v>
          </cell>
          <cell r="K32">
            <v>0.89334159432257509</v>
          </cell>
          <cell r="R32">
            <v>51.286999999999999</v>
          </cell>
          <cell r="S32">
            <v>1174.5910000000001</v>
          </cell>
          <cell r="AF32">
            <v>100.15019290617724</v>
          </cell>
          <cell r="AG32">
            <v>103.92268386508306</v>
          </cell>
          <cell r="AL32">
            <v>1.3180728059742235</v>
          </cell>
          <cell r="AM32">
            <v>1.3752020916216792</v>
          </cell>
          <cell r="AR32">
            <v>0.20668005537465634</v>
          </cell>
          <cell r="AS32">
            <v>0.20347508196470088</v>
          </cell>
          <cell r="AX32">
            <v>798.285725427496</v>
          </cell>
          <cell r="AY32">
            <v>807.62634823525775</v>
          </cell>
          <cell r="BD32">
            <v>499.00949558367626</v>
          </cell>
          <cell r="BE32">
            <v>496.95494942494867</v>
          </cell>
          <cell r="BJ32">
            <v>6.2403728040241848</v>
          </cell>
          <cell r="BK32">
            <v>6.2321693253226007</v>
          </cell>
          <cell r="BN32">
            <v>0.93009409381491182</v>
          </cell>
          <cell r="BO32">
            <v>0.89334159432257509</v>
          </cell>
        </row>
        <row r="33">
          <cell r="J33">
            <v>0.93980399420860672</v>
          </cell>
          <cell r="K33">
            <v>0.89510936851379463</v>
          </cell>
          <cell r="R33">
            <v>48.874000000000002</v>
          </cell>
          <cell r="S33">
            <v>1223.4650000000001</v>
          </cell>
          <cell r="AF33">
            <v>101.43611500350372</v>
          </cell>
          <cell r="AG33">
            <v>103.82335240358572</v>
          </cell>
          <cell r="AL33">
            <v>1.4097475140156321</v>
          </cell>
          <cell r="AM33">
            <v>1.376582084489544</v>
          </cell>
          <cell r="AR33">
            <v>0.20869992224904854</v>
          </cell>
          <cell r="AS33">
            <v>0.20368379970003225</v>
          </cell>
          <cell r="AX33">
            <v>838.61848835781643</v>
          </cell>
          <cell r="AY33">
            <v>808.86439742861421</v>
          </cell>
          <cell r="BD33">
            <v>540.28931538240829</v>
          </cell>
          <cell r="BE33">
            <v>498.68603597160501</v>
          </cell>
          <cell r="BJ33">
            <v>6.957687113802602</v>
          </cell>
          <cell r="BK33">
            <v>6.2611517289011021</v>
          </cell>
          <cell r="BN33">
            <v>0.93980399420860672</v>
          </cell>
          <cell r="BO33">
            <v>0.89510936851379463</v>
          </cell>
        </row>
        <row r="34">
          <cell r="J34">
            <v>0.93809888311201073</v>
          </cell>
          <cell r="K34">
            <v>0.89667110330686939</v>
          </cell>
          <cell r="R34">
            <v>48.337000000000003</v>
          </cell>
          <cell r="S34">
            <v>1271.8020000000001</v>
          </cell>
          <cell r="AF34">
            <v>105.59192723915804</v>
          </cell>
          <cell r="AG34">
            <v>103.89057010085862</v>
          </cell>
          <cell r="AL34">
            <v>1.4129962554564826</v>
          </cell>
          <cell r="AM34">
            <v>1.3779660670450273</v>
          </cell>
          <cell r="AR34">
            <v>0.19860562302170179</v>
          </cell>
          <cell r="AS34">
            <v>0.20349079495078634</v>
          </cell>
          <cell r="AX34">
            <v>927.74603305956214</v>
          </cell>
          <cell r="AY34">
            <v>813.38269636311293</v>
          </cell>
          <cell r="BD34">
            <v>447.80395969961052</v>
          </cell>
          <cell r="BE34">
            <v>496.75217604627125</v>
          </cell>
          <cell r="BJ34">
            <v>5.9933384363947217</v>
          </cell>
          <cell r="BK34">
            <v>6.250973028820523</v>
          </cell>
          <cell r="BN34">
            <v>0.93809888311201073</v>
          </cell>
          <cell r="BO34">
            <v>0.89667110330686939</v>
          </cell>
        </row>
        <row r="35">
          <cell r="J35">
            <v>0.75305577798209489</v>
          </cell>
          <cell r="K35">
            <v>0.89141350273827458</v>
          </cell>
          <cell r="R35">
            <v>40.588000000000001</v>
          </cell>
          <cell r="S35">
            <v>1312.39</v>
          </cell>
          <cell r="AF35">
            <v>112.03061195282292</v>
          </cell>
          <cell r="AG35">
            <v>104.14231540422693</v>
          </cell>
          <cell r="AL35">
            <v>1.5250813048191583</v>
          </cell>
          <cell r="AM35">
            <v>1.3825158679965559</v>
          </cell>
          <cell r="AR35">
            <v>0.20695772149403766</v>
          </cell>
          <cell r="AS35">
            <v>0.20359801583370796</v>
          </cell>
          <cell r="AX35">
            <v>1000.240957918596</v>
          </cell>
          <cell r="AY35">
            <v>819.16162116444025</v>
          </cell>
          <cell r="BD35">
            <v>441.51862619492999</v>
          </cell>
          <cell r="BE35">
            <v>495.04398006690064</v>
          </cell>
          <cell r="BJ35">
            <v>6.9478663644434091</v>
          </cell>
          <cell r="BK35">
            <v>6.2725256973918029</v>
          </cell>
          <cell r="BN35">
            <v>0.75305577798209489</v>
          </cell>
          <cell r="BO35">
            <v>0.89141350273827458</v>
          </cell>
        </row>
        <row r="36">
          <cell r="J36">
            <v>1.0023070373394531</v>
          </cell>
          <cell r="K36">
            <v>0.89541053004765436</v>
          </cell>
          <cell r="R36">
            <v>55.177</v>
          </cell>
          <cell r="S36">
            <v>1367.567</v>
          </cell>
          <cell r="AF36">
            <v>89.183961289942857</v>
          </cell>
          <cell r="AG36">
            <v>103.53879316000501</v>
          </cell>
          <cell r="AL36">
            <v>1.2197111115138555</v>
          </cell>
          <cell r="AM36">
            <v>1.375947211361491</v>
          </cell>
          <cell r="AR36">
            <v>0.18304728419450134</v>
          </cell>
          <cell r="AS36">
            <v>0.20276885885664103</v>
          </cell>
          <cell r="AX36">
            <v>789.65510991898702</v>
          </cell>
          <cell r="AY36">
            <v>817.97112682596162</v>
          </cell>
          <cell r="BD36">
            <v>451.02254562589928</v>
          </cell>
          <cell r="BE36">
            <v>493.26785451827953</v>
          </cell>
          <cell r="BJ36">
            <v>7.3255160664766574</v>
          </cell>
          <cell r="BK36">
            <v>6.3150105259925189</v>
          </cell>
          <cell r="BN36">
            <v>1.0023070373394531</v>
          </cell>
          <cell r="BO36">
            <v>0.89541053004765436</v>
          </cell>
        </row>
        <row r="37">
          <cell r="J37">
            <v>0.92561311937277901</v>
          </cell>
          <cell r="K37">
            <v>0.8964612740978094</v>
          </cell>
          <cell r="R37">
            <v>50.954999999999998</v>
          </cell>
          <cell r="S37">
            <v>1418.5219999999999</v>
          </cell>
          <cell r="AF37">
            <v>94.791927494946151</v>
          </cell>
          <cell r="AG37">
            <v>103.2245953259474</v>
          </cell>
          <cell r="AL37">
            <v>1.312923167500736</v>
          </cell>
          <cell r="AM37">
            <v>1.3736833126310344</v>
          </cell>
          <cell r="AR37">
            <v>0.20017662643508977</v>
          </cell>
          <cell r="AS37">
            <v>0.20267574278016134</v>
          </cell>
          <cell r="AX37">
            <v>900.42625846335147</v>
          </cell>
          <cell r="AY37">
            <v>820.93301337589401</v>
          </cell>
          <cell r="BD37">
            <v>473.48498086546465</v>
          </cell>
          <cell r="BE37">
            <v>492.55723013107996</v>
          </cell>
          <cell r="BJ37">
            <v>6.6238838190552531</v>
          </cell>
          <cell r="BK37">
            <v>6.3261056226128121</v>
          </cell>
          <cell r="BN37">
            <v>0.92561311937277901</v>
          </cell>
          <cell r="BO37">
            <v>0.8964612740978094</v>
          </cell>
        </row>
        <row r="38">
          <cell r="J38">
            <v>0.90387639014321897</v>
          </cell>
          <cell r="K38">
            <v>0.89671048774219353</v>
          </cell>
          <cell r="R38">
            <v>49.741</v>
          </cell>
          <cell r="S38">
            <v>1468.2629999999999</v>
          </cell>
          <cell r="AF38">
            <v>100.22614043399678</v>
          </cell>
          <cell r="AG38">
            <v>103.12301533327545</v>
          </cell>
          <cell r="AL38">
            <v>1.3409461008021553</v>
          </cell>
          <cell r="AM38">
            <v>1.3725742595161767</v>
          </cell>
          <cell r="AR38">
            <v>0.1970205665346495</v>
          </cell>
          <cell r="AS38">
            <v>0.20248415985419507</v>
          </cell>
          <cell r="AX38">
            <v>885.1169055708574</v>
          </cell>
          <cell r="AY38">
            <v>823.10739969610347</v>
          </cell>
          <cell r="BD38">
            <v>477.36388894474396</v>
          </cell>
          <cell r="BE38">
            <v>492.04251854061584</v>
          </cell>
          <cell r="BJ38">
            <v>6.3344122554843167</v>
          </cell>
          <cell r="BK38">
            <v>6.3263870301165506</v>
          </cell>
          <cell r="BN38">
            <v>0.90387639014321897</v>
          </cell>
          <cell r="BO38">
            <v>0.89671048774219353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0.94810263607529854</v>
          </cell>
          <cell r="K9">
            <v>0.94810263607529854</v>
          </cell>
          <cell r="R9">
            <v>51.744</v>
          </cell>
          <cell r="S9">
            <v>51.744</v>
          </cell>
          <cell r="AD9">
            <v>2.6611781076066787</v>
          </cell>
          <cell r="AE9">
            <v>2.6611781076066787</v>
          </cell>
          <cell r="AJ9">
            <v>964.39393939393995</v>
          </cell>
          <cell r="AK9">
            <v>964.39393939393995</v>
          </cell>
          <cell r="AN9">
            <v>0.94810263607529854</v>
          </cell>
          <cell r="AO9">
            <v>0.94810263607529854</v>
          </cell>
        </row>
        <row r="10">
          <cell r="J10">
            <v>1.0570737664457603</v>
          </cell>
          <cell r="K10">
            <v>1.0034080766026876</v>
          </cell>
          <cell r="R10">
            <v>59.454000000000001</v>
          </cell>
          <cell r="S10">
            <v>111.19800000000001</v>
          </cell>
          <cell r="AD10">
            <v>2.2740269788407841</v>
          </cell>
          <cell r="AE10">
            <v>2.4541808305904778</v>
          </cell>
          <cell r="AJ10">
            <v>776.3407003734003</v>
          </cell>
          <cell r="AK10">
            <v>863.84791093365129</v>
          </cell>
          <cell r="AN10">
            <v>1.0570737664457603</v>
          </cell>
          <cell r="AO10">
            <v>1.0034080766026876</v>
          </cell>
        </row>
        <row r="11">
          <cell r="J11">
            <v>0.14596480492321981</v>
          </cell>
          <cell r="K11">
            <v>0.73265597807757099</v>
          </cell>
          <cell r="R11">
            <v>7.4649999999999999</v>
          </cell>
          <cell r="S11">
            <v>118.66300000000001</v>
          </cell>
          <cell r="AD11">
            <v>7.8097789685197583</v>
          </cell>
          <cell r="AE11">
            <v>2.7910974777310531</v>
          </cell>
          <cell r="AJ11">
            <v>3508.0723375754819</v>
          </cell>
          <cell r="AK11">
            <v>1030.1940790305414</v>
          </cell>
          <cell r="AN11">
            <v>0.14596480492321981</v>
          </cell>
          <cell r="AO11">
            <v>0.73265597807757099</v>
          </cell>
        </row>
        <row r="12">
          <cell r="J12">
            <v>0.84422829095726637</v>
          </cell>
          <cell r="K12">
            <v>0.75989690323910153</v>
          </cell>
          <cell r="R12">
            <v>44.167999999999999</v>
          </cell>
          <cell r="S12">
            <v>162.83100000000002</v>
          </cell>
          <cell r="AD12">
            <v>3.1583952182575623</v>
          </cell>
          <cell r="AE12">
            <v>2.8907271956814116</v>
          </cell>
          <cell r="AJ12">
            <v>1147.9414961057705</v>
          </cell>
          <cell r="AK12">
            <v>1062.1331318974935</v>
          </cell>
          <cell r="AN12">
            <v>0.84422829095726637</v>
          </cell>
          <cell r="AO12">
            <v>0.75989690323910153</v>
          </cell>
        </row>
        <row r="13">
          <cell r="J13">
            <v>0.90952180811088268</v>
          </cell>
          <cell r="K13">
            <v>0.78934378315334375</v>
          </cell>
          <cell r="R13">
            <v>47.753999999999998</v>
          </cell>
          <cell r="S13">
            <v>210.58500000000001</v>
          </cell>
          <cell r="AD13">
            <v>2.8186120534405497</v>
          </cell>
          <cell r="AE13">
            <v>2.8743737683120827</v>
          </cell>
          <cell r="AJ13">
            <v>1014.7363571637809</v>
          </cell>
          <cell r="AK13">
            <v>1051.385046418311</v>
          </cell>
          <cell r="AN13">
            <v>0.90952180811088268</v>
          </cell>
          <cell r="AO13">
            <v>0.78934378315334375</v>
          </cell>
        </row>
        <row r="14">
          <cell r="J14">
            <v>0.84156915809877997</v>
          </cell>
          <cell r="K14">
            <v>0.79786803317152288</v>
          </cell>
          <cell r="R14">
            <v>43.793999999999997</v>
          </cell>
          <cell r="S14">
            <v>254.37900000000002</v>
          </cell>
          <cell r="AD14">
            <v>3.1282824131159521</v>
          </cell>
          <cell r="AE14">
            <v>2.9180867917556084</v>
          </cell>
          <cell r="AJ14">
            <v>1287.205096588596</v>
          </cell>
          <cell r="AK14">
            <v>1091.9839294910387</v>
          </cell>
          <cell r="AN14">
            <v>0.84156915809877997</v>
          </cell>
          <cell r="AO14">
            <v>0.79786803317152288</v>
          </cell>
        </row>
        <row r="15">
          <cell r="J15">
            <v>0.89504878925804621</v>
          </cell>
          <cell r="K15">
            <v>0.8115042171369935</v>
          </cell>
          <cell r="R15">
            <v>46.576999999999998</v>
          </cell>
          <cell r="S15">
            <v>300.95600000000002</v>
          </cell>
          <cell r="AD15">
            <v>2.9284840157159113</v>
          </cell>
          <cell r="AE15">
            <v>2.9196959023910467</v>
          </cell>
          <cell r="AJ15">
            <v>1113.9038581274162</v>
          </cell>
          <cell r="AK15">
            <v>1095.376334082064</v>
          </cell>
          <cell r="AN15">
            <v>0.89504878925804621</v>
          </cell>
          <cell r="AO15">
            <v>0.8115042171369935</v>
          </cell>
        </row>
        <row r="16">
          <cell r="J16">
            <v>1.0624654620762872</v>
          </cell>
          <cell r="K16">
            <v>0.84366600924522017</v>
          </cell>
          <cell r="R16">
            <v>57.918999999999997</v>
          </cell>
          <cell r="S16">
            <v>358.875</v>
          </cell>
          <cell r="AD16">
            <v>2.3791847234931547</v>
          </cell>
          <cell r="AE16">
            <v>2.8324625566004875</v>
          </cell>
          <cell r="AJ16">
            <v>995.26925533932206</v>
          </cell>
          <cell r="AK16">
            <v>1079.2200069662135</v>
          </cell>
          <cell r="AN16">
            <v>1.0624654620762872</v>
          </cell>
          <cell r="AO16">
            <v>0.84366600924522017</v>
          </cell>
        </row>
        <row r="17">
          <cell r="J17">
            <v>0.96859019132047042</v>
          </cell>
          <cell r="K17">
            <v>0.85823173414895437</v>
          </cell>
          <cell r="R17">
            <v>54.38</v>
          </cell>
          <cell r="S17">
            <v>413.255</v>
          </cell>
          <cell r="AD17">
            <v>2.5468922397940417</v>
          </cell>
          <cell r="AE17">
            <v>2.7948845144039396</v>
          </cell>
          <cell r="AJ17">
            <v>997.58146377344224</v>
          </cell>
          <cell r="AK17">
            <v>1068.477235605134</v>
          </cell>
          <cell r="AN17">
            <v>0.96859019132047042</v>
          </cell>
          <cell r="AO17">
            <v>0.85823173414895437</v>
          </cell>
        </row>
        <row r="18">
          <cell r="J18">
            <v>0.95766094976188687</v>
          </cell>
          <cell r="K18">
            <v>0.86817834130612714</v>
          </cell>
          <cell r="R18">
            <v>51.258000000000003</v>
          </cell>
          <cell r="S18">
            <v>464.51299999999998</v>
          </cell>
          <cell r="AD18">
            <v>2.6590971165476609</v>
          </cell>
          <cell r="AE18">
            <v>2.7799006701642366</v>
          </cell>
          <cell r="AJ18">
            <v>988.22583791798331</v>
          </cell>
          <cell r="AK18">
            <v>1059.6216682848481</v>
          </cell>
          <cell r="AN18">
            <v>0.95766094976188687</v>
          </cell>
          <cell r="AO18">
            <v>0.86817834130612714</v>
          </cell>
        </row>
        <row r="19">
          <cell r="J19">
            <v>0.8956087067185422</v>
          </cell>
          <cell r="K19">
            <v>0.87060046771438049</v>
          </cell>
          <cell r="R19">
            <v>46.411000000000001</v>
          </cell>
          <cell r="S19">
            <v>510.92399999999998</v>
          </cell>
          <cell r="AD19">
            <v>2.7708948309667965</v>
          </cell>
          <cell r="AE19">
            <v>2.7790826032834626</v>
          </cell>
          <cell r="AJ19">
            <v>1155.1459783241164</v>
          </cell>
          <cell r="AK19">
            <v>1068.2988467952187</v>
          </cell>
          <cell r="AN19">
            <v>0.8956087067185422</v>
          </cell>
          <cell r="AO19">
            <v>0.87060046771438049</v>
          </cell>
        </row>
        <row r="20">
          <cell r="J20">
            <v>0.90895124007706796</v>
          </cell>
          <cell r="K20">
            <v>0.87370510733727258</v>
          </cell>
          <cell r="R20">
            <v>46.987000000000002</v>
          </cell>
          <cell r="S20">
            <v>557.91099999999994</v>
          </cell>
          <cell r="AD20">
            <v>2.8199289165088213</v>
          </cell>
          <cell r="AE20">
            <v>2.7825226604243332</v>
          </cell>
          <cell r="AJ20">
            <v>1226.0352863557889</v>
          </cell>
          <cell r="AK20">
            <v>1081.5833349763668</v>
          </cell>
          <cell r="AN20">
            <v>0.90895124007706796</v>
          </cell>
          <cell r="AO20">
            <v>0.87370510733727258</v>
          </cell>
        </row>
        <row r="21">
          <cell r="J21">
            <v>1.0021619928880152</v>
          </cell>
          <cell r="K21">
            <v>0.88342040720355175</v>
          </cell>
          <cell r="R21">
            <v>52.359000000000002</v>
          </cell>
          <cell r="S21">
            <v>610.27</v>
          </cell>
          <cell r="AD21">
            <v>2.5191466605550143</v>
          </cell>
          <cell r="AE21">
            <v>2.7599259344224687</v>
          </cell>
          <cell r="AJ21">
            <v>1081.9266983708621</v>
          </cell>
          <cell r="AK21">
            <v>1081.6127943369324</v>
          </cell>
          <cell r="AN21">
            <v>1.0021619928880152</v>
          </cell>
          <cell r="AO21">
            <v>0.88342040720355175</v>
          </cell>
        </row>
        <row r="22">
          <cell r="J22">
            <v>0.86415376425704638</v>
          </cell>
          <cell r="K22">
            <v>0.88208318076059211</v>
          </cell>
          <cell r="R22">
            <v>44.523000000000003</v>
          </cell>
          <cell r="S22">
            <v>654.79300000000001</v>
          </cell>
          <cell r="AD22">
            <v>2.8412281292814949</v>
          </cell>
          <cell r="AE22">
            <v>2.7654541206152174</v>
          </cell>
          <cell r="AJ22">
            <v>1227.427621678695</v>
          </cell>
          <cell r="AK22">
            <v>1091.5275514551931</v>
          </cell>
          <cell r="AN22">
            <v>0.86415376425704638</v>
          </cell>
          <cell r="AO22">
            <v>0.88208318076059211</v>
          </cell>
        </row>
        <row r="23">
          <cell r="J23">
            <v>1.153796882512973</v>
          </cell>
          <cell r="K23">
            <v>0.90013051200787531</v>
          </cell>
          <cell r="R23">
            <v>60.936</v>
          </cell>
          <cell r="S23">
            <v>715.72900000000004</v>
          </cell>
          <cell r="AD23">
            <v>2.0825128003150848</v>
          </cell>
          <cell r="AE23">
            <v>2.7073096102016265</v>
          </cell>
          <cell r="AJ23">
            <v>954.92221346986753</v>
          </cell>
          <cell r="AK23">
            <v>1079.8971957263157</v>
          </cell>
          <cell r="AN23">
            <v>1.153796882512973</v>
          </cell>
          <cell r="AO23">
            <v>0.90013051200787531</v>
          </cell>
        </row>
        <row r="24">
          <cell r="J24">
            <v>0.9281339315604259</v>
          </cell>
          <cell r="K24">
            <v>0.90181771930010501</v>
          </cell>
          <cell r="R24">
            <v>47.314999999999998</v>
          </cell>
          <cell r="S24">
            <v>763.0440000000001</v>
          </cell>
          <cell r="AD24">
            <v>2.616506393321357</v>
          </cell>
          <cell r="AE24">
            <v>2.701679064378987</v>
          </cell>
          <cell r="AJ24">
            <v>1059.9141921166567</v>
          </cell>
          <cell r="AK24">
            <v>1078.6580852480324</v>
          </cell>
          <cell r="AN24">
            <v>0.9281339315604259</v>
          </cell>
          <cell r="AO24">
            <v>0.90181771930010501</v>
          </cell>
        </row>
        <row r="25">
          <cell r="J25">
            <v>0.67441514339693709</v>
          </cell>
          <cell r="K25">
            <v>0.88820543215382397</v>
          </cell>
          <cell r="R25">
            <v>36.332999999999998</v>
          </cell>
          <cell r="S25">
            <v>799.37700000000007</v>
          </cell>
          <cell r="AD25">
            <v>3.6248038972834613</v>
          </cell>
          <cell r="AE25">
            <v>2.7436366070077067</v>
          </cell>
          <cell r="AJ25">
            <v>1443.9991192579901</v>
          </cell>
          <cell r="AK25">
            <v>1095.2634364010976</v>
          </cell>
          <cell r="AN25">
            <v>0.67441514339693709</v>
          </cell>
          <cell r="AO25">
            <v>0.88820543215382397</v>
          </cell>
        </row>
        <row r="26">
          <cell r="J26">
            <v>1.0373273599234563</v>
          </cell>
          <cell r="K26">
            <v>0.89701633851290075</v>
          </cell>
          <cell r="R26">
            <v>58.625</v>
          </cell>
          <cell r="S26">
            <v>858.00200000000007</v>
          </cell>
          <cell r="AD26">
            <v>2.2515991471215351</v>
          </cell>
          <cell r="AE26">
            <v>2.7100169929673821</v>
          </cell>
          <cell r="AJ26">
            <v>875.91914712152504</v>
          </cell>
          <cell r="AK26">
            <v>1080.2762231323466</v>
          </cell>
          <cell r="AN26">
            <v>1.0373273599234563</v>
          </cell>
          <cell r="AO26">
            <v>0.89701633851290075</v>
          </cell>
        </row>
        <row r="27">
          <cell r="J27">
            <v>0.92841534552581595</v>
          </cell>
          <cell r="K27">
            <v>0.89870966229881122</v>
          </cell>
          <cell r="R27">
            <v>50.621000000000002</v>
          </cell>
          <cell r="S27">
            <v>908.62300000000005</v>
          </cell>
          <cell r="AD27">
            <v>2.5700796112285413</v>
          </cell>
          <cell r="AE27">
            <v>2.7022208330627771</v>
          </cell>
          <cell r="AJ27">
            <v>1144.0311333241129</v>
          </cell>
          <cell r="AK27">
            <v>1083.8281223345653</v>
          </cell>
          <cell r="AN27">
            <v>0.92841534552581595</v>
          </cell>
          <cell r="AO27">
            <v>0.89870966229881122</v>
          </cell>
        </row>
        <row r="28">
          <cell r="J28">
            <v>1.0491932223225513</v>
          </cell>
          <cell r="K28">
            <v>0.90624090533533885</v>
          </cell>
          <cell r="R28">
            <v>55.884999999999998</v>
          </cell>
          <cell r="S28">
            <v>964.50800000000004</v>
          </cell>
          <cell r="AD28">
            <v>2.3047329337031406</v>
          </cell>
          <cell r="AE28">
            <v>2.6791898045428342</v>
          </cell>
          <cell r="AJ28">
            <v>1023.3178849423048</v>
          </cell>
          <cell r="AK28">
            <v>1080.3220709418692</v>
          </cell>
          <cell r="AN28">
            <v>1.0491932223225513</v>
          </cell>
          <cell r="AO28">
            <v>0.90624090533533885</v>
          </cell>
        </row>
        <row r="29">
          <cell r="J29">
            <v>0.9367913832199547</v>
          </cell>
          <cell r="K29">
            <v>0.90763276618001265</v>
          </cell>
          <cell r="R29">
            <v>47.591999999999999</v>
          </cell>
          <cell r="S29">
            <v>1012.1</v>
          </cell>
          <cell r="AD29">
            <v>2.689527651706169</v>
          </cell>
          <cell r="AE29">
            <v>2.6796759213516448</v>
          </cell>
          <cell r="AJ29">
            <v>1183.6451504454383</v>
          </cell>
          <cell r="AK29">
            <v>1085.180634324671</v>
          </cell>
          <cell r="AN29">
            <v>0.9367913832199547</v>
          </cell>
          <cell r="AO29">
            <v>0.90763276618001265</v>
          </cell>
        </row>
        <row r="30">
          <cell r="J30">
            <v>0.98918357479695107</v>
          </cell>
          <cell r="K30">
            <v>0.91115733928203602</v>
          </cell>
          <cell r="R30">
            <v>49.826000000000001</v>
          </cell>
          <cell r="S30">
            <v>1061.9259999999999</v>
          </cell>
          <cell r="AD30">
            <v>2.5689399108898967</v>
          </cell>
          <cell r="AE30">
            <v>2.6744801426841418</v>
          </cell>
          <cell r="AJ30">
            <v>1207.8713924457138</v>
          </cell>
          <cell r="AK30">
            <v>1090.9373346165362</v>
          </cell>
          <cell r="AN30">
            <v>0.98918357479695107</v>
          </cell>
          <cell r="AO30">
            <v>0.91115733928203602</v>
          </cell>
        </row>
        <row r="31">
          <cell r="J31">
            <v>0.9775182002625612</v>
          </cell>
          <cell r="K31">
            <v>0.91379612257166376</v>
          </cell>
          <cell r="R31">
            <v>47.177999999999997</v>
          </cell>
          <cell r="S31">
            <v>1109.1039999999998</v>
          </cell>
          <cell r="AD31">
            <v>2.7131290008054605</v>
          </cell>
          <cell r="AE31">
            <v>2.6761241506657631</v>
          </cell>
          <cell r="AJ31">
            <v>1249.1669846114821</v>
          </cell>
          <cell r="AK31">
            <v>1097.6679553946251</v>
          </cell>
          <cell r="AN31">
            <v>0.9775182002625612</v>
          </cell>
          <cell r="AO31">
            <v>0.91379612257166376</v>
          </cell>
        </row>
        <row r="32">
          <cell r="J32">
            <v>0.81397558455329411</v>
          </cell>
          <cell r="K32">
            <v>0.90995639870796363</v>
          </cell>
          <cell r="R32">
            <v>39.523000000000003</v>
          </cell>
          <cell r="S32">
            <v>1148.6269999999997</v>
          </cell>
          <cell r="AD32">
            <v>3.2386205500594589</v>
          </cell>
          <cell r="AE32">
            <v>2.6954790371460891</v>
          </cell>
          <cell r="AJ32">
            <v>1558.4181362750717</v>
          </cell>
          <cell r="AK32">
            <v>1113.5218656709271</v>
          </cell>
          <cell r="AN32">
            <v>0.81397558455329411</v>
          </cell>
          <cell r="AO32">
            <v>0.90995639870796363</v>
          </cell>
        </row>
        <row r="33">
          <cell r="J33">
            <v>0.6843536624125004</v>
          </cell>
          <cell r="K33">
            <v>0.90150392893259879</v>
          </cell>
          <cell r="R33">
            <v>33.625</v>
          </cell>
          <cell r="S33">
            <v>1182.2519999999997</v>
          </cell>
          <cell r="AD33">
            <v>2.557620817843866</v>
          </cell>
          <cell r="AE33">
            <v>2.6915581449640182</v>
          </cell>
          <cell r="AJ33">
            <v>1156.9748698884832</v>
          </cell>
          <cell r="AK33">
            <v>1114.7577335458095</v>
          </cell>
          <cell r="AN33">
            <v>0.6843536624125004</v>
          </cell>
          <cell r="AO33">
            <v>0.90150392893259879</v>
          </cell>
        </row>
        <row r="34">
          <cell r="J34">
            <v>0.66263658668332714</v>
          </cell>
          <cell r="K34">
            <v>0.89287153708156264</v>
          </cell>
          <cell r="R34">
            <v>32.582000000000001</v>
          </cell>
          <cell r="S34">
            <v>1214.8339999999998</v>
          </cell>
          <cell r="AD34">
            <v>3.0845251979620647</v>
          </cell>
          <cell r="AE34">
            <v>2.7020975705322705</v>
          </cell>
          <cell r="AJ34">
            <v>1510.9238229697244</v>
          </cell>
          <cell r="AK34">
            <v>1125.382957671583</v>
          </cell>
          <cell r="AN34">
            <v>0.66263658668332714</v>
          </cell>
          <cell r="AO34">
            <v>0.89287153708156264</v>
          </cell>
        </row>
        <row r="35">
          <cell r="J35">
            <v>0.80621724561515773</v>
          </cell>
          <cell r="K35">
            <v>0.88971641499166521</v>
          </cell>
          <cell r="R35">
            <v>41.448999999999998</v>
          </cell>
          <cell r="S35">
            <v>1256.2829999999999</v>
          </cell>
          <cell r="AD35">
            <v>2.9095997490892422</v>
          </cell>
          <cell r="AE35">
            <v>2.7089437650593058</v>
          </cell>
          <cell r="AJ35">
            <v>1362.3720717025976</v>
          </cell>
          <cell r="AK35">
            <v>1133.2020253398323</v>
          </cell>
          <cell r="AN35">
            <v>0.80621724561515773</v>
          </cell>
          <cell r="AO35">
            <v>0.88971641499166521</v>
          </cell>
        </row>
        <row r="36">
          <cell r="J36">
            <v>0.94123262106127237</v>
          </cell>
          <cell r="K36">
            <v>0.89151345530145409</v>
          </cell>
          <cell r="R36">
            <v>48.036000000000001</v>
          </cell>
          <cell r="S36">
            <v>1304.319</v>
          </cell>
          <cell r="AD36">
            <v>2.5980514614039469</v>
          </cell>
          <cell r="AE36">
            <v>2.7048597774010807</v>
          </cell>
          <cell r="AJ36">
            <v>1289.0228162210985</v>
          </cell>
          <cell r="AK36">
            <v>1138.9406579218712</v>
          </cell>
          <cell r="AN36">
            <v>0.94123262106127237</v>
          </cell>
          <cell r="AO36">
            <v>0.89151345530145409</v>
          </cell>
        </row>
        <row r="37">
          <cell r="J37">
            <v>0.87139710467620801</v>
          </cell>
          <cell r="K37">
            <v>0.89083695023399756</v>
          </cell>
          <cell r="R37">
            <v>44.366</v>
          </cell>
          <cell r="S37">
            <v>1348.6849999999999</v>
          </cell>
          <cell r="AD37">
            <v>2.7182977956092502</v>
          </cell>
          <cell r="AE37">
            <v>2.7053018310428305</v>
          </cell>
          <cell r="AJ37">
            <v>1341.5460036965951</v>
          </cell>
          <cell r="AK37">
            <v>1145.605512035798</v>
          </cell>
          <cell r="AN37">
            <v>0.87139710467620801</v>
          </cell>
          <cell r="AO37">
            <v>0.89083695023399756</v>
          </cell>
        </row>
        <row r="38">
          <cell r="J38">
            <v>0.88954270451671236</v>
          </cell>
          <cell r="K38">
            <v>0.89079472610344168</v>
          </cell>
          <cell r="R38">
            <v>45.417999999999999</v>
          </cell>
          <cell r="S38">
            <v>1394.1029999999998</v>
          </cell>
          <cell r="AD38">
            <v>2.7390021577348191</v>
          </cell>
          <cell r="AE38">
            <v>2.7063997423432848</v>
          </cell>
          <cell r="AJ38">
            <v>1249.0512572108021</v>
          </cell>
          <cell r="AK38">
            <v>1148.9756352292482</v>
          </cell>
          <cell r="AN38">
            <v>0.88954270451671236</v>
          </cell>
          <cell r="AO38">
            <v>0.89079472610344168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J9">
            <v>0.81787214045624401</v>
          </cell>
          <cell r="K9">
            <v>0.81787214045624401</v>
          </cell>
          <cell r="R9">
            <v>42.732999999999997</v>
          </cell>
          <cell r="S9">
            <v>42.732999999999997</v>
          </cell>
          <cell r="X9">
            <v>76.829727627277691</v>
          </cell>
          <cell r="Y9">
            <v>76.829727627277705</v>
          </cell>
          <cell r="AD9">
            <v>2.0195165328902722</v>
          </cell>
          <cell r="AE9">
            <v>2.0195165328902722</v>
          </cell>
          <cell r="AJ9">
            <v>0.17082816558631503</v>
          </cell>
          <cell r="AK9">
            <v>0.17082816558631503</v>
          </cell>
          <cell r="AP9">
            <v>545.97851777314884</v>
          </cell>
          <cell r="AQ9">
            <v>545.97851777314884</v>
          </cell>
          <cell r="AV9">
            <v>484.95354877963166</v>
          </cell>
          <cell r="AW9">
            <v>484.95354877963166</v>
          </cell>
          <cell r="BG9">
            <v>0.81787214045624401</v>
          </cell>
          <cell r="BH9">
            <v>0.81787214045624401</v>
          </cell>
        </row>
        <row r="10">
          <cell r="J10">
            <v>0.49042024775911752</v>
          </cell>
          <cell r="K10">
            <v>0.65390364401457701</v>
          </cell>
          <cell r="R10">
            <v>25.7</v>
          </cell>
          <cell r="S10">
            <v>68.432999999999993</v>
          </cell>
          <cell r="X10">
            <v>113.7695935457664</v>
          </cell>
          <cell r="Y10">
            <v>90.70248717464753</v>
          </cell>
          <cell r="AD10">
            <v>2.8754863813229576</v>
          </cell>
          <cell r="AE10">
            <v>2.3409758449870677</v>
          </cell>
          <cell r="AJ10">
            <v>0.31128404669260701</v>
          </cell>
          <cell r="AK10">
            <v>0.22357634474595595</v>
          </cell>
          <cell r="AP10">
            <v>779.36887159533228</v>
          </cell>
          <cell r="AQ10">
            <v>633.62822030307029</v>
          </cell>
          <cell r="AV10">
            <v>706.23735408560322</v>
          </cell>
          <cell r="AW10">
            <v>568.05663934066911</v>
          </cell>
          <cell r="BG10">
            <v>0.49042024775911752</v>
          </cell>
          <cell r="BH10">
            <v>0.65390364401457701</v>
          </cell>
        </row>
        <row r="11">
          <cell r="J11">
            <v>0.79433838368211329</v>
          </cell>
          <cell r="K11">
            <v>0.7007332695173708</v>
          </cell>
          <cell r="R11">
            <v>41.588999999999999</v>
          </cell>
          <cell r="S11">
            <v>110.02199999999999</v>
          </cell>
          <cell r="X11">
            <v>82.467699507907085</v>
          </cell>
          <cell r="Y11">
            <v>87.58968624145173</v>
          </cell>
          <cell r="AD11">
            <v>2.113539637885018</v>
          </cell>
          <cell r="AE11">
            <v>2.2550035447455965</v>
          </cell>
          <cell r="AJ11">
            <v>0.19476303830339753</v>
          </cell>
          <cell r="AK11">
            <v>0.21268473578011671</v>
          </cell>
          <cell r="AP11">
            <v>600.8819639808687</v>
          </cell>
          <cell r="AQ11">
            <v>621.2499318318188</v>
          </cell>
          <cell r="AV11">
            <v>411.33953689677588</v>
          </cell>
          <cell r="AW11">
            <v>508.81660031630059</v>
          </cell>
          <cell r="BG11">
            <v>0.79433838368211329</v>
          </cell>
          <cell r="BH11">
            <v>0.7007332695173708</v>
          </cell>
        </row>
        <row r="12">
          <cell r="J12">
            <v>0.87173046165176693</v>
          </cell>
          <cell r="K12">
            <v>0.7434949260792022</v>
          </cell>
          <cell r="R12">
            <v>45.640999999999998</v>
          </cell>
          <cell r="S12">
            <v>155.66299999999998</v>
          </cell>
          <cell r="X12">
            <v>89.305636959549901</v>
          </cell>
          <cell r="Y12">
            <v>88.092809698694111</v>
          </cell>
          <cell r="AD12">
            <v>2.2085405665958238</v>
          </cell>
          <cell r="AE12">
            <v>2.2413804179541703</v>
          </cell>
          <cell r="AJ12">
            <v>0.23005630902039834</v>
          </cell>
          <cell r="AK12">
            <v>0.21777814894997527</v>
          </cell>
          <cell r="AP12">
            <v>608.6356565368942</v>
          </cell>
          <cell r="AQ12">
            <v>617.55137701316789</v>
          </cell>
          <cell r="AV12">
            <v>537.65693126793997</v>
          </cell>
          <cell r="AW12">
            <v>517.27269807211781</v>
          </cell>
          <cell r="BG12">
            <v>0.87173046165176693</v>
          </cell>
          <cell r="BH12">
            <v>0.7434949260792022</v>
          </cell>
        </row>
        <row r="13">
          <cell r="J13">
            <v>0.76888628188350272</v>
          </cell>
          <cell r="K13">
            <v>0.74857271516126456</v>
          </cell>
          <cell r="R13">
            <v>40.24</v>
          </cell>
          <cell r="S13">
            <v>195.90299999999999</v>
          </cell>
          <cell r="X13">
            <v>89.461216180990732</v>
          </cell>
          <cell r="Y13">
            <v>88.37389103408772</v>
          </cell>
          <cell r="AD13">
            <v>2.1148111332007948</v>
          </cell>
          <cell r="AE13">
            <v>2.2153821023669877</v>
          </cell>
          <cell r="AJ13">
            <v>0.2062624254473161</v>
          </cell>
          <cell r="AK13">
            <v>0.21541272976932463</v>
          </cell>
          <cell r="AP13">
            <v>546.83300198800566</v>
          </cell>
          <cell r="AQ13">
            <v>603.02527271148517</v>
          </cell>
          <cell r="AV13">
            <v>477.1581013916491</v>
          </cell>
          <cell r="AW13">
            <v>509.0328478890064</v>
          </cell>
          <cell r="BG13">
            <v>0.76888628188350272</v>
          </cell>
          <cell r="BH13">
            <v>0.74857271516126456</v>
          </cell>
        </row>
        <row r="14">
          <cell r="J14">
            <v>0.70487071580568827</v>
          </cell>
          <cell r="K14">
            <v>0.74129155272339509</v>
          </cell>
          <cell r="R14">
            <v>36.878</v>
          </cell>
          <cell r="S14">
            <v>232.78100000000001</v>
          </cell>
          <cell r="X14">
            <v>108.58061630548076</v>
          </cell>
          <cell r="Y14">
            <v>91.57511284582678</v>
          </cell>
          <cell r="AD14">
            <v>2.5245403763761591</v>
          </cell>
          <cell r="AE14">
            <v>2.2643600637509076</v>
          </cell>
          <cell r="AJ14">
            <v>0.21421986007918001</v>
          </cell>
          <cell r="AK14">
            <v>0.21522375107934066</v>
          </cell>
          <cell r="AP14">
            <v>726.44340799399004</v>
          </cell>
          <cell r="AQ14">
            <v>622.57761587071298</v>
          </cell>
          <cell r="AV14">
            <v>522.66299690871779</v>
          </cell>
          <cell r="AW14">
            <v>511.19218492918117</v>
          </cell>
          <cell r="BG14">
            <v>0.70487071580568827</v>
          </cell>
          <cell r="BH14">
            <v>0.74129155272339509</v>
          </cell>
        </row>
        <row r="15">
          <cell r="J15">
            <v>0.76548655387449294</v>
          </cell>
          <cell r="K15">
            <v>0.7447432385429974</v>
          </cell>
          <cell r="R15">
            <v>39.999000000000002</v>
          </cell>
          <cell r="S15">
            <v>272.78000000000003</v>
          </cell>
          <cell r="X15">
            <v>108.05586450600251</v>
          </cell>
          <cell r="Y15">
            <v>93.991762107705839</v>
          </cell>
          <cell r="AD15">
            <v>2.4725618140453509</v>
          </cell>
          <cell r="AE15">
            <v>2.2948896546667643</v>
          </cell>
          <cell r="AJ15">
            <v>0.2250056251406285</v>
          </cell>
          <cell r="AK15">
            <v>0.21665811276486543</v>
          </cell>
          <cell r="AP15">
            <v>681.1695292382301</v>
          </cell>
          <cell r="AQ15">
            <v>631.16922061734886</v>
          </cell>
          <cell r="AV15">
            <v>543.34695867398193</v>
          </cell>
          <cell r="AW15">
            <v>515.90718894347197</v>
          </cell>
          <cell r="BG15">
            <v>0.76548655387449294</v>
          </cell>
          <cell r="BH15">
            <v>0.7447432385429974</v>
          </cell>
        </row>
        <row r="16">
          <cell r="J16">
            <v>0.69176021763603524</v>
          </cell>
          <cell r="K16">
            <v>0.73811799850133242</v>
          </cell>
          <cell r="R16">
            <v>36.210999999999999</v>
          </cell>
          <cell r="S16">
            <v>308.99100000000004</v>
          </cell>
          <cell r="X16">
            <v>117.61827520086193</v>
          </cell>
          <cell r="Y16">
            <v>96.760579534803313</v>
          </cell>
          <cell r="AD16">
            <v>2.7477838225953439</v>
          </cell>
          <cell r="AE16">
            <v>2.3479648274545211</v>
          </cell>
          <cell r="AJ16">
            <v>0.25958962746126868</v>
          </cell>
          <cell r="AK16">
            <v>0.22168930486648475</v>
          </cell>
          <cell r="AP16">
            <v>826.50299632710278</v>
          </cell>
          <cell r="AQ16">
            <v>654.06060370690773</v>
          </cell>
          <cell r="AV16">
            <v>684.08486371543779</v>
          </cell>
          <cell r="AW16">
            <v>535.61611826881688</v>
          </cell>
          <cell r="BG16">
            <v>0.69176021763603524</v>
          </cell>
          <cell r="BH16">
            <v>0.73811799850133242</v>
          </cell>
        </row>
        <row r="17">
          <cell r="J17">
            <v>0.97367384977014959</v>
          </cell>
          <cell r="K17">
            <v>0.76430277631737209</v>
          </cell>
          <cell r="R17">
            <v>50.975999999999999</v>
          </cell>
          <cell r="S17">
            <v>359.96700000000004</v>
          </cell>
          <cell r="X17">
            <v>73.534431623869821</v>
          </cell>
          <cell r="Y17">
            <v>93.471455487577458</v>
          </cell>
          <cell r="AD17">
            <v>1.9911330822347773</v>
          </cell>
          <cell r="AE17">
            <v>2.297432820230743</v>
          </cell>
          <cell r="AJ17">
            <v>0.21186440677966104</v>
          </cell>
          <cell r="AK17">
            <v>0.22029797175852228</v>
          </cell>
          <cell r="AP17">
            <v>571.40497489012228</v>
          </cell>
          <cell r="AQ17">
            <v>642.35549369803334</v>
          </cell>
          <cell r="AV17">
            <v>492.00996547394709</v>
          </cell>
          <cell r="AW17">
            <v>529.44092097331122</v>
          </cell>
          <cell r="BG17">
            <v>0.97367384977014959</v>
          </cell>
          <cell r="BH17">
            <v>0.76430277631737209</v>
          </cell>
        </row>
        <row r="18">
          <cell r="J18">
            <v>0.88840862563773537</v>
          </cell>
          <cell r="K18">
            <v>0.77671844178546057</v>
          </cell>
          <cell r="R18">
            <v>46.512</v>
          </cell>
          <cell r="S18">
            <v>406.47900000000004</v>
          </cell>
          <cell r="X18">
            <v>81.565415358033903</v>
          </cell>
          <cell r="Y18">
            <v>92.109088087280441</v>
          </cell>
          <cell r="AD18">
            <v>2.132782937736498</v>
          </cell>
          <cell r="AE18">
            <v>2.2785924980134276</v>
          </cell>
          <cell r="AJ18">
            <v>0.19994840041279671</v>
          </cell>
          <cell r="AK18">
            <v>0.21796943999567009</v>
          </cell>
          <cell r="AP18">
            <v>594.51840385276932</v>
          </cell>
          <cell r="AQ18">
            <v>636.88165932311381</v>
          </cell>
          <cell r="AV18">
            <v>515.36807705538354</v>
          </cell>
          <cell r="AW18">
            <v>527.8306136356365</v>
          </cell>
          <cell r="BG18">
            <v>0.88840862563773537</v>
          </cell>
          <cell r="BH18">
            <v>0.77671844178546057</v>
          </cell>
        </row>
        <row r="19">
          <cell r="J19">
            <v>0.919808342360943</v>
          </cell>
          <cell r="K19">
            <v>0.78984707661358244</v>
          </cell>
          <cell r="R19">
            <v>48.627000000000002</v>
          </cell>
          <cell r="S19">
            <v>455.10600000000005</v>
          </cell>
          <cell r="X19">
            <v>77.519659356167764</v>
          </cell>
          <cell r="Y19">
            <v>90.550242124125006</v>
          </cell>
          <cell r="AD19">
            <v>2.079091862545499</v>
          </cell>
          <cell r="AE19">
            <v>2.2572763268337481</v>
          </cell>
          <cell r="AJ19">
            <v>0.18713883233594503</v>
          </cell>
          <cell r="AK19">
            <v>0.21467526246632648</v>
          </cell>
          <cell r="AP19">
            <v>596.70018713883167</v>
          </cell>
          <cell r="AQ19">
            <v>632.58836402947884</v>
          </cell>
          <cell r="AV19">
            <v>436.30082053180342</v>
          </cell>
          <cell r="AW19">
            <v>518.05087166506246</v>
          </cell>
          <cell r="BG19">
            <v>0.919808342360943</v>
          </cell>
          <cell r="BH19">
            <v>0.78984707661358244</v>
          </cell>
        </row>
        <row r="20">
          <cell r="J20">
            <v>1.0184949579933031</v>
          </cell>
          <cell r="K20">
            <v>0.80941277691873359</v>
          </cell>
          <cell r="R20">
            <v>54.917000000000002</v>
          </cell>
          <cell r="S20">
            <v>510.02300000000002</v>
          </cell>
          <cell r="X20">
            <v>72.656858616763458</v>
          </cell>
          <cell r="Y20">
            <v>88.623562460514194</v>
          </cell>
          <cell r="AD20">
            <v>1.8591692918404135</v>
          </cell>
          <cell r="AE20">
            <v>2.214409938375328</v>
          </cell>
          <cell r="AJ20">
            <v>0.17116739807345629</v>
          </cell>
          <cell r="AK20">
            <v>0.20999052983885039</v>
          </cell>
          <cell r="AP20">
            <v>521.22038712966844</v>
          </cell>
          <cell r="AQ20">
            <v>620.59675740113687</v>
          </cell>
          <cell r="AV20">
            <v>464.73041134803441</v>
          </cell>
          <cell r="AW20">
            <v>512.30956250992585</v>
          </cell>
          <cell r="BG20">
            <v>1.0184949579933031</v>
          </cell>
          <cell r="BH20">
            <v>0.80941277691873359</v>
          </cell>
        </row>
        <row r="21">
          <cell r="J21">
            <v>0.6423911493546498</v>
          </cell>
          <cell r="K21">
            <v>0.79634962802127895</v>
          </cell>
          <cell r="R21">
            <v>34.344999999999999</v>
          </cell>
          <cell r="S21">
            <v>544.36800000000005</v>
          </cell>
          <cell r="X21">
            <v>86.948340049060391</v>
          </cell>
          <cell r="Y21">
            <v>88.517870146268351</v>
          </cell>
          <cell r="AD21">
            <v>2.0963750181976999</v>
          </cell>
          <cell r="AE21">
            <v>2.2069629368368453</v>
          </cell>
          <cell r="AJ21">
            <v>0.20963750181977001</v>
          </cell>
          <cell r="AK21">
            <v>0.20996825676748079</v>
          </cell>
          <cell r="AP21">
            <v>587.54695006551231</v>
          </cell>
          <cell r="AQ21">
            <v>618.51159509743411</v>
          </cell>
          <cell r="AV21">
            <v>516.04891541709128</v>
          </cell>
          <cell r="AW21">
            <v>512.54548393733637</v>
          </cell>
          <cell r="BG21">
            <v>0.6423911493546498</v>
          </cell>
          <cell r="BH21">
            <v>0.79634962802127895</v>
          </cell>
        </row>
        <row r="22">
          <cell r="J22">
            <v>0.89551749342404974</v>
          </cell>
          <cell r="K22">
            <v>0.80340286498487634</v>
          </cell>
          <cell r="R22">
            <v>46.872999999999998</v>
          </cell>
          <cell r="S22">
            <v>591.2410000000001</v>
          </cell>
          <cell r="X22">
            <v>77.279925534616154</v>
          </cell>
          <cell r="Y22">
            <v>87.62693704490701</v>
          </cell>
          <cell r="AD22">
            <v>2.1248906620015786</v>
          </cell>
          <cell r="AE22">
            <v>2.2004563282992882</v>
          </cell>
          <cell r="AJ22">
            <v>0.21760928466281226</v>
          </cell>
          <cell r="AK22">
            <v>0.21057402987952456</v>
          </cell>
          <cell r="AP22">
            <v>532.7028353209754</v>
          </cell>
          <cell r="AQ22">
            <v>611.70876174013642</v>
          </cell>
          <cell r="AV22">
            <v>520.30379962878339</v>
          </cell>
          <cell r="AW22">
            <v>513.16055550951273</v>
          </cell>
          <cell r="BG22">
            <v>0.89551749342404974</v>
          </cell>
          <cell r="BH22">
            <v>0.80340286498487634</v>
          </cell>
        </row>
        <row r="23">
          <cell r="J23">
            <v>0.97048045164460228</v>
          </cell>
          <cell r="K23">
            <v>0.81451098772071817</v>
          </cell>
          <cell r="R23">
            <v>50.865000000000002</v>
          </cell>
          <cell r="S23">
            <v>642.10600000000011</v>
          </cell>
          <cell r="X23">
            <v>77.74927837959487</v>
          </cell>
          <cell r="Y23">
            <v>86.844469495918062</v>
          </cell>
          <cell r="AD23">
            <v>2.0013761918804676</v>
          </cell>
          <cell r="AE23">
            <v>2.1846860175734215</v>
          </cell>
          <cell r="AJ23">
            <v>0.21232674727219111</v>
          </cell>
          <cell r="AK23">
            <v>0.21071287295244084</v>
          </cell>
          <cell r="AP23">
            <v>578.38435073232665</v>
          </cell>
          <cell r="AQ23">
            <v>609.06893877334869</v>
          </cell>
          <cell r="AV23">
            <v>526.48088076280521</v>
          </cell>
          <cell r="AW23">
            <v>514.21573696554753</v>
          </cell>
          <cell r="BG23">
            <v>0.97048045164460228</v>
          </cell>
          <cell r="BH23">
            <v>0.81451098772071817</v>
          </cell>
        </row>
        <row r="24">
          <cell r="J24">
            <v>0.87368921468890781</v>
          </cell>
          <cell r="K24">
            <v>0.81819473040335533</v>
          </cell>
          <cell r="R24">
            <v>45.72</v>
          </cell>
          <cell r="S24">
            <v>687.82600000000014</v>
          </cell>
          <cell r="X24">
            <v>62.804040843275452</v>
          </cell>
          <cell r="Y24">
            <v>85.246495011093671</v>
          </cell>
          <cell r="AD24">
            <v>1.8022747156605425</v>
          </cell>
          <cell r="AE24">
            <v>2.1592670239275624</v>
          </cell>
          <cell r="AJ24">
            <v>0.20997375328083989</v>
          </cell>
          <cell r="AK24">
            <v>0.21066374344674377</v>
          </cell>
          <cell r="AP24">
            <v>483.9199475065617</v>
          </cell>
          <cell r="AQ24">
            <v>600.75024788245832</v>
          </cell>
          <cell r="AV24">
            <v>500.92633420822409</v>
          </cell>
          <cell r="AW24">
            <v>513.33238638841783</v>
          </cell>
          <cell r="BG24">
            <v>0.87368921468890781</v>
          </cell>
          <cell r="BH24">
            <v>0.81819473040335533</v>
          </cell>
        </row>
        <row r="25">
          <cell r="J25">
            <v>0.94044252502274883</v>
          </cell>
          <cell r="K25">
            <v>0.82541697077196763</v>
          </cell>
          <cell r="R25">
            <v>49.64</v>
          </cell>
          <cell r="S25">
            <v>737.46600000000012</v>
          </cell>
          <cell r="X25">
            <v>77.736862612874461</v>
          </cell>
          <cell r="Y25">
            <v>84.741009806016294</v>
          </cell>
          <cell r="AD25">
            <v>2.0366639806607574</v>
          </cell>
          <cell r="AE25">
            <v>2.1510144196478205</v>
          </cell>
          <cell r="AJ25">
            <v>0.22562449637389201</v>
          </cell>
          <cell r="AK25">
            <v>0.21167077533065926</v>
          </cell>
          <cell r="AP25">
            <v>611.98751007252497</v>
          </cell>
          <cell r="AQ25">
            <v>601.50664573010818</v>
          </cell>
          <cell r="AV25">
            <v>553.79969782434091</v>
          </cell>
          <cell r="AW25">
            <v>516.05630496863603</v>
          </cell>
          <cell r="BG25">
            <v>0.94044252502274883</v>
          </cell>
          <cell r="BH25">
            <v>0.82541697077196763</v>
          </cell>
        </row>
        <row r="26">
          <cell r="J26">
            <v>0.9653620745189162</v>
          </cell>
          <cell r="K26">
            <v>0.83313736540344863</v>
          </cell>
          <cell r="R26">
            <v>50.36</v>
          </cell>
          <cell r="S26">
            <v>787.82600000000014</v>
          </cell>
          <cell r="X26">
            <v>77.824287985372763</v>
          </cell>
          <cell r="Y26">
            <v>84.298873965249911</v>
          </cell>
          <cell r="AD26">
            <v>1.9718030182684669</v>
          </cell>
          <cell r="AE26">
            <v>2.1395587350506324</v>
          </cell>
          <cell r="AJ26">
            <v>0.20055599682287528</v>
          </cell>
          <cell r="AK26">
            <v>0.21096028818546222</v>
          </cell>
          <cell r="AP26">
            <v>525.09690230341619</v>
          </cell>
          <cell r="AQ26">
            <v>596.62232523425234</v>
          </cell>
          <cell r="AV26">
            <v>461.56096108021489</v>
          </cell>
          <cell r="AW26">
            <v>512.572813032319</v>
          </cell>
          <cell r="BG26">
            <v>0.9653620745189162</v>
          </cell>
          <cell r="BH26">
            <v>0.83313736540344863</v>
          </cell>
        </row>
        <row r="27">
          <cell r="J27">
            <v>0.78021146496104055</v>
          </cell>
          <cell r="K27">
            <v>0.83036735803659811</v>
          </cell>
          <cell r="R27">
            <v>40.746000000000002</v>
          </cell>
          <cell r="S27">
            <v>828.57200000000012</v>
          </cell>
          <cell r="X27">
            <v>76.987143016341648</v>
          </cell>
          <cell r="Y27">
            <v>83.939311019308931</v>
          </cell>
          <cell r="AD27">
            <v>2.0100132528346339</v>
          </cell>
          <cell r="AE27">
            <v>2.1331881840081484</v>
          </cell>
          <cell r="AJ27">
            <v>0.21106366269081625</v>
          </cell>
          <cell r="AK27">
            <v>0.21096537174801944</v>
          </cell>
          <cell r="AP27">
            <v>575.90929170961124</v>
          </cell>
          <cell r="AQ27">
            <v>595.60373751466352</v>
          </cell>
          <cell r="AV27">
            <v>556.17729347666125</v>
          </cell>
          <cell r="AW27">
            <v>514.71711450543808</v>
          </cell>
          <cell r="BG27">
            <v>0.78021146496104055</v>
          </cell>
          <cell r="BH27">
            <v>0.83036735803659811</v>
          </cell>
        </row>
        <row r="28">
          <cell r="J28">
            <v>0.93007595360841477</v>
          </cell>
          <cell r="K28">
            <v>0.83532810194471907</v>
          </cell>
          <cell r="R28">
            <v>48.591000000000001</v>
          </cell>
          <cell r="S28">
            <v>877.16300000000012</v>
          </cell>
          <cell r="X28">
            <v>78.87917446171636</v>
          </cell>
          <cell r="Y28">
            <v>83.659001549495471</v>
          </cell>
          <cell r="AD28">
            <v>2.053878290218353</v>
          </cell>
          <cell r="AE28">
            <v>2.1287947622049717</v>
          </cell>
          <cell r="AJ28">
            <v>0.19345146220493506</v>
          </cell>
          <cell r="AK28">
            <v>0.20999517763517153</v>
          </cell>
          <cell r="AP28">
            <v>525.79819308102344</v>
          </cell>
          <cell r="AQ28">
            <v>591.73681516434203</v>
          </cell>
          <cell r="AV28">
            <v>487.89281965796147</v>
          </cell>
          <cell r="AW28">
            <v>513.23116570124353</v>
          </cell>
          <cell r="BG28">
            <v>0.93007595360841477</v>
          </cell>
          <cell r="BH28">
            <v>0.83532810194471907</v>
          </cell>
        </row>
        <row r="29">
          <cell r="J29">
            <v>1.0748851589050479</v>
          </cell>
          <cell r="K29">
            <v>0.84667437096557696</v>
          </cell>
          <cell r="R29">
            <v>56.118000000000002</v>
          </cell>
          <cell r="S29">
            <v>933.28100000000018</v>
          </cell>
          <cell r="X29">
            <v>70.773298558333067</v>
          </cell>
          <cell r="Y29">
            <v>82.884186804035039</v>
          </cell>
          <cell r="AD29">
            <v>1.7890872803734987</v>
          </cell>
          <cell r="AE29">
            <v>2.1083682192180055</v>
          </cell>
          <cell r="AJ29">
            <v>0.17463202537510247</v>
          </cell>
          <cell r="AK29">
            <v>0.20786879835762215</v>
          </cell>
          <cell r="AP29">
            <v>473.57389785808419</v>
          </cell>
          <cell r="AQ29">
            <v>584.63170256332205</v>
          </cell>
          <cell r="AV29">
            <v>433.28343846894052</v>
          </cell>
          <cell r="AW29">
            <v>508.4239248414998</v>
          </cell>
          <cell r="BG29">
            <v>1.0748851589050479</v>
          </cell>
          <cell r="BH29">
            <v>0.84667437096557696</v>
          </cell>
        </row>
        <row r="30">
          <cell r="J30">
            <v>0.99272149290670719</v>
          </cell>
          <cell r="K30">
            <v>0.85327882175085656</v>
          </cell>
          <cell r="R30">
            <v>51.828000000000003</v>
          </cell>
          <cell r="S30">
            <v>985.10900000000015</v>
          </cell>
          <cell r="X30">
            <v>79.984510704794474</v>
          </cell>
          <cell r="Y30">
            <v>82.731630677889157</v>
          </cell>
          <cell r="AD30">
            <v>1.9198116848035809</v>
          </cell>
          <cell r="AE30">
            <v>2.0984479890042618</v>
          </cell>
          <cell r="AJ30">
            <v>0.19487535694991123</v>
          </cell>
          <cell r="AK30">
            <v>0.2071851947347958</v>
          </cell>
          <cell r="AP30">
            <v>476.60916878907233</v>
          </cell>
          <cell r="AQ30">
            <v>578.94848184312582</v>
          </cell>
          <cell r="AV30">
            <v>493.98008798332955</v>
          </cell>
          <cell r="AW30">
            <v>507.66401382994155</v>
          </cell>
          <cell r="BG30">
            <v>0.99272149290670719</v>
          </cell>
          <cell r="BH30">
            <v>0.85327882175085656</v>
          </cell>
        </row>
        <row r="31">
          <cell r="J31">
            <v>0.81396915588011332</v>
          </cell>
          <cell r="K31">
            <v>0.8515776230722657</v>
          </cell>
          <cell r="R31">
            <v>42.508000000000003</v>
          </cell>
          <cell r="S31">
            <v>1027.6170000000002</v>
          </cell>
          <cell r="X31">
            <v>74.908532911395852</v>
          </cell>
          <cell r="Y31">
            <v>82.408023497531019</v>
          </cell>
          <cell r="AD31">
            <v>2.0443210689752518</v>
          </cell>
          <cell r="AE31">
            <v>2.0962089961532357</v>
          </cell>
          <cell r="AJ31">
            <v>0.22113484520560836</v>
          </cell>
          <cell r="AK31">
            <v>0.20776223048081138</v>
          </cell>
          <cell r="AP31">
            <v>533.11376682036405</v>
          </cell>
          <cell r="AQ31">
            <v>577.052501077736</v>
          </cell>
          <cell r="AV31">
            <v>473.781405853016</v>
          </cell>
          <cell r="AW31">
            <v>506.26243921616685</v>
          </cell>
          <cell r="BG31">
            <v>0.81396915588011332</v>
          </cell>
          <cell r="BH31">
            <v>0.8515776230722657</v>
          </cell>
        </row>
        <row r="32">
          <cell r="J32">
            <v>1.093382900184056</v>
          </cell>
          <cell r="K32">
            <v>0.8616902712116109</v>
          </cell>
          <cell r="R32">
            <v>57.588000000000001</v>
          </cell>
          <cell r="S32">
            <v>1085.2050000000002</v>
          </cell>
          <cell r="X32">
            <v>67.814672889189495</v>
          </cell>
          <cell r="Y32">
            <v>81.633605876129366</v>
          </cell>
          <cell r="AD32">
            <v>1.7382093491699659</v>
          </cell>
          <cell r="AE32">
            <v>2.0772112181569375</v>
          </cell>
          <cell r="AJ32">
            <v>0.19101201639230395</v>
          </cell>
          <cell r="AK32">
            <v>0.2068733557254159</v>
          </cell>
          <cell r="AP32">
            <v>482.76863235396212</v>
          </cell>
          <cell r="AQ32">
            <v>572.04918886293353</v>
          </cell>
          <cell r="AV32">
            <v>462.54948947697443</v>
          </cell>
          <cell r="AW32">
            <v>503.94274722287469</v>
          </cell>
          <cell r="BG32">
            <v>1.093382900184056</v>
          </cell>
          <cell r="BH32">
            <v>0.8616902712116109</v>
          </cell>
        </row>
        <row r="33">
          <cell r="J33">
            <v>0.94126563237966576</v>
          </cell>
          <cell r="K33">
            <v>0.86486557877355119</v>
          </cell>
          <cell r="R33">
            <v>49.268000000000001</v>
          </cell>
          <cell r="S33">
            <v>1134.4730000000002</v>
          </cell>
          <cell r="X33">
            <v>78.711152635369402</v>
          </cell>
          <cell r="Y33">
            <v>81.506689302296621</v>
          </cell>
          <cell r="AD33">
            <v>2.0033287326459366</v>
          </cell>
          <cell r="AE33">
            <v>2.0740026426367124</v>
          </cell>
          <cell r="AJ33">
            <v>0.21717950799707719</v>
          </cell>
          <cell r="AK33">
            <v>0.20732093227428061</v>
          </cell>
          <cell r="AP33">
            <v>524.20719331005762</v>
          </cell>
          <cell r="AQ33">
            <v>569.97150218647755</v>
          </cell>
          <cell r="AV33">
            <v>557.84484858325527</v>
          </cell>
          <cell r="AW33">
            <v>506.28361274353784</v>
          </cell>
          <cell r="BG33">
            <v>0.94126563237966576</v>
          </cell>
          <cell r="BH33">
            <v>0.86486557877355119</v>
          </cell>
        </row>
        <row r="34">
          <cell r="J34">
            <v>0.96765374543152305</v>
          </cell>
          <cell r="K34">
            <v>0.8687838320611061</v>
          </cell>
          <cell r="R34">
            <v>50.302999999999997</v>
          </cell>
          <cell r="S34">
            <v>1184.7760000000003</v>
          </cell>
          <cell r="X34">
            <v>73.337412294816687</v>
          </cell>
          <cell r="Y34">
            <v>81.159839651976839</v>
          </cell>
          <cell r="AD34">
            <v>1.9283144146472377</v>
          </cell>
          <cell r="AE34">
            <v>2.067817038832656</v>
          </cell>
          <cell r="AJ34">
            <v>0.18885553545514186</v>
          </cell>
          <cell r="AK34">
            <v>0.20653693187573002</v>
          </cell>
          <cell r="AP34">
            <v>505.82390712284132</v>
          </cell>
          <cell r="AQ34">
            <v>567.24793547472268</v>
          </cell>
          <cell r="AV34">
            <v>430.30236765203017</v>
          </cell>
          <cell r="AW34">
            <v>503.05761511036661</v>
          </cell>
          <cell r="BG34">
            <v>0.96765374543152305</v>
          </cell>
          <cell r="BH34">
            <v>0.8687838320611061</v>
          </cell>
        </row>
        <row r="35">
          <cell r="J35">
            <v>0.89164556507978765</v>
          </cell>
          <cell r="K35">
            <v>0.86962303869341717</v>
          </cell>
          <cell r="R35">
            <v>46.335999999999999</v>
          </cell>
          <cell r="S35">
            <v>1231.1120000000003</v>
          </cell>
          <cell r="X35">
            <v>80.268357439013243</v>
          </cell>
          <cell r="Y35">
            <v>81.126286474183203</v>
          </cell>
          <cell r="AD35">
            <v>2.1214606353591159</v>
          </cell>
          <cell r="AE35">
            <v>2.0698360506598905</v>
          </cell>
          <cell r="AJ35">
            <v>0.21149861878453041</v>
          </cell>
          <cell r="AK35">
            <v>0.20672367745582851</v>
          </cell>
          <cell r="AP35">
            <v>590.20588743097733</v>
          </cell>
          <cell r="AQ35">
            <v>568.11201580360012</v>
          </cell>
          <cell r="AV35">
            <v>454.00858943369701</v>
          </cell>
          <cell r="AW35">
            <v>501.21153152596963</v>
          </cell>
          <cell r="BG35">
            <v>0.89164556507978765</v>
          </cell>
          <cell r="BH35">
            <v>0.86962303869341717</v>
          </cell>
        </row>
        <row r="36">
          <cell r="J36">
            <v>1.0036312021749176</v>
          </cell>
          <cell r="K36">
            <v>0.87440201413647656</v>
          </cell>
          <cell r="R36">
            <v>52.542999999999999</v>
          </cell>
          <cell r="S36">
            <v>1283.6550000000002</v>
          </cell>
          <cell r="X36">
            <v>70.618961006891894</v>
          </cell>
          <cell r="Y36">
            <v>80.69619707942536</v>
          </cell>
          <cell r="AD36">
            <v>1.9146223093466304</v>
          </cell>
          <cell r="AE36">
            <v>2.0634827893787655</v>
          </cell>
          <cell r="AJ36">
            <v>0.19793312144338923</v>
          </cell>
          <cell r="AK36">
            <v>0.20636385944821617</v>
          </cell>
          <cell r="AP36">
            <v>515.02198199566487</v>
          </cell>
          <cell r="AQ36">
            <v>565.93891660921349</v>
          </cell>
          <cell r="AV36">
            <v>492.96441010220684</v>
          </cell>
          <cell r="AW36">
            <v>500.87395756647987</v>
          </cell>
          <cell r="BG36">
            <v>1.0036312021749176</v>
          </cell>
          <cell r="BH36">
            <v>0.87440201413647656</v>
          </cell>
        </row>
        <row r="37">
          <cell r="J37">
            <v>0.97931106546673963</v>
          </cell>
          <cell r="K37">
            <v>0.87798988639489484</v>
          </cell>
          <cell r="R37">
            <v>50.908999999999999</v>
          </cell>
          <cell r="S37">
            <v>1334.5640000000003</v>
          </cell>
          <cell r="X37">
            <v>70.484345225627465</v>
          </cell>
          <cell r="Y37">
            <v>80.306650256624053</v>
          </cell>
          <cell r="AD37">
            <v>1.9112534129525232</v>
          </cell>
          <cell r="AE37">
            <v>2.0576757652686566</v>
          </cell>
          <cell r="AJ37">
            <v>0.18857176530672376</v>
          </cell>
          <cell r="AK37">
            <v>0.20568515260414633</v>
          </cell>
          <cell r="AP37">
            <v>540.30171482450271</v>
          </cell>
          <cell r="AQ37">
            <v>564.96094604679922</v>
          </cell>
          <cell r="AV37">
            <v>455.32799308569724</v>
          </cell>
          <cell r="AW37">
            <v>499.13653657673927</v>
          </cell>
          <cell r="BG37">
            <v>0.97931106546673963</v>
          </cell>
          <cell r="BH37">
            <v>0.87798988639489484</v>
          </cell>
        </row>
        <row r="38">
          <cell r="J38">
            <v>1.014513863592889</v>
          </cell>
          <cell r="K38">
            <v>0.88250458205810622</v>
          </cell>
          <cell r="R38">
            <v>52.738999999999997</v>
          </cell>
          <cell r="S38">
            <v>1387.3030000000003</v>
          </cell>
          <cell r="X38">
            <v>71.866040643234584</v>
          </cell>
          <cell r="Y38">
            <v>79.985776366492942</v>
          </cell>
          <cell r="AD38">
            <v>1.8657919186939458</v>
          </cell>
          <cell r="AE38">
            <v>2.0503812072777174</v>
          </cell>
          <cell r="AJ38">
            <v>0.1896129998672709</v>
          </cell>
          <cell r="AK38">
            <v>0.20507416188100216</v>
          </cell>
          <cell r="AP38">
            <v>500.98788372925384</v>
          </cell>
          <cell r="AQ38">
            <v>562.52897888925327</v>
          </cell>
          <cell r="AV38">
            <v>468.604311799627</v>
          </cell>
          <cell r="AW38">
            <v>497.97583916419126</v>
          </cell>
          <cell r="BG38">
            <v>1.014513863592889</v>
          </cell>
          <cell r="BH38">
            <v>0.88250458205810622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17.940999999999999</v>
          </cell>
        </row>
        <row r="38">
          <cell r="B38">
            <v>0.81961610597326295</v>
          </cell>
          <cell r="C38">
            <v>0</v>
          </cell>
          <cell r="D38">
            <v>0.83793083858755912</v>
          </cell>
          <cell r="E38">
            <v>0</v>
          </cell>
          <cell r="F38">
            <v>1655.8839999999998</v>
          </cell>
          <cell r="G38">
            <v>0</v>
          </cell>
          <cell r="H38">
            <v>2.3800163538025614</v>
          </cell>
          <cell r="I38">
            <v>0</v>
          </cell>
          <cell r="J38">
            <v>987.22519210282826</v>
          </cell>
          <cell r="K38">
            <v>0</v>
          </cell>
          <cell r="L38">
            <v>0.84175524031029192</v>
          </cell>
          <cell r="M38">
            <v>0</v>
          </cell>
          <cell r="N38">
            <v>0.87679263832975451</v>
          </cell>
          <cell r="O38">
            <v>0</v>
          </cell>
          <cell r="P38">
            <v>1649.2969999999998</v>
          </cell>
          <cell r="Q38">
            <v>0</v>
          </cell>
          <cell r="R38">
            <v>2.3196877214958866</v>
          </cell>
          <cell r="S38">
            <v>0</v>
          </cell>
          <cell r="T38">
            <v>0.24616548747739192</v>
          </cell>
          <cell r="U38">
            <v>0</v>
          </cell>
          <cell r="V38">
            <v>616.10298205841684</v>
          </cell>
          <cell r="W38">
            <v>0</v>
          </cell>
          <cell r="X38">
            <v>486.41123339216654</v>
          </cell>
          <cell r="Y38">
            <v>0</v>
          </cell>
          <cell r="Z38">
            <v>0.51081756803054779</v>
          </cell>
          <cell r="AA38">
            <v>0</v>
          </cell>
          <cell r="AB38">
            <v>0.80748845980230732</v>
          </cell>
          <cell r="AC38">
            <v>0</v>
          </cell>
          <cell r="AD38">
            <v>700.59100000000012</v>
          </cell>
          <cell r="AE38">
            <v>0</v>
          </cell>
          <cell r="AF38">
            <v>110.32386420254063</v>
          </cell>
          <cell r="AG38">
            <v>0</v>
          </cell>
          <cell r="AH38">
            <v>1.9417891465919492</v>
          </cell>
          <cell r="AI38">
            <v>0</v>
          </cell>
          <cell r="AJ38">
            <v>1127.8883114399123</v>
          </cell>
          <cell r="AK38">
            <v>0</v>
          </cell>
          <cell r="AL38">
            <v>0</v>
          </cell>
          <cell r="AM38">
            <v>0</v>
          </cell>
          <cell r="AN38">
            <v>0.78888926318585439</v>
          </cell>
          <cell r="AO38">
            <v>0</v>
          </cell>
          <cell r="AP38">
            <v>0.80397212983171706</v>
          </cell>
          <cell r="AQ38">
            <v>0</v>
          </cell>
          <cell r="AR38">
            <v>1297.2190000000005</v>
          </cell>
          <cell r="AS38">
            <v>0</v>
          </cell>
          <cell r="AT38">
            <v>120.055903115169</v>
          </cell>
          <cell r="AU38">
            <v>0</v>
          </cell>
          <cell r="AV38">
            <v>1.4886460959945849</v>
          </cell>
          <cell r="AW38">
            <v>0</v>
          </cell>
          <cell r="AX38">
            <v>0.19526386832138592</v>
          </cell>
          <cell r="AY38">
            <v>0</v>
          </cell>
          <cell r="AZ38">
            <v>913.20617413096761</v>
          </cell>
          <cell r="BA38">
            <v>0</v>
          </cell>
          <cell r="BB38">
            <v>493.47212151533398</v>
          </cell>
          <cell r="BC38">
            <v>0</v>
          </cell>
          <cell r="BD38">
            <v>2.9987226520733956</v>
          </cell>
          <cell r="BE38">
            <v>0</v>
          </cell>
          <cell r="BF38">
            <v>0.84480150722122049</v>
          </cell>
          <cell r="BG38">
            <v>0</v>
          </cell>
          <cell r="BH38">
            <v>0.85404308554088593</v>
          </cell>
          <cell r="BI38">
            <v>0</v>
          </cell>
          <cell r="BJ38">
            <v>1387.3799999999999</v>
          </cell>
          <cell r="BK38">
            <v>0</v>
          </cell>
          <cell r="BL38">
            <v>2.8414709740662256</v>
          </cell>
          <cell r="BM38">
            <v>0</v>
          </cell>
          <cell r="BN38">
            <v>0</v>
          </cell>
          <cell r="BO38">
            <v>0</v>
          </cell>
          <cell r="BP38">
            <v>1094.5930657786623</v>
          </cell>
          <cell r="BQ38">
            <v>0</v>
          </cell>
          <cell r="BR38">
            <v>0</v>
          </cell>
          <cell r="BS38">
            <v>0</v>
          </cell>
          <cell r="BT38">
            <v>0.56906056118136883</v>
          </cell>
          <cell r="BU38">
            <v>0</v>
          </cell>
          <cell r="BV38">
            <v>0.79794558249051384</v>
          </cell>
          <cell r="BW38">
            <v>0</v>
          </cell>
          <cell r="BX38">
            <v>904.63799999999992</v>
          </cell>
          <cell r="BY38">
            <v>0</v>
          </cell>
          <cell r="BZ38">
            <v>98.183245752799891</v>
          </cell>
          <cell r="CA38">
            <v>0</v>
          </cell>
          <cell r="CB38">
            <v>2.3456896570783012</v>
          </cell>
          <cell r="CC38">
            <v>0</v>
          </cell>
          <cell r="CD38">
            <v>1.3817681768840134E-2</v>
          </cell>
          <cell r="CE38">
            <v>0</v>
          </cell>
          <cell r="CF38">
            <v>1025.3921152991588</v>
          </cell>
          <cell r="CG38">
            <v>0</v>
          </cell>
          <cell r="CH38">
            <v>32.403016455200856</v>
          </cell>
          <cell r="CI38">
            <v>0</v>
          </cell>
          <cell r="CJ38">
            <v>0</v>
          </cell>
          <cell r="CK3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64.293999999999997</v>
          </cell>
        </row>
        <row r="39">
          <cell r="B39">
            <v>0.903990808274441</v>
          </cell>
          <cell r="C39">
            <v>0</v>
          </cell>
          <cell r="D39">
            <v>0.90437903832375621</v>
          </cell>
          <cell r="E39">
            <v>0</v>
          </cell>
          <cell r="F39">
            <v>1787.5840000000001</v>
          </cell>
          <cell r="G39">
            <v>0</v>
          </cell>
          <cell r="H39">
            <v>2.2781228742257711</v>
          </cell>
          <cell r="I39">
            <v>0</v>
          </cell>
          <cell r="J39">
            <v>915.86317621997148</v>
          </cell>
          <cell r="K39">
            <v>0</v>
          </cell>
          <cell r="L39">
            <v>0.9123567896542889</v>
          </cell>
          <cell r="M39">
            <v>0</v>
          </cell>
          <cell r="N39">
            <v>0.91641187210867769</v>
          </cell>
          <cell r="O39">
            <v>0</v>
          </cell>
          <cell r="P39">
            <v>1733.4829999999997</v>
          </cell>
          <cell r="Q39">
            <v>0</v>
          </cell>
          <cell r="R39">
            <v>2.0999496389638668</v>
          </cell>
          <cell r="S39">
            <v>0</v>
          </cell>
          <cell r="T39">
            <v>0.29126331207170764</v>
          </cell>
          <cell r="U39">
            <v>0</v>
          </cell>
          <cell r="V39">
            <v>594.5770105619722</v>
          </cell>
          <cell r="W39">
            <v>0</v>
          </cell>
          <cell r="X39">
            <v>459.61050670817082</v>
          </cell>
          <cell r="Y39">
            <v>0</v>
          </cell>
          <cell r="Z39">
            <v>0.31795967338482251</v>
          </cell>
          <cell r="AA39">
            <v>0</v>
          </cell>
          <cell r="AB39">
            <v>0.77060412200599582</v>
          </cell>
          <cell r="AC39">
            <v>0</v>
          </cell>
          <cell r="AD39">
            <v>413.67199999999991</v>
          </cell>
          <cell r="AE39">
            <v>0</v>
          </cell>
          <cell r="AF39">
            <v>99.280285249300306</v>
          </cell>
          <cell r="AG39">
            <v>0</v>
          </cell>
          <cell r="AH39">
            <v>1.8947378599470119</v>
          </cell>
          <cell r="AI39">
            <v>0</v>
          </cell>
          <cell r="AJ39">
            <v>1272.9030729660244</v>
          </cell>
          <cell r="AK39">
            <v>0</v>
          </cell>
          <cell r="AL39">
            <v>0</v>
          </cell>
          <cell r="AM39">
            <v>0</v>
          </cell>
          <cell r="AN39">
            <v>0.880306580757235</v>
          </cell>
          <cell r="AO39">
            <v>0</v>
          </cell>
          <cell r="AP39">
            <v>0.89025454042732222</v>
          </cell>
          <cell r="AQ39">
            <v>0</v>
          </cell>
          <cell r="AR39">
            <v>1341.886</v>
          </cell>
          <cell r="AS39">
            <v>0</v>
          </cell>
          <cell r="AT39">
            <v>122.30106022435156</v>
          </cell>
          <cell r="AU39">
            <v>0</v>
          </cell>
          <cell r="AV39">
            <v>1.4501977068096692</v>
          </cell>
          <cell r="AW39">
            <v>0</v>
          </cell>
          <cell r="AX39">
            <v>6.3790813824721321E-2</v>
          </cell>
          <cell r="AY39">
            <v>0</v>
          </cell>
          <cell r="AZ39">
            <v>910.28921979959557</v>
          </cell>
          <cell r="BA39">
            <v>0</v>
          </cell>
          <cell r="BB39">
            <v>164.14175272713183</v>
          </cell>
          <cell r="BC39">
            <v>0</v>
          </cell>
          <cell r="BD39">
            <v>2.0120934267143409</v>
          </cell>
          <cell r="BE39">
            <v>0</v>
          </cell>
          <cell r="BF39">
            <v>0.84682779620148241</v>
          </cell>
          <cell r="BG39">
            <v>0</v>
          </cell>
          <cell r="BH39">
            <v>0.84682779620148241</v>
          </cell>
          <cell r="BI39">
            <v>0</v>
          </cell>
          <cell r="BJ39">
            <v>1322.9140000000002</v>
          </cell>
          <cell r="BK39">
            <v>0</v>
          </cell>
          <cell r="BL39">
            <v>2.6480179361621383</v>
          </cell>
          <cell r="BM39">
            <v>0</v>
          </cell>
          <cell r="BN39">
            <v>0</v>
          </cell>
          <cell r="BO39">
            <v>0</v>
          </cell>
          <cell r="BP39">
            <v>1045.6073032714144</v>
          </cell>
          <cell r="BQ39">
            <v>0</v>
          </cell>
          <cell r="BR39">
            <v>0</v>
          </cell>
          <cell r="BS39">
            <v>0</v>
          </cell>
          <cell r="BT39">
            <v>0.84513581917015268</v>
          </cell>
          <cell r="BU39">
            <v>0</v>
          </cell>
          <cell r="BV39">
            <v>0.84822809271497868</v>
          </cell>
          <cell r="BW39">
            <v>0</v>
          </cell>
          <cell r="BX39">
            <v>1346.3750000000002</v>
          </cell>
          <cell r="BY39">
            <v>0</v>
          </cell>
          <cell r="BZ39">
            <v>79.267993939383302</v>
          </cell>
          <cell r="CA39">
            <v>0</v>
          </cell>
          <cell r="CB39">
            <v>1.9571070466994711</v>
          </cell>
          <cell r="CC39">
            <v>0</v>
          </cell>
          <cell r="CD39">
            <v>0.21004549252622781</v>
          </cell>
          <cell r="CE39">
            <v>0</v>
          </cell>
          <cell r="CF39">
            <v>810.96020053848281</v>
          </cell>
          <cell r="CG39">
            <v>0</v>
          </cell>
          <cell r="CH39">
            <v>541.04427072695194</v>
          </cell>
          <cell r="CI39">
            <v>0</v>
          </cell>
          <cell r="CJ39">
            <v>2.8892396249187628</v>
          </cell>
          <cell r="CK39">
            <v>0</v>
          </cell>
        </row>
        <row r="40">
          <cell r="CJ40">
            <v>2.4682831581832825</v>
          </cell>
          <cell r="CK40">
            <v>0</v>
          </cell>
        </row>
        <row r="41">
          <cell r="CJ41">
            <v>14.750731402459706</v>
          </cell>
          <cell r="CK41">
            <v>0</v>
          </cell>
        </row>
        <row r="42">
          <cell r="CJ42">
            <v>0</v>
          </cell>
          <cell r="CK42">
            <v>0</v>
          </cell>
        </row>
        <row r="43">
          <cell r="CJ43">
            <v>19.550648754712846</v>
          </cell>
          <cell r="CK43">
            <v>0</v>
          </cell>
        </row>
        <row r="44">
          <cell r="CJ44">
            <v>0</v>
          </cell>
          <cell r="CK44">
            <v>0</v>
          </cell>
        </row>
        <row r="45">
          <cell r="CJ45">
            <v>3.7653073278297011</v>
          </cell>
          <cell r="CK45">
            <v>0</v>
          </cell>
        </row>
        <row r="46">
          <cell r="CJ46">
            <v>0</v>
          </cell>
          <cell r="CK46">
            <v>0</v>
          </cell>
        </row>
        <row r="47">
          <cell r="CJ47">
            <v>8.7308903741261457</v>
          </cell>
          <cell r="CK47">
            <v>0</v>
          </cell>
        </row>
      </sheetData>
      <sheetData sheetId="1">
        <row r="41">
          <cell r="P41">
            <v>1826.1110000000006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8.4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6">
          <cell r="N6">
            <v>760</v>
          </cell>
        </row>
      </sheetData>
      <sheetData sheetId="17">
        <row r="6">
          <cell r="N6">
            <v>655</v>
          </cell>
        </row>
      </sheetData>
      <sheetData sheetId="18">
        <row r="6">
          <cell r="N6">
            <v>795</v>
          </cell>
        </row>
      </sheetData>
      <sheetData sheetId="19">
        <row r="6">
          <cell r="N6">
            <v>706</v>
          </cell>
        </row>
      </sheetData>
      <sheetData sheetId="20">
        <row r="6">
          <cell r="N6">
            <v>638</v>
          </cell>
        </row>
      </sheetData>
      <sheetData sheetId="21">
        <row r="6">
          <cell r="N6">
            <v>705</v>
          </cell>
        </row>
      </sheetData>
      <sheetData sheetId="22">
        <row r="6">
          <cell r="N6">
            <v>733</v>
          </cell>
        </row>
      </sheetData>
      <sheetData sheetId="23">
        <row r="6">
          <cell r="N6">
            <v>740</v>
          </cell>
        </row>
      </sheetData>
      <sheetData sheetId="24">
        <row r="6">
          <cell r="N6">
            <v>535</v>
          </cell>
        </row>
      </sheetData>
      <sheetData sheetId="25">
        <row r="6">
          <cell r="N6">
            <v>584</v>
          </cell>
        </row>
      </sheetData>
      <sheetData sheetId="26">
        <row r="6">
          <cell r="N6">
            <v>601</v>
          </cell>
        </row>
      </sheetData>
      <sheetData sheetId="27">
        <row r="6">
          <cell r="N6">
            <v>737</v>
          </cell>
        </row>
      </sheetData>
      <sheetData sheetId="28">
        <row r="6">
          <cell r="N6">
            <v>620</v>
          </cell>
        </row>
      </sheetData>
      <sheetData sheetId="29">
        <row r="6">
          <cell r="N6">
            <v>615</v>
          </cell>
        </row>
      </sheetData>
      <sheetData sheetId="30">
        <row r="6">
          <cell r="N6">
            <v>670</v>
          </cell>
        </row>
      </sheetData>
      <sheetData sheetId="31">
        <row r="6">
          <cell r="N6">
            <v>675</v>
          </cell>
        </row>
      </sheetData>
      <sheetData sheetId="32">
        <row r="6">
          <cell r="N6">
            <v>590</v>
          </cell>
        </row>
      </sheetData>
      <sheetData sheetId="33">
        <row r="6">
          <cell r="N6">
            <v>549</v>
          </cell>
        </row>
      </sheetData>
      <sheetData sheetId="34">
        <row r="6">
          <cell r="N6">
            <v>660</v>
          </cell>
        </row>
      </sheetData>
      <sheetData sheetId="35">
        <row r="6">
          <cell r="N6">
            <v>616</v>
          </cell>
        </row>
      </sheetData>
      <sheetData sheetId="36">
        <row r="6">
          <cell r="N6">
            <v>477</v>
          </cell>
        </row>
      </sheetData>
      <sheetData sheetId="37">
        <row r="6">
          <cell r="N6">
            <v>576</v>
          </cell>
        </row>
      </sheetData>
      <sheetData sheetId="38">
        <row r="6">
          <cell r="N6">
            <v>654</v>
          </cell>
        </row>
      </sheetData>
      <sheetData sheetId="39">
        <row r="6">
          <cell r="N6">
            <v>633</v>
          </cell>
        </row>
      </sheetData>
      <sheetData sheetId="40">
        <row r="6">
          <cell r="N6">
            <v>678</v>
          </cell>
        </row>
      </sheetData>
      <sheetData sheetId="41">
        <row r="6">
          <cell r="N6">
            <v>513</v>
          </cell>
        </row>
      </sheetData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7.7140000000000004</v>
          </cell>
        </row>
        <row r="40">
          <cell r="B40">
            <v>0.89986679210292397</v>
          </cell>
          <cell r="C40">
            <v>0</v>
          </cell>
          <cell r="D40">
            <v>0.90007770455700553</v>
          </cell>
          <cell r="E40">
            <v>0</v>
          </cell>
          <cell r="F40">
            <v>1865.5170000000001</v>
          </cell>
          <cell r="G40">
            <v>0</v>
          </cell>
          <cell r="H40">
            <v>2.2984748999875095</v>
          </cell>
          <cell r="I40">
            <v>0</v>
          </cell>
          <cell r="J40">
            <v>910.11683088387656</v>
          </cell>
          <cell r="K40">
            <v>0</v>
          </cell>
          <cell r="L40">
            <v>0.88665975535746266</v>
          </cell>
          <cell r="M40">
            <v>0</v>
          </cell>
          <cell r="N40">
            <v>0.91130227636045102</v>
          </cell>
          <cell r="O40">
            <v>0</v>
          </cell>
          <cell r="P40">
            <v>1681.0409999999997</v>
          </cell>
          <cell r="Q40">
            <v>0</v>
          </cell>
          <cell r="R40">
            <v>2.3611024359310693</v>
          </cell>
          <cell r="S40">
            <v>0</v>
          </cell>
          <cell r="T40">
            <v>8.5601719410769897E-2</v>
          </cell>
          <cell r="U40">
            <v>0</v>
          </cell>
          <cell r="V40">
            <v>751.421904641232</v>
          </cell>
          <cell r="W40">
            <v>0</v>
          </cell>
          <cell r="X40">
            <v>160.39777732964276</v>
          </cell>
          <cell r="Y40">
            <v>0</v>
          </cell>
          <cell r="Z40">
            <v>0.90643195002874466</v>
          </cell>
          <cell r="AA40">
            <v>0</v>
          </cell>
          <cell r="AB40">
            <v>0.90643195002874466</v>
          </cell>
          <cell r="AC40">
            <v>0</v>
          </cell>
          <cell r="AD40">
            <v>1304.5220000000002</v>
          </cell>
          <cell r="AE40">
            <v>0</v>
          </cell>
          <cell r="AF40">
            <v>93.687912863926385</v>
          </cell>
          <cell r="AG40">
            <v>0</v>
          </cell>
          <cell r="AH40">
            <v>1.3601917024013392</v>
          </cell>
          <cell r="AI40">
            <v>0</v>
          </cell>
          <cell r="AJ40">
            <v>867.9948824167011</v>
          </cell>
          <cell r="AK40">
            <v>0</v>
          </cell>
          <cell r="AL40">
            <v>0</v>
          </cell>
          <cell r="AM40">
            <v>0</v>
          </cell>
          <cell r="AN40">
            <v>0.89554898846394682</v>
          </cell>
          <cell r="AO40">
            <v>0</v>
          </cell>
          <cell r="AP40">
            <v>0.90516622970016913</v>
          </cell>
          <cell r="AQ40">
            <v>0</v>
          </cell>
          <cell r="AR40">
            <v>1480.133</v>
          </cell>
          <cell r="AS40">
            <v>0</v>
          </cell>
          <cell r="AT40">
            <v>101.4464316391317</v>
          </cell>
          <cell r="AU40">
            <v>0</v>
          </cell>
          <cell r="AV40">
            <v>1.4403435366956892</v>
          </cell>
          <cell r="AW40">
            <v>0</v>
          </cell>
          <cell r="AX40">
            <v>0.14586527021558199</v>
          </cell>
          <cell r="AY40">
            <v>0</v>
          </cell>
          <cell r="AZ40">
            <v>849.3617938387971</v>
          </cell>
          <cell r="BA40">
            <v>0</v>
          </cell>
          <cell r="BB40">
            <v>387.77382640614013</v>
          </cell>
          <cell r="BC40">
            <v>0</v>
          </cell>
          <cell r="BD40">
            <v>4.1014476401782778</v>
          </cell>
          <cell r="BE40">
            <v>0</v>
          </cell>
          <cell r="BF40">
            <v>0.90695192925845458</v>
          </cell>
          <cell r="BG40">
            <v>0</v>
          </cell>
          <cell r="BH40">
            <v>0.90825057016469368</v>
          </cell>
          <cell r="BI40">
            <v>0</v>
          </cell>
          <cell r="BJ40">
            <v>1465.1599999999999</v>
          </cell>
          <cell r="BK40">
            <v>0</v>
          </cell>
          <cell r="BL40">
            <v>2.859209915640613</v>
          </cell>
          <cell r="BM40">
            <v>0</v>
          </cell>
          <cell r="BN40">
            <v>0</v>
          </cell>
          <cell r="BO40">
            <v>0</v>
          </cell>
          <cell r="BP40">
            <v>1013.158972398919</v>
          </cell>
          <cell r="BQ40">
            <v>0</v>
          </cell>
          <cell r="BR40">
            <v>0</v>
          </cell>
          <cell r="BS40">
            <v>0</v>
          </cell>
          <cell r="BT40">
            <v>0.86462303428543996</v>
          </cell>
          <cell r="BU40">
            <v>0</v>
          </cell>
          <cell r="BV40">
            <v>0.87445112764829958</v>
          </cell>
          <cell r="BW40">
            <v>0</v>
          </cell>
          <cell r="BX40">
            <v>1364.3539999999998</v>
          </cell>
          <cell r="BY40">
            <v>0</v>
          </cell>
          <cell r="BZ40">
            <v>84.357025620624938</v>
          </cell>
          <cell r="CA40">
            <v>0</v>
          </cell>
          <cell r="CB40">
            <v>2.027780180217158</v>
          </cell>
          <cell r="CC40">
            <v>0</v>
          </cell>
          <cell r="CD40">
            <v>7.468736119804685E-2</v>
          </cell>
          <cell r="CE40">
            <v>0</v>
          </cell>
          <cell r="CF40">
            <v>883.67533645959929</v>
          </cell>
          <cell r="CG40">
            <v>0</v>
          </cell>
          <cell r="CH40">
            <v>193.15194077197017</v>
          </cell>
          <cell r="CI40">
            <v>0</v>
          </cell>
          <cell r="CJ40">
            <v>2.4682831581832825</v>
          </cell>
          <cell r="CK40">
            <v>0</v>
          </cell>
        </row>
      </sheetData>
      <sheetData sheetId="1">
        <row r="41">
          <cell r="P41">
            <v>1922.6600000000003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380.7</v>
          </cell>
        </row>
      </sheetData>
      <sheetData sheetId="13">
        <row r="6">
          <cell r="N6">
            <v>582</v>
          </cell>
        </row>
      </sheetData>
      <sheetData sheetId="14">
        <row r="6">
          <cell r="N6">
            <v>566</v>
          </cell>
        </row>
      </sheetData>
      <sheetData sheetId="15">
        <row r="6">
          <cell r="N6">
            <v>590</v>
          </cell>
        </row>
      </sheetData>
      <sheetData sheetId="16">
        <row r="6">
          <cell r="N6">
            <v>635</v>
          </cell>
        </row>
      </sheetData>
      <sheetData sheetId="17">
        <row r="6">
          <cell r="N6">
            <v>584</v>
          </cell>
        </row>
      </sheetData>
      <sheetData sheetId="18">
        <row r="6">
          <cell r="N6">
            <v>663</v>
          </cell>
        </row>
      </sheetData>
      <sheetData sheetId="19">
        <row r="6">
          <cell r="N6">
            <v>600</v>
          </cell>
        </row>
      </sheetData>
      <sheetData sheetId="20">
        <row r="6">
          <cell r="N6">
            <v>659</v>
          </cell>
        </row>
      </sheetData>
      <sheetData sheetId="21">
        <row r="6">
          <cell r="N6">
            <v>645</v>
          </cell>
        </row>
      </sheetData>
      <sheetData sheetId="22">
        <row r="6">
          <cell r="N6">
            <v>600</v>
          </cell>
        </row>
      </sheetData>
      <sheetData sheetId="23">
        <row r="6">
          <cell r="N6">
            <v>600</v>
          </cell>
        </row>
      </sheetData>
      <sheetData sheetId="24">
        <row r="6">
          <cell r="N6">
            <v>635</v>
          </cell>
        </row>
      </sheetData>
      <sheetData sheetId="25">
        <row r="6">
          <cell r="N6">
            <v>708</v>
          </cell>
        </row>
      </sheetData>
      <sheetData sheetId="26">
        <row r="6">
          <cell r="N6">
            <v>611</v>
          </cell>
        </row>
      </sheetData>
      <sheetData sheetId="27">
        <row r="6">
          <cell r="N6">
            <v>563</v>
          </cell>
        </row>
      </sheetData>
      <sheetData sheetId="28">
        <row r="6">
          <cell r="N6">
            <v>575</v>
          </cell>
        </row>
      </sheetData>
      <sheetData sheetId="29">
        <row r="6">
          <cell r="N6">
            <v>596</v>
          </cell>
        </row>
      </sheetData>
      <sheetData sheetId="30">
        <row r="6">
          <cell r="N6">
            <v>572</v>
          </cell>
        </row>
      </sheetData>
      <sheetData sheetId="31">
        <row r="6">
          <cell r="N6">
            <v>575</v>
          </cell>
        </row>
      </sheetData>
      <sheetData sheetId="32">
        <row r="6">
          <cell r="N6">
            <v>681</v>
          </cell>
        </row>
      </sheetData>
      <sheetData sheetId="33"/>
      <sheetData sheetId="34"/>
      <sheetData sheetId="35"/>
      <sheetData sheetId="36">
        <row r="6">
          <cell r="N6">
            <v>593</v>
          </cell>
        </row>
      </sheetData>
      <sheetData sheetId="37">
        <row r="6">
          <cell r="N6">
            <v>660</v>
          </cell>
        </row>
      </sheetData>
      <sheetData sheetId="38">
        <row r="6">
          <cell r="N6">
            <v>705</v>
          </cell>
        </row>
      </sheetData>
      <sheetData sheetId="39">
        <row r="6">
          <cell r="N6">
            <v>682</v>
          </cell>
        </row>
      </sheetData>
      <sheetData sheetId="40">
        <row r="6">
          <cell r="N6">
            <v>680</v>
          </cell>
        </row>
      </sheetData>
      <sheetData sheetId="41">
        <row r="6">
          <cell r="N6">
            <v>626</v>
          </cell>
        </row>
      </sheetData>
      <sheetData sheetId="42">
        <row r="6">
          <cell r="N6">
            <v>265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1">
          <cell r="B41">
            <v>0.83939758980569712</v>
          </cell>
          <cell r="C41">
            <v>0</v>
          </cell>
          <cell r="D41">
            <v>0.84053150634019802</v>
          </cell>
          <cell r="E41">
            <v>0</v>
          </cell>
          <cell r="F41">
            <v>1669.0300000000004</v>
          </cell>
          <cell r="G41">
            <v>0</v>
          </cell>
          <cell r="H41">
            <v>2.4391880313715144</v>
          </cell>
          <cell r="I41">
            <v>0</v>
          </cell>
          <cell r="J41">
            <v>1033.4658693971942</v>
          </cell>
          <cell r="K41">
            <v>0</v>
          </cell>
          <cell r="L41">
            <v>0.88164645374478923</v>
          </cell>
          <cell r="M41">
            <v>0</v>
          </cell>
          <cell r="N41">
            <v>0.90721678437063535</v>
          </cell>
          <cell r="O41">
            <v>0</v>
          </cell>
          <cell r="P41">
            <v>1849.2530000000002</v>
          </cell>
          <cell r="Q41">
            <v>0</v>
          </cell>
          <cell r="R41">
            <v>2.6039627892992474</v>
          </cell>
          <cell r="S41">
            <v>0</v>
          </cell>
          <cell r="T41">
            <v>0.22857878289233541</v>
          </cell>
          <cell r="U41">
            <v>0</v>
          </cell>
          <cell r="V41">
            <v>604.72261502347192</v>
          </cell>
          <cell r="W41">
            <v>0</v>
          </cell>
          <cell r="X41">
            <v>521.7858237893895</v>
          </cell>
          <cell r="Y41">
            <v>0</v>
          </cell>
          <cell r="Z41">
            <v>0.88193173114859524</v>
          </cell>
          <cell r="AA41">
            <v>0</v>
          </cell>
          <cell r="AB41">
            <v>0.88340653340367237</v>
          </cell>
          <cell r="AC41">
            <v>0</v>
          </cell>
          <cell r="AD41">
            <v>1253.7050000000004</v>
          </cell>
          <cell r="AE41">
            <v>0</v>
          </cell>
          <cell r="AF41">
            <v>98.517030917360543</v>
          </cell>
          <cell r="AG41">
            <v>0</v>
          </cell>
          <cell r="AH41">
            <v>1.4871121994408565</v>
          </cell>
          <cell r="AI41">
            <v>0</v>
          </cell>
          <cell r="AJ41">
            <v>885.26051981925434</v>
          </cell>
          <cell r="AK41">
            <v>0</v>
          </cell>
          <cell r="AL41">
            <v>0</v>
          </cell>
          <cell r="AM41">
            <v>0</v>
          </cell>
          <cell r="AN41">
            <v>0.88320076687716276</v>
          </cell>
          <cell r="AO41">
            <v>0</v>
          </cell>
          <cell r="AP41">
            <v>0.89534439715396263</v>
          </cell>
          <cell r="AQ41">
            <v>0</v>
          </cell>
          <cell r="AR41">
            <v>1406.635</v>
          </cell>
          <cell r="AS41">
            <v>0</v>
          </cell>
          <cell r="AT41">
            <v>105.33379299664101</v>
          </cell>
          <cell r="AU41">
            <v>0</v>
          </cell>
          <cell r="AV41">
            <v>1.5242049287839419</v>
          </cell>
          <cell r="AW41">
            <v>0</v>
          </cell>
          <cell r="AX41">
            <v>8.076011189825362E-2</v>
          </cell>
          <cell r="AY41">
            <v>0</v>
          </cell>
          <cell r="AZ41">
            <v>927.60064977766092</v>
          </cell>
          <cell r="BA41">
            <v>0</v>
          </cell>
          <cell r="BB41">
            <v>240.2739175407979</v>
          </cell>
          <cell r="BC41">
            <v>0</v>
          </cell>
          <cell r="BD41">
            <v>16.955357999765397</v>
          </cell>
          <cell r="BE41">
            <v>0</v>
          </cell>
          <cell r="BF41">
            <v>0.88101947107260103</v>
          </cell>
          <cell r="BG41">
            <v>0</v>
          </cell>
          <cell r="BH41">
            <v>0.88362769927484108</v>
          </cell>
          <cell r="BI41">
            <v>0</v>
          </cell>
          <cell r="BJ41">
            <v>1457.0090000000002</v>
          </cell>
          <cell r="BK41">
            <v>0</v>
          </cell>
          <cell r="BL41">
            <v>2.7597633233562728</v>
          </cell>
          <cell r="BM41">
            <v>0</v>
          </cell>
          <cell r="BN41">
            <v>0</v>
          </cell>
          <cell r="BO41">
            <v>0</v>
          </cell>
          <cell r="BP41">
            <v>932.94369492569979</v>
          </cell>
          <cell r="BQ41">
            <v>0</v>
          </cell>
          <cell r="BR41">
            <v>0</v>
          </cell>
          <cell r="BS41">
            <v>0</v>
          </cell>
          <cell r="BT41">
            <v>0.89958178262093658</v>
          </cell>
          <cell r="BU41">
            <v>0</v>
          </cell>
          <cell r="BV41">
            <v>0.90458737037626458</v>
          </cell>
          <cell r="BW41">
            <v>0</v>
          </cell>
          <cell r="BX41">
            <v>1385.694</v>
          </cell>
          <cell r="BY41">
            <v>0</v>
          </cell>
          <cell r="BZ41">
            <v>82.805082393313654</v>
          </cell>
          <cell r="CA41">
            <v>0</v>
          </cell>
          <cell r="CB41">
            <v>1.9750969550275892</v>
          </cell>
          <cell r="CC41">
            <v>0</v>
          </cell>
          <cell r="CD41">
            <v>5.6505981840146526E-2</v>
          </cell>
          <cell r="CE41">
            <v>0</v>
          </cell>
          <cell r="CF41">
            <v>886.8080976030775</v>
          </cell>
          <cell r="CG41">
            <v>0</v>
          </cell>
          <cell r="CH41">
            <v>150.23872370090368</v>
          </cell>
          <cell r="CI41">
            <v>0</v>
          </cell>
          <cell r="CJ41">
            <v>14.750731402459706</v>
          </cell>
          <cell r="CK4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2">
          <cell r="B42">
            <v>0.89683016748794442</v>
          </cell>
          <cell r="C42">
            <v>0</v>
          </cell>
          <cell r="D42">
            <v>0.91651254782215474</v>
          </cell>
          <cell r="E42">
            <v>0</v>
          </cell>
          <cell r="F42">
            <v>1608.12</v>
          </cell>
          <cell r="G42">
            <v>0</v>
          </cell>
          <cell r="H42">
            <v>2.3160037808123777</v>
          </cell>
          <cell r="I42">
            <v>0</v>
          </cell>
          <cell r="J42">
            <v>1025.4408439668696</v>
          </cell>
          <cell r="K42">
            <v>0</v>
          </cell>
          <cell r="L42">
            <v>0.92866754762333059</v>
          </cell>
          <cell r="M42">
            <v>0</v>
          </cell>
          <cell r="N42">
            <v>0.93793898235070616</v>
          </cell>
          <cell r="O42">
            <v>0</v>
          </cell>
          <cell r="P42">
            <v>1827.3590000000004</v>
          </cell>
          <cell r="Q42">
            <v>0</v>
          </cell>
          <cell r="R42">
            <v>2.0916446631450083</v>
          </cell>
          <cell r="S42">
            <v>0</v>
          </cell>
          <cell r="T42">
            <v>0.23153633194134263</v>
          </cell>
          <cell r="U42">
            <v>0</v>
          </cell>
          <cell r="V42">
            <v>614.27862833739778</v>
          </cell>
          <cell r="W42">
            <v>0</v>
          </cell>
          <cell r="X42">
            <v>437.11553121198392</v>
          </cell>
          <cell r="Y42">
            <v>0</v>
          </cell>
          <cell r="Z42">
            <v>0.83629623576679857</v>
          </cell>
          <cell r="AA42">
            <v>0</v>
          </cell>
          <cell r="AB42">
            <v>0.84011645284697367</v>
          </cell>
          <cell r="AC42">
            <v>0</v>
          </cell>
          <cell r="AD42">
            <v>1132.2849999999999</v>
          </cell>
          <cell r="AE42">
            <v>0</v>
          </cell>
          <cell r="AF42">
            <v>111.28199961501578</v>
          </cell>
          <cell r="AG42">
            <v>0</v>
          </cell>
          <cell r="AH42">
            <v>1.6594761919481404</v>
          </cell>
          <cell r="AI42">
            <v>0</v>
          </cell>
          <cell r="AJ42">
            <v>964.83334142905812</v>
          </cell>
          <cell r="AK42">
            <v>0</v>
          </cell>
          <cell r="AL42">
            <v>0</v>
          </cell>
          <cell r="AM42">
            <v>0</v>
          </cell>
          <cell r="AN42">
            <v>0.841493556505851</v>
          </cell>
          <cell r="AO42">
            <v>0</v>
          </cell>
          <cell r="AP42">
            <v>0.85108230952572761</v>
          </cell>
          <cell r="AQ42">
            <v>0</v>
          </cell>
          <cell r="AR42">
            <v>1316.3440000000001</v>
          </cell>
          <cell r="AS42">
            <v>0</v>
          </cell>
          <cell r="AT42">
            <v>121.83943867945894</v>
          </cell>
          <cell r="AU42">
            <v>0</v>
          </cell>
          <cell r="AV42">
            <v>1.4904158791318984</v>
          </cell>
          <cell r="AW42">
            <v>0</v>
          </cell>
          <cell r="AX42">
            <v>0.19523771901569797</v>
          </cell>
          <cell r="AY42">
            <v>0</v>
          </cell>
          <cell r="AZ42">
            <v>883.63400448514949</v>
          </cell>
          <cell r="BA42">
            <v>0</v>
          </cell>
          <cell r="BB42">
            <v>521.88219796648889</v>
          </cell>
          <cell r="BC42">
            <v>0</v>
          </cell>
          <cell r="BD42">
            <v>0</v>
          </cell>
          <cell r="BE42">
            <v>0</v>
          </cell>
          <cell r="BF42">
            <v>0.81559727954315242</v>
          </cell>
          <cell r="BG42">
            <v>0</v>
          </cell>
          <cell r="BH42">
            <v>0.82877820530328572</v>
          </cell>
          <cell r="BI42">
            <v>0</v>
          </cell>
          <cell r="BJ42">
            <v>1259.7350000000001</v>
          </cell>
          <cell r="BK42">
            <v>0</v>
          </cell>
          <cell r="BL42">
            <v>2.8948151793829653</v>
          </cell>
          <cell r="BM42">
            <v>0</v>
          </cell>
          <cell r="BN42">
            <v>0</v>
          </cell>
          <cell r="BO42">
            <v>0</v>
          </cell>
          <cell r="BP42">
            <v>971.01940308418136</v>
          </cell>
          <cell r="BQ42">
            <v>0</v>
          </cell>
          <cell r="BR42">
            <v>0</v>
          </cell>
          <cell r="BS42">
            <v>0</v>
          </cell>
          <cell r="BT42">
            <v>0.90927146053562879</v>
          </cell>
          <cell r="BU42">
            <v>0</v>
          </cell>
          <cell r="BV42">
            <v>0.93351910522430248</v>
          </cell>
          <cell r="BW42">
            <v>0</v>
          </cell>
          <cell r="BX42">
            <v>1433.0600000000002</v>
          </cell>
          <cell r="BY42">
            <v>0</v>
          </cell>
          <cell r="BZ42">
            <v>77.094083288095504</v>
          </cell>
          <cell r="CA42">
            <v>0</v>
          </cell>
          <cell r="CB42">
            <v>1.8864527654110776</v>
          </cell>
          <cell r="CC42">
            <v>0</v>
          </cell>
          <cell r="CD42">
            <v>0.14263185072502196</v>
          </cell>
          <cell r="CE42">
            <v>0</v>
          </cell>
          <cell r="CF42">
            <v>754.59782022786919</v>
          </cell>
          <cell r="CG42">
            <v>0</v>
          </cell>
          <cell r="CH42">
            <v>384.70371094022579</v>
          </cell>
          <cell r="CI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3">
          <cell r="B43">
            <v>0.81728992699563985</v>
          </cell>
          <cell r="C43">
            <v>0</v>
          </cell>
          <cell r="D43">
            <v>0.81728992699563985</v>
          </cell>
          <cell r="E43">
            <v>0</v>
          </cell>
          <cell r="F43">
            <v>1753.6980000000001</v>
          </cell>
          <cell r="G43">
            <v>0</v>
          </cell>
          <cell r="H43">
            <v>2.3283626941468825</v>
          </cell>
          <cell r="I43">
            <v>0</v>
          </cell>
          <cell r="J43">
            <v>919.17354641449094</v>
          </cell>
          <cell r="K43">
            <v>0</v>
          </cell>
          <cell r="L43">
            <v>0.88541366395827092</v>
          </cell>
          <cell r="M43">
            <v>0</v>
          </cell>
          <cell r="N43">
            <v>0.92564375346980865</v>
          </cell>
          <cell r="O43">
            <v>0</v>
          </cell>
          <cell r="P43">
            <v>1848.3660000000002</v>
          </cell>
          <cell r="Q43">
            <v>0</v>
          </cell>
          <cell r="R43">
            <v>2.3081272864789759</v>
          </cell>
          <cell r="S43">
            <v>0</v>
          </cell>
          <cell r="T43">
            <v>0.22165523494805681</v>
          </cell>
          <cell r="U43">
            <v>0</v>
          </cell>
          <cell r="V43">
            <v>640.41014604250449</v>
          </cell>
          <cell r="W43">
            <v>0</v>
          </cell>
          <cell r="X43">
            <v>434.93518058652887</v>
          </cell>
          <cell r="Y43">
            <v>0</v>
          </cell>
          <cell r="Z43">
            <v>0.80335180840639453</v>
          </cell>
          <cell r="AA43">
            <v>0</v>
          </cell>
          <cell r="AB43">
            <v>0.86162048557993176</v>
          </cell>
          <cell r="AC43">
            <v>0</v>
          </cell>
          <cell r="AD43">
            <v>1130.835</v>
          </cell>
          <cell r="AE43">
            <v>0</v>
          </cell>
          <cell r="AF43">
            <v>107.89351601751943</v>
          </cell>
          <cell r="AG43">
            <v>0</v>
          </cell>
          <cell r="AH43">
            <v>1.5947507815021644</v>
          </cell>
          <cell r="AI43">
            <v>0</v>
          </cell>
          <cell r="AJ43">
            <v>914.38361918405428</v>
          </cell>
          <cell r="AK43">
            <v>0</v>
          </cell>
          <cell r="AL43">
            <v>20.165629822211024</v>
          </cell>
          <cell r="AM43">
            <v>0</v>
          </cell>
          <cell r="AN43">
            <v>0.85071018918198382</v>
          </cell>
          <cell r="AO43">
            <v>0</v>
          </cell>
          <cell r="AP43">
            <v>0.85071018918198382</v>
          </cell>
          <cell r="AQ43">
            <v>0</v>
          </cell>
          <cell r="AR43">
            <v>1375.3570000000002</v>
          </cell>
          <cell r="AS43">
            <v>0</v>
          </cell>
          <cell r="AT43">
            <v>113.79764973808959</v>
          </cell>
          <cell r="AU43">
            <v>0</v>
          </cell>
          <cell r="AV43">
            <v>1.4656558260873356</v>
          </cell>
          <cell r="AW43">
            <v>0</v>
          </cell>
          <cell r="AX43">
            <v>0.1861334911590227</v>
          </cell>
          <cell r="AY43">
            <v>0</v>
          </cell>
          <cell r="AZ43">
            <v>878.4606469447566</v>
          </cell>
          <cell r="BA43">
            <v>0</v>
          </cell>
          <cell r="BB43">
            <v>550.25945990750074</v>
          </cell>
          <cell r="BC43">
            <v>0</v>
          </cell>
          <cell r="BD43">
            <v>0</v>
          </cell>
          <cell r="BE43">
            <v>0</v>
          </cell>
          <cell r="BF43">
            <v>0.89363459307778192</v>
          </cell>
          <cell r="BG43">
            <v>0</v>
          </cell>
          <cell r="BH43">
            <v>0.89363459307778192</v>
          </cell>
          <cell r="BI43">
            <v>0</v>
          </cell>
          <cell r="BJ43">
            <v>1430.6919999999998</v>
          </cell>
          <cell r="BK43">
            <v>0</v>
          </cell>
          <cell r="BL43">
            <v>2.6821286482345617</v>
          </cell>
          <cell r="BM43">
            <v>0</v>
          </cell>
          <cell r="BN43">
            <v>0</v>
          </cell>
          <cell r="BO43">
            <v>0</v>
          </cell>
          <cell r="BP43">
            <v>974.33568621579991</v>
          </cell>
          <cell r="BQ43">
            <v>0</v>
          </cell>
          <cell r="BR43">
            <v>0</v>
          </cell>
          <cell r="BS43">
            <v>0</v>
          </cell>
          <cell r="BT43">
            <v>0.90863447914298279</v>
          </cell>
          <cell r="BU43">
            <v>0</v>
          </cell>
          <cell r="BV43">
            <v>0.91878389692957507</v>
          </cell>
          <cell r="BW43">
            <v>0</v>
          </cell>
          <cell r="BX43">
            <v>1460.105</v>
          </cell>
          <cell r="BY43">
            <v>0</v>
          </cell>
          <cell r="BZ43">
            <v>77.669648185232361</v>
          </cell>
          <cell r="CA43">
            <v>0</v>
          </cell>
          <cell r="CB43">
            <v>2.0032805859852543</v>
          </cell>
          <cell r="CC43">
            <v>0</v>
          </cell>
          <cell r="CD43">
            <v>8.3692611147828416E-2</v>
          </cell>
          <cell r="CE43">
            <v>0</v>
          </cell>
          <cell r="CF43">
            <v>840.7660191674878</v>
          </cell>
          <cell r="CG43">
            <v>0</v>
          </cell>
          <cell r="CH43">
            <v>246.27502816578257</v>
          </cell>
          <cell r="CI43">
            <v>0</v>
          </cell>
          <cell r="CJ43">
            <v>19.550648754712846</v>
          </cell>
          <cell r="CK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6.4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44.353000000000002</v>
          </cell>
        </row>
        <row r="44">
          <cell r="B44">
            <v>0.85128629745489748</v>
          </cell>
          <cell r="C44">
            <v>0</v>
          </cell>
          <cell r="D44">
            <v>0.88261388777069127</v>
          </cell>
          <cell r="E44">
            <v>0</v>
          </cell>
          <cell r="F44">
            <v>1626.8629999999996</v>
          </cell>
          <cell r="G44">
            <v>0</v>
          </cell>
          <cell r="H44">
            <v>2.4992417923328527</v>
          </cell>
          <cell r="I44">
            <v>0</v>
          </cell>
          <cell r="J44">
            <v>943.70529048850415</v>
          </cell>
          <cell r="K44">
            <v>0</v>
          </cell>
          <cell r="L44">
            <v>0.91684997474795549</v>
          </cell>
          <cell r="M44">
            <v>0</v>
          </cell>
          <cell r="N44">
            <v>0.9454769668630435</v>
          </cell>
          <cell r="O44">
            <v>0</v>
          </cell>
          <cell r="P44">
            <v>1788.1659999999997</v>
          </cell>
          <cell r="Q44">
            <v>0</v>
          </cell>
          <cell r="R44">
            <v>2.1331811476115754</v>
          </cell>
          <cell r="S44">
            <v>0</v>
          </cell>
          <cell r="T44">
            <v>0.21231250342529728</v>
          </cell>
          <cell r="U44">
            <v>0</v>
          </cell>
          <cell r="V44">
            <v>722.2509375527776</v>
          </cell>
          <cell r="W44">
            <v>0</v>
          </cell>
          <cell r="X44">
            <v>464.24761459506601</v>
          </cell>
          <cell r="Y44">
            <v>0</v>
          </cell>
          <cell r="Z44">
            <v>0.86206949583301151</v>
          </cell>
          <cell r="AA44">
            <v>0</v>
          </cell>
          <cell r="AB44">
            <v>0.90942581099977049</v>
          </cell>
          <cell r="AC44">
            <v>0</v>
          </cell>
          <cell r="AD44">
            <v>1188.7909999999999</v>
          </cell>
          <cell r="AE44">
            <v>0</v>
          </cell>
          <cell r="AF44">
            <v>106.25948485661435</v>
          </cell>
          <cell r="AG44">
            <v>0</v>
          </cell>
          <cell r="AH44">
            <v>1.5097691688446497</v>
          </cell>
          <cell r="AI44">
            <v>0</v>
          </cell>
          <cell r="AJ44">
            <v>921.84495003747463</v>
          </cell>
          <cell r="AK44">
            <v>0</v>
          </cell>
          <cell r="AL44">
            <v>7.5538929887591681</v>
          </cell>
          <cell r="AM44">
            <v>0</v>
          </cell>
          <cell r="AN44">
            <v>0.9113017975148916</v>
          </cell>
          <cell r="AO44">
            <v>0</v>
          </cell>
          <cell r="AP44">
            <v>0.94321744444989342</v>
          </cell>
          <cell r="AQ44">
            <v>0</v>
          </cell>
          <cell r="AR44">
            <v>1441.538</v>
          </cell>
          <cell r="AS44">
            <v>0</v>
          </cell>
          <cell r="AT44">
            <v>98.381360721465839</v>
          </cell>
          <cell r="AU44">
            <v>0</v>
          </cell>
          <cell r="AV44">
            <v>1.4245895703061591</v>
          </cell>
          <cell r="AW44">
            <v>0</v>
          </cell>
          <cell r="AX44">
            <v>6.3755312952158888E-2</v>
          </cell>
          <cell r="AY44">
            <v>0</v>
          </cell>
          <cell r="AZ44">
            <v>884.49349236718024</v>
          </cell>
          <cell r="BA44">
            <v>0</v>
          </cell>
          <cell r="BB44">
            <v>178.9753721372584</v>
          </cell>
          <cell r="BC44">
            <v>0</v>
          </cell>
          <cell r="BD44">
            <v>0</v>
          </cell>
          <cell r="BE44">
            <v>0</v>
          </cell>
          <cell r="BF44">
            <v>0.83968007638049036</v>
          </cell>
          <cell r="BG44">
            <v>0</v>
          </cell>
          <cell r="BH44">
            <v>0.88025535162218882</v>
          </cell>
          <cell r="BI44">
            <v>0</v>
          </cell>
          <cell r="BJ44">
            <v>1283.7219999999998</v>
          </cell>
          <cell r="BK44">
            <v>0</v>
          </cell>
          <cell r="BL44">
            <v>2.9010175100216404</v>
          </cell>
          <cell r="BM44">
            <v>0</v>
          </cell>
          <cell r="BN44">
            <v>0</v>
          </cell>
          <cell r="BO44">
            <v>0</v>
          </cell>
          <cell r="BP44">
            <v>1018.1901188326394</v>
          </cell>
          <cell r="BQ44">
            <v>0</v>
          </cell>
          <cell r="BR44">
            <v>0</v>
          </cell>
          <cell r="BS44">
            <v>0</v>
          </cell>
          <cell r="BT44">
            <v>0.86479672437549404</v>
          </cell>
          <cell r="BU44">
            <v>0</v>
          </cell>
          <cell r="BV44">
            <v>0.91368891665471463</v>
          </cell>
          <cell r="BW44">
            <v>0</v>
          </cell>
          <cell r="BX44">
            <v>1364.9880000000001</v>
          </cell>
          <cell r="BY44">
            <v>0</v>
          </cell>
          <cell r="BZ44">
            <v>71.774411764880114</v>
          </cell>
          <cell r="CA44">
            <v>0</v>
          </cell>
          <cell r="CB44">
            <v>1.9880760856505704</v>
          </cell>
          <cell r="CC44">
            <v>0</v>
          </cell>
          <cell r="CD44">
            <v>0.17403816004243261</v>
          </cell>
          <cell r="CE44">
            <v>0</v>
          </cell>
          <cell r="CF44">
            <v>844.20451628287208</v>
          </cell>
          <cell r="CG44">
            <v>0</v>
          </cell>
          <cell r="CH44">
            <v>469.40954792276608</v>
          </cell>
          <cell r="CI44">
            <v>0</v>
          </cell>
          <cell r="CJ44">
            <v>0</v>
          </cell>
          <cell r="CK44">
            <v>0</v>
          </cell>
        </row>
      </sheetData>
      <sheetData sheetId="1">
        <row r="41">
          <cell r="P41">
            <v>1715.0680000000002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619</v>
          </cell>
        </row>
      </sheetData>
      <sheetData sheetId="13">
        <row r="6">
          <cell r="N6">
            <v>640</v>
          </cell>
        </row>
      </sheetData>
      <sheetData sheetId="14">
        <row r="6">
          <cell r="N6">
            <v>676</v>
          </cell>
        </row>
      </sheetData>
      <sheetData sheetId="15">
        <row r="6">
          <cell r="N6">
            <v>610</v>
          </cell>
        </row>
      </sheetData>
      <sheetData sheetId="16">
        <row r="6">
          <cell r="N6">
            <v>623</v>
          </cell>
        </row>
      </sheetData>
      <sheetData sheetId="17"/>
      <sheetData sheetId="18"/>
      <sheetData sheetId="19">
        <row r="6">
          <cell r="N6">
            <v>679</v>
          </cell>
        </row>
      </sheetData>
      <sheetData sheetId="20">
        <row r="6">
          <cell r="N6">
            <v>710</v>
          </cell>
        </row>
      </sheetData>
      <sheetData sheetId="21">
        <row r="6">
          <cell r="N6">
            <v>704</v>
          </cell>
        </row>
      </sheetData>
      <sheetData sheetId="22">
        <row r="6">
          <cell r="N6">
            <v>720</v>
          </cell>
        </row>
      </sheetData>
      <sheetData sheetId="23">
        <row r="6">
          <cell r="N6">
            <v>689</v>
          </cell>
        </row>
      </sheetData>
      <sheetData sheetId="24">
        <row r="6">
          <cell r="N6">
            <v>745</v>
          </cell>
        </row>
      </sheetData>
      <sheetData sheetId="25">
        <row r="6">
          <cell r="N6">
            <v>588</v>
          </cell>
        </row>
      </sheetData>
      <sheetData sheetId="26">
        <row r="6">
          <cell r="N6">
            <v>143</v>
          </cell>
        </row>
      </sheetData>
      <sheetData sheetId="27">
        <row r="6">
          <cell r="N6">
            <v>530</v>
          </cell>
        </row>
      </sheetData>
      <sheetData sheetId="28">
        <row r="6">
          <cell r="N6">
            <v>705</v>
          </cell>
        </row>
      </sheetData>
      <sheetData sheetId="29">
        <row r="6">
          <cell r="N6">
            <v>743</v>
          </cell>
        </row>
      </sheetData>
      <sheetData sheetId="30">
        <row r="6">
          <cell r="N6">
            <v>727</v>
          </cell>
        </row>
      </sheetData>
      <sheetData sheetId="31">
        <row r="6">
          <cell r="N6">
            <v>699</v>
          </cell>
        </row>
      </sheetData>
      <sheetData sheetId="32">
        <row r="6">
          <cell r="N6">
            <v>639</v>
          </cell>
        </row>
      </sheetData>
      <sheetData sheetId="33">
        <row r="6">
          <cell r="N6">
            <v>600</v>
          </cell>
        </row>
      </sheetData>
      <sheetData sheetId="34">
        <row r="6">
          <cell r="N6">
            <v>751</v>
          </cell>
        </row>
      </sheetData>
      <sheetData sheetId="35">
        <row r="6">
          <cell r="N6">
            <v>635</v>
          </cell>
        </row>
      </sheetData>
      <sheetData sheetId="36">
        <row r="6">
          <cell r="N6">
            <v>639</v>
          </cell>
        </row>
      </sheetData>
      <sheetData sheetId="37">
        <row r="6">
          <cell r="N6">
            <v>624</v>
          </cell>
        </row>
      </sheetData>
      <sheetData sheetId="38">
        <row r="6">
          <cell r="N6">
            <v>685</v>
          </cell>
        </row>
      </sheetData>
      <sheetData sheetId="39">
        <row r="6">
          <cell r="N6">
            <v>718</v>
          </cell>
        </row>
      </sheetData>
      <sheetData sheetId="40">
        <row r="6">
          <cell r="N6">
            <v>625</v>
          </cell>
        </row>
      </sheetData>
      <sheetData sheetId="41">
        <row r="6">
          <cell r="N6">
            <v>734</v>
          </cell>
        </row>
      </sheetData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RBP"/>
      <sheetName val="Chem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56.475000000000001</v>
          </cell>
        </row>
        <row r="45">
          <cell r="B45">
            <v>0.84979165368605014</v>
          </cell>
          <cell r="C45">
            <v>0</v>
          </cell>
          <cell r="D45">
            <v>0.85889246846907286</v>
          </cell>
          <cell r="E45">
            <v>0</v>
          </cell>
          <cell r="F45">
            <v>1534.4690000000003</v>
          </cell>
          <cell r="G45">
            <v>0</v>
          </cell>
          <cell r="H45">
            <v>2.4307190304919817</v>
          </cell>
          <cell r="I45">
            <v>0</v>
          </cell>
          <cell r="J45">
            <v>1009.2876688939294</v>
          </cell>
          <cell r="K45">
            <v>0</v>
          </cell>
          <cell r="L45">
            <v>0.85741705611332952</v>
          </cell>
          <cell r="M45">
            <v>0</v>
          </cell>
          <cell r="N45">
            <v>0.89481520731611941</v>
          </cell>
          <cell r="O45">
            <v>0</v>
          </cell>
          <cell r="P45">
            <v>1704.768</v>
          </cell>
          <cell r="Q45">
            <v>0</v>
          </cell>
          <cell r="R45">
            <v>2.4058077110785745</v>
          </cell>
          <cell r="S45">
            <v>0</v>
          </cell>
          <cell r="T45">
            <v>0.14817265457821827</v>
          </cell>
          <cell r="U45">
            <v>0</v>
          </cell>
          <cell r="V45">
            <v>708.74890307654778</v>
          </cell>
          <cell r="W45">
            <v>0</v>
          </cell>
          <cell r="X45">
            <v>419.01830630326219</v>
          </cell>
          <cell r="Y45">
            <v>0</v>
          </cell>
          <cell r="Z45">
            <v>0.87132155033301406</v>
          </cell>
          <cell r="AA45">
            <v>0</v>
          </cell>
          <cell r="AB45">
            <v>0.87132155033301406</v>
          </cell>
          <cell r="AC45">
            <v>0</v>
          </cell>
          <cell r="AD45">
            <v>1204.6450000000002</v>
          </cell>
          <cell r="AE45">
            <v>0</v>
          </cell>
          <cell r="AF45">
            <v>105.43835507766659</v>
          </cell>
          <cell r="AG45">
            <v>0</v>
          </cell>
          <cell r="AH45">
            <v>1.5603767084908828</v>
          </cell>
          <cell r="AI45">
            <v>0</v>
          </cell>
          <cell r="AJ45">
            <v>928.04959137339199</v>
          </cell>
          <cell r="AK45">
            <v>0</v>
          </cell>
          <cell r="AL45">
            <v>0</v>
          </cell>
          <cell r="AM45">
            <v>0</v>
          </cell>
          <cell r="AN45">
            <v>0.47758007033586591</v>
          </cell>
          <cell r="AO45">
            <v>0</v>
          </cell>
          <cell r="AP45">
            <v>0.8638562625636298</v>
          </cell>
          <cell r="AQ45">
            <v>0</v>
          </cell>
          <cell r="AR45">
            <v>764.20999999999992</v>
          </cell>
          <cell r="AS45">
            <v>0</v>
          </cell>
          <cell r="AT45">
            <v>117.91593614950136</v>
          </cell>
          <cell r="AU45">
            <v>0</v>
          </cell>
          <cell r="AV45">
            <v>1.737087973201084</v>
          </cell>
          <cell r="AW45">
            <v>0</v>
          </cell>
          <cell r="AX45">
            <v>0</v>
          </cell>
          <cell r="AY45">
            <v>0</v>
          </cell>
          <cell r="AZ45">
            <v>1171.1575352324626</v>
          </cell>
          <cell r="BA45">
            <v>0</v>
          </cell>
          <cell r="BB45">
            <v>0</v>
          </cell>
          <cell r="BC45">
            <v>0</v>
          </cell>
          <cell r="BD45">
            <v>23.422881145234534</v>
          </cell>
          <cell r="BE45">
            <v>0</v>
          </cell>
          <cell r="BF45">
            <v>0.79411423930112257</v>
          </cell>
          <cell r="BG45">
            <v>0</v>
          </cell>
          <cell r="BH45">
            <v>0.80751482141228126</v>
          </cell>
          <cell r="BI45">
            <v>0</v>
          </cell>
          <cell r="BJ45">
            <v>1316.4520000000002</v>
          </cell>
          <cell r="BK45">
            <v>0</v>
          </cell>
          <cell r="BL45">
            <v>2.6146034948482737</v>
          </cell>
          <cell r="BM45">
            <v>0</v>
          </cell>
          <cell r="BN45">
            <v>0</v>
          </cell>
          <cell r="BO45">
            <v>0</v>
          </cell>
          <cell r="BP45">
            <v>1083.3644303830235</v>
          </cell>
          <cell r="BQ45">
            <v>0</v>
          </cell>
          <cell r="BR45">
            <v>0</v>
          </cell>
          <cell r="BS45">
            <v>0</v>
          </cell>
          <cell r="BT45">
            <v>0.79215109753247104</v>
          </cell>
          <cell r="BU45">
            <v>0</v>
          </cell>
          <cell r="BV45">
            <v>0.80246910810737848</v>
          </cell>
          <cell r="BW45">
            <v>0</v>
          </cell>
          <cell r="BX45">
            <v>1219.0239999999997</v>
          </cell>
          <cell r="BY45">
            <v>0</v>
          </cell>
          <cell r="BZ45">
            <v>89.967609483204555</v>
          </cell>
          <cell r="CA45">
            <v>0</v>
          </cell>
          <cell r="CB45">
            <v>2.2528678680649445</v>
          </cell>
          <cell r="CC45">
            <v>0</v>
          </cell>
          <cell r="CD45">
            <v>0</v>
          </cell>
          <cell r="CE45">
            <v>0</v>
          </cell>
          <cell r="CF45">
            <v>1093.3749039341374</v>
          </cell>
          <cell r="CG45">
            <v>0</v>
          </cell>
          <cell r="CH45">
            <v>0</v>
          </cell>
          <cell r="CI45">
            <v>0</v>
          </cell>
          <cell r="CJ45">
            <v>3.7653073278297011</v>
          </cell>
          <cell r="CK45">
            <v>0</v>
          </cell>
        </row>
      </sheetData>
      <sheetData sheetId="1">
        <row r="41">
          <cell r="P41">
            <v>1589.6969999999997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683</v>
          </cell>
        </row>
      </sheetData>
      <sheetData sheetId="13">
        <row r="6">
          <cell r="N6">
            <v>384</v>
          </cell>
        </row>
      </sheetData>
      <sheetData sheetId="14">
        <row r="6">
          <cell r="N6">
            <v>693</v>
          </cell>
        </row>
      </sheetData>
      <sheetData sheetId="15">
        <row r="6">
          <cell r="N6">
            <v>664</v>
          </cell>
        </row>
      </sheetData>
      <sheetData sheetId="16">
        <row r="6">
          <cell r="N6">
            <v>655</v>
          </cell>
        </row>
      </sheetData>
      <sheetData sheetId="17">
        <row r="6">
          <cell r="N6">
            <v>550</v>
          </cell>
        </row>
      </sheetData>
      <sheetData sheetId="18">
        <row r="6">
          <cell r="N6">
            <v>687</v>
          </cell>
        </row>
      </sheetData>
      <sheetData sheetId="19">
        <row r="6">
          <cell r="N6">
            <v>603.20000000000005</v>
          </cell>
        </row>
      </sheetData>
      <sheetData sheetId="20">
        <row r="6">
          <cell r="N6">
            <v>678</v>
          </cell>
        </row>
      </sheetData>
      <sheetData sheetId="21">
        <row r="6">
          <cell r="N6">
            <v>655</v>
          </cell>
        </row>
      </sheetData>
      <sheetData sheetId="22">
        <row r="6">
          <cell r="N6">
            <v>673</v>
          </cell>
        </row>
      </sheetData>
      <sheetData sheetId="23">
        <row r="6">
          <cell r="N6">
            <v>859</v>
          </cell>
        </row>
      </sheetData>
      <sheetData sheetId="24">
        <row r="6">
          <cell r="N6">
            <v>708</v>
          </cell>
        </row>
      </sheetData>
      <sheetData sheetId="25">
        <row r="6">
          <cell r="N6">
            <v>735</v>
          </cell>
        </row>
      </sheetData>
      <sheetData sheetId="26">
        <row r="6">
          <cell r="N6">
            <v>607</v>
          </cell>
        </row>
      </sheetData>
      <sheetData sheetId="27">
        <row r="6">
          <cell r="N6">
            <v>746</v>
          </cell>
        </row>
      </sheetData>
      <sheetData sheetId="28">
        <row r="6">
          <cell r="N6">
            <v>457.8</v>
          </cell>
        </row>
      </sheetData>
      <sheetData sheetId="29">
        <row r="6">
          <cell r="N6">
            <v>725</v>
          </cell>
        </row>
      </sheetData>
      <sheetData sheetId="30">
        <row r="6">
          <cell r="N6">
            <v>638</v>
          </cell>
        </row>
      </sheetData>
      <sheetData sheetId="31">
        <row r="6">
          <cell r="N6">
            <v>612</v>
          </cell>
        </row>
      </sheetData>
      <sheetData sheetId="32">
        <row r="6">
          <cell r="N6">
            <v>445.7</v>
          </cell>
        </row>
      </sheetData>
      <sheetData sheetId="33">
        <row r="6">
          <cell r="N6">
            <v>801</v>
          </cell>
        </row>
      </sheetData>
      <sheetData sheetId="34">
        <row r="6">
          <cell r="N6">
            <v>567</v>
          </cell>
        </row>
      </sheetData>
      <sheetData sheetId="35">
        <row r="6">
          <cell r="N6">
            <v>531</v>
          </cell>
        </row>
      </sheetData>
      <sheetData sheetId="36">
        <row r="6">
          <cell r="N6">
            <v>650</v>
          </cell>
        </row>
      </sheetData>
      <sheetData sheetId="37">
        <row r="6">
          <cell r="N6">
            <v>601</v>
          </cell>
        </row>
      </sheetData>
      <sheetData sheetId="38">
        <row r="6">
          <cell r="N6">
            <v>576</v>
          </cell>
        </row>
      </sheetData>
      <sheetData sheetId="39">
        <row r="6">
          <cell r="N6">
            <v>524</v>
          </cell>
        </row>
      </sheetData>
      <sheetData sheetId="40">
        <row r="6">
          <cell r="N6">
            <v>11</v>
          </cell>
        </row>
      </sheetData>
      <sheetData sheetId="41">
        <row r="6">
          <cell r="N6">
            <v>635</v>
          </cell>
        </row>
      </sheetData>
      <sheetData sheetId="42">
        <row r="6">
          <cell r="N6">
            <v>720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</sheetNames>
    <sheetDataSet>
      <sheetData sheetId="0">
        <row r="4">
          <cell r="F4">
            <v>56.024000000000001</v>
          </cell>
        </row>
        <row r="46">
          <cell r="B46">
            <v>0.83769523903512089</v>
          </cell>
          <cell r="C46">
            <v>0</v>
          </cell>
          <cell r="D46">
            <v>0.8766254011798259</v>
          </cell>
          <cell r="E46">
            <v>0</v>
          </cell>
          <cell r="F46">
            <v>1634.1919999999996</v>
          </cell>
          <cell r="G46">
            <v>0</v>
          </cell>
          <cell r="H46">
            <v>2.3108465835103833</v>
          </cell>
          <cell r="I46">
            <v>0</v>
          </cell>
          <cell r="J46">
            <v>925.52625884841029</v>
          </cell>
          <cell r="K46">
            <v>0</v>
          </cell>
          <cell r="L46">
            <v>0.84617170172403267</v>
          </cell>
          <cell r="M46">
            <v>0</v>
          </cell>
          <cell r="N46">
            <v>0.9204051477742291</v>
          </cell>
          <cell r="O46">
            <v>0</v>
          </cell>
          <cell r="P46">
            <v>1544.1629999999998</v>
          </cell>
          <cell r="Q46">
            <v>0</v>
          </cell>
          <cell r="R46">
            <v>2.2768451258060192</v>
          </cell>
          <cell r="S46">
            <v>0</v>
          </cell>
          <cell r="T46">
            <v>0.21063190867803475</v>
          </cell>
          <cell r="U46">
            <v>0</v>
          </cell>
          <cell r="V46">
            <v>556.96866198710893</v>
          </cell>
          <cell r="W46">
            <v>0</v>
          </cell>
          <cell r="X46">
            <v>505.65160543284605</v>
          </cell>
          <cell r="Y46">
            <v>0</v>
          </cell>
          <cell r="Z46">
            <v>0.81429519491858005</v>
          </cell>
          <cell r="AA46">
            <v>0</v>
          </cell>
          <cell r="AB46">
            <v>0.84116945725970971</v>
          </cell>
          <cell r="AC46">
            <v>0</v>
          </cell>
          <cell r="AD46">
            <v>1037.251</v>
          </cell>
          <cell r="AE46">
            <v>0</v>
          </cell>
          <cell r="AF46">
            <v>107.29574153254443</v>
          </cell>
          <cell r="AG46">
            <v>0</v>
          </cell>
          <cell r="AH46">
            <v>1.536754363215846</v>
          </cell>
          <cell r="AI46">
            <v>0</v>
          </cell>
          <cell r="AJ46">
            <v>927.08314573810958</v>
          </cell>
          <cell r="AK46">
            <v>0</v>
          </cell>
          <cell r="AL46">
            <v>0</v>
          </cell>
          <cell r="AM46">
            <v>0</v>
          </cell>
          <cell r="AN46">
            <v>0.88342597272628431</v>
          </cell>
          <cell r="AO46">
            <v>0</v>
          </cell>
          <cell r="AP46">
            <v>0.90448559347378232</v>
          </cell>
          <cell r="AQ46">
            <v>0</v>
          </cell>
          <cell r="AR46">
            <v>1294.864</v>
          </cell>
          <cell r="AS46">
            <v>0</v>
          </cell>
          <cell r="AT46">
            <v>106.60047579603155</v>
          </cell>
          <cell r="AU46">
            <v>0</v>
          </cell>
          <cell r="AV46">
            <v>1.7585630614489243</v>
          </cell>
          <cell r="AW46">
            <v>0</v>
          </cell>
          <cell r="AX46">
            <v>7.321232191179923E-2</v>
          </cell>
          <cell r="AY46">
            <v>0</v>
          </cell>
          <cell r="AZ46">
            <v>932.75272152133323</v>
          </cell>
          <cell r="BA46">
            <v>0</v>
          </cell>
          <cell r="BB46">
            <v>205.07134339976946</v>
          </cell>
          <cell r="BC46">
            <v>0</v>
          </cell>
          <cell r="BD46">
            <v>0</v>
          </cell>
          <cell r="BE46">
            <v>0</v>
          </cell>
          <cell r="BF46">
            <v>0.85694754288718977</v>
          </cell>
          <cell r="BG46">
            <v>0</v>
          </cell>
          <cell r="BH46">
            <v>0.88509205317544382</v>
          </cell>
          <cell r="BI46">
            <v>0</v>
          </cell>
          <cell r="BJ46">
            <v>1241.78</v>
          </cell>
          <cell r="BK46">
            <v>0</v>
          </cell>
          <cell r="BL46">
            <v>2.5784760585610975</v>
          </cell>
          <cell r="BM46">
            <v>0</v>
          </cell>
          <cell r="BN46">
            <v>0</v>
          </cell>
          <cell r="BO46">
            <v>0</v>
          </cell>
          <cell r="BP46">
            <v>1074.7242034080921</v>
          </cell>
          <cell r="BQ46">
            <v>0</v>
          </cell>
          <cell r="BR46">
            <v>0</v>
          </cell>
          <cell r="BS46">
            <v>0</v>
          </cell>
          <cell r="BT46">
            <v>0.52741321849552625</v>
          </cell>
          <cell r="BU46">
            <v>0</v>
          </cell>
          <cell r="BV46">
            <v>0.87317352495084033</v>
          </cell>
          <cell r="BW46">
            <v>0</v>
          </cell>
          <cell r="BX46">
            <v>769.93799999999987</v>
          </cell>
          <cell r="BY46">
            <v>0</v>
          </cell>
          <cell r="BZ46">
            <v>79.808070660850817</v>
          </cell>
          <cell r="CA46">
            <v>0</v>
          </cell>
          <cell r="CB46">
            <v>2.0515937646927416</v>
          </cell>
          <cell r="CC46">
            <v>0</v>
          </cell>
          <cell r="CD46">
            <v>7.8512815317597004E-2</v>
          </cell>
          <cell r="CE46">
            <v>0</v>
          </cell>
          <cell r="CF46">
            <v>1021.1664039077168</v>
          </cell>
          <cell r="CG46">
            <v>0</v>
          </cell>
          <cell r="CH46">
            <v>210.64553249742193</v>
          </cell>
          <cell r="CI46">
            <v>0</v>
          </cell>
          <cell r="CJ46">
            <v>0</v>
          </cell>
          <cell r="CK46">
            <v>0</v>
          </cell>
        </row>
      </sheetData>
      <sheetData sheetId="1">
        <row r="41">
          <cell r="P41">
            <v>1722.4600000000005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697</v>
          </cell>
        </row>
      </sheetData>
      <sheetData sheetId="13">
        <row r="6">
          <cell r="N6">
            <v>542</v>
          </cell>
        </row>
      </sheetData>
      <sheetData sheetId="14">
        <row r="6">
          <cell r="N6">
            <v>552</v>
          </cell>
        </row>
      </sheetData>
      <sheetData sheetId="15">
        <row r="6">
          <cell r="N6">
            <v>547</v>
          </cell>
        </row>
      </sheetData>
      <sheetData sheetId="16">
        <row r="6">
          <cell r="N6">
            <v>624</v>
          </cell>
        </row>
      </sheetData>
      <sheetData sheetId="17">
        <row r="6">
          <cell r="N6">
            <v>636</v>
          </cell>
        </row>
      </sheetData>
      <sheetData sheetId="18">
        <row r="6">
          <cell r="N6">
            <v>607</v>
          </cell>
        </row>
      </sheetData>
      <sheetData sheetId="19">
        <row r="6">
          <cell r="N6">
            <v>766</v>
          </cell>
        </row>
      </sheetData>
      <sheetData sheetId="20">
        <row r="6">
          <cell r="N6">
            <v>661</v>
          </cell>
        </row>
      </sheetData>
      <sheetData sheetId="21">
        <row r="6">
          <cell r="N6">
            <v>671</v>
          </cell>
        </row>
      </sheetData>
      <sheetData sheetId="22">
        <row r="6">
          <cell r="N6">
            <v>675</v>
          </cell>
        </row>
      </sheetData>
      <sheetData sheetId="23">
        <row r="6">
          <cell r="N6">
            <v>624</v>
          </cell>
        </row>
      </sheetData>
      <sheetData sheetId="24">
        <row r="6">
          <cell r="N6">
            <v>607</v>
          </cell>
        </row>
      </sheetData>
      <sheetData sheetId="25">
        <row r="6">
          <cell r="N6">
            <v>593</v>
          </cell>
        </row>
      </sheetData>
      <sheetData sheetId="26">
        <row r="6">
          <cell r="N6">
            <v>642</v>
          </cell>
        </row>
      </sheetData>
      <sheetData sheetId="27">
        <row r="6">
          <cell r="N6">
            <v>577</v>
          </cell>
        </row>
      </sheetData>
      <sheetData sheetId="28">
        <row r="6">
          <cell r="N6">
            <v>624</v>
          </cell>
        </row>
      </sheetData>
      <sheetData sheetId="29">
        <row r="6">
          <cell r="N6">
            <v>569</v>
          </cell>
        </row>
      </sheetData>
      <sheetData sheetId="30">
        <row r="6">
          <cell r="N6">
            <v>606</v>
          </cell>
        </row>
      </sheetData>
      <sheetData sheetId="31">
        <row r="6">
          <cell r="N6">
            <v>339</v>
          </cell>
        </row>
      </sheetData>
      <sheetData sheetId="32">
        <row r="6">
          <cell r="N6">
            <v>593</v>
          </cell>
        </row>
      </sheetData>
      <sheetData sheetId="33">
        <row r="6">
          <cell r="N6">
            <v>666</v>
          </cell>
        </row>
      </sheetData>
      <sheetData sheetId="34">
        <row r="6">
          <cell r="N6">
            <v>718</v>
          </cell>
        </row>
      </sheetData>
      <sheetData sheetId="35">
        <row r="6">
          <cell r="N6">
            <v>612</v>
          </cell>
        </row>
      </sheetData>
      <sheetData sheetId="36">
        <row r="6">
          <cell r="N6">
            <v>644</v>
          </cell>
        </row>
      </sheetData>
      <sheetData sheetId="37">
        <row r="6">
          <cell r="N6">
            <v>614</v>
          </cell>
        </row>
      </sheetData>
      <sheetData sheetId="38">
        <row r="6">
          <cell r="N6">
            <v>530</v>
          </cell>
        </row>
      </sheetData>
      <sheetData sheetId="39">
        <row r="6">
          <cell r="N6">
            <v>531</v>
          </cell>
        </row>
      </sheetData>
      <sheetData sheetId="40"/>
      <sheetData sheetId="41"/>
      <sheetData sheetId="4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7">
          <cell r="B47">
            <v>0.83356468968646791</v>
          </cell>
          <cell r="C47">
            <v>0</v>
          </cell>
          <cell r="D47">
            <v>0.83361178337123676</v>
          </cell>
          <cell r="E47">
            <v>0</v>
          </cell>
          <cell r="F47">
            <v>1793.9010000000003</v>
          </cell>
          <cell r="G47">
            <v>0</v>
          </cell>
          <cell r="H47">
            <v>2.2654867799282119</v>
          </cell>
          <cell r="I47">
            <v>0</v>
          </cell>
          <cell r="J47">
            <v>869.87488161275269</v>
          </cell>
          <cell r="K47">
            <v>0</v>
          </cell>
          <cell r="L47">
            <v>0.92571232966703221</v>
          </cell>
          <cell r="M47">
            <v>0</v>
          </cell>
          <cell r="N47">
            <v>0.92998023945781472</v>
          </cell>
          <cell r="O47">
            <v>0</v>
          </cell>
          <cell r="P47">
            <v>1900.5750000000003</v>
          </cell>
          <cell r="Q47">
            <v>0</v>
          </cell>
          <cell r="R47">
            <v>2.404628073083146</v>
          </cell>
          <cell r="S47">
            <v>0</v>
          </cell>
          <cell r="T47">
            <v>0.23240335161727366</v>
          </cell>
          <cell r="U47">
            <v>0</v>
          </cell>
          <cell r="V47">
            <v>527.49748365626192</v>
          </cell>
          <cell r="W47">
            <v>0</v>
          </cell>
          <cell r="X47">
            <v>446.15971482314541</v>
          </cell>
          <cell r="Y47">
            <v>0</v>
          </cell>
          <cell r="Z47">
            <v>0.89180765054163103</v>
          </cell>
          <cell r="AA47">
            <v>0</v>
          </cell>
          <cell r="AB47">
            <v>0.89180765054163103</v>
          </cell>
          <cell r="AC47">
            <v>0</v>
          </cell>
          <cell r="AD47">
            <v>1235.4100000000003</v>
          </cell>
          <cell r="AE47">
            <v>0</v>
          </cell>
          <cell r="AF47">
            <v>96.393123699060041</v>
          </cell>
          <cell r="AG47">
            <v>0</v>
          </cell>
          <cell r="AH47">
            <v>1.4614581394031132</v>
          </cell>
          <cell r="AI47">
            <v>0</v>
          </cell>
          <cell r="AJ47">
            <v>901.21823524174181</v>
          </cell>
          <cell r="AK47">
            <v>0</v>
          </cell>
          <cell r="AL47">
            <v>0</v>
          </cell>
          <cell r="AM47">
            <v>0</v>
          </cell>
          <cell r="AN47">
            <v>0.65645764284355046</v>
          </cell>
          <cell r="AO47">
            <v>0</v>
          </cell>
          <cell r="AP47">
            <v>0.84659221514529037</v>
          </cell>
          <cell r="AQ47">
            <v>0</v>
          </cell>
          <cell r="AR47">
            <v>1045.3910000000001</v>
          </cell>
          <cell r="AS47">
            <v>0</v>
          </cell>
          <cell r="AT47">
            <v>119.51094164883219</v>
          </cell>
          <cell r="AU47">
            <v>0</v>
          </cell>
          <cell r="AV47">
            <v>1.7690031768017898</v>
          </cell>
          <cell r="AW47">
            <v>0</v>
          </cell>
          <cell r="AX47">
            <v>9.0148088131617746E-2</v>
          </cell>
          <cell r="AY47">
            <v>0</v>
          </cell>
          <cell r="AZ47">
            <v>1055.9628120004859</v>
          </cell>
          <cell r="BA47">
            <v>0</v>
          </cell>
          <cell r="BB47">
            <v>340.1813292825363</v>
          </cell>
          <cell r="BC47">
            <v>0</v>
          </cell>
          <cell r="BD47">
            <v>7.6095929656941745</v>
          </cell>
          <cell r="BE47">
            <v>0</v>
          </cell>
          <cell r="BF47">
            <v>0.90491767701928916</v>
          </cell>
          <cell r="BG47">
            <v>0</v>
          </cell>
          <cell r="BH47">
            <v>0.90491767701928916</v>
          </cell>
          <cell r="BI47">
            <v>0</v>
          </cell>
          <cell r="BJ47">
            <v>1444.9050000000002</v>
          </cell>
          <cell r="BK47">
            <v>0</v>
          </cell>
          <cell r="BL47">
            <v>2.4918593263916997</v>
          </cell>
          <cell r="BM47">
            <v>0</v>
          </cell>
          <cell r="BN47">
            <v>0</v>
          </cell>
          <cell r="BO47">
            <v>0</v>
          </cell>
          <cell r="BP47">
            <v>1021.2881687593227</v>
          </cell>
          <cell r="BQ47">
            <v>0</v>
          </cell>
          <cell r="BR47">
            <v>0</v>
          </cell>
          <cell r="BS47">
            <v>0</v>
          </cell>
          <cell r="BT47">
            <v>0.83316575545335458</v>
          </cell>
          <cell r="BU47">
            <v>0</v>
          </cell>
          <cell r="BV47">
            <v>0.84218323358645453</v>
          </cell>
          <cell r="BW47">
            <v>0</v>
          </cell>
          <cell r="BX47">
            <v>1301.6999999999998</v>
          </cell>
          <cell r="BY47">
            <v>0</v>
          </cell>
          <cell r="BZ47">
            <v>87.852276445978333</v>
          </cell>
          <cell r="CA47">
            <v>0</v>
          </cell>
          <cell r="CB47">
            <v>1.9540600752861652</v>
          </cell>
          <cell r="CC47">
            <v>0</v>
          </cell>
          <cell r="CD47">
            <v>9.0078359068909902E-2</v>
          </cell>
          <cell r="CE47">
            <v>0</v>
          </cell>
          <cell r="CF47">
            <v>925.71845933687518</v>
          </cell>
          <cell r="CG47">
            <v>0</v>
          </cell>
          <cell r="CH47">
            <v>294.56672044249837</v>
          </cell>
          <cell r="CI47">
            <v>0</v>
          </cell>
          <cell r="CJ47">
            <v>8.7308903741261457</v>
          </cell>
          <cell r="CK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 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7">
          <cell r="D7">
            <v>0</v>
          </cell>
          <cell r="E7">
            <v>0</v>
          </cell>
          <cell r="F7">
            <v>6300</v>
          </cell>
          <cell r="G7">
            <v>8002.0000000014988</v>
          </cell>
          <cell r="H7">
            <v>4800.0000000001819</v>
          </cell>
          <cell r="I7">
            <v>10730.649999999272</v>
          </cell>
          <cell r="J7">
            <v>5720.6500000000769</v>
          </cell>
          <cell r="K7">
            <v>14100.000000000364</v>
          </cell>
          <cell r="L7">
            <v>460</v>
          </cell>
          <cell r="M7">
            <v>700</v>
          </cell>
        </row>
        <row r="8">
          <cell r="D8">
            <v>0</v>
          </cell>
          <cell r="E8">
            <v>0</v>
          </cell>
          <cell r="F8">
            <v>6100</v>
          </cell>
          <cell r="G8">
            <v>8197.999999998865</v>
          </cell>
          <cell r="H8">
            <v>4799.9999999992724</v>
          </cell>
          <cell r="I8">
            <v>14179.890000001091</v>
          </cell>
          <cell r="J8">
            <v>9239.8900000006506</v>
          </cell>
          <cell r="K8">
            <v>14899.999999999636</v>
          </cell>
          <cell r="L8">
            <v>480</v>
          </cell>
          <cell r="M8">
            <v>730</v>
          </cell>
        </row>
        <row r="9">
          <cell r="D9">
            <v>0</v>
          </cell>
          <cell r="E9">
            <v>0</v>
          </cell>
          <cell r="F9">
            <v>6100</v>
          </cell>
          <cell r="G9">
            <v>7600.0000000007276</v>
          </cell>
          <cell r="H9">
            <v>4400.0000000005457</v>
          </cell>
          <cell r="I9">
            <v>10573.540000000365</v>
          </cell>
          <cell r="J9">
            <v>6693.5399999985502</v>
          </cell>
          <cell r="K9">
            <v>13600.000000000364</v>
          </cell>
          <cell r="L9">
            <v>460</v>
          </cell>
          <cell r="M9">
            <v>650</v>
          </cell>
        </row>
        <row r="10">
          <cell r="D10">
            <v>0</v>
          </cell>
          <cell r="E10">
            <v>0</v>
          </cell>
          <cell r="F10">
            <v>6500</v>
          </cell>
          <cell r="G10">
            <v>8299.9999999992724</v>
          </cell>
          <cell r="H10">
            <v>4599.9999999994543</v>
          </cell>
          <cell r="I10">
            <v>11440.87</v>
          </cell>
          <cell r="J10">
            <v>7310.8699999999144</v>
          </cell>
          <cell r="K10">
            <v>14199.999999998909</v>
          </cell>
          <cell r="L10">
            <v>430</v>
          </cell>
          <cell r="M10">
            <v>690</v>
          </cell>
        </row>
        <row r="11">
          <cell r="D11">
            <v>0</v>
          </cell>
          <cell r="E11">
            <v>0</v>
          </cell>
          <cell r="F11">
            <v>6100</v>
          </cell>
          <cell r="G11">
            <v>7500.0000000003638</v>
          </cell>
          <cell r="H11">
            <v>5600.0000000003638</v>
          </cell>
          <cell r="I11">
            <v>12132.279999999637</v>
          </cell>
          <cell r="J11">
            <v>6712.2800000001553</v>
          </cell>
          <cell r="K11">
            <v>10000</v>
          </cell>
          <cell r="L11">
            <v>440</v>
          </cell>
          <cell r="M11">
            <v>630</v>
          </cell>
        </row>
        <row r="12">
          <cell r="D12">
            <v>0</v>
          </cell>
          <cell r="E12">
            <v>0</v>
          </cell>
          <cell r="F12">
            <v>6300</v>
          </cell>
          <cell r="G12">
            <v>8499.9999999992724</v>
          </cell>
          <cell r="H12">
            <v>7100.0000000003638</v>
          </cell>
          <cell r="I12">
            <v>15794.890000000363</v>
          </cell>
          <cell r="J12">
            <v>8074.8900000006315</v>
          </cell>
          <cell r="K12">
            <v>7899.9999999996362</v>
          </cell>
          <cell r="L12">
            <v>350</v>
          </cell>
          <cell r="M12">
            <v>510</v>
          </cell>
        </row>
        <row r="13">
          <cell r="D13">
            <v>0</v>
          </cell>
          <cell r="E13">
            <v>0</v>
          </cell>
          <cell r="F13">
            <v>6000</v>
          </cell>
          <cell r="G13">
            <v>8400.0000000014552</v>
          </cell>
          <cell r="H13">
            <v>6899.9999999996362</v>
          </cell>
          <cell r="I13">
            <v>13983.05</v>
          </cell>
          <cell r="J13">
            <v>6583.0499999996809</v>
          </cell>
          <cell r="K13">
            <v>8500</v>
          </cell>
          <cell r="L13">
            <v>340</v>
          </cell>
          <cell r="M13">
            <v>570</v>
          </cell>
        </row>
        <row r="14">
          <cell r="D14">
            <v>0</v>
          </cell>
          <cell r="E14">
            <v>0</v>
          </cell>
          <cell r="F14">
            <v>6400</v>
          </cell>
          <cell r="G14">
            <v>8699.9999999985448</v>
          </cell>
          <cell r="H14">
            <v>7199.9999999998181</v>
          </cell>
          <cell r="I14">
            <v>15084.249999998545</v>
          </cell>
          <cell r="J14">
            <v>8734.2500000010914</v>
          </cell>
          <cell r="K14">
            <v>9100.0000000003638</v>
          </cell>
          <cell r="L14">
            <v>370</v>
          </cell>
          <cell r="M14">
            <v>610</v>
          </cell>
        </row>
        <row r="15">
          <cell r="D15">
            <v>0</v>
          </cell>
          <cell r="E15">
            <v>0</v>
          </cell>
          <cell r="F15">
            <v>6200</v>
          </cell>
          <cell r="G15">
            <v>8800</v>
          </cell>
          <cell r="H15">
            <v>7300.0000000001819</v>
          </cell>
          <cell r="I15">
            <v>14658.970000001455</v>
          </cell>
          <cell r="J15">
            <v>8318.9699999988297</v>
          </cell>
          <cell r="K15">
            <v>9100.0000000003638</v>
          </cell>
          <cell r="L15">
            <v>390</v>
          </cell>
          <cell r="M15">
            <v>630</v>
          </cell>
        </row>
        <row r="16">
          <cell r="D16">
            <v>0</v>
          </cell>
          <cell r="E16">
            <v>0</v>
          </cell>
          <cell r="F16">
            <v>6000</v>
          </cell>
          <cell r="G16">
            <v>8400.0000000014552</v>
          </cell>
          <cell r="H16">
            <v>6100.0000000003638</v>
          </cell>
          <cell r="I16">
            <v>13071.119999999637</v>
          </cell>
          <cell r="J16">
            <v>8521.1199999996134</v>
          </cell>
          <cell r="K16">
            <v>11100.000000000364</v>
          </cell>
          <cell r="L16">
            <v>370</v>
          </cell>
          <cell r="M16">
            <v>640</v>
          </cell>
        </row>
        <row r="17">
          <cell r="D17">
            <v>0</v>
          </cell>
          <cell r="E17">
            <v>0</v>
          </cell>
          <cell r="F17">
            <v>6000</v>
          </cell>
          <cell r="G17">
            <v>8299.9999999992724</v>
          </cell>
          <cell r="H17">
            <v>6099.9999999994543</v>
          </cell>
          <cell r="I17">
            <v>12902.870000000365</v>
          </cell>
          <cell r="J17">
            <v>8352.8700000000681</v>
          </cell>
          <cell r="K17">
            <v>12000</v>
          </cell>
          <cell r="L17">
            <v>370</v>
          </cell>
          <cell r="M17">
            <v>700</v>
          </cell>
        </row>
        <row r="18">
          <cell r="D18">
            <v>0</v>
          </cell>
          <cell r="E18">
            <v>0</v>
          </cell>
          <cell r="F18">
            <v>6300</v>
          </cell>
          <cell r="G18">
            <v>8700</v>
          </cell>
          <cell r="H18">
            <v>5900.0000000005457</v>
          </cell>
          <cell r="I18">
            <v>12456.929999999273</v>
          </cell>
          <cell r="J18">
            <v>8916.9300000007861</v>
          </cell>
          <cell r="K18">
            <v>11399.999999999636</v>
          </cell>
          <cell r="L18">
            <v>382.92000000004191</v>
          </cell>
          <cell r="M18">
            <v>718.88000000000466</v>
          </cell>
        </row>
        <row r="19">
          <cell r="D19">
            <v>0</v>
          </cell>
          <cell r="E19">
            <v>0</v>
          </cell>
          <cell r="F19">
            <v>5300</v>
          </cell>
          <cell r="G19">
            <v>6999.9999999992724</v>
          </cell>
          <cell r="H19">
            <v>4000</v>
          </cell>
          <cell r="I19">
            <v>8909.65</v>
          </cell>
          <cell r="J19">
            <v>5369.6499999991265</v>
          </cell>
          <cell r="K19">
            <v>7100.0000000003638</v>
          </cell>
          <cell r="L19">
            <v>347.07999999995809</v>
          </cell>
          <cell r="M19">
            <v>561.11999999999534</v>
          </cell>
        </row>
        <row r="20">
          <cell r="D20">
            <v>0</v>
          </cell>
          <cell r="E20">
            <v>0</v>
          </cell>
          <cell r="F20">
            <v>6400</v>
          </cell>
          <cell r="G20">
            <v>8200.0000000003638</v>
          </cell>
          <cell r="H20">
            <v>5199.9999999998181</v>
          </cell>
          <cell r="I20">
            <v>11454.689999999273</v>
          </cell>
          <cell r="J20">
            <v>5004.6900000011829</v>
          </cell>
          <cell r="K20">
            <v>8299.9999999992724</v>
          </cell>
          <cell r="L20">
            <v>310</v>
          </cell>
          <cell r="M20">
            <v>610</v>
          </cell>
        </row>
        <row r="21">
          <cell r="D21">
            <v>0</v>
          </cell>
          <cell r="E21">
            <v>0</v>
          </cell>
          <cell r="F21">
            <v>6400</v>
          </cell>
          <cell r="G21">
            <v>8700.0000000003638</v>
          </cell>
          <cell r="H21">
            <v>6000</v>
          </cell>
          <cell r="I21">
            <v>14134.760000000364</v>
          </cell>
          <cell r="J21">
            <v>6664.7600000000184</v>
          </cell>
          <cell r="K21">
            <v>8700.0000000007276</v>
          </cell>
          <cell r="L21">
            <v>350</v>
          </cell>
          <cell r="M21">
            <v>480</v>
          </cell>
        </row>
        <row r="22">
          <cell r="D22">
            <v>0</v>
          </cell>
          <cell r="E22">
            <v>0</v>
          </cell>
          <cell r="F22">
            <v>6100</v>
          </cell>
          <cell r="G22">
            <v>7900</v>
          </cell>
          <cell r="H22">
            <v>5800.0000000001819</v>
          </cell>
          <cell r="I22">
            <v>12862.410000001091</v>
          </cell>
          <cell r="J22">
            <v>5302.4099999992131</v>
          </cell>
          <cell r="K22">
            <v>8600.0000000003638</v>
          </cell>
          <cell r="L22">
            <v>320</v>
          </cell>
          <cell r="M22">
            <v>520</v>
          </cell>
        </row>
        <row r="23">
          <cell r="D23">
            <v>0</v>
          </cell>
          <cell r="E23">
            <v>0</v>
          </cell>
          <cell r="F23">
            <v>6000</v>
          </cell>
          <cell r="G23">
            <v>8000</v>
          </cell>
          <cell r="H23">
            <v>5599.9999999994543</v>
          </cell>
          <cell r="I23">
            <v>14039.529999999637</v>
          </cell>
          <cell r="J23">
            <v>6479.5300000010784</v>
          </cell>
          <cell r="K23">
            <v>8000</v>
          </cell>
          <cell r="L23">
            <v>340</v>
          </cell>
          <cell r="M23">
            <v>520</v>
          </cell>
        </row>
        <row r="24">
          <cell r="D24">
            <v>5</v>
          </cell>
          <cell r="E24">
            <v>0</v>
          </cell>
          <cell r="F24">
            <v>6300</v>
          </cell>
          <cell r="G24">
            <v>8695</v>
          </cell>
          <cell r="H24">
            <v>5600.0000000003638</v>
          </cell>
          <cell r="I24">
            <v>15366.94</v>
          </cell>
          <cell r="J24">
            <v>5596.9399999997231</v>
          </cell>
          <cell r="K24">
            <v>8500</v>
          </cell>
          <cell r="L24">
            <v>310</v>
          </cell>
          <cell r="M24">
            <v>560</v>
          </cell>
        </row>
        <row r="25">
          <cell r="D25">
            <v>0</v>
          </cell>
          <cell r="E25">
            <v>0</v>
          </cell>
          <cell r="F25">
            <v>6600</v>
          </cell>
          <cell r="G25">
            <v>7400</v>
          </cell>
          <cell r="H25">
            <v>6199.9999999998181</v>
          </cell>
          <cell r="I25">
            <v>19407.999999999636</v>
          </cell>
          <cell r="J25">
            <v>6048.0000000003274</v>
          </cell>
          <cell r="K25">
            <v>9199.9999999989086</v>
          </cell>
          <cell r="L25">
            <v>330</v>
          </cell>
          <cell r="M25">
            <v>610</v>
          </cell>
        </row>
        <row r="26">
          <cell r="D26">
            <v>0</v>
          </cell>
          <cell r="E26">
            <v>0</v>
          </cell>
          <cell r="F26">
            <v>6700</v>
          </cell>
          <cell r="G26">
            <v>8699.9999999996362</v>
          </cell>
          <cell r="H26">
            <v>6399.9999999996362</v>
          </cell>
          <cell r="I26">
            <v>18094.53</v>
          </cell>
          <cell r="J26">
            <v>5644.5300000000689</v>
          </cell>
          <cell r="K26">
            <v>9000</v>
          </cell>
          <cell r="L26">
            <v>310</v>
          </cell>
          <cell r="M26">
            <v>590</v>
          </cell>
        </row>
        <row r="27">
          <cell r="D27">
            <v>0</v>
          </cell>
          <cell r="E27">
            <v>0</v>
          </cell>
          <cell r="F27">
            <v>6600</v>
          </cell>
          <cell r="G27">
            <v>8200.0000000010914</v>
          </cell>
          <cell r="H27">
            <v>6300.0000000001819</v>
          </cell>
          <cell r="I27">
            <v>17783.010000000726</v>
          </cell>
          <cell r="J27">
            <v>5513.0099999996319</v>
          </cell>
          <cell r="K27">
            <v>9000</v>
          </cell>
          <cell r="L27">
            <v>330</v>
          </cell>
          <cell r="M27">
            <v>570</v>
          </cell>
        </row>
        <row r="28">
          <cell r="D28">
            <v>0</v>
          </cell>
          <cell r="E28">
            <v>0</v>
          </cell>
          <cell r="F28">
            <v>6500</v>
          </cell>
          <cell r="G28">
            <v>8199.9999999989086</v>
          </cell>
          <cell r="H28">
            <v>6300.0000000001819</v>
          </cell>
          <cell r="I28">
            <v>18345.849999998543</v>
          </cell>
          <cell r="J28">
            <v>5175.8499999993137</v>
          </cell>
          <cell r="K28">
            <v>9100.0000000003638</v>
          </cell>
          <cell r="L28">
            <v>330</v>
          </cell>
          <cell r="M28">
            <v>560</v>
          </cell>
        </row>
        <row r="29">
          <cell r="D29">
            <v>0</v>
          </cell>
          <cell r="E29">
            <v>0</v>
          </cell>
          <cell r="F29">
            <v>6500</v>
          </cell>
          <cell r="G29">
            <v>8200.0000000007276</v>
          </cell>
          <cell r="H29">
            <v>6000</v>
          </cell>
          <cell r="I29">
            <v>17700.800000000363</v>
          </cell>
          <cell r="J29">
            <v>6020.8000000002085</v>
          </cell>
          <cell r="K29">
            <v>8899.9999999996362</v>
          </cell>
          <cell r="L29">
            <v>330</v>
          </cell>
          <cell r="M29">
            <v>530</v>
          </cell>
        </row>
        <row r="30">
          <cell r="D30">
            <v>0</v>
          </cell>
          <cell r="E30">
            <v>0</v>
          </cell>
          <cell r="F30">
            <v>6400</v>
          </cell>
          <cell r="G30">
            <v>8200.0000000003638</v>
          </cell>
          <cell r="H30">
            <v>5899.9999999996362</v>
          </cell>
          <cell r="I30">
            <v>16895.840000000728</v>
          </cell>
          <cell r="J30">
            <v>7255.8400000000593</v>
          </cell>
          <cell r="K30">
            <v>9200.0000000007276</v>
          </cell>
          <cell r="L30">
            <v>320</v>
          </cell>
          <cell r="M30">
            <v>600</v>
          </cell>
        </row>
        <row r="31">
          <cell r="D31">
            <v>0</v>
          </cell>
          <cell r="E31">
            <v>0</v>
          </cell>
          <cell r="F31">
            <v>7000</v>
          </cell>
          <cell r="G31">
            <v>8500</v>
          </cell>
          <cell r="H31">
            <v>6300.0000000001819</v>
          </cell>
          <cell r="I31">
            <v>14683.32</v>
          </cell>
          <cell r="J31">
            <v>6403.3199999996177</v>
          </cell>
          <cell r="K31">
            <v>10600.000000000364</v>
          </cell>
          <cell r="L31">
            <v>390</v>
          </cell>
          <cell r="M31">
            <v>630</v>
          </cell>
        </row>
        <row r="32">
          <cell r="D32">
            <v>0</v>
          </cell>
          <cell r="E32">
            <v>0</v>
          </cell>
          <cell r="F32">
            <v>6700</v>
          </cell>
          <cell r="G32">
            <v>8300</v>
          </cell>
          <cell r="H32">
            <v>6100.0000000003638</v>
          </cell>
          <cell r="I32">
            <v>15267.229999998908</v>
          </cell>
          <cell r="J32">
            <v>7607.2299999999632</v>
          </cell>
          <cell r="K32">
            <v>8299.9999999992724</v>
          </cell>
          <cell r="L32">
            <v>380</v>
          </cell>
          <cell r="M32">
            <v>560</v>
          </cell>
        </row>
        <row r="33">
          <cell r="D33">
            <v>0</v>
          </cell>
          <cell r="E33">
            <v>0</v>
          </cell>
          <cell r="F33">
            <v>6400</v>
          </cell>
          <cell r="G33">
            <v>7999.9999999996362</v>
          </cell>
          <cell r="H33">
            <v>6000</v>
          </cell>
          <cell r="I33">
            <v>15018.89</v>
          </cell>
          <cell r="J33">
            <v>6878.8900000011499</v>
          </cell>
          <cell r="K33">
            <v>8600.0000000003638</v>
          </cell>
          <cell r="L33">
            <v>410</v>
          </cell>
          <cell r="M33">
            <v>620</v>
          </cell>
        </row>
        <row r="34">
          <cell r="D34">
            <v>0</v>
          </cell>
          <cell r="E34">
            <v>0</v>
          </cell>
          <cell r="F34">
            <v>6700</v>
          </cell>
          <cell r="G34">
            <v>8300</v>
          </cell>
          <cell r="H34">
            <v>5899.9999999996362</v>
          </cell>
          <cell r="I34">
            <v>15250.400000000727</v>
          </cell>
          <cell r="J34">
            <v>6900.3999999995676</v>
          </cell>
          <cell r="K34">
            <v>8600.0000000003638</v>
          </cell>
          <cell r="L34">
            <v>230</v>
          </cell>
          <cell r="M34">
            <v>660</v>
          </cell>
        </row>
        <row r="35">
          <cell r="D35">
            <v>0</v>
          </cell>
          <cell r="E35">
            <v>0</v>
          </cell>
          <cell r="F35">
            <v>6900</v>
          </cell>
          <cell r="G35">
            <v>8399.9999999992724</v>
          </cell>
          <cell r="H35">
            <v>6300.0000000001819</v>
          </cell>
          <cell r="I35">
            <v>15975.610000000728</v>
          </cell>
          <cell r="J35">
            <v>7095.6099999989365</v>
          </cell>
          <cell r="K35">
            <v>8599.9999999985448</v>
          </cell>
          <cell r="L35">
            <v>380</v>
          </cell>
          <cell r="M35">
            <v>560</v>
          </cell>
        </row>
        <row r="36">
          <cell r="D36">
            <v>0</v>
          </cell>
          <cell r="E36">
            <v>0</v>
          </cell>
          <cell r="F36">
            <v>6500</v>
          </cell>
          <cell r="G36">
            <v>8300.0000000010914</v>
          </cell>
          <cell r="H36">
            <v>5899.9999999996362</v>
          </cell>
          <cell r="I36">
            <v>15178.299999999272</v>
          </cell>
          <cell r="J36">
            <v>7028.3000000011361</v>
          </cell>
          <cell r="K36">
            <v>8300.0000000010914</v>
          </cell>
          <cell r="L36">
            <v>350</v>
          </cell>
          <cell r="M36">
            <v>570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N38">
            <v>1573548.1400000015</v>
          </cell>
        </row>
      </sheetData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50"/>
  <sheetViews>
    <sheetView zoomScale="115" zoomScaleNormal="115" workbookViewId="0">
      <selection activeCell="G8" sqref="G8"/>
    </sheetView>
  </sheetViews>
  <sheetFormatPr defaultRowHeight="12.75"/>
  <cols>
    <col min="1" max="1" width="11.5703125" style="578" customWidth="1"/>
    <col min="2" max="9" width="9.140625" style="578" customWidth="1"/>
    <col min="10" max="10" width="10.28515625" style="578" customWidth="1"/>
    <col min="11" max="11" width="9.140625" style="578" customWidth="1"/>
    <col min="12" max="25" width="9.42578125" style="578" customWidth="1"/>
    <col min="26" max="34" width="9.140625" style="578" customWidth="1"/>
    <col min="35" max="35" width="9.28515625" style="578" customWidth="1"/>
    <col min="36" max="36" width="10.28515625" style="578" customWidth="1"/>
    <col min="37" max="37" width="9.140625" style="578" customWidth="1"/>
    <col min="38" max="39" width="8.140625" style="578" customWidth="1"/>
    <col min="40" max="53" width="9.140625" style="578" customWidth="1"/>
    <col min="54" max="54" width="12.85546875" style="578" customWidth="1"/>
    <col min="55" max="55" width="9.140625" style="578" customWidth="1"/>
    <col min="56" max="56" width="7.7109375" style="578" customWidth="1"/>
    <col min="57" max="57" width="10.7109375" style="578" customWidth="1"/>
    <col min="58" max="71" width="9.140625" style="578" customWidth="1"/>
    <col min="72" max="87" width="9.140625" style="578"/>
    <col min="88" max="89" width="9.140625" style="578" customWidth="1"/>
    <col min="90" max="16384" width="9.140625" style="578"/>
  </cols>
  <sheetData>
    <row r="1" spans="1:89" ht="13.5" thickBot="1">
      <c r="A1" s="625" t="s">
        <v>29</v>
      </c>
      <c r="B1" s="628" t="s">
        <v>148</v>
      </c>
      <c r="C1" s="629"/>
      <c r="D1" s="629"/>
      <c r="E1" s="629"/>
      <c r="F1" s="629"/>
      <c r="G1" s="629"/>
      <c r="H1" s="629"/>
      <c r="I1" s="629"/>
      <c r="J1" s="629"/>
      <c r="K1" s="630"/>
      <c r="L1" s="631" t="s">
        <v>212</v>
      </c>
      <c r="M1" s="632"/>
      <c r="N1" s="632"/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3"/>
      <c r="Z1" s="782" t="s">
        <v>313</v>
      </c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3"/>
      <c r="AL1" s="783"/>
      <c r="AM1" s="784"/>
      <c r="AN1" s="792" t="s">
        <v>314</v>
      </c>
      <c r="AO1" s="793"/>
      <c r="AP1" s="793"/>
      <c r="AQ1" s="793"/>
      <c r="AR1" s="793"/>
      <c r="AS1" s="793"/>
      <c r="AT1" s="793"/>
      <c r="AU1" s="793"/>
      <c r="AV1" s="793"/>
      <c r="AW1" s="793"/>
      <c r="AX1" s="793"/>
      <c r="AY1" s="793"/>
      <c r="AZ1" s="793"/>
      <c r="BA1" s="793"/>
      <c r="BB1" s="793"/>
      <c r="BC1" s="793"/>
      <c r="BD1" s="793"/>
      <c r="BE1" s="794"/>
      <c r="BF1" s="634" t="s">
        <v>213</v>
      </c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6"/>
      <c r="BT1" s="798" t="s">
        <v>315</v>
      </c>
      <c r="BU1" s="799"/>
      <c r="BV1" s="799"/>
      <c r="BW1" s="799"/>
      <c r="BX1" s="799"/>
      <c r="BY1" s="799"/>
      <c r="BZ1" s="799"/>
      <c r="CA1" s="799"/>
      <c r="CB1" s="799"/>
      <c r="CC1" s="799"/>
      <c r="CD1" s="799"/>
      <c r="CE1" s="799"/>
      <c r="CF1" s="799"/>
      <c r="CG1" s="799"/>
      <c r="CH1" s="799"/>
      <c r="CI1" s="799"/>
      <c r="CJ1" s="799"/>
      <c r="CK1" s="800"/>
    </row>
    <row r="2" spans="1:89">
      <c r="A2" s="626"/>
      <c r="B2" s="640" t="s">
        <v>401</v>
      </c>
      <c r="C2" s="638"/>
      <c r="D2" s="637" t="s">
        <v>402</v>
      </c>
      <c r="E2" s="638"/>
      <c r="F2" s="637" t="s">
        <v>214</v>
      </c>
      <c r="G2" s="638"/>
      <c r="H2" s="637" t="s">
        <v>215</v>
      </c>
      <c r="I2" s="638"/>
      <c r="J2" s="637" t="s">
        <v>216</v>
      </c>
      <c r="K2" s="639"/>
      <c r="L2" s="640" t="s">
        <v>401</v>
      </c>
      <c r="M2" s="638"/>
      <c r="N2" s="637" t="s">
        <v>402</v>
      </c>
      <c r="O2" s="638"/>
      <c r="P2" s="637" t="s">
        <v>214</v>
      </c>
      <c r="Q2" s="638"/>
      <c r="R2" s="637" t="s">
        <v>316</v>
      </c>
      <c r="S2" s="638"/>
      <c r="T2" s="637" t="s">
        <v>317</v>
      </c>
      <c r="U2" s="638"/>
      <c r="V2" s="637" t="s">
        <v>216</v>
      </c>
      <c r="W2" s="638"/>
      <c r="X2" s="637" t="s">
        <v>318</v>
      </c>
      <c r="Y2" s="639"/>
      <c r="Z2" s="640" t="s">
        <v>401</v>
      </c>
      <c r="AA2" s="638"/>
      <c r="AB2" s="637" t="s">
        <v>402</v>
      </c>
      <c r="AC2" s="638"/>
      <c r="AD2" s="637" t="s">
        <v>214</v>
      </c>
      <c r="AE2" s="638"/>
      <c r="AF2" s="637" t="s">
        <v>319</v>
      </c>
      <c r="AG2" s="638"/>
      <c r="AH2" s="637" t="s">
        <v>217</v>
      </c>
      <c r="AI2" s="638"/>
      <c r="AJ2" s="637" t="s">
        <v>218</v>
      </c>
      <c r="AK2" s="639"/>
      <c r="AL2" s="666" t="s">
        <v>423</v>
      </c>
      <c r="AM2" s="667"/>
      <c r="AN2" s="641" t="s">
        <v>401</v>
      </c>
      <c r="AO2" s="642"/>
      <c r="AP2" s="642" t="s">
        <v>402</v>
      </c>
      <c r="AQ2" s="642"/>
      <c r="AR2" s="642" t="s">
        <v>214</v>
      </c>
      <c r="AS2" s="642"/>
      <c r="AT2" s="642" t="s">
        <v>319</v>
      </c>
      <c r="AU2" s="642"/>
      <c r="AV2" s="642" t="s">
        <v>217</v>
      </c>
      <c r="AW2" s="642"/>
      <c r="AX2" s="642" t="s">
        <v>320</v>
      </c>
      <c r="AY2" s="642"/>
      <c r="AZ2" s="642" t="s">
        <v>218</v>
      </c>
      <c r="BA2" s="642"/>
      <c r="BB2" s="642" t="s">
        <v>321</v>
      </c>
      <c r="BC2" s="642"/>
      <c r="BD2" s="642" t="s">
        <v>423</v>
      </c>
      <c r="BE2" s="785"/>
      <c r="BF2" s="648" t="s">
        <v>401</v>
      </c>
      <c r="BG2" s="638"/>
      <c r="BH2" s="637" t="s">
        <v>402</v>
      </c>
      <c r="BI2" s="638"/>
      <c r="BJ2" s="637" t="s">
        <v>214</v>
      </c>
      <c r="BK2" s="638"/>
      <c r="BL2" s="637" t="s">
        <v>217</v>
      </c>
      <c r="BM2" s="638"/>
      <c r="BN2" s="637" t="s">
        <v>317</v>
      </c>
      <c r="BO2" s="638"/>
      <c r="BP2" s="637" t="s">
        <v>218</v>
      </c>
      <c r="BQ2" s="638"/>
      <c r="BR2" s="637" t="s">
        <v>318</v>
      </c>
      <c r="BS2" s="639"/>
      <c r="BT2" s="640" t="s">
        <v>401</v>
      </c>
      <c r="BU2" s="638"/>
      <c r="BV2" s="637" t="s">
        <v>402</v>
      </c>
      <c r="BW2" s="638"/>
      <c r="BX2" s="637" t="s">
        <v>214</v>
      </c>
      <c r="BY2" s="638"/>
      <c r="BZ2" s="637" t="s">
        <v>319</v>
      </c>
      <c r="CA2" s="638"/>
      <c r="CB2" s="637" t="s">
        <v>217</v>
      </c>
      <c r="CC2" s="638"/>
      <c r="CD2" s="637" t="s">
        <v>320</v>
      </c>
      <c r="CE2" s="638"/>
      <c r="CF2" s="637" t="s">
        <v>218</v>
      </c>
      <c r="CG2" s="638"/>
      <c r="CH2" s="642" t="s">
        <v>321</v>
      </c>
      <c r="CI2" s="642"/>
      <c r="CJ2" s="642" t="s">
        <v>424</v>
      </c>
      <c r="CK2" s="785"/>
    </row>
    <row r="3" spans="1:89" ht="13.5" thickBot="1">
      <c r="A3" s="627"/>
      <c r="B3" s="503" t="s">
        <v>219</v>
      </c>
      <c r="C3" s="504" t="s">
        <v>220</v>
      </c>
      <c r="D3" s="504" t="s">
        <v>219</v>
      </c>
      <c r="E3" s="504" t="s">
        <v>220</v>
      </c>
      <c r="F3" s="504" t="s">
        <v>219</v>
      </c>
      <c r="G3" s="504" t="s">
        <v>220</v>
      </c>
      <c r="H3" s="504" t="s">
        <v>219</v>
      </c>
      <c r="I3" s="504" t="s">
        <v>220</v>
      </c>
      <c r="J3" s="504" t="s">
        <v>219</v>
      </c>
      <c r="K3" s="505" t="s">
        <v>220</v>
      </c>
      <c r="L3" s="503" t="s">
        <v>219</v>
      </c>
      <c r="M3" s="504" t="s">
        <v>220</v>
      </c>
      <c r="N3" s="504" t="s">
        <v>219</v>
      </c>
      <c r="O3" s="504" t="s">
        <v>220</v>
      </c>
      <c r="P3" s="504" t="s">
        <v>219</v>
      </c>
      <c r="Q3" s="504" t="s">
        <v>220</v>
      </c>
      <c r="R3" s="504" t="s">
        <v>219</v>
      </c>
      <c r="S3" s="504" t="s">
        <v>220</v>
      </c>
      <c r="T3" s="504" t="s">
        <v>219</v>
      </c>
      <c r="U3" s="504" t="s">
        <v>220</v>
      </c>
      <c r="V3" s="504" t="s">
        <v>219</v>
      </c>
      <c r="W3" s="504" t="s">
        <v>220</v>
      </c>
      <c r="X3" s="504" t="s">
        <v>219</v>
      </c>
      <c r="Y3" s="505" t="s">
        <v>220</v>
      </c>
      <c r="Z3" s="503" t="s">
        <v>219</v>
      </c>
      <c r="AA3" s="504" t="s">
        <v>220</v>
      </c>
      <c r="AB3" s="504" t="s">
        <v>219</v>
      </c>
      <c r="AC3" s="504" t="s">
        <v>220</v>
      </c>
      <c r="AD3" s="504" t="s">
        <v>219</v>
      </c>
      <c r="AE3" s="504" t="s">
        <v>220</v>
      </c>
      <c r="AF3" s="504" t="s">
        <v>219</v>
      </c>
      <c r="AG3" s="504" t="s">
        <v>220</v>
      </c>
      <c r="AH3" s="504" t="s">
        <v>219</v>
      </c>
      <c r="AI3" s="504" t="s">
        <v>220</v>
      </c>
      <c r="AJ3" s="504" t="s">
        <v>219</v>
      </c>
      <c r="AK3" s="583" t="s">
        <v>220</v>
      </c>
      <c r="AL3" s="504" t="s">
        <v>219</v>
      </c>
      <c r="AM3" s="583" t="s">
        <v>220</v>
      </c>
      <c r="AN3" s="503" t="s">
        <v>219</v>
      </c>
      <c r="AO3" s="504" t="s">
        <v>220</v>
      </c>
      <c r="AP3" s="504" t="s">
        <v>219</v>
      </c>
      <c r="AQ3" s="504" t="s">
        <v>220</v>
      </c>
      <c r="AR3" s="504" t="s">
        <v>219</v>
      </c>
      <c r="AS3" s="504" t="s">
        <v>220</v>
      </c>
      <c r="AT3" s="504" t="s">
        <v>219</v>
      </c>
      <c r="AU3" s="504" t="s">
        <v>220</v>
      </c>
      <c r="AV3" s="504" t="s">
        <v>219</v>
      </c>
      <c r="AW3" s="504" t="s">
        <v>220</v>
      </c>
      <c r="AX3" s="504" t="s">
        <v>219</v>
      </c>
      <c r="AY3" s="504" t="s">
        <v>220</v>
      </c>
      <c r="AZ3" s="504" t="s">
        <v>219</v>
      </c>
      <c r="BA3" s="504" t="s">
        <v>220</v>
      </c>
      <c r="BB3" s="504" t="s">
        <v>219</v>
      </c>
      <c r="BC3" s="504" t="s">
        <v>220</v>
      </c>
      <c r="BD3" s="504" t="s">
        <v>219</v>
      </c>
      <c r="BE3" s="505" t="s">
        <v>220</v>
      </c>
      <c r="BF3" s="605" t="s">
        <v>219</v>
      </c>
      <c r="BG3" s="546" t="s">
        <v>220</v>
      </c>
      <c r="BH3" s="546" t="s">
        <v>219</v>
      </c>
      <c r="BI3" s="546" t="s">
        <v>220</v>
      </c>
      <c r="BJ3" s="546" t="s">
        <v>219</v>
      </c>
      <c r="BK3" s="546" t="s">
        <v>220</v>
      </c>
      <c r="BL3" s="546" t="s">
        <v>219</v>
      </c>
      <c r="BM3" s="546" t="s">
        <v>220</v>
      </c>
      <c r="BN3" s="546" t="s">
        <v>219</v>
      </c>
      <c r="BO3" s="546" t="s">
        <v>220</v>
      </c>
      <c r="BP3" s="546" t="s">
        <v>219</v>
      </c>
      <c r="BQ3" s="546" t="s">
        <v>220</v>
      </c>
      <c r="BR3" s="546" t="s">
        <v>219</v>
      </c>
      <c r="BS3" s="547" t="s">
        <v>220</v>
      </c>
      <c r="BT3" s="503" t="s">
        <v>219</v>
      </c>
      <c r="BU3" s="504" t="s">
        <v>220</v>
      </c>
      <c r="BV3" s="504" t="s">
        <v>219</v>
      </c>
      <c r="BW3" s="504" t="s">
        <v>220</v>
      </c>
      <c r="BX3" s="504" t="s">
        <v>219</v>
      </c>
      <c r="BY3" s="504" t="s">
        <v>220</v>
      </c>
      <c r="BZ3" s="504" t="s">
        <v>219</v>
      </c>
      <c r="CA3" s="504" t="s">
        <v>220</v>
      </c>
      <c r="CB3" s="504" t="s">
        <v>219</v>
      </c>
      <c r="CC3" s="504" t="s">
        <v>220</v>
      </c>
      <c r="CD3" s="504" t="s">
        <v>219</v>
      </c>
      <c r="CE3" s="504" t="s">
        <v>220</v>
      </c>
      <c r="CF3" s="504" t="s">
        <v>219</v>
      </c>
      <c r="CG3" s="504" t="s">
        <v>220</v>
      </c>
      <c r="CH3" s="504" t="s">
        <v>219</v>
      </c>
      <c r="CI3" s="504" t="s">
        <v>220</v>
      </c>
      <c r="CJ3" s="504" t="s">
        <v>219</v>
      </c>
      <c r="CK3" s="505" t="s">
        <v>220</v>
      </c>
    </row>
    <row r="4" spans="1:89" ht="14.25" customHeight="1" thickTop="1">
      <c r="A4" s="557">
        <f>+Report1!A9</f>
        <v>45962</v>
      </c>
      <c r="B4" s="513">
        <f>+Report1!J9</f>
        <v>1.0026126095610461</v>
      </c>
      <c r="C4" s="514">
        <f>+Report1!K9</f>
        <v>1.0026126095610461</v>
      </c>
      <c r="D4" s="514">
        <f>+Report1!AJ9</f>
        <v>1.0026126095610461</v>
      </c>
      <c r="E4" s="514">
        <f>+Report1!AK9</f>
        <v>1.0026126095610461</v>
      </c>
      <c r="F4" s="515">
        <f>+Report1!R9</f>
        <v>59.673000000000002</v>
      </c>
      <c r="G4" s="515">
        <f>+Report1!S9</f>
        <v>59.673000000000002</v>
      </c>
      <c r="H4" s="515">
        <f>+Report1!X9</f>
        <v>2.5626665326026843</v>
      </c>
      <c r="I4" s="515">
        <f>+Report1!Y9</f>
        <v>2.5626665326026843</v>
      </c>
      <c r="J4" s="515">
        <f>+Report1!AD9</f>
        <v>851.52916729511492</v>
      </c>
      <c r="K4" s="548">
        <f>+Report1!AE9</f>
        <v>851.52916729511492</v>
      </c>
      <c r="L4" s="589">
        <f>+[1]Report1!J9</f>
        <v>0.82240430729560743</v>
      </c>
      <c r="M4" s="586">
        <f>+[1]Report1!K9</f>
        <v>0.82240430729560743</v>
      </c>
      <c r="N4" s="586">
        <f>+[1]Report1!BJ9</f>
        <v>0.82240430729560743</v>
      </c>
      <c r="O4" s="586">
        <f>+[1]Report1!BK9</f>
        <v>0.82240430729560743</v>
      </c>
      <c r="P4" s="584">
        <f>+[1]Report1!R9</f>
        <v>43.186</v>
      </c>
      <c r="Q4" s="584">
        <f>+[1]Report1!S9</f>
        <v>43.186</v>
      </c>
      <c r="R4" s="584">
        <f>+[1]Report1!AL9</f>
        <v>2.9519520214884456</v>
      </c>
      <c r="S4" s="584">
        <f>+[1]Report1!AM9</f>
        <v>2.9519520214884456</v>
      </c>
      <c r="T4" s="584">
        <f>+[1]Report1!AR9</f>
        <v>0.29639234937248182</v>
      </c>
      <c r="U4" s="584">
        <f>+[1]Report1!AS9</f>
        <v>0.29639234937248182</v>
      </c>
      <c r="V4" s="584">
        <f>+[1]Report1!AX9</f>
        <v>738.69425276708216</v>
      </c>
      <c r="W4" s="584">
        <f>+[1]Report1!AY9</f>
        <v>738.69425276708216</v>
      </c>
      <c r="X4" s="584">
        <f>+[1]Report1!BD9</f>
        <v>478.95151206409486</v>
      </c>
      <c r="Y4" s="585">
        <f>+[1]Report1!BE9</f>
        <v>478.95151206409486</v>
      </c>
      <c r="Z4" s="589">
        <f>+[2]Report1!J9</f>
        <v>0</v>
      </c>
      <c r="AA4" s="586">
        <f>+[2]Report1!K9</f>
        <v>0</v>
      </c>
      <c r="AB4" s="586" t="e">
        <f>+[2]Report1!BC9</f>
        <v>#DIV/0!</v>
      </c>
      <c r="AC4" s="586" t="e">
        <f>+[2]Report1!BD9</f>
        <v>#DIV/0!</v>
      </c>
      <c r="AD4" s="584">
        <f>+[2]Report1!R9</f>
        <v>0</v>
      </c>
      <c r="AE4" s="584">
        <f>+[2]Report1!S9</f>
        <v>0</v>
      </c>
      <c r="AF4" s="584">
        <f>+[2]Report1!X9</f>
        <v>0</v>
      </c>
      <c r="AG4" s="584">
        <f>+[2]Report1!Y9</f>
        <v>0</v>
      </c>
      <c r="AH4" s="584">
        <f>+[2]Report1!AD9</f>
        <v>0</v>
      </c>
      <c r="AI4" s="584">
        <f>+[2]Report1!AE9</f>
        <v>0</v>
      </c>
      <c r="AJ4" s="584">
        <f>+[2]Report1!AJ9</f>
        <v>0</v>
      </c>
      <c r="AK4" s="584">
        <f>+[2]Report1!AK9</f>
        <v>0</v>
      </c>
      <c r="AL4" s="584"/>
      <c r="AM4" s="584"/>
      <c r="AN4" s="589">
        <f>+[3]Report1!J9</f>
        <v>0.72220006040347318</v>
      </c>
      <c r="AO4" s="586">
        <f>+[3]Report1!K9</f>
        <v>0.72220006040347318</v>
      </c>
      <c r="AP4" s="586">
        <f>+[3]Report1!BN9</f>
        <v>0.72220006040347318</v>
      </c>
      <c r="AQ4" s="586">
        <f>+[3]Report1!BO9</f>
        <v>0.72220006040347318</v>
      </c>
      <c r="AR4" s="584">
        <f>+[3]Report1!R9</f>
        <v>39.835000000000001</v>
      </c>
      <c r="AS4" s="584">
        <f>+[3]Report1!S9</f>
        <v>39.835000000000001</v>
      </c>
      <c r="AT4" s="587">
        <f>+[3]Report1!AF9</f>
        <v>121.34643527811075</v>
      </c>
      <c r="AU4" s="587">
        <f>+[3]Report1!AG9</f>
        <v>121.34643527811075</v>
      </c>
      <c r="AV4" s="584">
        <f>+[3]Report1!AL9</f>
        <v>1.5790134304004015</v>
      </c>
      <c r="AW4" s="584">
        <f>+[3]Report1!AM9</f>
        <v>1.5790134304004015</v>
      </c>
      <c r="AX4" s="584">
        <f>+[3]Report1!AR9</f>
        <v>0.19831806200577382</v>
      </c>
      <c r="AY4" s="584">
        <f>+[3]Report1!AS9</f>
        <v>0.19831806200577382</v>
      </c>
      <c r="AZ4" s="584">
        <f>+[3]Report1!AX9</f>
        <v>913.55089745198973</v>
      </c>
      <c r="BA4" s="584">
        <f>+[3]Report1!AY9</f>
        <v>913.55089745198973</v>
      </c>
      <c r="BB4" s="584">
        <f>+[3]Report1!BD9</f>
        <v>563.58679553156765</v>
      </c>
      <c r="BC4" s="584">
        <f>+[3]Report1!BE9</f>
        <v>563.58679553156765</v>
      </c>
      <c r="BD4" s="584">
        <f>+[3]Report1!BJ9</f>
        <v>7.832308271620434</v>
      </c>
      <c r="BE4" s="584">
        <f>+[3]Report1!BK9</f>
        <v>7.832308271620434</v>
      </c>
      <c r="BF4" s="513">
        <f>+[4]Report1!J9</f>
        <v>0.94810263607529854</v>
      </c>
      <c r="BG4" s="514">
        <f>+[4]Report1!K9</f>
        <v>0.94810263607529854</v>
      </c>
      <c r="BH4" s="514">
        <f>+[4]Report1!AN9</f>
        <v>0.94810263607529854</v>
      </c>
      <c r="BI4" s="514">
        <f>+[4]Report1!AO9</f>
        <v>0.94810263607529854</v>
      </c>
      <c r="BJ4" s="515">
        <f>+[4]Report1!R9</f>
        <v>51.744</v>
      </c>
      <c r="BK4" s="515">
        <f>+[4]Report1!S9</f>
        <v>51.744</v>
      </c>
      <c r="BL4" s="515">
        <f>+[4]Report1!AD9</f>
        <v>2.6611781076066787</v>
      </c>
      <c r="BM4" s="515">
        <f>+[4]Report1!AE9</f>
        <v>2.6611781076066787</v>
      </c>
      <c r="BN4" s="516">
        <v>0</v>
      </c>
      <c r="BO4" s="516">
        <v>0</v>
      </c>
      <c r="BP4" s="516">
        <f>+[4]Report1!AJ9</f>
        <v>964.39393939393995</v>
      </c>
      <c r="BQ4" s="516">
        <f>+[4]Report1!AK9</f>
        <v>964.39393939393995</v>
      </c>
      <c r="BR4" s="516">
        <v>0</v>
      </c>
      <c r="BS4" s="517">
        <v>0</v>
      </c>
      <c r="BT4" s="589">
        <f>+[5]Report1!J9</f>
        <v>0.81787214045624401</v>
      </c>
      <c r="BU4" s="586">
        <f>+[5]Report1!K9</f>
        <v>0.81787214045624401</v>
      </c>
      <c r="BV4" s="586">
        <f>+[5]Report1!BG9</f>
        <v>0.81787214045624401</v>
      </c>
      <c r="BW4" s="586">
        <f>+[5]Report1!BH9</f>
        <v>0.81787214045624401</v>
      </c>
      <c r="BX4" s="584">
        <f>+[5]Report1!R9</f>
        <v>42.732999999999997</v>
      </c>
      <c r="BY4" s="584">
        <f>+[5]Report1!S9</f>
        <v>42.732999999999997</v>
      </c>
      <c r="BZ4" s="587">
        <f>+[5]Report1!X9</f>
        <v>76.829727627277691</v>
      </c>
      <c r="CA4" s="587">
        <f>+[5]Report1!Y9</f>
        <v>76.829727627277705</v>
      </c>
      <c r="CB4" s="584">
        <f>+[5]Report1!AD9</f>
        <v>2.0195165328902722</v>
      </c>
      <c r="CC4" s="584">
        <f>+[5]Report1!AE9</f>
        <v>2.0195165328902722</v>
      </c>
      <c r="CD4" s="587">
        <f>+[5]Report1!AJ9</f>
        <v>0.17082816558631503</v>
      </c>
      <c r="CE4" s="587">
        <f>+[5]Report1!AK9</f>
        <v>0.17082816558631503</v>
      </c>
      <c r="CF4" s="587">
        <f>+[5]Report1!AP9</f>
        <v>545.97851777314884</v>
      </c>
      <c r="CG4" s="587">
        <f>+[5]Report1!AQ9</f>
        <v>545.97851777314884</v>
      </c>
      <c r="CH4" s="587">
        <f>+[5]Report1!AV9</f>
        <v>484.95354877963166</v>
      </c>
      <c r="CI4" s="587">
        <f>+[5]Report1!AW9</f>
        <v>484.95354877963166</v>
      </c>
      <c r="CJ4" s="587"/>
      <c r="CK4" s="588"/>
    </row>
    <row r="5" spans="1:89" ht="14.25" customHeight="1">
      <c r="A5" s="558">
        <f>1+A4</f>
        <v>45963</v>
      </c>
      <c r="B5" s="508">
        <f>+Report1!J10</f>
        <v>0.85910238670422456</v>
      </c>
      <c r="C5" s="509">
        <f>+Report1!K10</f>
        <v>0.92353920011123369</v>
      </c>
      <c r="D5" s="509">
        <f>+Report1!AJ10</f>
        <v>0.85910238670422456</v>
      </c>
      <c r="E5" s="509">
        <f>+Report1!AK10</f>
        <v>0.92353920011123369</v>
      </c>
      <c r="F5" s="506">
        <f>+Report1!R10</f>
        <v>62.746000000000002</v>
      </c>
      <c r="G5" s="506">
        <f>+Report1!S10</f>
        <v>122.41900000000001</v>
      </c>
      <c r="H5" s="506">
        <f>+Report1!X10</f>
        <v>2.5243840244796476</v>
      </c>
      <c r="I5" s="506">
        <f>+Report1!Y10</f>
        <v>2.5430447887991243</v>
      </c>
      <c r="J5" s="506">
        <f>+Report1!AD10</f>
        <v>934.36681222706648</v>
      </c>
      <c r="K5" s="507">
        <f>+Report1!AE10</f>
        <v>893.98769798806472</v>
      </c>
      <c r="L5" s="508">
        <f>+[1]Report1!J10</f>
        <v>0.92430698159177727</v>
      </c>
      <c r="M5" s="509">
        <f>+[1]Report1!K10</f>
        <v>0.87307588236638778</v>
      </c>
      <c r="N5" s="509">
        <f>+[1]Report1!BJ10</f>
        <v>0.92430698159177727</v>
      </c>
      <c r="O5" s="509">
        <f>+[1]Report1!BK10</f>
        <v>0.87307588236638778</v>
      </c>
      <c r="P5" s="506">
        <f>+[1]Report1!R10</f>
        <v>48.006999999999998</v>
      </c>
      <c r="Q5" s="506">
        <f>+[1]Report1!S10</f>
        <v>91.192999999999998</v>
      </c>
      <c r="R5" s="506">
        <f>+[1]Report1!AL10</f>
        <v>2.6909617347470163</v>
      </c>
      <c r="S5" s="506">
        <f>+[1]Report1!AM10</f>
        <v>2.8145581349445683</v>
      </c>
      <c r="T5" s="506">
        <f>+[1]Report1!AR10</f>
        <v>0.28329201991376257</v>
      </c>
      <c r="U5" s="506">
        <f>+[1]Report1!AS10</f>
        <v>0.2894959042908995</v>
      </c>
      <c r="V5" s="506">
        <f>+[1]Report1!AX10</f>
        <v>909.66463224112942</v>
      </c>
      <c r="W5" s="506">
        <f>+[1]Report1!AY10</f>
        <v>828.69869397869479</v>
      </c>
      <c r="X5" s="506">
        <f>+[1]Report1!BD10</f>
        <v>463.43241610598454</v>
      </c>
      <c r="Y5" s="576">
        <f>+[1]Report1!BE10</f>
        <v>470.78174859912491</v>
      </c>
      <c r="Z5" s="604">
        <f>+[2]Report1!J10</f>
        <v>0</v>
      </c>
      <c r="AA5" s="509">
        <f>+[2]Report1!K10</f>
        <v>0</v>
      </c>
      <c r="AB5" s="509" t="e">
        <f>+[2]Report1!BC10</f>
        <v>#DIV/0!</v>
      </c>
      <c r="AC5" s="509" t="e">
        <f>+[2]Report1!BD10</f>
        <v>#DIV/0!</v>
      </c>
      <c r="AD5" s="506">
        <f>+[2]Report1!R10</f>
        <v>0</v>
      </c>
      <c r="AE5" s="506">
        <f>+[2]Report1!S10</f>
        <v>0</v>
      </c>
      <c r="AF5" s="506">
        <f>+[2]Report1!X10</f>
        <v>0</v>
      </c>
      <c r="AG5" s="506">
        <f>+[2]Report1!Y10</f>
        <v>0</v>
      </c>
      <c r="AH5" s="506">
        <f>+[2]Report1!AD10</f>
        <v>0</v>
      </c>
      <c r="AI5" s="506">
        <f>+[2]Report1!AE10</f>
        <v>0</v>
      </c>
      <c r="AJ5" s="506">
        <f>+[2]Report1!AJ10</f>
        <v>0</v>
      </c>
      <c r="AK5" s="506">
        <f>+[2]Report1!AK10</f>
        <v>0</v>
      </c>
      <c r="AL5" s="584"/>
      <c r="AM5" s="584"/>
      <c r="AN5" s="604">
        <f>+[3]Report1!J10</f>
        <v>0.89075190777271496</v>
      </c>
      <c r="AO5" s="509">
        <f>+[3]Report1!K10</f>
        <v>0.80644942556810795</v>
      </c>
      <c r="AP5" s="509">
        <f>+[3]Report1!BN10</f>
        <v>0.89075190777271496</v>
      </c>
      <c r="AQ5" s="509">
        <f>+[3]Report1!BO10</f>
        <v>0.80644942556810795</v>
      </c>
      <c r="AR5" s="506">
        <f>+[3]Report1!R10</f>
        <v>49.100999999999999</v>
      </c>
      <c r="AS5" s="506">
        <f>+[3]Report1!S10</f>
        <v>88.936000000000007</v>
      </c>
      <c r="AT5" s="510">
        <f>+[3]Report1!AF10</f>
        <v>117.27096079252567</v>
      </c>
      <c r="AU5" s="510">
        <f>+[3]Report1!AG10</f>
        <v>119.09639173312657</v>
      </c>
      <c r="AV5" s="506">
        <f>+[3]Report1!AL10</f>
        <v>1.3808272743935968</v>
      </c>
      <c r="AW5" s="506">
        <f>+[3]Report1!AM10</f>
        <v>1.4695961140595482</v>
      </c>
      <c r="AX5" s="506">
        <f>+[3]Report1!AR10</f>
        <v>0.22199140547035703</v>
      </c>
      <c r="AY5" s="506">
        <f>+[3]Report1!AS10</f>
        <v>0.21138796437887919</v>
      </c>
      <c r="AZ5" s="506">
        <f>+[3]Report1!AX10</f>
        <v>905.06873587095947</v>
      </c>
      <c r="BA5" s="506">
        <f>+[3]Report1!AY10</f>
        <v>908.86794998650703</v>
      </c>
      <c r="BB5" s="506">
        <f>+[3]Report1!BD10</f>
        <v>490.00427689863744</v>
      </c>
      <c r="BC5" s="506">
        <f>+[3]Report1!BE10</f>
        <v>522.96235495187534</v>
      </c>
      <c r="BD5" s="506">
        <f>+[3]Report1!BJ10</f>
        <v>4.6434899492882016</v>
      </c>
      <c r="BE5" s="506">
        <f>+[3]Report1!BK10</f>
        <v>6.0717819555635515</v>
      </c>
      <c r="BF5" s="508">
        <f>+[4]Report1!J10</f>
        <v>1.0570737664457603</v>
      </c>
      <c r="BG5" s="509">
        <f>+[4]Report1!K10</f>
        <v>1.0034080766026876</v>
      </c>
      <c r="BH5" s="509">
        <f>+[4]Report1!AN10</f>
        <v>1.0570737664457603</v>
      </c>
      <c r="BI5" s="509">
        <f>+[4]Report1!AO10</f>
        <v>1.0034080766026876</v>
      </c>
      <c r="BJ5" s="506">
        <f>+[4]Report1!R10</f>
        <v>59.454000000000001</v>
      </c>
      <c r="BK5" s="506">
        <f>+[4]Report1!S10</f>
        <v>111.19800000000001</v>
      </c>
      <c r="BL5" s="506">
        <f>+[4]Report1!AD10</f>
        <v>2.2740269788407841</v>
      </c>
      <c r="BM5" s="506">
        <f>+[4]Report1!AE10</f>
        <v>2.4541808305904778</v>
      </c>
      <c r="BN5" s="510">
        <v>0</v>
      </c>
      <c r="BO5" s="510">
        <v>0</v>
      </c>
      <c r="BP5" s="510">
        <f>+[4]Report1!AJ10</f>
        <v>776.3407003734003</v>
      </c>
      <c r="BQ5" s="510">
        <f>+[4]Report1!AK10</f>
        <v>863.84791093365129</v>
      </c>
      <c r="BR5" s="510">
        <v>0</v>
      </c>
      <c r="BS5" s="511">
        <v>0</v>
      </c>
      <c r="BT5" s="604">
        <f>+[5]Report1!J10</f>
        <v>0.49042024775911752</v>
      </c>
      <c r="BU5" s="509">
        <f>+[5]Report1!K10</f>
        <v>0.65390364401457701</v>
      </c>
      <c r="BV5" s="509">
        <f>+[5]Report1!BG10</f>
        <v>0.49042024775911752</v>
      </c>
      <c r="BW5" s="509">
        <f>+[5]Report1!BH10</f>
        <v>0.65390364401457701</v>
      </c>
      <c r="BX5" s="506">
        <f>+[5]Report1!R10</f>
        <v>25.7</v>
      </c>
      <c r="BY5" s="506">
        <f>+[5]Report1!S10</f>
        <v>68.432999999999993</v>
      </c>
      <c r="BZ5" s="510">
        <f>+[5]Report1!X10</f>
        <v>113.7695935457664</v>
      </c>
      <c r="CA5" s="510">
        <f>+[5]Report1!Y10</f>
        <v>90.70248717464753</v>
      </c>
      <c r="CB5" s="506">
        <f>+[5]Report1!AD10</f>
        <v>2.8754863813229576</v>
      </c>
      <c r="CC5" s="506">
        <f>+[5]Report1!AE10</f>
        <v>2.3409758449870677</v>
      </c>
      <c r="CD5" s="510">
        <f>+[5]Report1!AJ10</f>
        <v>0.31128404669260701</v>
      </c>
      <c r="CE5" s="510">
        <f>+[5]Report1!AK10</f>
        <v>0.22357634474595595</v>
      </c>
      <c r="CF5" s="510">
        <f>+[5]Report1!AP10</f>
        <v>779.36887159533228</v>
      </c>
      <c r="CG5" s="510">
        <f>+[5]Report1!AQ10</f>
        <v>633.62822030307029</v>
      </c>
      <c r="CH5" s="510">
        <f>+[5]Report1!AV10</f>
        <v>706.23735408560322</v>
      </c>
      <c r="CI5" s="510">
        <f>+[5]Report1!AW10</f>
        <v>568.05663934066911</v>
      </c>
      <c r="CJ5" s="510"/>
      <c r="CK5" s="511"/>
    </row>
    <row r="6" spans="1:89" ht="12.75" customHeight="1">
      <c r="A6" s="558">
        <f t="shared" ref="A6:A33" si="0">1+A5</f>
        <v>45964</v>
      </c>
      <c r="B6" s="508">
        <f>+Report1!J11</f>
        <v>0.87121677976786538</v>
      </c>
      <c r="C6" s="509">
        <f>+Report1!K11</f>
        <v>0.90458062104850656</v>
      </c>
      <c r="D6" s="509">
        <f>+Report1!AJ11</f>
        <v>0.87121677976786538</v>
      </c>
      <c r="E6" s="509">
        <f>+Report1!AK11</f>
        <v>0.90458062104850656</v>
      </c>
      <c r="F6" s="506">
        <f>+Report1!R11</f>
        <v>65.622</v>
      </c>
      <c r="G6" s="506">
        <f>+Report1!S11</f>
        <v>188.041</v>
      </c>
      <c r="H6" s="506">
        <f>+Report1!X11</f>
        <v>2.5455030325195818</v>
      </c>
      <c r="I6" s="506">
        <f>+Report1!Y11</f>
        <v>2.5439026595263798</v>
      </c>
      <c r="J6" s="506">
        <f>+Report1!AD11</f>
        <v>763.11419950627158</v>
      </c>
      <c r="K6" s="507">
        <f>+Report1!AE11</f>
        <v>848.31584601231373</v>
      </c>
      <c r="L6" s="508">
        <f>+[1]Report1!J11</f>
        <v>0.93399153617216479</v>
      </c>
      <c r="M6" s="509">
        <f>+[1]Report1!K11</f>
        <v>0.89330663649175424</v>
      </c>
      <c r="N6" s="509">
        <f>+[1]Report1!BJ11</f>
        <v>0.93399153617216479</v>
      </c>
      <c r="O6" s="509">
        <f>+[1]Report1!BK11</f>
        <v>0.89330663649175424</v>
      </c>
      <c r="P6" s="506">
        <f>+[1]Report1!R11</f>
        <v>48.51</v>
      </c>
      <c r="Q6" s="506">
        <f>+[1]Report1!S11</f>
        <v>139.703</v>
      </c>
      <c r="R6" s="506">
        <f>+[1]Report1!AL11</f>
        <v>2.8287569573283862</v>
      </c>
      <c r="S6" s="506">
        <f>+[1]Report1!AM11</f>
        <v>2.8194884862887699</v>
      </c>
      <c r="T6" s="506">
        <f>+[1]Report1!AR11</f>
        <v>0.23088023088023088</v>
      </c>
      <c r="U6" s="506">
        <f>+[1]Report1!AS11</f>
        <v>0.26914239493783237</v>
      </c>
      <c r="V6" s="506">
        <f>+[1]Report1!AX11</f>
        <v>730.23747680891699</v>
      </c>
      <c r="W6" s="506">
        <f>+[1]Report1!AY11</f>
        <v>794.50935198241757</v>
      </c>
      <c r="X6" s="506">
        <f>+[1]Report1!BD11</f>
        <v>403.25706039991752</v>
      </c>
      <c r="Y6" s="576">
        <f>+[1]Report1!BE11</f>
        <v>447.33470290544943</v>
      </c>
      <c r="Z6" s="604">
        <f>+[2]Report1!J11</f>
        <v>0</v>
      </c>
      <c r="AA6" s="509">
        <f>+[2]Report1!K11</f>
        <v>0</v>
      </c>
      <c r="AB6" s="509" t="e">
        <f>+[2]Report1!BC11</f>
        <v>#DIV/0!</v>
      </c>
      <c r="AC6" s="509" t="e">
        <f>+[2]Report1!BD11</f>
        <v>#DIV/0!</v>
      </c>
      <c r="AD6" s="506">
        <f>+[2]Report1!R11</f>
        <v>0</v>
      </c>
      <c r="AE6" s="506">
        <f>+[2]Report1!S11</f>
        <v>0</v>
      </c>
      <c r="AF6" s="506">
        <f>+[2]Report1!X11</f>
        <v>0</v>
      </c>
      <c r="AG6" s="506">
        <f>+[2]Report1!Y11</f>
        <v>0</v>
      </c>
      <c r="AH6" s="506">
        <f>+[2]Report1!AD11</f>
        <v>0</v>
      </c>
      <c r="AI6" s="506">
        <f>+[2]Report1!AE11</f>
        <v>0</v>
      </c>
      <c r="AJ6" s="506">
        <f>+[2]Report1!AJ11</f>
        <v>0</v>
      </c>
      <c r="AK6" s="506">
        <f>+[2]Report1!AK11</f>
        <v>0</v>
      </c>
      <c r="AL6" s="584"/>
      <c r="AM6" s="584"/>
      <c r="AN6" s="604">
        <f>+[3]Report1!J11</f>
        <v>0.88021327852624942</v>
      </c>
      <c r="AO6" s="509">
        <f>+[3]Report1!K11</f>
        <v>0.8308963504674044</v>
      </c>
      <c r="AP6" s="509">
        <f>+[3]Report1!BN11</f>
        <v>0.88021327852624942</v>
      </c>
      <c r="AQ6" s="509">
        <f>+[3]Report1!BO11</f>
        <v>0.8308963504674044</v>
      </c>
      <c r="AR6" s="506">
        <f>+[3]Report1!R11</f>
        <v>48.119</v>
      </c>
      <c r="AS6" s="506">
        <f>+[3]Report1!S11</f>
        <v>137.05500000000001</v>
      </c>
      <c r="AT6" s="510">
        <f>+[3]Report1!AF11</f>
        <v>117.98355836916087</v>
      </c>
      <c r="AU6" s="510">
        <f>+[3]Report1!AG11</f>
        <v>118.7056841439057</v>
      </c>
      <c r="AV6" s="506">
        <f>+[3]Report1!AL11</f>
        <v>1.4339450113260874</v>
      </c>
      <c r="AW6" s="506">
        <f>+[3]Report1!AM11</f>
        <v>1.4570792747437158</v>
      </c>
      <c r="AX6" s="506">
        <f>+[3]Report1!AR11</f>
        <v>0.20573993640765603</v>
      </c>
      <c r="AY6" s="506">
        <f>+[3]Report1!AS11</f>
        <v>0.2094049834008245</v>
      </c>
      <c r="AZ6" s="506">
        <f>+[3]Report1!AX11</f>
        <v>906.23412789126951</v>
      </c>
      <c r="BA6" s="506">
        <f>+[3]Report1!AY11</f>
        <v>907.94323446791429</v>
      </c>
      <c r="BB6" s="506">
        <f>+[3]Report1!BD11</f>
        <v>434.52274569296992</v>
      </c>
      <c r="BC6" s="506">
        <f>+[3]Report1!BE11</f>
        <v>491.9118602021087</v>
      </c>
      <c r="BD6" s="506">
        <f>+[3]Report1!BJ11</f>
        <v>6.0080217793394484</v>
      </c>
      <c r="BE6" s="506">
        <f>+[3]Report1!BK11</f>
        <v>6.049396227792017</v>
      </c>
      <c r="BF6" s="508">
        <f>+[4]Report1!J11</f>
        <v>0.14596480492321981</v>
      </c>
      <c r="BG6" s="509">
        <f>+[4]Report1!K11</f>
        <v>0.73265597807757099</v>
      </c>
      <c r="BH6" s="509">
        <f>+[4]Report1!AN11</f>
        <v>0.14596480492321981</v>
      </c>
      <c r="BI6" s="509">
        <f>+[4]Report1!AO11</f>
        <v>0.73265597807757099</v>
      </c>
      <c r="BJ6" s="506">
        <f>+[4]Report1!R11</f>
        <v>7.4649999999999999</v>
      </c>
      <c r="BK6" s="506">
        <f>+[4]Report1!S11</f>
        <v>118.66300000000001</v>
      </c>
      <c r="BL6" s="506">
        <f>+[4]Report1!AD11</f>
        <v>7.8097789685197583</v>
      </c>
      <c r="BM6" s="506">
        <f>+[4]Report1!AE11</f>
        <v>2.7910974777310531</v>
      </c>
      <c r="BN6" s="510">
        <v>0</v>
      </c>
      <c r="BO6" s="510">
        <v>0</v>
      </c>
      <c r="BP6" s="510">
        <f>+[4]Report1!AJ11</f>
        <v>3508.0723375754819</v>
      </c>
      <c r="BQ6" s="510">
        <f>+[4]Report1!AK11</f>
        <v>1030.1940790305414</v>
      </c>
      <c r="BR6" s="510">
        <v>0</v>
      </c>
      <c r="BS6" s="511">
        <v>0</v>
      </c>
      <c r="BT6" s="604">
        <f>+[5]Report1!J11</f>
        <v>0.79433838368211329</v>
      </c>
      <c r="BU6" s="509">
        <f>+[5]Report1!K11</f>
        <v>0.7007332695173708</v>
      </c>
      <c r="BV6" s="509">
        <f>+[5]Report1!BG11</f>
        <v>0.79433838368211329</v>
      </c>
      <c r="BW6" s="509">
        <f>+[5]Report1!BH11</f>
        <v>0.7007332695173708</v>
      </c>
      <c r="BX6" s="506">
        <f>+[5]Report1!R11</f>
        <v>41.588999999999999</v>
      </c>
      <c r="BY6" s="506">
        <f>+[5]Report1!S11</f>
        <v>110.02199999999999</v>
      </c>
      <c r="BZ6" s="510">
        <f>+[5]Report1!X11</f>
        <v>82.467699507907085</v>
      </c>
      <c r="CA6" s="510">
        <f>+[5]Report1!Y11</f>
        <v>87.58968624145173</v>
      </c>
      <c r="CB6" s="506">
        <f>+[5]Report1!AD11</f>
        <v>2.113539637885018</v>
      </c>
      <c r="CC6" s="506">
        <f>+[5]Report1!AE11</f>
        <v>2.2550035447455965</v>
      </c>
      <c r="CD6" s="510">
        <f>+[5]Report1!AJ11</f>
        <v>0.19476303830339753</v>
      </c>
      <c r="CE6" s="510">
        <f>+[5]Report1!AK11</f>
        <v>0.21268473578011671</v>
      </c>
      <c r="CF6" s="510">
        <f>+[5]Report1!AP11</f>
        <v>600.8819639808687</v>
      </c>
      <c r="CG6" s="510">
        <f>+[5]Report1!AQ11</f>
        <v>621.2499318318188</v>
      </c>
      <c r="CH6" s="510">
        <f>+[5]Report1!AV11</f>
        <v>411.33953689677588</v>
      </c>
      <c r="CI6" s="510">
        <f>+[5]Report1!AW11</f>
        <v>508.81660031630059</v>
      </c>
      <c r="CJ6" s="510"/>
      <c r="CK6" s="511"/>
    </row>
    <row r="7" spans="1:89" ht="12.75" customHeight="1">
      <c r="A7" s="558">
        <f t="shared" si="0"/>
        <v>45965</v>
      </c>
      <c r="B7" s="508">
        <f>+Report1!J12</f>
        <v>0.79021126921829088</v>
      </c>
      <c r="C7" s="509">
        <f>+Report1!K12</f>
        <v>0.87411366645191357</v>
      </c>
      <c r="D7" s="509">
        <f>+Report1!AJ12</f>
        <v>0.79021126921829088</v>
      </c>
      <c r="E7" s="509">
        <f>+Report1!AK12</f>
        <v>0.87411366645191357</v>
      </c>
      <c r="F7" s="506">
        <f>+Report1!R12</f>
        <v>59.649000000000001</v>
      </c>
      <c r="G7" s="506">
        <f>+Report1!S12</f>
        <v>247.69</v>
      </c>
      <c r="H7" s="506">
        <f>+Report1!X12</f>
        <v>2.4652047813039619</v>
      </c>
      <c r="I7" s="506">
        <f>+Report1!Y12</f>
        <v>2.5249505430174812</v>
      </c>
      <c r="J7" s="506">
        <f>+Report1!AD12</f>
        <v>896.43983972904073</v>
      </c>
      <c r="K7" s="507">
        <f>+Report1!AE12</f>
        <v>859.90512333965455</v>
      </c>
      <c r="L7" s="508">
        <f>+[1]Report1!J12</f>
        <v>0.90803770004023165</v>
      </c>
      <c r="M7" s="509">
        <f>+[1]Report1!K12</f>
        <v>0.89697926393457683</v>
      </c>
      <c r="N7" s="509">
        <f>+[1]Report1!BJ12</f>
        <v>0.90803770004023165</v>
      </c>
      <c r="O7" s="509">
        <f>+[1]Report1!BK12</f>
        <v>0.89697926393457683</v>
      </c>
      <c r="P7" s="506">
        <f>+[1]Report1!R12</f>
        <v>47.161999999999999</v>
      </c>
      <c r="Q7" s="506">
        <f>+[1]Report1!S12</f>
        <v>186.86500000000001</v>
      </c>
      <c r="R7" s="506">
        <f>+[1]Report1!AL12</f>
        <v>2.9437046774945927</v>
      </c>
      <c r="S7" s="506">
        <f>+[1]Report1!AM12</f>
        <v>2.8508388408744278</v>
      </c>
      <c r="T7" s="506">
        <f>+[1]Report1!AR12</f>
        <v>0.32229337178236717</v>
      </c>
      <c r="U7" s="506">
        <f>+[1]Report1!AS12</f>
        <v>0.28255692612313699</v>
      </c>
      <c r="V7" s="506">
        <f>+[1]Report1!AX12</f>
        <v>806.5987447521286</v>
      </c>
      <c r="W7" s="506">
        <f>+[1]Report1!AY12</f>
        <v>797.5605383565653</v>
      </c>
      <c r="X7" s="506">
        <f>+[1]Report1!BD12</f>
        <v>507.82409567024303</v>
      </c>
      <c r="Y7" s="576">
        <f>+[1]Report1!BE12</f>
        <v>462.60134321569046</v>
      </c>
      <c r="Z7" s="604">
        <f>+[2]Report1!J12</f>
        <v>0</v>
      </c>
      <c r="AA7" s="509">
        <f>+[2]Report1!K12</f>
        <v>0</v>
      </c>
      <c r="AB7" s="509" t="e">
        <f>+[2]Report1!BC12</f>
        <v>#DIV/0!</v>
      </c>
      <c r="AC7" s="509" t="e">
        <f>+[2]Report1!BD12</f>
        <v>#DIV/0!</v>
      </c>
      <c r="AD7" s="506">
        <f>+[2]Report1!R12</f>
        <v>0</v>
      </c>
      <c r="AE7" s="506">
        <f>+[2]Report1!S12</f>
        <v>0</v>
      </c>
      <c r="AF7" s="506">
        <f>+[2]Report1!X12</f>
        <v>0</v>
      </c>
      <c r="AG7" s="506">
        <f>+[2]Report1!Y12</f>
        <v>0</v>
      </c>
      <c r="AH7" s="506">
        <f>+[2]Report1!AD12</f>
        <v>0</v>
      </c>
      <c r="AI7" s="506">
        <f>+[2]Report1!AE12</f>
        <v>0</v>
      </c>
      <c r="AJ7" s="506">
        <f>+[2]Report1!AJ12</f>
        <v>0</v>
      </c>
      <c r="AK7" s="506">
        <f>+[2]Report1!AK12</f>
        <v>0</v>
      </c>
      <c r="AL7" s="584"/>
      <c r="AM7" s="584"/>
      <c r="AN7" s="604">
        <f>+[3]Report1!J12</f>
        <v>0.92179422004169198</v>
      </c>
      <c r="AO7" s="509">
        <f>+[3]Report1!K12</f>
        <v>0.85357949206054795</v>
      </c>
      <c r="AP7" s="509">
        <f>+[3]Report1!BN12</f>
        <v>0.92179422004169198</v>
      </c>
      <c r="AQ7" s="509">
        <f>+[3]Report1!BO12</f>
        <v>0.85357949206054795</v>
      </c>
      <c r="AR7" s="506">
        <f>+[3]Report1!R12</f>
        <v>50.56</v>
      </c>
      <c r="AS7" s="506">
        <f>+[3]Report1!S12</f>
        <v>187.61500000000001</v>
      </c>
      <c r="AT7" s="510">
        <f>+[3]Report1!AF12</f>
        <v>114.65588258562465</v>
      </c>
      <c r="AU7" s="510">
        <f>+[3]Report1!AG12</f>
        <v>117.61431102988662</v>
      </c>
      <c r="AV7" s="506">
        <f>+[3]Report1!AL12</f>
        <v>1.3548259493670884</v>
      </c>
      <c r="AW7" s="506">
        <f>+[3]Report1!AM12</f>
        <v>1.4295232257548702</v>
      </c>
      <c r="AX7" s="506">
        <f>+[3]Report1!AR12</f>
        <v>0.21954113924050631</v>
      </c>
      <c r="AY7" s="506">
        <f>+[3]Report1!AS12</f>
        <v>0.21213655624550276</v>
      </c>
      <c r="AZ7" s="506">
        <f>+[3]Report1!AX12</f>
        <v>801.26068037974744</v>
      </c>
      <c r="BA7" s="506">
        <f>+[3]Report1!AY12</f>
        <v>879.1935612824135</v>
      </c>
      <c r="BB7" s="506">
        <f>+[3]Report1!BD12</f>
        <v>505.1582278481024</v>
      </c>
      <c r="BC7" s="506">
        <f>+[3]Report1!BE12</f>
        <v>495.48159795325563</v>
      </c>
      <c r="BD7" s="506">
        <f>+[3]Report1!BJ12</f>
        <v>6.388449367088608</v>
      </c>
      <c r="BE7" s="506">
        <f>+[3]Report1!BK12</f>
        <v>6.1407669962424913</v>
      </c>
      <c r="BF7" s="508">
        <f>+[4]Report1!J12</f>
        <v>0.84422829095726637</v>
      </c>
      <c r="BG7" s="509">
        <f>+[4]Report1!K12</f>
        <v>0.75989690323910153</v>
      </c>
      <c r="BH7" s="509">
        <f>+[4]Report1!AN12</f>
        <v>0.84422829095726637</v>
      </c>
      <c r="BI7" s="509">
        <f>+[4]Report1!AO12</f>
        <v>0.75989690323910153</v>
      </c>
      <c r="BJ7" s="506">
        <f>+[4]Report1!R12</f>
        <v>44.167999999999999</v>
      </c>
      <c r="BK7" s="506">
        <f>+[4]Report1!S12</f>
        <v>162.83100000000002</v>
      </c>
      <c r="BL7" s="506">
        <f>+[4]Report1!AD12</f>
        <v>3.1583952182575623</v>
      </c>
      <c r="BM7" s="506">
        <f>+[4]Report1!AE12</f>
        <v>2.8907271956814116</v>
      </c>
      <c r="BN7" s="510">
        <v>0</v>
      </c>
      <c r="BO7" s="510">
        <v>0</v>
      </c>
      <c r="BP7" s="510">
        <f>+[4]Report1!AJ12</f>
        <v>1147.9414961057705</v>
      </c>
      <c r="BQ7" s="510">
        <f>+[4]Report1!AK12</f>
        <v>1062.1331318974935</v>
      </c>
      <c r="BR7" s="510">
        <v>0</v>
      </c>
      <c r="BS7" s="511">
        <v>0</v>
      </c>
      <c r="BT7" s="604">
        <f>+[5]Report1!J12</f>
        <v>0.87173046165176693</v>
      </c>
      <c r="BU7" s="509">
        <f>+[5]Report1!K12</f>
        <v>0.7434949260792022</v>
      </c>
      <c r="BV7" s="509">
        <f>+[5]Report1!BG12</f>
        <v>0.87173046165176693</v>
      </c>
      <c r="BW7" s="509">
        <f>+[5]Report1!BH12</f>
        <v>0.7434949260792022</v>
      </c>
      <c r="BX7" s="506">
        <f>+[5]Report1!R12</f>
        <v>45.640999999999998</v>
      </c>
      <c r="BY7" s="506">
        <f>+[5]Report1!S12</f>
        <v>155.66299999999998</v>
      </c>
      <c r="BZ7" s="510">
        <f>+[5]Report1!X12</f>
        <v>89.305636959549901</v>
      </c>
      <c r="CA7" s="510">
        <f>+[5]Report1!Y12</f>
        <v>88.092809698694111</v>
      </c>
      <c r="CB7" s="506">
        <f>+[5]Report1!AD12</f>
        <v>2.2085405665958238</v>
      </c>
      <c r="CC7" s="506">
        <f>+[5]Report1!AE12</f>
        <v>2.2413804179541703</v>
      </c>
      <c r="CD7" s="510">
        <f>+[5]Report1!AJ12</f>
        <v>0.23005630902039834</v>
      </c>
      <c r="CE7" s="510">
        <f>+[5]Report1!AK12</f>
        <v>0.21777814894997527</v>
      </c>
      <c r="CF7" s="510">
        <f>+[5]Report1!AP12</f>
        <v>608.6356565368942</v>
      </c>
      <c r="CG7" s="510">
        <f>+[5]Report1!AQ12</f>
        <v>617.55137701316789</v>
      </c>
      <c r="CH7" s="510">
        <f>+[5]Report1!AV12</f>
        <v>537.65693126793997</v>
      </c>
      <c r="CI7" s="510">
        <f>+[5]Report1!AW12</f>
        <v>517.27269807211781</v>
      </c>
      <c r="CJ7" s="510"/>
      <c r="CK7" s="511"/>
    </row>
    <row r="8" spans="1:89" ht="12.75" customHeight="1">
      <c r="A8" s="558">
        <f t="shared" si="0"/>
        <v>45966</v>
      </c>
      <c r="B8" s="508">
        <f>+Report1!J13</f>
        <v>0.90111446399423623</v>
      </c>
      <c r="C8" s="509">
        <f>+Report1!K13</f>
        <v>0.87891145882291766</v>
      </c>
      <c r="D8" s="509">
        <f>+Report1!AJ13</f>
        <v>0.90111446399423623</v>
      </c>
      <c r="E8" s="509">
        <f>+Report1!AK13</f>
        <v>0.87891145882291766</v>
      </c>
      <c r="F8" s="506">
        <f>+Report1!R13</f>
        <v>55.176000000000002</v>
      </c>
      <c r="G8" s="506">
        <f>+Report1!S13</f>
        <v>302.86599999999999</v>
      </c>
      <c r="H8" s="506">
        <f>+Report1!X13</f>
        <v>2.0944794838335508</v>
      </c>
      <c r="I8" s="506">
        <f>+Report1!Y13</f>
        <v>2.4465275072144119</v>
      </c>
      <c r="J8" s="506">
        <f>+Report1!AD13</f>
        <v>890.14354066986584</v>
      </c>
      <c r="K8" s="507">
        <f>+Report1!AE13</f>
        <v>865.4139454412167</v>
      </c>
      <c r="L8" s="508">
        <f>+[1]Report1!J13</f>
        <v>0.85890254439580027</v>
      </c>
      <c r="M8" s="509">
        <f>+[1]Report1!K13</f>
        <v>0.8893807009519189</v>
      </c>
      <c r="N8" s="509">
        <f>+[1]Report1!BJ13</f>
        <v>0.85890254439580027</v>
      </c>
      <c r="O8" s="509">
        <f>+[1]Report1!BK13</f>
        <v>0.8893807009519189</v>
      </c>
      <c r="P8" s="506">
        <f>+[1]Report1!R13</f>
        <v>44.61</v>
      </c>
      <c r="Q8" s="506">
        <f>+[1]Report1!S13</f>
        <v>231.47500000000002</v>
      </c>
      <c r="R8" s="506">
        <f>+[1]Report1!AL13</f>
        <v>3.1728312037659721</v>
      </c>
      <c r="S8" s="506">
        <f>+[1]Report1!AM13</f>
        <v>2.9128934010152281</v>
      </c>
      <c r="T8" s="506">
        <f>+[1]Report1!AR13</f>
        <v>0.34073077785249944</v>
      </c>
      <c r="U8" s="506">
        <f>+[1]Report1!AS13</f>
        <v>0.29376822551031428</v>
      </c>
      <c r="V8" s="506">
        <f>+[1]Report1!AX13</f>
        <v>835.60950459536753</v>
      </c>
      <c r="W8" s="506">
        <f>+[1]Report1!AY13</f>
        <v>804.89335781401394</v>
      </c>
      <c r="X8" s="506">
        <f>+[1]Report1!BD13</f>
        <v>519.99551670029143</v>
      </c>
      <c r="Y8" s="576">
        <f>+[1]Report1!BE13</f>
        <v>473.66238254671123</v>
      </c>
      <c r="Z8" s="604">
        <f>+[2]Report1!J13</f>
        <v>0</v>
      </c>
      <c r="AA8" s="509">
        <f>+[2]Report1!K13</f>
        <v>0</v>
      </c>
      <c r="AB8" s="509" t="e">
        <f>+[2]Report1!BC13</f>
        <v>#DIV/0!</v>
      </c>
      <c r="AC8" s="509" t="e">
        <f>+[2]Report1!BD13</f>
        <v>#DIV/0!</v>
      </c>
      <c r="AD8" s="506">
        <f>+[2]Report1!R13</f>
        <v>0</v>
      </c>
      <c r="AE8" s="506">
        <f>+[2]Report1!S13</f>
        <v>0</v>
      </c>
      <c r="AF8" s="506">
        <f>+[2]Report1!X13</f>
        <v>0</v>
      </c>
      <c r="AG8" s="506">
        <f>+[2]Report1!Y13</f>
        <v>0</v>
      </c>
      <c r="AH8" s="506">
        <f>+[2]Report1!AD13</f>
        <v>0</v>
      </c>
      <c r="AI8" s="506">
        <f>+[2]Report1!AE13</f>
        <v>0</v>
      </c>
      <c r="AJ8" s="506">
        <f>+[2]Report1!AJ13</f>
        <v>0</v>
      </c>
      <c r="AK8" s="506">
        <f>+[2]Report1!AK13</f>
        <v>0</v>
      </c>
      <c r="AL8" s="584"/>
      <c r="AM8" s="584"/>
      <c r="AN8" s="604">
        <f>+[3]Report1!J13</f>
        <v>0.54867609079830204</v>
      </c>
      <c r="AO8" s="509">
        <f>+[3]Report1!K13</f>
        <v>0.79449769110573631</v>
      </c>
      <c r="AP8" s="509">
        <f>+[3]Report1!BN13</f>
        <v>0.54867609079830204</v>
      </c>
      <c r="AQ8" s="509">
        <f>+[3]Report1!BO13</f>
        <v>0.79449769110573631</v>
      </c>
      <c r="AR8" s="506">
        <f>+[3]Report1!R13</f>
        <v>28.984999999999999</v>
      </c>
      <c r="AS8" s="506">
        <f>+[3]Report1!S13</f>
        <v>216.60000000000002</v>
      </c>
      <c r="AT8" s="510">
        <f>+[3]Report1!AF13</f>
        <v>113.30276559865217</v>
      </c>
      <c r="AU8" s="510">
        <f>+[3]Report1!AG13</f>
        <v>117.03734822137172</v>
      </c>
      <c r="AV8" s="506">
        <f>+[3]Report1!AL13</f>
        <v>1.5732275314818009</v>
      </c>
      <c r="AW8" s="506">
        <f>+[3]Report1!AM13</f>
        <v>1.4487534626038781</v>
      </c>
      <c r="AX8" s="506">
        <f>+[3]Report1!AR13</f>
        <v>0.20700362256339486</v>
      </c>
      <c r="AY8" s="506">
        <f>+[3]Report1!AS13</f>
        <v>0.21144967682363805</v>
      </c>
      <c r="AZ8" s="506">
        <f>+[3]Report1!AX13</f>
        <v>792.98119717095108</v>
      </c>
      <c r="BA8" s="506">
        <f>+[3]Report1!AY13</f>
        <v>867.65678670360126</v>
      </c>
      <c r="BB8" s="506">
        <f>+[3]Report1!BD13</f>
        <v>479.6983957219241</v>
      </c>
      <c r="BC8" s="506">
        <f>+[3]Report1!BE13</f>
        <v>493.36951985226227</v>
      </c>
      <c r="BD8" s="506">
        <f>+[3]Report1!BJ13</f>
        <v>7.4383301707771858</v>
      </c>
      <c r="BE8" s="506">
        <f>+[3]Report1!BK13</f>
        <v>6.3144044321330171</v>
      </c>
      <c r="BF8" s="508">
        <f>+[4]Report1!J13</f>
        <v>0.90952180811088268</v>
      </c>
      <c r="BG8" s="509">
        <f>+[4]Report1!K13</f>
        <v>0.78934378315334375</v>
      </c>
      <c r="BH8" s="509">
        <f>+[4]Report1!AN13</f>
        <v>0.90952180811088268</v>
      </c>
      <c r="BI8" s="509">
        <f>+[4]Report1!AO13</f>
        <v>0.78934378315334375</v>
      </c>
      <c r="BJ8" s="506">
        <f>+[4]Report1!R13</f>
        <v>47.753999999999998</v>
      </c>
      <c r="BK8" s="506">
        <f>+[4]Report1!S13</f>
        <v>210.58500000000001</v>
      </c>
      <c r="BL8" s="506">
        <f>+[4]Report1!AD13</f>
        <v>2.8186120534405497</v>
      </c>
      <c r="BM8" s="506">
        <f>+[4]Report1!AE13</f>
        <v>2.8743737683120827</v>
      </c>
      <c r="BN8" s="510">
        <v>0</v>
      </c>
      <c r="BO8" s="510">
        <v>0</v>
      </c>
      <c r="BP8" s="510">
        <f>+[4]Report1!AJ13</f>
        <v>1014.7363571637809</v>
      </c>
      <c r="BQ8" s="510">
        <f>+[4]Report1!AK13</f>
        <v>1051.385046418311</v>
      </c>
      <c r="BR8" s="510">
        <v>0</v>
      </c>
      <c r="BS8" s="511">
        <v>0</v>
      </c>
      <c r="BT8" s="604">
        <f>+[5]Report1!J13</f>
        <v>0.76888628188350272</v>
      </c>
      <c r="BU8" s="509">
        <f>+[5]Report1!K13</f>
        <v>0.74857271516126456</v>
      </c>
      <c r="BV8" s="509">
        <f>+[5]Report1!BG13</f>
        <v>0.76888628188350272</v>
      </c>
      <c r="BW8" s="509">
        <f>+[5]Report1!BH13</f>
        <v>0.74857271516126456</v>
      </c>
      <c r="BX8" s="506">
        <f>+[5]Report1!R13</f>
        <v>40.24</v>
      </c>
      <c r="BY8" s="506">
        <f>+[5]Report1!S13</f>
        <v>195.90299999999999</v>
      </c>
      <c r="BZ8" s="510">
        <f>+[5]Report1!X13</f>
        <v>89.461216180990732</v>
      </c>
      <c r="CA8" s="510">
        <f>+[5]Report1!Y13</f>
        <v>88.37389103408772</v>
      </c>
      <c r="CB8" s="506">
        <f>+[5]Report1!AD13</f>
        <v>2.1148111332007948</v>
      </c>
      <c r="CC8" s="506">
        <f>+[5]Report1!AE13</f>
        <v>2.2153821023669877</v>
      </c>
      <c r="CD8" s="510">
        <f>+[5]Report1!AJ13</f>
        <v>0.2062624254473161</v>
      </c>
      <c r="CE8" s="510">
        <f>+[5]Report1!AK13</f>
        <v>0.21541272976932463</v>
      </c>
      <c r="CF8" s="510">
        <f>+[5]Report1!AP13</f>
        <v>546.83300198800566</v>
      </c>
      <c r="CG8" s="510">
        <f>+[5]Report1!AQ13</f>
        <v>603.02527271148517</v>
      </c>
      <c r="CH8" s="510">
        <f>+[5]Report1!AV13</f>
        <v>477.1581013916491</v>
      </c>
      <c r="CI8" s="510">
        <f>+[5]Report1!AW13</f>
        <v>509.0328478890064</v>
      </c>
      <c r="CJ8" s="510"/>
      <c r="CK8" s="511"/>
    </row>
    <row r="9" spans="1:89" ht="12.75" customHeight="1">
      <c r="A9" s="558">
        <f t="shared" si="0"/>
        <v>45967</v>
      </c>
      <c r="B9" s="508">
        <f>+Report1!J14</f>
        <v>0.74072481548311198</v>
      </c>
      <c r="C9" s="509">
        <f>+Report1!K14</f>
        <v>0.85845427446079592</v>
      </c>
      <c r="D9" s="509">
        <f>+Report1!AJ14</f>
        <v>0.74072481548311198</v>
      </c>
      <c r="E9" s="509">
        <f>+Report1!AK14</f>
        <v>0.85845427446079592</v>
      </c>
      <c r="F9" s="506">
        <f>+Report1!R14</f>
        <v>44.353000000000002</v>
      </c>
      <c r="G9" s="506">
        <f>+Report1!S14</f>
        <v>347.21899999999999</v>
      </c>
      <c r="H9" s="506">
        <f>+Report1!X14</f>
        <v>2.6279394854913987</v>
      </c>
      <c r="I9" s="506">
        <f>+Report1!Y14</f>
        <v>2.4697006788222997</v>
      </c>
      <c r="J9" s="506">
        <f>+Report1!AD14</f>
        <v>1229.4496426397372</v>
      </c>
      <c r="K9" s="507">
        <f>+Report1!AE14</f>
        <v>911.91507377188407</v>
      </c>
      <c r="L9" s="508">
        <f>+[1]Report1!J14</f>
        <v>0.90230013092501193</v>
      </c>
      <c r="M9" s="509">
        <f>+[1]Report1!K14</f>
        <v>0.89152998382290105</v>
      </c>
      <c r="N9" s="509">
        <f>+[1]Report1!BJ14</f>
        <v>0.90230013092501193</v>
      </c>
      <c r="O9" s="509">
        <f>+[1]Report1!BK14</f>
        <v>0.89152998382290105</v>
      </c>
      <c r="P9" s="506">
        <f>+[1]Report1!R14</f>
        <v>46.863999999999997</v>
      </c>
      <c r="Q9" s="506">
        <f>+[1]Report1!S14</f>
        <v>278.339</v>
      </c>
      <c r="R9" s="506">
        <f>+[1]Report1!AL14</f>
        <v>3.0861002048480715</v>
      </c>
      <c r="S9" s="506">
        <f>+[1]Report1!AM14</f>
        <v>2.9420562695130754</v>
      </c>
      <c r="T9" s="506">
        <f>+[1]Report1!AR14</f>
        <v>0.30727210652099696</v>
      </c>
      <c r="U9" s="506">
        <f>+[1]Report1!AS14</f>
        <v>0.29604187699172596</v>
      </c>
      <c r="V9" s="506">
        <f>+[1]Report1!AX14</f>
        <v>867.68030897919107</v>
      </c>
      <c r="W9" s="506">
        <f>+[1]Report1!AY14</f>
        <v>815.46481089606459</v>
      </c>
      <c r="X9" s="506">
        <f>+[1]Report1!BD14</f>
        <v>453.69580061454423</v>
      </c>
      <c r="Y9" s="576">
        <f>+[1]Report1!BE14</f>
        <v>470.30060465834828</v>
      </c>
      <c r="Z9" s="604">
        <f>+[2]Report1!J14</f>
        <v>0</v>
      </c>
      <c r="AA9" s="509">
        <f>+[2]Report1!K14</f>
        <v>0</v>
      </c>
      <c r="AB9" s="509" t="e">
        <f>+[2]Report1!BC14</f>
        <v>#DIV/0!</v>
      </c>
      <c r="AC9" s="509" t="e">
        <f>+[2]Report1!BD14</f>
        <v>#DIV/0!</v>
      </c>
      <c r="AD9" s="506">
        <f>+[2]Report1!R14</f>
        <v>0</v>
      </c>
      <c r="AE9" s="506">
        <f>+[2]Report1!S14</f>
        <v>0</v>
      </c>
      <c r="AF9" s="506">
        <f>+[2]Report1!X14</f>
        <v>0</v>
      </c>
      <c r="AG9" s="506">
        <f>+[2]Report1!Y14</f>
        <v>0</v>
      </c>
      <c r="AH9" s="506">
        <f>+[2]Report1!AD14</f>
        <v>0</v>
      </c>
      <c r="AI9" s="506">
        <f>+[2]Report1!AE14</f>
        <v>0</v>
      </c>
      <c r="AJ9" s="506">
        <f>+[2]Report1!AJ14</f>
        <v>0</v>
      </c>
      <c r="AK9" s="506">
        <f>+[2]Report1!AK14</f>
        <v>0</v>
      </c>
      <c r="AL9" s="584"/>
      <c r="AM9" s="584"/>
      <c r="AN9" s="604">
        <f>+[3]Report1!J14</f>
        <v>1.005139451875384</v>
      </c>
      <c r="AO9" s="509">
        <f>+[3]Report1!K14</f>
        <v>0.83030316087430944</v>
      </c>
      <c r="AP9" s="509">
        <f>+[3]Report1!BN14</f>
        <v>1.005139451875384</v>
      </c>
      <c r="AQ9" s="509">
        <f>+[3]Report1!BO14</f>
        <v>0.83030316087430944</v>
      </c>
      <c r="AR9" s="506">
        <f>+[3]Report1!R14</f>
        <v>56.119</v>
      </c>
      <c r="AS9" s="506">
        <f>+[3]Report1!S14</f>
        <v>272.71900000000005</v>
      </c>
      <c r="AT9" s="510">
        <f>+[3]Report1!AF14</f>
        <v>98.465119333674537</v>
      </c>
      <c r="AU9" s="510">
        <f>+[3]Report1!AG14</f>
        <v>113.21563094846927</v>
      </c>
      <c r="AV9" s="506">
        <f>+[3]Report1!AL14</f>
        <v>1.2598228763876762</v>
      </c>
      <c r="AW9" s="506">
        <f>+[3]Report1!AM14</f>
        <v>1.4098760995750201</v>
      </c>
      <c r="AX9" s="506">
        <f>+[3]Report1!AR14</f>
        <v>0.19601204583118018</v>
      </c>
      <c r="AY9" s="506">
        <f>+[3]Report1!AS14</f>
        <v>0.20827298428052315</v>
      </c>
      <c r="AZ9" s="506">
        <f>+[3]Report1!AX14</f>
        <v>681.76161371371404</v>
      </c>
      <c r="BA9" s="506">
        <f>+[3]Report1!AY14</f>
        <v>829.40403858917023</v>
      </c>
      <c r="BB9" s="506">
        <f>+[3]Report1!BD14</f>
        <v>474.30520857462841</v>
      </c>
      <c r="BC9" s="506">
        <f>+[3]Report1!BE14</f>
        <v>489.44654387849607</v>
      </c>
      <c r="BD9" s="506">
        <f>+[3]Report1!BJ14</f>
        <v>5.3778577665311085</v>
      </c>
      <c r="BE9" s="506">
        <f>+[3]Report1!BK14</f>
        <v>6.121685691132523</v>
      </c>
      <c r="BF9" s="508">
        <f>+[4]Report1!J14</f>
        <v>0.84156915809877997</v>
      </c>
      <c r="BG9" s="509">
        <f>+[4]Report1!K14</f>
        <v>0.79786803317152288</v>
      </c>
      <c r="BH9" s="509">
        <f>+[4]Report1!AN14</f>
        <v>0.84156915809877997</v>
      </c>
      <c r="BI9" s="509">
        <f>+[4]Report1!AO14</f>
        <v>0.79786803317152288</v>
      </c>
      <c r="BJ9" s="506">
        <f>+[4]Report1!R14</f>
        <v>43.793999999999997</v>
      </c>
      <c r="BK9" s="506">
        <f>+[4]Report1!S14</f>
        <v>254.37900000000002</v>
      </c>
      <c r="BL9" s="506">
        <f>+[4]Report1!AD14</f>
        <v>3.1282824131159521</v>
      </c>
      <c r="BM9" s="506">
        <f>+[4]Report1!AE14</f>
        <v>2.9180867917556084</v>
      </c>
      <c r="BN9" s="510">
        <v>0</v>
      </c>
      <c r="BO9" s="510">
        <v>0</v>
      </c>
      <c r="BP9" s="510">
        <f>+[4]Report1!AJ14</f>
        <v>1287.205096588596</v>
      </c>
      <c r="BQ9" s="510">
        <f>+[4]Report1!AK14</f>
        <v>1091.9839294910387</v>
      </c>
      <c r="BR9" s="510">
        <v>0</v>
      </c>
      <c r="BS9" s="511">
        <v>0</v>
      </c>
      <c r="BT9" s="604">
        <f>+[5]Report1!J14</f>
        <v>0.70487071580568827</v>
      </c>
      <c r="BU9" s="509">
        <f>+[5]Report1!K14</f>
        <v>0.74129155272339509</v>
      </c>
      <c r="BV9" s="509">
        <f>+[5]Report1!BG14</f>
        <v>0.70487071580568827</v>
      </c>
      <c r="BW9" s="509">
        <f>+[5]Report1!BH14</f>
        <v>0.74129155272339509</v>
      </c>
      <c r="BX9" s="506">
        <f>+[5]Report1!R14</f>
        <v>36.878</v>
      </c>
      <c r="BY9" s="506">
        <f>+[5]Report1!S14</f>
        <v>232.78100000000001</v>
      </c>
      <c r="BZ9" s="510">
        <f>+[5]Report1!X14</f>
        <v>108.58061630548076</v>
      </c>
      <c r="CA9" s="510">
        <f>+[5]Report1!Y14</f>
        <v>91.57511284582678</v>
      </c>
      <c r="CB9" s="506">
        <f>+[5]Report1!AD14</f>
        <v>2.5245403763761591</v>
      </c>
      <c r="CC9" s="506">
        <f>+[5]Report1!AE14</f>
        <v>2.2643600637509076</v>
      </c>
      <c r="CD9" s="510">
        <f>+[5]Report1!AJ14</f>
        <v>0.21421986007918001</v>
      </c>
      <c r="CE9" s="510">
        <f>+[5]Report1!AK14</f>
        <v>0.21522375107934066</v>
      </c>
      <c r="CF9" s="510">
        <f>+[5]Report1!AP14</f>
        <v>726.44340799399004</v>
      </c>
      <c r="CG9" s="510">
        <f>+[5]Report1!AQ14</f>
        <v>622.57761587071298</v>
      </c>
      <c r="CH9" s="510">
        <f>+[5]Report1!AV14</f>
        <v>522.66299690871779</v>
      </c>
      <c r="CI9" s="510">
        <f>+[5]Report1!AW14</f>
        <v>511.19218492918117</v>
      </c>
      <c r="CJ9" s="510"/>
      <c r="CK9" s="511"/>
    </row>
    <row r="10" spans="1:89" ht="12.75" customHeight="1">
      <c r="A10" s="558">
        <f t="shared" si="0"/>
        <v>45968</v>
      </c>
      <c r="B10" s="508">
        <f>+Report1!J15</f>
        <v>0.78018143522729932</v>
      </c>
      <c r="C10" s="509">
        <f>+Report1!K15</f>
        <v>0.84799102031939744</v>
      </c>
      <c r="D10" s="509">
        <f>+Report1!AJ15</f>
        <v>0.78018143522729932</v>
      </c>
      <c r="E10" s="509">
        <f>+Report1!AK15</f>
        <v>0.84799102031939744</v>
      </c>
      <c r="F10" s="506">
        <f>+Report1!R15</f>
        <v>48.692</v>
      </c>
      <c r="G10" s="506">
        <f>+Report1!S15</f>
        <v>395.911</v>
      </c>
      <c r="H10" s="506">
        <f>+Report1!X15</f>
        <v>2.443645773433007</v>
      </c>
      <c r="I10" s="506">
        <f>+Report1!Y15</f>
        <v>2.4664962579973784</v>
      </c>
      <c r="J10" s="506">
        <f>+Report1!AD15</f>
        <v>1053.0703195596973</v>
      </c>
      <c r="K10" s="507">
        <f>+Report1!AE15</f>
        <v>929.27536744369468</v>
      </c>
      <c r="L10" s="508">
        <f>+[1]Report1!J15</f>
        <v>0.90688637788022219</v>
      </c>
      <c r="M10" s="509">
        <f>+[1]Report1!K15</f>
        <v>0.89371789865876383</v>
      </c>
      <c r="N10" s="509">
        <f>+[1]Report1!BJ15</f>
        <v>0.90688637788022219</v>
      </c>
      <c r="O10" s="509">
        <f>+[1]Report1!BK15</f>
        <v>0.89371789865876383</v>
      </c>
      <c r="P10" s="506">
        <f>+[1]Report1!R15</f>
        <v>47.042000000000002</v>
      </c>
      <c r="Q10" s="506">
        <f>+[1]Report1!S15</f>
        <v>325.38099999999997</v>
      </c>
      <c r="R10" s="506">
        <f>+[1]Report1!AL15</f>
        <v>2.6742060286552443</v>
      </c>
      <c r="S10" s="506">
        <f>+[1]Report1!AM15</f>
        <v>2.9033317864288324</v>
      </c>
      <c r="T10" s="506">
        <f>+[1]Report1!AR15</f>
        <v>0.27209727477573231</v>
      </c>
      <c r="U10" s="506">
        <f>+[1]Report1!AS15</f>
        <v>0.29258008304111183</v>
      </c>
      <c r="V10" s="506">
        <f>+[1]Report1!AX15</f>
        <v>738.8939670932358</v>
      </c>
      <c r="W10" s="506">
        <f>+[1]Report1!AY15</f>
        <v>804.39457128719778</v>
      </c>
      <c r="X10" s="506">
        <f>+[1]Report1!BD15</f>
        <v>396.26291399175204</v>
      </c>
      <c r="Y10" s="576">
        <f>+[1]Report1!BE15</f>
        <v>459.59659599054646</v>
      </c>
      <c r="Z10" s="604">
        <f>+[2]Report1!J15</f>
        <v>0</v>
      </c>
      <c r="AA10" s="509">
        <f>+[2]Report1!K15</f>
        <v>0</v>
      </c>
      <c r="AB10" s="509" t="e">
        <f>+[2]Report1!BC15</f>
        <v>#DIV/0!</v>
      </c>
      <c r="AC10" s="509" t="e">
        <f>+[2]Report1!BD15</f>
        <v>#DIV/0!</v>
      </c>
      <c r="AD10" s="506">
        <f>+[2]Report1!R15</f>
        <v>0</v>
      </c>
      <c r="AE10" s="506">
        <f>+[2]Report1!S15</f>
        <v>0</v>
      </c>
      <c r="AF10" s="506">
        <f>+[2]Report1!X15</f>
        <v>0</v>
      </c>
      <c r="AG10" s="506">
        <f>+[2]Report1!Y15</f>
        <v>0</v>
      </c>
      <c r="AH10" s="506">
        <f>+[2]Report1!AD15</f>
        <v>0</v>
      </c>
      <c r="AI10" s="506">
        <f>+[2]Report1!AE15</f>
        <v>0</v>
      </c>
      <c r="AJ10" s="506">
        <f>+[2]Report1!AJ15</f>
        <v>0</v>
      </c>
      <c r="AK10" s="506">
        <f>+[2]Report1!AK15</f>
        <v>0</v>
      </c>
      <c r="AL10" s="584"/>
      <c r="AM10" s="584"/>
      <c r="AN10" s="604">
        <f>+[3]Report1!J15</f>
        <v>0.95309107847395524</v>
      </c>
      <c r="AO10" s="509">
        <f>+[3]Report1!K15</f>
        <v>0.8491238885079474</v>
      </c>
      <c r="AP10" s="509">
        <f>+[3]Report1!BN15</f>
        <v>0.95309107847395524</v>
      </c>
      <c r="AQ10" s="509">
        <f>+[3]Report1!BO15</f>
        <v>0.8491238885079474</v>
      </c>
      <c r="AR10" s="506">
        <f>+[3]Report1!R15</f>
        <v>56.67</v>
      </c>
      <c r="AS10" s="506">
        <f>+[3]Report1!S15</f>
        <v>329.38900000000007</v>
      </c>
      <c r="AT10" s="510">
        <f>+[3]Report1!AF15</f>
        <v>99.362510598630763</v>
      </c>
      <c r="AU10" s="510">
        <f>+[3]Report1!AG15</f>
        <v>110.83225952372419</v>
      </c>
      <c r="AV10" s="506">
        <f>+[3]Report1!AL15</f>
        <v>1.1664019763543321</v>
      </c>
      <c r="AW10" s="506">
        <f>+[3]Report1!AM15</f>
        <v>1.3679873948431791</v>
      </c>
      <c r="AX10" s="506">
        <f>+[3]Report1!AR15</f>
        <v>0.19057702488088937</v>
      </c>
      <c r="AY10" s="506">
        <f>+[3]Report1!AS15</f>
        <v>0.20522846846737441</v>
      </c>
      <c r="AZ10" s="506">
        <f>+[3]Report1!AX15</f>
        <v>667.83306864302153</v>
      </c>
      <c r="BA10" s="506">
        <f>+[3]Report1!AY15</f>
        <v>801.60642887285223</v>
      </c>
      <c r="BB10" s="506">
        <f>+[3]Report1!BD15</f>
        <v>468.73063349216079</v>
      </c>
      <c r="BC10" s="506">
        <f>+[3]Report1!BE15</f>
        <v>485.88245812701797</v>
      </c>
      <c r="BD10" s="506">
        <f>+[3]Report1!BJ15</f>
        <v>5.7702488088935953</v>
      </c>
      <c r="BE10" s="506">
        <f>+[3]Report1!BK15</f>
        <v>6.0612224451938914</v>
      </c>
      <c r="BF10" s="508">
        <f>+[4]Report1!J15</f>
        <v>0.89504878925804621</v>
      </c>
      <c r="BG10" s="509">
        <f>+[4]Report1!K15</f>
        <v>0.8115042171369935</v>
      </c>
      <c r="BH10" s="509">
        <f>+[4]Report1!AN15</f>
        <v>0.89504878925804621</v>
      </c>
      <c r="BI10" s="509">
        <f>+[4]Report1!AO15</f>
        <v>0.8115042171369935</v>
      </c>
      <c r="BJ10" s="506">
        <f>+[4]Report1!R15</f>
        <v>46.576999999999998</v>
      </c>
      <c r="BK10" s="506">
        <f>+[4]Report1!S15</f>
        <v>300.95600000000002</v>
      </c>
      <c r="BL10" s="506">
        <f>+[4]Report1!AD15</f>
        <v>2.9284840157159113</v>
      </c>
      <c r="BM10" s="506">
        <f>+[4]Report1!AE15</f>
        <v>2.9196959023910467</v>
      </c>
      <c r="BN10" s="510">
        <v>0</v>
      </c>
      <c r="BO10" s="510">
        <v>0</v>
      </c>
      <c r="BP10" s="510">
        <f>+[4]Report1!AJ15</f>
        <v>1113.9038581274162</v>
      </c>
      <c r="BQ10" s="510">
        <f>+[4]Report1!AK15</f>
        <v>1095.376334082064</v>
      </c>
      <c r="BR10" s="510">
        <v>0</v>
      </c>
      <c r="BS10" s="511">
        <v>0</v>
      </c>
      <c r="BT10" s="604">
        <f>+[5]Report1!J15</f>
        <v>0.76548655387449294</v>
      </c>
      <c r="BU10" s="509">
        <f>+[5]Report1!K15</f>
        <v>0.7447432385429974</v>
      </c>
      <c r="BV10" s="509">
        <f>+[5]Report1!BG15</f>
        <v>0.76548655387449294</v>
      </c>
      <c r="BW10" s="509">
        <f>+[5]Report1!BH15</f>
        <v>0.7447432385429974</v>
      </c>
      <c r="BX10" s="506">
        <f>+[5]Report1!R15</f>
        <v>39.999000000000002</v>
      </c>
      <c r="BY10" s="506">
        <f>+[5]Report1!S15</f>
        <v>272.78000000000003</v>
      </c>
      <c r="BZ10" s="510">
        <f>+[5]Report1!X15</f>
        <v>108.05586450600251</v>
      </c>
      <c r="CA10" s="510">
        <f>+[5]Report1!Y15</f>
        <v>93.991762107705839</v>
      </c>
      <c r="CB10" s="506">
        <f>+[5]Report1!AD15</f>
        <v>2.4725618140453509</v>
      </c>
      <c r="CC10" s="506">
        <f>+[5]Report1!AE15</f>
        <v>2.2948896546667643</v>
      </c>
      <c r="CD10" s="510">
        <f>+[5]Report1!AJ15</f>
        <v>0.2250056251406285</v>
      </c>
      <c r="CE10" s="510">
        <f>+[5]Report1!AK15</f>
        <v>0.21665811276486543</v>
      </c>
      <c r="CF10" s="510">
        <f>+[5]Report1!AP15</f>
        <v>681.1695292382301</v>
      </c>
      <c r="CG10" s="510">
        <f>+[5]Report1!AQ15</f>
        <v>631.16922061734886</v>
      </c>
      <c r="CH10" s="510">
        <f>+[5]Report1!AV15</f>
        <v>543.34695867398193</v>
      </c>
      <c r="CI10" s="510">
        <f>+[5]Report1!AW15</f>
        <v>515.90718894347197</v>
      </c>
      <c r="CJ10" s="510"/>
      <c r="CK10" s="511"/>
    </row>
    <row r="11" spans="1:89" ht="12.75" customHeight="1">
      <c r="A11" s="558">
        <f t="shared" si="0"/>
        <v>45969</v>
      </c>
      <c r="B11" s="508">
        <f>+Report1!J16</f>
        <v>0.83272760619467912</v>
      </c>
      <c r="C11" s="509">
        <f>+Report1!K16</f>
        <v>0.84632166230728612</v>
      </c>
      <c r="D11" s="509">
        <f>+Report1!AJ16</f>
        <v>0.83272760619467912</v>
      </c>
      <c r="E11" s="509">
        <f>+Report1!AK16</f>
        <v>0.84632166230728612</v>
      </c>
      <c r="F11" s="506">
        <f>+Report1!R16</f>
        <v>47.743000000000002</v>
      </c>
      <c r="G11" s="506">
        <f>+Report1!S16</f>
        <v>443.654</v>
      </c>
      <c r="H11" s="506">
        <f>+Report1!X16</f>
        <v>2.3708815952076741</v>
      </c>
      <c r="I11" s="506">
        <f>+Report1!Y16</f>
        <v>2.4562068639074597</v>
      </c>
      <c r="J11" s="506">
        <f>+Report1!AD16</f>
        <v>1177.1044969942893</v>
      </c>
      <c r="K11" s="507">
        <f>+Report1!AE16</f>
        <v>955.94503825052618</v>
      </c>
      <c r="L11" s="508">
        <f>+[1]Report1!J16</f>
        <v>0.82066147908044917</v>
      </c>
      <c r="M11" s="509">
        <f>+[1]Report1!K16</f>
        <v>0.88447992808400677</v>
      </c>
      <c r="N11" s="509">
        <f>+[1]Report1!BJ16</f>
        <v>0.82066147908044917</v>
      </c>
      <c r="O11" s="509">
        <f>+[1]Report1!BK16</f>
        <v>0.88447992808400677</v>
      </c>
      <c r="P11" s="506">
        <f>+[1]Report1!R16</f>
        <v>43.25</v>
      </c>
      <c r="Q11" s="506">
        <f>+[1]Report1!S16</f>
        <v>368.63099999999997</v>
      </c>
      <c r="R11" s="506">
        <f>+[1]Report1!AL16</f>
        <v>3.0312138728323696</v>
      </c>
      <c r="S11" s="506">
        <f>+[1]Report1!AM16</f>
        <v>2.9183356798532945</v>
      </c>
      <c r="T11" s="506">
        <f>+[1]Report1!AR16</f>
        <v>0.33294797687861272</v>
      </c>
      <c r="U11" s="506">
        <f>+[1]Report1!AS16</f>
        <v>0.29731628647617814</v>
      </c>
      <c r="V11" s="506">
        <f>+[1]Report1!AX16</f>
        <v>935.97109826588587</v>
      </c>
      <c r="W11" s="506">
        <f>+[1]Report1!AY16</f>
        <v>819.83191863950469</v>
      </c>
      <c r="X11" s="506">
        <f>+[1]Report1!BD16</f>
        <v>569.89595375722547</v>
      </c>
      <c r="Y11" s="576">
        <f>+[1]Report1!BE16</f>
        <v>472.53757822863514</v>
      </c>
      <c r="Z11" s="604">
        <f>+[2]Report1!J16</f>
        <v>0</v>
      </c>
      <c r="AA11" s="509">
        <f>+[2]Report1!K16</f>
        <v>0</v>
      </c>
      <c r="AB11" s="509" t="e">
        <f>+[2]Report1!BC16</f>
        <v>#DIV/0!</v>
      </c>
      <c r="AC11" s="509" t="e">
        <f>+[2]Report1!BD16</f>
        <v>#DIV/0!</v>
      </c>
      <c r="AD11" s="506">
        <f>+[2]Report1!R16</f>
        <v>0</v>
      </c>
      <c r="AE11" s="506">
        <f>+[2]Report1!S16</f>
        <v>0</v>
      </c>
      <c r="AF11" s="506">
        <f>+[2]Report1!X16</f>
        <v>0</v>
      </c>
      <c r="AG11" s="506">
        <f>+[2]Report1!Y16</f>
        <v>0</v>
      </c>
      <c r="AH11" s="506">
        <f>+[2]Report1!AD16</f>
        <v>0</v>
      </c>
      <c r="AI11" s="506">
        <f>+[2]Report1!AE16</f>
        <v>0</v>
      </c>
      <c r="AJ11" s="506">
        <f>+[2]Report1!AJ16</f>
        <v>0</v>
      </c>
      <c r="AK11" s="506">
        <f>+[2]Report1!AK16</f>
        <v>0</v>
      </c>
      <c r="AL11" s="584"/>
      <c r="AM11" s="584"/>
      <c r="AN11" s="604">
        <f>+[3]Report1!J16</f>
        <v>0.97811112813571321</v>
      </c>
      <c r="AO11" s="509">
        <f>+[3]Report1!K16</f>
        <v>0.8645254838849219</v>
      </c>
      <c r="AP11" s="509">
        <f>+[3]Report1!BN16</f>
        <v>0.97811112813571321</v>
      </c>
      <c r="AQ11" s="509">
        <f>+[3]Report1!BO16</f>
        <v>0.8645254838849219</v>
      </c>
      <c r="AR11" s="506">
        <f>+[3]Report1!R16</f>
        <v>51.448</v>
      </c>
      <c r="AS11" s="506">
        <f>+[3]Report1!S16</f>
        <v>380.83700000000005</v>
      </c>
      <c r="AT11" s="510">
        <f>+[3]Report1!AF16</f>
        <v>111.50918668756003</v>
      </c>
      <c r="AU11" s="510">
        <f>+[3]Report1!AG16</f>
        <v>110.9237069112549</v>
      </c>
      <c r="AV11" s="506">
        <f>+[3]Report1!AL16</f>
        <v>1.2945109625252682</v>
      </c>
      <c r="AW11" s="506">
        <f>+[3]Report1!AM16</f>
        <v>1.35806132282315</v>
      </c>
      <c r="AX11" s="506">
        <f>+[3]Report1!AR16</f>
        <v>0.2021458560099518</v>
      </c>
      <c r="AY11" s="506">
        <f>+[3]Report1!AS16</f>
        <v>0.20481203244432658</v>
      </c>
      <c r="AZ11" s="506">
        <f>+[3]Report1!AX16</f>
        <v>811.27546260301699</v>
      </c>
      <c r="BA11" s="506">
        <f>+[3]Report1!AY16</f>
        <v>802.91263716498122</v>
      </c>
      <c r="BB11" s="506">
        <f>+[3]Report1!BD16</f>
        <v>542.95022158295149</v>
      </c>
      <c r="BC11" s="506">
        <f>+[3]Report1!BE16</f>
        <v>493.59185163206308</v>
      </c>
      <c r="BD11" s="506">
        <f>+[3]Report1!BJ16</f>
        <v>5.7747628673618978</v>
      </c>
      <c r="BE11" s="506">
        <f>+[3]Report1!BK16</f>
        <v>6.0225240719783146</v>
      </c>
      <c r="BF11" s="508">
        <f>+[4]Report1!J16</f>
        <v>1.0624654620762872</v>
      </c>
      <c r="BG11" s="509">
        <f>+[4]Report1!K16</f>
        <v>0.84366600924522017</v>
      </c>
      <c r="BH11" s="509">
        <f>+[4]Report1!AN16</f>
        <v>1.0624654620762872</v>
      </c>
      <c r="BI11" s="509">
        <f>+[4]Report1!AO16</f>
        <v>0.84366600924522017</v>
      </c>
      <c r="BJ11" s="506">
        <f>+[4]Report1!R16</f>
        <v>57.918999999999997</v>
      </c>
      <c r="BK11" s="506">
        <f>+[4]Report1!S16</f>
        <v>358.875</v>
      </c>
      <c r="BL11" s="506">
        <f>+[4]Report1!AD16</f>
        <v>2.3791847234931547</v>
      </c>
      <c r="BM11" s="506">
        <f>+[4]Report1!AE16</f>
        <v>2.8324625566004875</v>
      </c>
      <c r="BN11" s="510">
        <v>0</v>
      </c>
      <c r="BO11" s="510">
        <v>0</v>
      </c>
      <c r="BP11" s="510">
        <f>+[4]Report1!AJ16</f>
        <v>995.26925533932206</v>
      </c>
      <c r="BQ11" s="510">
        <f>+[4]Report1!AK16</f>
        <v>1079.2200069662135</v>
      </c>
      <c r="BR11" s="510">
        <v>0</v>
      </c>
      <c r="BS11" s="511">
        <v>0</v>
      </c>
      <c r="BT11" s="604">
        <f>+[5]Report1!J16</f>
        <v>0.69176021763603524</v>
      </c>
      <c r="BU11" s="509">
        <f>+[5]Report1!K16</f>
        <v>0.73811799850133242</v>
      </c>
      <c r="BV11" s="509">
        <f>+[5]Report1!BG16</f>
        <v>0.69176021763603524</v>
      </c>
      <c r="BW11" s="509">
        <f>+[5]Report1!BH16</f>
        <v>0.73811799850133242</v>
      </c>
      <c r="BX11" s="506">
        <f>+[5]Report1!R16</f>
        <v>36.210999999999999</v>
      </c>
      <c r="BY11" s="506">
        <f>+[5]Report1!S16</f>
        <v>308.99100000000004</v>
      </c>
      <c r="BZ11" s="510">
        <f>+[5]Report1!X16</f>
        <v>117.61827520086193</v>
      </c>
      <c r="CA11" s="510">
        <f>+[5]Report1!Y16</f>
        <v>96.760579534803313</v>
      </c>
      <c r="CB11" s="506">
        <f>+[5]Report1!AD16</f>
        <v>2.7477838225953439</v>
      </c>
      <c r="CC11" s="506">
        <f>+[5]Report1!AE16</f>
        <v>2.3479648274545211</v>
      </c>
      <c r="CD11" s="510">
        <f>+[5]Report1!AJ16</f>
        <v>0.25958962746126868</v>
      </c>
      <c r="CE11" s="510">
        <f>+[5]Report1!AK16</f>
        <v>0.22168930486648475</v>
      </c>
      <c r="CF11" s="510">
        <f>+[5]Report1!AP16</f>
        <v>826.50299632710278</v>
      </c>
      <c r="CG11" s="510">
        <f>+[5]Report1!AQ16</f>
        <v>654.06060370690773</v>
      </c>
      <c r="CH11" s="510">
        <f>+[5]Report1!AV16</f>
        <v>684.08486371543779</v>
      </c>
      <c r="CI11" s="510">
        <f>+[5]Report1!AW16</f>
        <v>535.61611826881688</v>
      </c>
      <c r="CJ11" s="510"/>
      <c r="CK11" s="511"/>
    </row>
    <row r="12" spans="1:89" ht="12.75" customHeight="1">
      <c r="A12" s="558">
        <f t="shared" si="0"/>
        <v>45970</v>
      </c>
      <c r="B12" s="508">
        <f>+Report1!J17</f>
        <v>0.8952950192938236</v>
      </c>
      <c r="C12" s="509">
        <f>+Report1!K17</f>
        <v>0.8513003779705649</v>
      </c>
      <c r="D12" s="509">
        <f>+Report1!AJ17</f>
        <v>0.8952950192938236</v>
      </c>
      <c r="E12" s="509">
        <f>+Report1!AK17</f>
        <v>0.8513003779705649</v>
      </c>
      <c r="F12" s="506">
        <f>+Report1!R17</f>
        <v>53.112000000000002</v>
      </c>
      <c r="G12" s="506">
        <f>+Report1!S17</f>
        <v>496.76600000000002</v>
      </c>
      <c r="H12" s="506">
        <f>+Report1!X17</f>
        <v>2.205452628407893</v>
      </c>
      <c r="I12" s="506">
        <f>+Report1!Y17</f>
        <v>2.4293973420081088</v>
      </c>
      <c r="J12" s="506">
        <f>+Report1!AD17</f>
        <v>1043.03999096251</v>
      </c>
      <c r="K12" s="507">
        <f>+Report1!AE17</f>
        <v>965.2568412491994</v>
      </c>
      <c r="L12" s="508">
        <f>+[1]Report1!J17</f>
        <v>0.77458077103777667</v>
      </c>
      <c r="M12" s="509">
        <f>+[1]Report1!K17</f>
        <v>0.87142030531254722</v>
      </c>
      <c r="N12" s="509">
        <f>+[1]Report1!BJ17</f>
        <v>0.77458077103777667</v>
      </c>
      <c r="O12" s="509">
        <f>+[1]Report1!BK17</f>
        <v>0.87142030531254722</v>
      </c>
      <c r="P12" s="506">
        <f>+[1]Report1!R17</f>
        <v>43.536000000000001</v>
      </c>
      <c r="Q12" s="506">
        <f>+[1]Report1!S17</f>
        <v>412.16699999999997</v>
      </c>
      <c r="R12" s="506">
        <f>+[1]Report1!AL17</f>
        <v>2.9492833517089307</v>
      </c>
      <c r="S12" s="506">
        <f>+[1]Report1!AM17</f>
        <v>2.9216045923133098</v>
      </c>
      <c r="T12" s="506">
        <f>+[1]Report1!AR17</f>
        <v>0.34913634693127527</v>
      </c>
      <c r="U12" s="506">
        <f>+[1]Report1!AS17</f>
        <v>0.30278988856458672</v>
      </c>
      <c r="V12" s="506">
        <f>+[1]Report1!AX17</f>
        <v>839.76272510108765</v>
      </c>
      <c r="W12" s="506">
        <f>+[1]Report1!AY17</f>
        <v>821.93715168851509</v>
      </c>
      <c r="X12" s="506">
        <f>+[1]Report1!BD17</f>
        <v>555.21866960676221</v>
      </c>
      <c r="Y12" s="576">
        <f>+[1]Report1!BE17</f>
        <v>481.27094114764162</v>
      </c>
      <c r="Z12" s="604">
        <f>+[2]Report1!J17</f>
        <v>0</v>
      </c>
      <c r="AA12" s="509">
        <f>+[2]Report1!K17</f>
        <v>0</v>
      </c>
      <c r="AB12" s="509" t="e">
        <f>+[2]Report1!BC17</f>
        <v>#DIV/0!</v>
      </c>
      <c r="AC12" s="509" t="e">
        <f>+[2]Report1!BD17</f>
        <v>#DIV/0!</v>
      </c>
      <c r="AD12" s="506">
        <f>+[2]Report1!R17</f>
        <v>0</v>
      </c>
      <c r="AE12" s="506">
        <f>+[2]Report1!S17</f>
        <v>0</v>
      </c>
      <c r="AF12" s="506">
        <f>+[2]Report1!X17</f>
        <v>0</v>
      </c>
      <c r="AG12" s="506">
        <f>+[2]Report1!Y17</f>
        <v>0</v>
      </c>
      <c r="AH12" s="506">
        <f>+[2]Report1!AD17</f>
        <v>0</v>
      </c>
      <c r="AI12" s="506">
        <f>+[2]Report1!AE17</f>
        <v>0</v>
      </c>
      <c r="AJ12" s="506">
        <f>+[2]Report1!AJ17</f>
        <v>0</v>
      </c>
      <c r="AK12" s="506">
        <f>+[2]Report1!AK17</f>
        <v>0</v>
      </c>
      <c r="AL12" s="584"/>
      <c r="AM12" s="584"/>
      <c r="AN12" s="604">
        <f>+[3]Report1!J17</f>
        <v>0.94802685303952994</v>
      </c>
      <c r="AO12" s="509">
        <f>+[3]Report1!K17</f>
        <v>0.87351674606644625</v>
      </c>
      <c r="AP12" s="509">
        <f>+[3]Report1!BN17</f>
        <v>0.94802685303952994</v>
      </c>
      <c r="AQ12" s="509">
        <f>+[3]Report1!BO17</f>
        <v>0.87351674606644625</v>
      </c>
      <c r="AR12" s="506">
        <f>+[3]Report1!R17</f>
        <v>50.395000000000003</v>
      </c>
      <c r="AS12" s="506">
        <f>+[3]Report1!S17</f>
        <v>431.23200000000003</v>
      </c>
      <c r="AT12" s="510">
        <f>+[3]Report1!AF17</f>
        <v>102.75838502910234</v>
      </c>
      <c r="AU12" s="510">
        <f>+[3]Report1!AG17</f>
        <v>109.96948413499739</v>
      </c>
      <c r="AV12" s="506">
        <f>+[3]Report1!AL17</f>
        <v>1.3056850878063297</v>
      </c>
      <c r="AW12" s="506">
        <f>+[3]Report1!AM17</f>
        <v>1.3519404867913327</v>
      </c>
      <c r="AX12" s="506">
        <f>+[3]Report1!AR17</f>
        <v>0.21430697489830342</v>
      </c>
      <c r="AY12" s="506">
        <f>+[3]Report1!AS17</f>
        <v>0.20592163846838826</v>
      </c>
      <c r="AZ12" s="506">
        <f>+[3]Report1!AX17</f>
        <v>777.81406885603712</v>
      </c>
      <c r="BA12" s="506">
        <f>+[3]Report1!AY17</f>
        <v>799.97954697239527</v>
      </c>
      <c r="BB12" s="506">
        <f>+[3]Report1!BD17</f>
        <v>497.68230975295023</v>
      </c>
      <c r="BC12" s="506">
        <f>+[3]Report1!BE17</f>
        <v>494.06987422083699</v>
      </c>
      <c r="BD12" s="506">
        <f>+[3]Report1!BJ17</f>
        <v>5.881535866653322</v>
      </c>
      <c r="BE12" s="506">
        <f>+[3]Report1!BK17</f>
        <v>6.0060477886613244</v>
      </c>
      <c r="BF12" s="508">
        <f>+[4]Report1!J17</f>
        <v>0.96859019132047042</v>
      </c>
      <c r="BG12" s="509">
        <f>+[4]Report1!K17</f>
        <v>0.85823173414895437</v>
      </c>
      <c r="BH12" s="509">
        <f>+[4]Report1!AN17</f>
        <v>0.96859019132047042</v>
      </c>
      <c r="BI12" s="509">
        <f>+[4]Report1!AO17</f>
        <v>0.85823173414895437</v>
      </c>
      <c r="BJ12" s="506">
        <f>+[4]Report1!R17</f>
        <v>54.38</v>
      </c>
      <c r="BK12" s="506">
        <f>+[4]Report1!S17</f>
        <v>413.255</v>
      </c>
      <c r="BL12" s="506">
        <f>+[4]Report1!AD17</f>
        <v>2.5468922397940417</v>
      </c>
      <c r="BM12" s="506">
        <f>+[4]Report1!AE17</f>
        <v>2.7948845144039396</v>
      </c>
      <c r="BN12" s="510">
        <v>0</v>
      </c>
      <c r="BO12" s="510">
        <v>0</v>
      </c>
      <c r="BP12" s="510">
        <f>+[4]Report1!AJ17</f>
        <v>997.58146377344224</v>
      </c>
      <c r="BQ12" s="510">
        <f>+[4]Report1!AK17</f>
        <v>1068.477235605134</v>
      </c>
      <c r="BR12" s="510">
        <v>0</v>
      </c>
      <c r="BS12" s="511">
        <v>0</v>
      </c>
      <c r="BT12" s="604">
        <f>+[5]Report1!J17</f>
        <v>0.97367384977014959</v>
      </c>
      <c r="BU12" s="509">
        <f>+[5]Report1!K17</f>
        <v>0.76430277631737209</v>
      </c>
      <c r="BV12" s="509">
        <f>+[5]Report1!BG17</f>
        <v>0.97367384977014959</v>
      </c>
      <c r="BW12" s="509">
        <f>+[5]Report1!BH17</f>
        <v>0.76430277631737209</v>
      </c>
      <c r="BX12" s="506">
        <f>+[5]Report1!R17</f>
        <v>50.975999999999999</v>
      </c>
      <c r="BY12" s="506">
        <f>+[5]Report1!S17</f>
        <v>359.96700000000004</v>
      </c>
      <c r="BZ12" s="510">
        <f>+[5]Report1!X17</f>
        <v>73.534431623869821</v>
      </c>
      <c r="CA12" s="510">
        <f>+[5]Report1!Y17</f>
        <v>93.471455487577458</v>
      </c>
      <c r="CB12" s="506">
        <f>+[5]Report1!AD17</f>
        <v>1.9911330822347773</v>
      </c>
      <c r="CC12" s="506">
        <f>+[5]Report1!AE17</f>
        <v>2.297432820230743</v>
      </c>
      <c r="CD12" s="510">
        <f>+[5]Report1!AJ17</f>
        <v>0.21186440677966104</v>
      </c>
      <c r="CE12" s="510">
        <f>+[5]Report1!AK17</f>
        <v>0.22029797175852228</v>
      </c>
      <c r="CF12" s="510">
        <f>+[5]Report1!AP17</f>
        <v>571.40497489012228</v>
      </c>
      <c r="CG12" s="510">
        <f>+[5]Report1!AQ17</f>
        <v>642.35549369803334</v>
      </c>
      <c r="CH12" s="510">
        <f>+[5]Report1!AV17</f>
        <v>492.00996547394709</v>
      </c>
      <c r="CI12" s="510">
        <f>+[5]Report1!AW17</f>
        <v>529.44092097331122</v>
      </c>
      <c r="CJ12" s="510"/>
      <c r="CK12" s="511"/>
    </row>
    <row r="13" spans="1:89" ht="12.75" customHeight="1">
      <c r="A13" s="558">
        <f t="shared" si="0"/>
        <v>45971</v>
      </c>
      <c r="B13" s="508">
        <f>+Report1!J18</f>
        <v>0.81277098610842591</v>
      </c>
      <c r="C13" s="509">
        <f>+Report1!K18</f>
        <v>0.84807128359991757</v>
      </c>
      <c r="D13" s="509">
        <f>+Report1!AJ18</f>
        <v>0.81277098610842591</v>
      </c>
      <c r="E13" s="509">
        <f>+Report1!AK18</f>
        <v>0.84807128359991757</v>
      </c>
      <c r="F13" s="506">
        <f>+Report1!R18</f>
        <v>43.384999999999998</v>
      </c>
      <c r="G13" s="506">
        <f>+Report1!S18</f>
        <v>540.15100000000007</v>
      </c>
      <c r="H13" s="506">
        <f>+Report1!X18</f>
        <v>2.749590872421344</v>
      </c>
      <c r="I13" s="506">
        <f>+Report1!Y18</f>
        <v>2.4551153288617438</v>
      </c>
      <c r="J13" s="506">
        <f>+Report1!AD18</f>
        <v>1249.3313357151419</v>
      </c>
      <c r="K13" s="507">
        <f>+Report1!AE18</f>
        <v>988.07374234242104</v>
      </c>
      <c r="L13" s="508">
        <f>+[1]Report1!J18</f>
        <v>0.91681192106476606</v>
      </c>
      <c r="M13" s="509">
        <f>+[1]Report1!K18</f>
        <v>0.87633816279193999</v>
      </c>
      <c r="N13" s="509">
        <f>+[1]Report1!BJ18</f>
        <v>0.91681192106476606</v>
      </c>
      <c r="O13" s="509">
        <f>+[1]Report1!BK18</f>
        <v>0.87633816279193999</v>
      </c>
      <c r="P13" s="506">
        <f>+[1]Report1!R18</f>
        <v>52.69</v>
      </c>
      <c r="Q13" s="506">
        <f>+[1]Report1!S18</f>
        <v>464.85699999999997</v>
      </c>
      <c r="R13" s="506">
        <f>+[1]Report1!AL18</f>
        <v>2.4767508066046688</v>
      </c>
      <c r="S13" s="506">
        <f>+[1]Report1!AM18</f>
        <v>2.8711818903447726</v>
      </c>
      <c r="T13" s="506">
        <f>+[1]Report1!AR18</f>
        <v>0.25811349402163597</v>
      </c>
      <c r="U13" s="506">
        <f>+[1]Report1!AS18</f>
        <v>0.297725967340494</v>
      </c>
      <c r="V13" s="506">
        <f>+[1]Report1!AX18</f>
        <v>734.98880242928124</v>
      </c>
      <c r="W13" s="506">
        <f>+[1]Report1!AY18</f>
        <v>812.08184452422802</v>
      </c>
      <c r="X13" s="506">
        <f>+[1]Report1!BD18</f>
        <v>444.10704118428544</v>
      </c>
      <c r="Y13" s="576">
        <f>+[1]Report1!BE18</f>
        <v>477.0585362810499</v>
      </c>
      <c r="Z13" s="604">
        <f>+[2]Report1!J18</f>
        <v>0</v>
      </c>
      <c r="AA13" s="509">
        <f>+[2]Report1!K18</f>
        <v>0</v>
      </c>
      <c r="AB13" s="509" t="e">
        <f>+[2]Report1!BC18</f>
        <v>#DIV/0!</v>
      </c>
      <c r="AC13" s="509" t="e">
        <f>+[2]Report1!BD18</f>
        <v>#DIV/0!</v>
      </c>
      <c r="AD13" s="506">
        <f>+[2]Report1!R18</f>
        <v>0</v>
      </c>
      <c r="AE13" s="506">
        <f>+[2]Report1!S18</f>
        <v>0</v>
      </c>
      <c r="AF13" s="506">
        <f>+[2]Report1!X18</f>
        <v>0</v>
      </c>
      <c r="AG13" s="506">
        <f>+[2]Report1!Y18</f>
        <v>0</v>
      </c>
      <c r="AH13" s="506">
        <f>+[2]Report1!AD18</f>
        <v>0</v>
      </c>
      <c r="AI13" s="506">
        <f>+[2]Report1!AE18</f>
        <v>0</v>
      </c>
      <c r="AJ13" s="506">
        <f>+[2]Report1!AJ18</f>
        <v>0</v>
      </c>
      <c r="AK13" s="506">
        <f>+[2]Report1!AK18</f>
        <v>0</v>
      </c>
      <c r="AL13" s="584"/>
      <c r="AM13" s="584"/>
      <c r="AN13" s="604">
        <f>+[3]Report1!J18</f>
        <v>0.92780651878810616</v>
      </c>
      <c r="AO13" s="509">
        <f>+[3]Report1!K18</f>
        <v>0.87897349197453722</v>
      </c>
      <c r="AP13" s="509">
        <f>+[3]Report1!BN18</f>
        <v>0.92780651878810616</v>
      </c>
      <c r="AQ13" s="509">
        <f>+[3]Report1!BO18</f>
        <v>0.87897349197453722</v>
      </c>
      <c r="AR13" s="506">
        <f>+[3]Report1!R18</f>
        <v>51.182000000000002</v>
      </c>
      <c r="AS13" s="506">
        <f>+[3]Report1!S18</f>
        <v>482.41400000000004</v>
      </c>
      <c r="AT13" s="510">
        <f>+[3]Report1!AF18</f>
        <v>118.3468680564872</v>
      </c>
      <c r="AU13" s="510">
        <f>+[3]Report1!AG18</f>
        <v>110.85828766032976</v>
      </c>
      <c r="AV13" s="506">
        <f>+[3]Report1!AL18</f>
        <v>1.2875620335274121</v>
      </c>
      <c r="AW13" s="506">
        <f>+[3]Report1!AM18</f>
        <v>1.3451102165360043</v>
      </c>
      <c r="AX13" s="506">
        <f>+[3]Report1!AR18</f>
        <v>0.18756594115118594</v>
      </c>
      <c r="AY13" s="506">
        <f>+[3]Report1!AS18</f>
        <v>0.20397417985381849</v>
      </c>
      <c r="AZ13" s="506">
        <f>+[3]Report1!AX18</f>
        <v>838.42444609432937</v>
      </c>
      <c r="BA13" s="506">
        <f>+[3]Report1!AY18</f>
        <v>804.05838139025798</v>
      </c>
      <c r="BB13" s="506">
        <f>+[3]Report1!BD18</f>
        <v>487.46043530928853</v>
      </c>
      <c r="BC13" s="506">
        <f>+[3]Report1!BE18</f>
        <v>493.36864187191901</v>
      </c>
      <c r="BD13" s="506">
        <f>+[3]Report1!BJ18</f>
        <v>6.0587706615608186</v>
      </c>
      <c r="BE13" s="506">
        <f>+[3]Report1!BK18</f>
        <v>6.0116414531916682</v>
      </c>
      <c r="BF13" s="508">
        <f>+[4]Report1!J18</f>
        <v>0.95766094976188687</v>
      </c>
      <c r="BG13" s="509">
        <f>+[4]Report1!K18</f>
        <v>0.86817834130612714</v>
      </c>
      <c r="BH13" s="509">
        <f>+[4]Report1!AN18</f>
        <v>0.95766094976188687</v>
      </c>
      <c r="BI13" s="509">
        <f>+[4]Report1!AO18</f>
        <v>0.86817834130612714</v>
      </c>
      <c r="BJ13" s="506">
        <f>+[4]Report1!R18</f>
        <v>51.258000000000003</v>
      </c>
      <c r="BK13" s="506">
        <f>+[4]Report1!S18</f>
        <v>464.51299999999998</v>
      </c>
      <c r="BL13" s="506">
        <f>+[4]Report1!AD18</f>
        <v>2.6590971165476609</v>
      </c>
      <c r="BM13" s="506">
        <f>+[4]Report1!AE18</f>
        <v>2.7799006701642366</v>
      </c>
      <c r="BN13" s="510">
        <v>0</v>
      </c>
      <c r="BO13" s="510">
        <v>0</v>
      </c>
      <c r="BP13" s="510">
        <f>+[4]Report1!AJ18</f>
        <v>988.22583791798331</v>
      </c>
      <c r="BQ13" s="510">
        <f>+[4]Report1!AK18</f>
        <v>1059.6216682848481</v>
      </c>
      <c r="BR13" s="510">
        <v>0</v>
      </c>
      <c r="BS13" s="511">
        <v>0</v>
      </c>
      <c r="BT13" s="604">
        <f>+[5]Report1!J18</f>
        <v>0.88840862563773537</v>
      </c>
      <c r="BU13" s="509">
        <f>+[5]Report1!K18</f>
        <v>0.77671844178546057</v>
      </c>
      <c r="BV13" s="509">
        <f>+[5]Report1!BG18</f>
        <v>0.88840862563773537</v>
      </c>
      <c r="BW13" s="509">
        <f>+[5]Report1!BH18</f>
        <v>0.77671844178546057</v>
      </c>
      <c r="BX13" s="506">
        <f>+[5]Report1!R18</f>
        <v>46.512</v>
      </c>
      <c r="BY13" s="506">
        <f>+[5]Report1!S18</f>
        <v>406.47900000000004</v>
      </c>
      <c r="BZ13" s="510">
        <f>+[5]Report1!X18</f>
        <v>81.565415358033903</v>
      </c>
      <c r="CA13" s="510">
        <f>+[5]Report1!Y18</f>
        <v>92.109088087280441</v>
      </c>
      <c r="CB13" s="506">
        <f>+[5]Report1!AD18</f>
        <v>2.132782937736498</v>
      </c>
      <c r="CC13" s="506">
        <f>+[5]Report1!AE18</f>
        <v>2.2785924980134276</v>
      </c>
      <c r="CD13" s="510">
        <f>+[5]Report1!AJ18</f>
        <v>0.19994840041279671</v>
      </c>
      <c r="CE13" s="510">
        <f>+[5]Report1!AK18</f>
        <v>0.21796943999567009</v>
      </c>
      <c r="CF13" s="510">
        <f>+[5]Report1!AP18</f>
        <v>594.51840385276932</v>
      </c>
      <c r="CG13" s="510">
        <f>+[5]Report1!AQ18</f>
        <v>636.88165932311381</v>
      </c>
      <c r="CH13" s="510">
        <f>+[5]Report1!AV18</f>
        <v>515.36807705538354</v>
      </c>
      <c r="CI13" s="510">
        <f>+[5]Report1!AW18</f>
        <v>527.8306136356365</v>
      </c>
      <c r="CJ13" s="510"/>
      <c r="CK13" s="511"/>
    </row>
    <row r="14" spans="1:89" ht="12.75" customHeight="1">
      <c r="A14" s="558">
        <f t="shared" si="0"/>
        <v>45972</v>
      </c>
      <c r="B14" s="508">
        <f>+Report1!J19</f>
        <v>0.97658627973798917</v>
      </c>
      <c r="C14" s="509">
        <f>+Report1!K19</f>
        <v>0.85786919159736896</v>
      </c>
      <c r="D14" s="509">
        <f>+Report1!AJ19</f>
        <v>0.97658627973798917</v>
      </c>
      <c r="E14" s="509">
        <f>+Report1!AK19</f>
        <v>0.85786919159736896</v>
      </c>
      <c r="F14" s="506">
        <f>+Report1!R19</f>
        <v>51.335000000000001</v>
      </c>
      <c r="G14" s="506">
        <f>+Report1!S19</f>
        <v>591.4860000000001</v>
      </c>
      <c r="H14" s="506">
        <f>+Report1!X19</f>
        <v>2.383383656374793</v>
      </c>
      <c r="I14" s="506">
        <f>+Report1!Y19</f>
        <v>2.448889745488481</v>
      </c>
      <c r="J14" s="506">
        <f>+Report1!AD19</f>
        <v>1066.0512321028375</v>
      </c>
      <c r="K14" s="507">
        <f>+Report1!AE19</f>
        <v>994.84139945831384</v>
      </c>
      <c r="L14" s="508">
        <f>+[1]Report1!J19</f>
        <v>0.88547431867650184</v>
      </c>
      <c r="M14" s="509">
        <f>+[1]Report1!K19</f>
        <v>0.87723124136469599</v>
      </c>
      <c r="N14" s="509">
        <f>+[1]Report1!BJ19</f>
        <v>0.88547431867650184</v>
      </c>
      <c r="O14" s="509">
        <f>+[1]Report1!BK19</f>
        <v>0.87723124136469599</v>
      </c>
      <c r="P14" s="506">
        <f>+[1]Report1!R19</f>
        <v>50.889000000000003</v>
      </c>
      <c r="Q14" s="506">
        <f>+[1]Report1!S19</f>
        <v>515.74599999999998</v>
      </c>
      <c r="R14" s="506">
        <f>+[1]Report1!AL19</f>
        <v>2.6532256479789345</v>
      </c>
      <c r="S14" s="506">
        <f>+[1]Report1!AM19</f>
        <v>2.8496760033039519</v>
      </c>
      <c r="T14" s="506">
        <f>+[1]Report1!AR19</f>
        <v>0.28296881447857097</v>
      </c>
      <c r="U14" s="506">
        <f>+[1]Report1!AS19</f>
        <v>0.29626986927673704</v>
      </c>
      <c r="V14" s="506">
        <f>+[1]Report1!AX19</f>
        <v>761.84853308181539</v>
      </c>
      <c r="W14" s="506">
        <f>+[1]Report1!AY19</f>
        <v>807.12529035610464</v>
      </c>
      <c r="X14" s="506">
        <f>+[1]Report1!BD19</f>
        <v>453.65403132307569</v>
      </c>
      <c r="Y14" s="576">
        <f>+[1]Report1!BE19</f>
        <v>474.74919824875036</v>
      </c>
      <c r="Z14" s="604">
        <f>+[2]Report1!J19</f>
        <v>0</v>
      </c>
      <c r="AA14" s="509">
        <f>+[2]Report1!K19</f>
        <v>0</v>
      </c>
      <c r="AB14" s="509" t="e">
        <f>+[2]Report1!BC19</f>
        <v>#DIV/0!</v>
      </c>
      <c r="AC14" s="509" t="e">
        <f>+[2]Report1!BD19</f>
        <v>#DIV/0!</v>
      </c>
      <c r="AD14" s="506">
        <f>+[2]Report1!R19</f>
        <v>0</v>
      </c>
      <c r="AE14" s="506">
        <f>+[2]Report1!S19</f>
        <v>0</v>
      </c>
      <c r="AF14" s="506">
        <f>+[2]Report1!X19</f>
        <v>0</v>
      </c>
      <c r="AG14" s="506">
        <f>+[2]Report1!Y19</f>
        <v>0</v>
      </c>
      <c r="AH14" s="506">
        <f>+[2]Report1!AD19</f>
        <v>0</v>
      </c>
      <c r="AI14" s="506">
        <f>+[2]Report1!AE19</f>
        <v>0</v>
      </c>
      <c r="AJ14" s="506">
        <f>+[2]Report1!AJ19</f>
        <v>0</v>
      </c>
      <c r="AK14" s="506">
        <f>+[2]Report1!AK19</f>
        <v>0</v>
      </c>
      <c r="AL14" s="584"/>
      <c r="AM14" s="584"/>
      <c r="AN14" s="604">
        <f>+[3]Report1!J19</f>
        <v>0.91821702153440543</v>
      </c>
      <c r="AO14" s="509">
        <f>+[3]Report1!K19</f>
        <v>0.882557666822814</v>
      </c>
      <c r="AP14" s="509">
        <f>+[3]Report1!BN19</f>
        <v>0.91821702153440543</v>
      </c>
      <c r="AQ14" s="509">
        <f>+[3]Report1!BO19</f>
        <v>0.882557666822814</v>
      </c>
      <c r="AR14" s="506">
        <f>+[3]Report1!R19</f>
        <v>50.652999999999999</v>
      </c>
      <c r="AS14" s="506">
        <f>+[3]Report1!S19</f>
        <v>533.06700000000001</v>
      </c>
      <c r="AT14" s="510">
        <f>+[3]Report1!AF19</f>
        <v>108.98567754106628</v>
      </c>
      <c r="AU14" s="510">
        <f>+[3]Report1!AG19</f>
        <v>110.68034882642887</v>
      </c>
      <c r="AV14" s="506">
        <f>+[3]Report1!AL19</f>
        <v>1.3799774939292837</v>
      </c>
      <c r="AW14" s="506">
        <f>+[3]Report1!AM19</f>
        <v>1.3484233689198541</v>
      </c>
      <c r="AX14" s="506">
        <f>+[3]Report1!AR19</f>
        <v>0.19347323949223147</v>
      </c>
      <c r="AY14" s="506">
        <f>+[3]Report1!AS19</f>
        <v>0.2029763613204344</v>
      </c>
      <c r="AZ14" s="506">
        <f>+[3]Report1!AX19</f>
        <v>873.50680117663364</v>
      </c>
      <c r="BA14" s="506">
        <f>+[3]Report1!AY19</f>
        <v>810.65749708760814</v>
      </c>
      <c r="BB14" s="506">
        <f>+[3]Report1!BD19</f>
        <v>453.75397311116819</v>
      </c>
      <c r="BC14" s="506">
        <f>+[3]Report1!BE19</f>
        <v>489.60438368910468</v>
      </c>
      <c r="BD14" s="506">
        <f>+[3]Report1!BJ19</f>
        <v>6.7103626636130969</v>
      </c>
      <c r="BE14" s="506">
        <f>+[3]Report1!BK19</f>
        <v>6.0780352188374076</v>
      </c>
      <c r="BF14" s="508">
        <f>+[4]Report1!J19</f>
        <v>0.8956087067185422</v>
      </c>
      <c r="BG14" s="509">
        <f>+[4]Report1!K19</f>
        <v>0.87060046771438049</v>
      </c>
      <c r="BH14" s="509">
        <f>+[4]Report1!AN19</f>
        <v>0.8956087067185422</v>
      </c>
      <c r="BI14" s="509">
        <f>+[4]Report1!AO19</f>
        <v>0.87060046771438049</v>
      </c>
      <c r="BJ14" s="506">
        <f>+[4]Report1!R19</f>
        <v>46.411000000000001</v>
      </c>
      <c r="BK14" s="506">
        <f>+[4]Report1!S19</f>
        <v>510.92399999999998</v>
      </c>
      <c r="BL14" s="506">
        <f>+[4]Report1!AD19</f>
        <v>2.7708948309667965</v>
      </c>
      <c r="BM14" s="506">
        <f>+[4]Report1!AE19</f>
        <v>2.7790826032834626</v>
      </c>
      <c r="BN14" s="510">
        <v>0</v>
      </c>
      <c r="BO14" s="510">
        <v>0</v>
      </c>
      <c r="BP14" s="510">
        <f>+[4]Report1!AJ19</f>
        <v>1155.1459783241164</v>
      </c>
      <c r="BQ14" s="510">
        <f>+[4]Report1!AK19</f>
        <v>1068.2988467952187</v>
      </c>
      <c r="BR14" s="510">
        <v>0</v>
      </c>
      <c r="BS14" s="511">
        <v>0</v>
      </c>
      <c r="BT14" s="604">
        <f>+[5]Report1!J19</f>
        <v>0.919808342360943</v>
      </c>
      <c r="BU14" s="509">
        <f>+[5]Report1!K19</f>
        <v>0.78984707661358244</v>
      </c>
      <c r="BV14" s="509">
        <f>+[5]Report1!BG19</f>
        <v>0.919808342360943</v>
      </c>
      <c r="BW14" s="509">
        <f>+[5]Report1!BH19</f>
        <v>0.78984707661358244</v>
      </c>
      <c r="BX14" s="506">
        <f>+[5]Report1!R19</f>
        <v>48.627000000000002</v>
      </c>
      <c r="BY14" s="506">
        <f>+[5]Report1!S19</f>
        <v>455.10600000000005</v>
      </c>
      <c r="BZ14" s="510">
        <f>+[5]Report1!X19</f>
        <v>77.519659356167764</v>
      </c>
      <c r="CA14" s="510">
        <f>+[5]Report1!Y19</f>
        <v>90.550242124125006</v>
      </c>
      <c r="CB14" s="506">
        <f>+[5]Report1!AD19</f>
        <v>2.079091862545499</v>
      </c>
      <c r="CC14" s="506">
        <f>+[5]Report1!AE19</f>
        <v>2.2572763268337481</v>
      </c>
      <c r="CD14" s="510">
        <f>+[5]Report1!AJ19</f>
        <v>0.18713883233594503</v>
      </c>
      <c r="CE14" s="510">
        <f>+[5]Report1!AK19</f>
        <v>0.21467526246632648</v>
      </c>
      <c r="CF14" s="510">
        <f>+[5]Report1!AP19</f>
        <v>596.70018713883167</v>
      </c>
      <c r="CG14" s="510">
        <f>+[5]Report1!AQ19</f>
        <v>632.58836402947884</v>
      </c>
      <c r="CH14" s="510">
        <f>+[5]Report1!AV19</f>
        <v>436.30082053180342</v>
      </c>
      <c r="CI14" s="510">
        <f>+[5]Report1!AW19</f>
        <v>518.05087166506246</v>
      </c>
      <c r="CJ14" s="510"/>
      <c r="CK14" s="511"/>
    </row>
    <row r="15" spans="1:89" ht="12.75" customHeight="1">
      <c r="A15" s="558">
        <f t="shared" si="0"/>
        <v>45973</v>
      </c>
      <c r="B15" s="508">
        <f>+Report1!J20</f>
        <v>0.84842955816779531</v>
      </c>
      <c r="C15" s="509">
        <f>+Report1!K20</f>
        <v>0.85714462169701267</v>
      </c>
      <c r="D15" s="509">
        <f>+Report1!AJ20</f>
        <v>0.84842955816779531</v>
      </c>
      <c r="E15" s="509">
        <f>+Report1!AK20</f>
        <v>0.85714462169701267</v>
      </c>
      <c r="F15" s="506">
        <f>+Report1!R20</f>
        <v>48.634999999999998</v>
      </c>
      <c r="G15" s="506">
        <f>+Report1!S20</f>
        <v>640.12100000000009</v>
      </c>
      <c r="H15" s="506">
        <f>+Report1!X20</f>
        <v>2.5156985709879716</v>
      </c>
      <c r="I15" s="506">
        <f>+Report1!Y20</f>
        <v>2.4539657346033015</v>
      </c>
      <c r="J15" s="506">
        <f>+Report1!AD20</f>
        <v>1126.2601007504943</v>
      </c>
      <c r="K15" s="507">
        <f>+Report1!AE20</f>
        <v>1004.8263062764704</v>
      </c>
      <c r="L15" s="508">
        <f>+[1]Report1!J20</f>
        <v>0.88916361976760439</v>
      </c>
      <c r="M15" s="509">
        <f>+[1]Report1!K20</f>
        <v>0.87832425673850223</v>
      </c>
      <c r="N15" s="509">
        <f>+[1]Report1!BJ20</f>
        <v>0.88916361976760439</v>
      </c>
      <c r="O15" s="509">
        <f>+[1]Report1!BK20</f>
        <v>0.87832425673850223</v>
      </c>
      <c r="P15" s="506">
        <f>+[1]Report1!R20</f>
        <v>52.713999999999999</v>
      </c>
      <c r="Q15" s="506">
        <f>+[1]Report1!S20</f>
        <v>568.46</v>
      </c>
      <c r="R15" s="506">
        <f>+[1]Report1!AL20</f>
        <v>2.6122851614371894</v>
      </c>
      <c r="S15" s="506">
        <f>+[1]Report1!AM20</f>
        <v>2.827662456461316</v>
      </c>
      <c r="T15" s="506">
        <f>+[1]Report1!AR20</f>
        <v>0.25799597829798537</v>
      </c>
      <c r="U15" s="506">
        <f>+[1]Report1!AS20</f>
        <v>0.29272068395313655</v>
      </c>
      <c r="V15" s="506">
        <f>+[1]Report1!AX20</f>
        <v>755.31908032021579</v>
      </c>
      <c r="W15" s="506">
        <f>+[1]Report1!AY20</f>
        <v>802.32123632269531</v>
      </c>
      <c r="X15" s="506">
        <f>+[1]Report1!BD20</f>
        <v>419.0347915164852</v>
      </c>
      <c r="Y15" s="576">
        <f>+[1]Report1!BE20</f>
        <v>469.58273229426874</v>
      </c>
      <c r="Z15" s="604">
        <f>+[2]Report1!J20</f>
        <v>0</v>
      </c>
      <c r="AA15" s="509">
        <f>+[2]Report1!K20</f>
        <v>0</v>
      </c>
      <c r="AB15" s="509" t="e">
        <f>+[2]Report1!BC20</f>
        <v>#DIV/0!</v>
      </c>
      <c r="AC15" s="509" t="e">
        <f>+[2]Report1!BD20</f>
        <v>#DIV/0!</v>
      </c>
      <c r="AD15" s="506">
        <f>+[2]Report1!R20</f>
        <v>0</v>
      </c>
      <c r="AE15" s="506">
        <f>+[2]Report1!S20</f>
        <v>0</v>
      </c>
      <c r="AF15" s="506">
        <f>+[2]Report1!X20</f>
        <v>0</v>
      </c>
      <c r="AG15" s="506">
        <f>+[2]Report1!Y20</f>
        <v>0</v>
      </c>
      <c r="AH15" s="506">
        <f>+[2]Report1!AD20</f>
        <v>0</v>
      </c>
      <c r="AI15" s="506">
        <f>+[2]Report1!AE20</f>
        <v>0</v>
      </c>
      <c r="AJ15" s="506">
        <f>+[2]Report1!AJ20</f>
        <v>0</v>
      </c>
      <c r="AK15" s="506">
        <f>+[2]Report1!AK20</f>
        <v>0</v>
      </c>
      <c r="AL15" s="584"/>
      <c r="AM15" s="584"/>
      <c r="AN15" s="604">
        <f>+[3]Report1!J20</f>
        <v>0.89060869579265478</v>
      </c>
      <c r="AO15" s="509">
        <f>+[3]Report1!K20</f>
        <v>0.88323144320040026</v>
      </c>
      <c r="AP15" s="509">
        <f>+[3]Report1!BN20</f>
        <v>0.89060869579265478</v>
      </c>
      <c r="AQ15" s="509">
        <f>+[3]Report1!BO20</f>
        <v>0.88323144320040026</v>
      </c>
      <c r="AR15" s="506">
        <f>+[3]Report1!R20</f>
        <v>49.13</v>
      </c>
      <c r="AS15" s="506">
        <f>+[3]Report1!S20</f>
        <v>582.197</v>
      </c>
      <c r="AT15" s="510">
        <f>+[3]Report1!AF20</f>
        <v>105.90073876131082</v>
      </c>
      <c r="AU15" s="510">
        <f>+[3]Report1!AG20</f>
        <v>110.2770107080613</v>
      </c>
      <c r="AV15" s="506">
        <f>+[3]Report1!AL20</f>
        <v>1.457358029717077</v>
      </c>
      <c r="AW15" s="506">
        <f>+[3]Report1!AM20</f>
        <v>1.3576160646653967</v>
      </c>
      <c r="AX15" s="506">
        <f>+[3]Report1!AR20</f>
        <v>0.17504579686545896</v>
      </c>
      <c r="AY15" s="506">
        <f>+[3]Report1!AS20</f>
        <v>0.20061937797687038</v>
      </c>
      <c r="AZ15" s="506">
        <f>+[3]Report1!AX20</f>
        <v>870.62609403623173</v>
      </c>
      <c r="BA15" s="506">
        <f>+[3]Report1!AY20</f>
        <v>815.71808168025609</v>
      </c>
      <c r="BB15" s="506">
        <f>+[3]Report1!BD20</f>
        <v>479.51150010177082</v>
      </c>
      <c r="BC15" s="506">
        <f>+[3]Report1!BE20</f>
        <v>488.75267306427202</v>
      </c>
      <c r="BD15" s="506">
        <f>+[3]Report1!BJ20</f>
        <v>6.9224506411562352</v>
      </c>
      <c r="BE15" s="506">
        <f>+[3]Report1!BK20</f>
        <v>6.1492931086900242</v>
      </c>
      <c r="BF15" s="508">
        <f>+[4]Report1!J20</f>
        <v>0.90895124007706796</v>
      </c>
      <c r="BG15" s="509">
        <f>+[4]Report1!K20</f>
        <v>0.87370510733727258</v>
      </c>
      <c r="BH15" s="509">
        <f>+[4]Report1!AN20</f>
        <v>0.90895124007706796</v>
      </c>
      <c r="BI15" s="509">
        <f>+[4]Report1!AO20</f>
        <v>0.87370510733727258</v>
      </c>
      <c r="BJ15" s="506">
        <f>+[4]Report1!R20</f>
        <v>46.987000000000002</v>
      </c>
      <c r="BK15" s="506">
        <f>+[4]Report1!S20</f>
        <v>557.91099999999994</v>
      </c>
      <c r="BL15" s="506">
        <f>+[4]Report1!AD20</f>
        <v>2.8199289165088213</v>
      </c>
      <c r="BM15" s="506">
        <f>+[4]Report1!AE20</f>
        <v>2.7825226604243332</v>
      </c>
      <c r="BN15" s="510">
        <v>0</v>
      </c>
      <c r="BO15" s="510">
        <v>0</v>
      </c>
      <c r="BP15" s="510">
        <f>+[4]Report1!AJ20</f>
        <v>1226.0352863557889</v>
      </c>
      <c r="BQ15" s="510">
        <f>+[4]Report1!AK20</f>
        <v>1081.5833349763668</v>
      </c>
      <c r="BR15" s="510">
        <v>0</v>
      </c>
      <c r="BS15" s="511">
        <v>0</v>
      </c>
      <c r="BT15" s="604">
        <f>+[5]Report1!J20</f>
        <v>1.0184949579933031</v>
      </c>
      <c r="BU15" s="509">
        <f>+[5]Report1!K20</f>
        <v>0.80941277691873359</v>
      </c>
      <c r="BV15" s="509">
        <f>+[5]Report1!BG20</f>
        <v>1.0184949579933031</v>
      </c>
      <c r="BW15" s="509">
        <f>+[5]Report1!BH20</f>
        <v>0.80941277691873359</v>
      </c>
      <c r="BX15" s="506">
        <f>+[5]Report1!R20</f>
        <v>54.917000000000002</v>
      </c>
      <c r="BY15" s="506">
        <f>+[5]Report1!S20</f>
        <v>510.02300000000002</v>
      </c>
      <c r="BZ15" s="510">
        <f>+[5]Report1!X20</f>
        <v>72.656858616763458</v>
      </c>
      <c r="CA15" s="510">
        <f>+[5]Report1!Y20</f>
        <v>88.623562460514194</v>
      </c>
      <c r="CB15" s="506">
        <f>+[5]Report1!AD20</f>
        <v>1.8591692918404135</v>
      </c>
      <c r="CC15" s="506">
        <f>+[5]Report1!AE20</f>
        <v>2.214409938375328</v>
      </c>
      <c r="CD15" s="510">
        <f>+[5]Report1!AJ20</f>
        <v>0.17116739807345629</v>
      </c>
      <c r="CE15" s="510">
        <f>+[5]Report1!AK20</f>
        <v>0.20999052983885039</v>
      </c>
      <c r="CF15" s="510">
        <f>+[5]Report1!AP20</f>
        <v>521.22038712966844</v>
      </c>
      <c r="CG15" s="510">
        <f>+[5]Report1!AQ20</f>
        <v>620.59675740113687</v>
      </c>
      <c r="CH15" s="510">
        <f>+[5]Report1!AV20</f>
        <v>464.73041134803441</v>
      </c>
      <c r="CI15" s="510">
        <f>+[5]Report1!AW20</f>
        <v>512.30956250992585</v>
      </c>
      <c r="CJ15" s="510"/>
      <c r="CK15" s="511"/>
    </row>
    <row r="16" spans="1:89" ht="12.75" customHeight="1">
      <c r="A16" s="558">
        <f t="shared" si="0"/>
        <v>45974</v>
      </c>
      <c r="B16" s="508">
        <f>+Report1!J21</f>
        <v>0.67228889269173642</v>
      </c>
      <c r="C16" s="509">
        <f>+Report1!K21</f>
        <v>0.84227804902218284</v>
      </c>
      <c r="D16" s="509">
        <f>+Report1!AJ21</f>
        <v>0.67228889269173642</v>
      </c>
      <c r="E16" s="509">
        <f>+Report1!AK21</f>
        <v>0.84227804902218284</v>
      </c>
      <c r="F16" s="506">
        <f>+Report1!R21</f>
        <v>43.908999999999999</v>
      </c>
      <c r="G16" s="506">
        <f>+Report1!S21</f>
        <v>684.03000000000009</v>
      </c>
      <c r="H16" s="506">
        <f>+Report1!X21</f>
        <v>2.1818761529526975</v>
      </c>
      <c r="I16" s="506">
        <f>+Report1!Y21</f>
        <v>2.4364998611172024</v>
      </c>
      <c r="J16" s="506">
        <f>+Report1!AD21</f>
        <v>878.80616730052429</v>
      </c>
      <c r="K16" s="507">
        <f>+Report1!AE21</f>
        <v>996.73686826601056</v>
      </c>
      <c r="L16" s="508">
        <f>+[1]Report1!J21</f>
        <v>0.94029851898860628</v>
      </c>
      <c r="M16" s="509">
        <f>+[1]Report1!K21</f>
        <v>0.88380003097916349</v>
      </c>
      <c r="N16" s="509">
        <f>+[1]Report1!BJ21</f>
        <v>0.94029851898860628</v>
      </c>
      <c r="O16" s="509">
        <f>+[1]Report1!BK21</f>
        <v>0.88380003097916349</v>
      </c>
      <c r="P16" s="506">
        <f>+[1]Report1!R21</f>
        <v>58.981999999999999</v>
      </c>
      <c r="Q16" s="506">
        <f>+[1]Report1!S21</f>
        <v>627.44200000000001</v>
      </c>
      <c r="R16" s="506">
        <f>+[1]Report1!AL21</f>
        <v>2.3828964768912551</v>
      </c>
      <c r="S16" s="506">
        <f>+[1]Report1!AM21</f>
        <v>2.785852716267001</v>
      </c>
      <c r="T16" s="506">
        <f>+[1]Report1!AR21</f>
        <v>0.24414228069580551</v>
      </c>
      <c r="U16" s="506">
        <f>+[1]Report1!AS21</f>
        <v>0.2881541242059027</v>
      </c>
      <c r="V16" s="506">
        <f>+[1]Report1!AX21</f>
        <v>638.68553117899796</v>
      </c>
      <c r="W16" s="506">
        <f>+[1]Report1!AY21</f>
        <v>786.93884056215404</v>
      </c>
      <c r="X16" s="506">
        <f>+[1]Report1!BD21</f>
        <v>379.69210945712251</v>
      </c>
      <c r="Y16" s="576">
        <f>+[1]Report1!BE21</f>
        <v>461.13266246123146</v>
      </c>
      <c r="Z16" s="604">
        <f>+[2]Report1!J21</f>
        <v>0</v>
      </c>
      <c r="AA16" s="509">
        <f>+[2]Report1!K21</f>
        <v>0</v>
      </c>
      <c r="AB16" s="509" t="e">
        <f>+[2]Report1!BC21</f>
        <v>#DIV/0!</v>
      </c>
      <c r="AC16" s="509" t="e">
        <f>+[2]Report1!BD21</f>
        <v>#DIV/0!</v>
      </c>
      <c r="AD16" s="506">
        <f>+[2]Report1!R21</f>
        <v>0</v>
      </c>
      <c r="AE16" s="506">
        <f>+[2]Report1!S21</f>
        <v>0</v>
      </c>
      <c r="AF16" s="506">
        <f>+[2]Report1!X21</f>
        <v>0</v>
      </c>
      <c r="AG16" s="506">
        <f>+[2]Report1!Y21</f>
        <v>0</v>
      </c>
      <c r="AH16" s="506">
        <f>+[2]Report1!AD21</f>
        <v>0</v>
      </c>
      <c r="AI16" s="506">
        <f>+[2]Report1!AE21</f>
        <v>0</v>
      </c>
      <c r="AJ16" s="506">
        <f>+[2]Report1!AJ21</f>
        <v>0</v>
      </c>
      <c r="AK16" s="506">
        <f>+[2]Report1!AK21</f>
        <v>0</v>
      </c>
      <c r="AL16" s="584"/>
      <c r="AM16" s="584"/>
      <c r="AN16" s="604">
        <f>+[3]Report1!J21</f>
        <v>0.53402079318859785</v>
      </c>
      <c r="AO16" s="509">
        <f>+[3]Report1!K21</f>
        <v>0.85626351928575861</v>
      </c>
      <c r="AP16" s="509">
        <f>+[3]Report1!BN21</f>
        <v>0.53402079318859785</v>
      </c>
      <c r="AQ16" s="509">
        <f>+[3]Report1!BO21</f>
        <v>0.85626351928575861</v>
      </c>
      <c r="AR16" s="506">
        <f>+[3]Report1!R21</f>
        <v>29.459</v>
      </c>
      <c r="AS16" s="506">
        <f>+[3]Report1!S21</f>
        <v>611.65599999999995</v>
      </c>
      <c r="AT16" s="510">
        <f>+[3]Report1!AF21</f>
        <v>141.78211280135176</v>
      </c>
      <c r="AU16" s="510">
        <f>+[3]Report1!AG21</f>
        <v>111.79438126040813</v>
      </c>
      <c r="AV16" s="506">
        <f>+[3]Report1!AL21</f>
        <v>2.0876472385349127</v>
      </c>
      <c r="AW16" s="506">
        <f>+[3]Report1!AM21</f>
        <v>1.392776331794342</v>
      </c>
      <c r="AX16" s="506">
        <f>+[3]Report1!AR21</f>
        <v>0.27495841678264704</v>
      </c>
      <c r="AY16" s="506">
        <f>+[3]Report1!AS21</f>
        <v>0.20419974626260512</v>
      </c>
      <c r="AZ16" s="506">
        <f>+[3]Report1!AX21</f>
        <v>1268.8584133880979</v>
      </c>
      <c r="BA16" s="506">
        <f>+[3]Report1!AY21</f>
        <v>837.54254025138323</v>
      </c>
      <c r="BB16" s="506">
        <f>+[3]Report1!BD21</f>
        <v>678.44461794358278</v>
      </c>
      <c r="BC16" s="506">
        <f>+[3]Report1!BE21</f>
        <v>497.88874792366943</v>
      </c>
      <c r="BD16" s="506">
        <f>+[3]Report1!BJ21</f>
        <v>7.8108557656405786</v>
      </c>
      <c r="BE16" s="506">
        <f>+[3]Report1!BK21</f>
        <v>6.2293184404305881</v>
      </c>
      <c r="BF16" s="508">
        <f>+[4]Report1!J21</f>
        <v>1.0021619928880152</v>
      </c>
      <c r="BG16" s="509">
        <f>+[4]Report1!K21</f>
        <v>0.88342040720355175</v>
      </c>
      <c r="BH16" s="509">
        <f>+[4]Report1!AN21</f>
        <v>1.0021619928880152</v>
      </c>
      <c r="BI16" s="509">
        <f>+[4]Report1!AO21</f>
        <v>0.88342040720355175</v>
      </c>
      <c r="BJ16" s="506">
        <f>+[4]Report1!R21</f>
        <v>52.359000000000002</v>
      </c>
      <c r="BK16" s="506">
        <f>+[4]Report1!S21</f>
        <v>610.27</v>
      </c>
      <c r="BL16" s="506">
        <f>+[4]Report1!AD21</f>
        <v>2.5191466605550143</v>
      </c>
      <c r="BM16" s="506">
        <f>+[4]Report1!AE21</f>
        <v>2.7599259344224687</v>
      </c>
      <c r="BN16" s="510">
        <v>0</v>
      </c>
      <c r="BO16" s="510">
        <v>0</v>
      </c>
      <c r="BP16" s="510">
        <f>+[4]Report1!AJ21</f>
        <v>1081.9266983708621</v>
      </c>
      <c r="BQ16" s="510">
        <f>+[4]Report1!AK21</f>
        <v>1081.6127943369324</v>
      </c>
      <c r="BR16" s="510">
        <v>0</v>
      </c>
      <c r="BS16" s="511">
        <v>0</v>
      </c>
      <c r="BT16" s="604">
        <f>+[5]Report1!J21</f>
        <v>0.6423911493546498</v>
      </c>
      <c r="BU16" s="509">
        <f>+[5]Report1!K21</f>
        <v>0.79634962802127895</v>
      </c>
      <c r="BV16" s="509">
        <f>+[5]Report1!BG21</f>
        <v>0.6423911493546498</v>
      </c>
      <c r="BW16" s="509">
        <f>+[5]Report1!BH21</f>
        <v>0.79634962802127895</v>
      </c>
      <c r="BX16" s="506">
        <f>+[5]Report1!R21</f>
        <v>34.344999999999999</v>
      </c>
      <c r="BY16" s="506">
        <f>+[5]Report1!S21</f>
        <v>544.36800000000005</v>
      </c>
      <c r="BZ16" s="510">
        <f>+[5]Report1!X21</f>
        <v>86.948340049060391</v>
      </c>
      <c r="CA16" s="510">
        <f>+[5]Report1!Y21</f>
        <v>88.517870146268351</v>
      </c>
      <c r="CB16" s="506">
        <f>+[5]Report1!AD21</f>
        <v>2.0963750181976999</v>
      </c>
      <c r="CC16" s="506">
        <f>+[5]Report1!AE21</f>
        <v>2.2069629368368453</v>
      </c>
      <c r="CD16" s="510">
        <f>+[5]Report1!AJ21</f>
        <v>0.20963750181977001</v>
      </c>
      <c r="CE16" s="510">
        <f>+[5]Report1!AK21</f>
        <v>0.20996825676748079</v>
      </c>
      <c r="CF16" s="510">
        <f>+[5]Report1!AP21</f>
        <v>587.54695006551231</v>
      </c>
      <c r="CG16" s="510">
        <f>+[5]Report1!AQ21</f>
        <v>618.51159509743411</v>
      </c>
      <c r="CH16" s="510">
        <f>+[5]Report1!AV21</f>
        <v>516.04891541709128</v>
      </c>
      <c r="CI16" s="510">
        <f>+[5]Report1!AW21</f>
        <v>512.54548393733637</v>
      </c>
      <c r="CJ16" s="510"/>
      <c r="CK16" s="511"/>
    </row>
    <row r="17" spans="1:89" ht="12.75" customHeight="1">
      <c r="A17" s="558">
        <f t="shared" si="0"/>
        <v>45975</v>
      </c>
      <c r="B17" s="508">
        <f>+Report1!J22</f>
        <v>0.76772461676314663</v>
      </c>
      <c r="C17" s="509">
        <f>+Report1!K22</f>
        <v>0.83697366671648032</v>
      </c>
      <c r="D17" s="509">
        <f>+Report1!AJ22</f>
        <v>0.76772461676314663</v>
      </c>
      <c r="E17" s="509">
        <f>+Report1!AK22</f>
        <v>0.83697366671648032</v>
      </c>
      <c r="F17" s="506">
        <f>+Report1!R22</f>
        <v>47.758000000000003</v>
      </c>
      <c r="G17" s="506">
        <f>+Report1!S22</f>
        <v>731.78800000000012</v>
      </c>
      <c r="H17" s="506">
        <f>+Report1!X22</f>
        <v>2.41951086728925</v>
      </c>
      <c r="I17" s="506">
        <f>+Report1!Y22</f>
        <v>2.4353911242053705</v>
      </c>
      <c r="J17" s="506">
        <f>+Report1!AD22</f>
        <v>952.28820302357531</v>
      </c>
      <c r="K17" s="507">
        <f>+Report1!AE22</f>
        <v>993.83605634418598</v>
      </c>
      <c r="L17" s="508">
        <f>+[1]Report1!J22</f>
        <v>0.9246224666005588</v>
      </c>
      <c r="M17" s="509">
        <f>+[1]Report1!K22</f>
        <v>0.88711422668951212</v>
      </c>
      <c r="N17" s="509">
        <f>+[1]Report1!BJ22</f>
        <v>0.9246224666005588</v>
      </c>
      <c r="O17" s="509">
        <f>+[1]Report1!BK22</f>
        <v>0.88711422668951212</v>
      </c>
      <c r="P17" s="506">
        <f>+[1]Report1!R22</f>
        <v>58.000999999999998</v>
      </c>
      <c r="Q17" s="506">
        <f>+[1]Report1!S22</f>
        <v>685.44299999999998</v>
      </c>
      <c r="R17" s="506">
        <f>+[1]Report1!AL22</f>
        <v>2.4100446544025105</v>
      </c>
      <c r="S17" s="506">
        <f>+[1]Report1!AM22</f>
        <v>2.7540524886825017</v>
      </c>
      <c r="T17" s="506">
        <f>+[1]Report1!AR22</f>
        <v>0.2344787158842089</v>
      </c>
      <c r="U17" s="506">
        <f>+[1]Report1!AS22</f>
        <v>0.28361220407823845</v>
      </c>
      <c r="V17" s="506">
        <f>+[1]Report1!AX22</f>
        <v>640.83326149548861</v>
      </c>
      <c r="W17" s="506">
        <f>+[1]Report1!AY22</f>
        <v>774.57563940400428</v>
      </c>
      <c r="X17" s="506">
        <f>+[1]Report1!BD22</f>
        <v>384.734745952656</v>
      </c>
      <c r="Y17" s="576">
        <f>+[1]Report1!BE22</f>
        <v>454.66800302869825</v>
      </c>
      <c r="Z17" s="604">
        <f>+[2]Report1!J22</f>
        <v>0</v>
      </c>
      <c r="AA17" s="509">
        <f>+[2]Report1!K22</f>
        <v>0</v>
      </c>
      <c r="AB17" s="509" t="e">
        <f>+[2]Report1!BC22</f>
        <v>#DIV/0!</v>
      </c>
      <c r="AC17" s="509" t="e">
        <f>+[2]Report1!BD22</f>
        <v>#DIV/0!</v>
      </c>
      <c r="AD17" s="506">
        <f>+[2]Report1!R22</f>
        <v>0</v>
      </c>
      <c r="AE17" s="506">
        <f>+[2]Report1!S22</f>
        <v>0</v>
      </c>
      <c r="AF17" s="506">
        <f>+[2]Report1!X22</f>
        <v>0</v>
      </c>
      <c r="AG17" s="506">
        <f>+[2]Report1!Y22</f>
        <v>0</v>
      </c>
      <c r="AH17" s="506">
        <f>+[2]Report1!AD22</f>
        <v>0</v>
      </c>
      <c r="AI17" s="506">
        <f>+[2]Report1!AE22</f>
        <v>0</v>
      </c>
      <c r="AJ17" s="506">
        <f>+[2]Report1!AJ22</f>
        <v>0</v>
      </c>
      <c r="AK17" s="506">
        <f>+[2]Report1!AK22</f>
        <v>0</v>
      </c>
      <c r="AL17" s="584"/>
      <c r="AM17" s="584"/>
      <c r="AN17" s="604">
        <f>+[3]Report1!J22</f>
        <v>0.98328789770011327</v>
      </c>
      <c r="AO17" s="509">
        <f>+[3]Report1!K22</f>
        <v>0.86525222698801574</v>
      </c>
      <c r="AP17" s="509">
        <f>+[3]Report1!BN22</f>
        <v>0.98328789770011327</v>
      </c>
      <c r="AQ17" s="509">
        <f>+[3]Report1!BO22</f>
        <v>0.86525222698801574</v>
      </c>
      <c r="AR17" s="506">
        <f>+[3]Report1!R22</f>
        <v>53.488999999999997</v>
      </c>
      <c r="AS17" s="506">
        <f>+[3]Report1!S22</f>
        <v>665.14499999999998</v>
      </c>
      <c r="AT17" s="510">
        <f>+[3]Report1!AF22</f>
        <v>86.889978321074182</v>
      </c>
      <c r="AU17" s="510">
        <f>+[3]Report1!AG22</f>
        <v>109.79164259617396</v>
      </c>
      <c r="AV17" s="506">
        <f>+[3]Report1!AL22</f>
        <v>1.2862457701583503</v>
      </c>
      <c r="AW17" s="506">
        <f>+[3]Report1!AM22</f>
        <v>1.3842094580880859</v>
      </c>
      <c r="AX17" s="506">
        <f>+[3]Report1!AR22</f>
        <v>0.18134569724616276</v>
      </c>
      <c r="AY17" s="506">
        <f>+[3]Report1!AS22</f>
        <v>0.20236189101624458</v>
      </c>
      <c r="AZ17" s="506">
        <f>+[3]Report1!AX22</f>
        <v>711.91048626820486</v>
      </c>
      <c r="BA17" s="506">
        <f>+[3]Report1!AY22</f>
        <v>827.43958084327483</v>
      </c>
      <c r="BB17" s="506">
        <f>+[3]Report1!BD22</f>
        <v>438.0676400755288</v>
      </c>
      <c r="BC17" s="506">
        <f>+[3]Report1!BE22</f>
        <v>493.07811078787324</v>
      </c>
      <c r="BD17" s="506">
        <f>+[3]Report1!BJ22</f>
        <v>5.9787993793114165</v>
      </c>
      <c r="BE17" s="506">
        <f>+[3]Report1!BK22</f>
        <v>6.2091724360853648</v>
      </c>
      <c r="BF17" s="508">
        <f>+[4]Report1!J22</f>
        <v>0.86415376425704638</v>
      </c>
      <c r="BG17" s="509">
        <f>+[4]Report1!K22</f>
        <v>0.88208318076059211</v>
      </c>
      <c r="BH17" s="509">
        <f>+[4]Report1!AN22</f>
        <v>0.86415376425704638</v>
      </c>
      <c r="BI17" s="509">
        <f>+[4]Report1!AO22</f>
        <v>0.88208318076059211</v>
      </c>
      <c r="BJ17" s="506">
        <f>+[4]Report1!R22</f>
        <v>44.523000000000003</v>
      </c>
      <c r="BK17" s="506">
        <f>+[4]Report1!S22</f>
        <v>654.79300000000001</v>
      </c>
      <c r="BL17" s="506">
        <f>+[4]Report1!AD22</f>
        <v>2.8412281292814949</v>
      </c>
      <c r="BM17" s="506">
        <f>+[4]Report1!AE22</f>
        <v>2.7654541206152174</v>
      </c>
      <c r="BN17" s="510">
        <v>0</v>
      </c>
      <c r="BO17" s="510">
        <v>0</v>
      </c>
      <c r="BP17" s="510">
        <f>+[4]Report1!AJ22</f>
        <v>1227.427621678695</v>
      </c>
      <c r="BQ17" s="510">
        <f>+[4]Report1!AK22</f>
        <v>1091.5275514551931</v>
      </c>
      <c r="BR17" s="510">
        <v>0</v>
      </c>
      <c r="BS17" s="511">
        <v>0</v>
      </c>
      <c r="BT17" s="604">
        <f>+[5]Report1!J22</f>
        <v>0.89551749342404974</v>
      </c>
      <c r="BU17" s="509">
        <f>+[5]Report1!K22</f>
        <v>0.80340286498487634</v>
      </c>
      <c r="BV17" s="509">
        <f>+[5]Report1!BG22</f>
        <v>0.89551749342404974</v>
      </c>
      <c r="BW17" s="509">
        <f>+[5]Report1!BH22</f>
        <v>0.80340286498487634</v>
      </c>
      <c r="BX17" s="506">
        <f>+[5]Report1!R22</f>
        <v>46.872999999999998</v>
      </c>
      <c r="BY17" s="506">
        <f>+[5]Report1!S22</f>
        <v>591.2410000000001</v>
      </c>
      <c r="BZ17" s="510">
        <f>+[5]Report1!X22</f>
        <v>77.279925534616154</v>
      </c>
      <c r="CA17" s="510">
        <f>+[5]Report1!Y22</f>
        <v>87.62693704490701</v>
      </c>
      <c r="CB17" s="506">
        <f>+[5]Report1!AD22</f>
        <v>2.1248906620015786</v>
      </c>
      <c r="CC17" s="506">
        <f>+[5]Report1!AE22</f>
        <v>2.2004563282992882</v>
      </c>
      <c r="CD17" s="510">
        <f>+[5]Report1!AJ22</f>
        <v>0.21760928466281226</v>
      </c>
      <c r="CE17" s="510">
        <f>+[5]Report1!AK22</f>
        <v>0.21057402987952456</v>
      </c>
      <c r="CF17" s="510">
        <f>+[5]Report1!AP22</f>
        <v>532.7028353209754</v>
      </c>
      <c r="CG17" s="510">
        <f>+[5]Report1!AQ22</f>
        <v>611.70876174013642</v>
      </c>
      <c r="CH17" s="510">
        <f>+[5]Report1!AV22</f>
        <v>520.30379962878339</v>
      </c>
      <c r="CI17" s="510">
        <f>+[5]Report1!AW22</f>
        <v>513.16055550951273</v>
      </c>
      <c r="CJ17" s="510"/>
      <c r="CK17" s="511"/>
    </row>
    <row r="18" spans="1:89" ht="12.75" customHeight="1">
      <c r="A18" s="558">
        <f t="shared" si="0"/>
        <v>45976</v>
      </c>
      <c r="B18" s="508">
        <f>+Report1!J23</f>
        <v>0.78342130090007389</v>
      </c>
      <c r="C18" s="509">
        <f>+Report1!K23</f>
        <v>0.83355544507008072</v>
      </c>
      <c r="D18" s="509">
        <f>+Report1!AJ23</f>
        <v>0.78342130090007389</v>
      </c>
      <c r="E18" s="509">
        <f>+Report1!AK23</f>
        <v>0.83355544507008072</v>
      </c>
      <c r="F18" s="506">
        <f>+Report1!R23</f>
        <v>46.701999999999998</v>
      </c>
      <c r="G18" s="506">
        <f>+Report1!S23</f>
        <v>778.49000000000012</v>
      </c>
      <c r="H18" s="506">
        <f>+Report1!X23</f>
        <v>2.5886257547856624</v>
      </c>
      <c r="I18" s="506">
        <f>+Report1!Y23</f>
        <v>2.4445837454559465</v>
      </c>
      <c r="J18" s="506">
        <f>+Report1!AD23</f>
        <v>1101.2273564301631</v>
      </c>
      <c r="K18" s="507">
        <f>+Report1!AE23</f>
        <v>1000.2785135326088</v>
      </c>
      <c r="L18" s="508">
        <f>+[1]Report1!J23</f>
        <v>0.59369039719402683</v>
      </c>
      <c r="M18" s="509">
        <f>+[1]Report1!K23</f>
        <v>0.86090982356116108</v>
      </c>
      <c r="N18" s="509">
        <f>+[1]Report1!BJ23</f>
        <v>0.59369039719402683</v>
      </c>
      <c r="O18" s="509">
        <f>+[1]Report1!BK23</f>
        <v>0.86090982356116108</v>
      </c>
      <c r="P18" s="506">
        <f>+[1]Report1!R23</f>
        <v>44.984000000000002</v>
      </c>
      <c r="Q18" s="506">
        <f>+[1]Report1!S23</f>
        <v>730.42700000000002</v>
      </c>
      <c r="R18" s="506">
        <f>+[1]Report1!AL23</f>
        <v>2.8058643073092653</v>
      </c>
      <c r="S18" s="506">
        <f>+[1]Report1!AM23</f>
        <v>2.7572433658668145</v>
      </c>
      <c r="T18" s="506">
        <f>+[1]Report1!AR23</f>
        <v>0.39125022230126266</v>
      </c>
      <c r="U18" s="506">
        <f>+[1]Report1!AS23</f>
        <v>0.29024118768884499</v>
      </c>
      <c r="V18" s="506">
        <f>+[1]Report1!AX23</f>
        <v>837.33727547573505</v>
      </c>
      <c r="W18" s="506">
        <f>+[1]Report1!AY23</f>
        <v>778.44087088784977</v>
      </c>
      <c r="X18" s="506">
        <f>+[1]Report1!BD23</f>
        <v>605.92655166281338</v>
      </c>
      <c r="Y18" s="576">
        <f>+[1]Report1!BE23</f>
        <v>463.98339601356463</v>
      </c>
      <c r="Z18" s="604">
        <f>+[2]Report1!J23</f>
        <v>0</v>
      </c>
      <c r="AA18" s="509">
        <f>+[2]Report1!K23</f>
        <v>0</v>
      </c>
      <c r="AB18" s="509" t="e">
        <f>+[2]Report1!BC23</f>
        <v>#DIV/0!</v>
      </c>
      <c r="AC18" s="509" t="e">
        <f>+[2]Report1!BD23</f>
        <v>#DIV/0!</v>
      </c>
      <c r="AD18" s="506">
        <f>+[2]Report1!R23</f>
        <v>0</v>
      </c>
      <c r="AE18" s="506">
        <f>+[2]Report1!S23</f>
        <v>0</v>
      </c>
      <c r="AF18" s="506">
        <f>+[2]Report1!X23</f>
        <v>0</v>
      </c>
      <c r="AG18" s="506">
        <f>+[2]Report1!Y23</f>
        <v>0</v>
      </c>
      <c r="AH18" s="506">
        <f>+[2]Report1!AD23</f>
        <v>0</v>
      </c>
      <c r="AI18" s="506">
        <f>+[2]Report1!AE23</f>
        <v>0</v>
      </c>
      <c r="AJ18" s="506">
        <f>+[2]Report1!AJ23</f>
        <v>0</v>
      </c>
      <c r="AK18" s="506">
        <f>+[2]Report1!AK23</f>
        <v>0</v>
      </c>
      <c r="AL18" s="584"/>
      <c r="AM18" s="584"/>
      <c r="AN18" s="604">
        <f>+[3]Report1!J23</f>
        <v>0.92907907059960848</v>
      </c>
      <c r="AO18" s="509">
        <f>+[3]Report1!K23</f>
        <v>0.86945537634644154</v>
      </c>
      <c r="AP18" s="509">
        <f>+[3]Report1!BN23</f>
        <v>0.92907907059960848</v>
      </c>
      <c r="AQ18" s="509">
        <f>+[3]Report1!BO23</f>
        <v>0.86945537634644154</v>
      </c>
      <c r="AR18" s="506">
        <f>+[3]Report1!R23</f>
        <v>50.347999999999999</v>
      </c>
      <c r="AS18" s="506">
        <f>+[3]Report1!S23</f>
        <v>715.49299999999994</v>
      </c>
      <c r="AT18" s="510">
        <f>+[3]Report1!AF23</f>
        <v>103.35746713686945</v>
      </c>
      <c r="AU18" s="510">
        <f>+[3]Report1!AG23</f>
        <v>109.33888084165636</v>
      </c>
      <c r="AV18" s="506">
        <f>+[3]Report1!AL23</f>
        <v>1.4062127591959959</v>
      </c>
      <c r="AW18" s="506">
        <f>+[3]Report1!AM23</f>
        <v>1.385757792179658</v>
      </c>
      <c r="AX18" s="506">
        <f>+[3]Report1!AR23</f>
        <v>0.21450703106379601</v>
      </c>
      <c r="AY18" s="506">
        <f>+[3]Report1!AS23</f>
        <v>0.20321652343209509</v>
      </c>
      <c r="AZ18" s="506">
        <f>+[3]Report1!AX23</f>
        <v>731.10193056327807</v>
      </c>
      <c r="BA18" s="506">
        <f>+[3]Report1!AY23</f>
        <v>820.66046767753153</v>
      </c>
      <c r="BB18" s="506">
        <f>+[3]Report1!BD23</f>
        <v>531.88706602049911</v>
      </c>
      <c r="BC18" s="506">
        <f>+[3]Report1!BE23</f>
        <v>495.809029578207</v>
      </c>
      <c r="BD18" s="506">
        <f>+[3]Report1!BJ23</f>
        <v>6.5563676809407685</v>
      </c>
      <c r="BE18" s="506">
        <f>+[3]Report1!BK23</f>
        <v>6.2336039625824524</v>
      </c>
      <c r="BF18" s="508">
        <f>+[4]Report1!J23</f>
        <v>1.153796882512973</v>
      </c>
      <c r="BG18" s="509">
        <f>+[4]Report1!K23</f>
        <v>0.90013051200787531</v>
      </c>
      <c r="BH18" s="509">
        <f>+[4]Report1!AN23</f>
        <v>1.153796882512973</v>
      </c>
      <c r="BI18" s="509">
        <f>+[4]Report1!AO23</f>
        <v>0.90013051200787531</v>
      </c>
      <c r="BJ18" s="506">
        <f>+[4]Report1!R23</f>
        <v>60.936</v>
      </c>
      <c r="BK18" s="506">
        <f>+[4]Report1!S23</f>
        <v>715.72900000000004</v>
      </c>
      <c r="BL18" s="506">
        <f>+[4]Report1!AD23</f>
        <v>2.0825128003150848</v>
      </c>
      <c r="BM18" s="506">
        <f>+[4]Report1!AE23</f>
        <v>2.7073096102016265</v>
      </c>
      <c r="BN18" s="510">
        <v>0</v>
      </c>
      <c r="BO18" s="510">
        <v>0</v>
      </c>
      <c r="BP18" s="510">
        <f>+[4]Report1!AJ23</f>
        <v>954.92221346986753</v>
      </c>
      <c r="BQ18" s="510">
        <f>+[4]Report1!AK23</f>
        <v>1079.8971957263157</v>
      </c>
      <c r="BR18" s="510">
        <v>0</v>
      </c>
      <c r="BS18" s="511">
        <v>0</v>
      </c>
      <c r="BT18" s="604">
        <f>+[5]Report1!J23</f>
        <v>0.97048045164460228</v>
      </c>
      <c r="BU18" s="509">
        <f>+[5]Report1!K23</f>
        <v>0.81451098772071817</v>
      </c>
      <c r="BV18" s="509">
        <f>+[5]Report1!BG23</f>
        <v>0.97048045164460228</v>
      </c>
      <c r="BW18" s="509">
        <f>+[5]Report1!BH23</f>
        <v>0.81451098772071817</v>
      </c>
      <c r="BX18" s="506">
        <f>+[5]Report1!R23</f>
        <v>50.865000000000002</v>
      </c>
      <c r="BY18" s="506">
        <f>+[5]Report1!S23</f>
        <v>642.10600000000011</v>
      </c>
      <c r="BZ18" s="510">
        <f>+[5]Report1!X23</f>
        <v>77.74927837959487</v>
      </c>
      <c r="CA18" s="510">
        <f>+[5]Report1!Y23</f>
        <v>86.844469495918062</v>
      </c>
      <c r="CB18" s="506">
        <f>+[5]Report1!AD23</f>
        <v>2.0013761918804676</v>
      </c>
      <c r="CC18" s="506">
        <f>+[5]Report1!AE23</f>
        <v>2.1846860175734215</v>
      </c>
      <c r="CD18" s="510">
        <f>+[5]Report1!AJ23</f>
        <v>0.21232674727219111</v>
      </c>
      <c r="CE18" s="510">
        <f>+[5]Report1!AK23</f>
        <v>0.21071287295244084</v>
      </c>
      <c r="CF18" s="510">
        <f>+[5]Report1!AP23</f>
        <v>578.38435073232665</v>
      </c>
      <c r="CG18" s="510">
        <f>+[5]Report1!AQ23</f>
        <v>609.06893877334869</v>
      </c>
      <c r="CH18" s="510">
        <f>+[5]Report1!AV23</f>
        <v>526.48088076280521</v>
      </c>
      <c r="CI18" s="510">
        <f>+[5]Report1!AW23</f>
        <v>514.21573696554753</v>
      </c>
      <c r="CJ18" s="510"/>
      <c r="CK18" s="511"/>
    </row>
    <row r="19" spans="1:89" ht="12.75" customHeight="1">
      <c r="A19" s="558">
        <f t="shared" si="0"/>
        <v>45977</v>
      </c>
      <c r="B19" s="508">
        <f>+Report1!J24</f>
        <v>0.85703249220818689</v>
      </c>
      <c r="C19" s="509">
        <f>+Report1!K24</f>
        <v>0.83508227615301722</v>
      </c>
      <c r="D19" s="509">
        <f>+Report1!AJ24</f>
        <v>0.85703249220818689</v>
      </c>
      <c r="E19" s="509">
        <f>+Report1!AK24</f>
        <v>0.83508227615301722</v>
      </c>
      <c r="F19" s="506">
        <f>+Report1!R24</f>
        <v>55.676000000000002</v>
      </c>
      <c r="G19" s="506">
        <f>+Report1!S24</f>
        <v>834.16600000000017</v>
      </c>
      <c r="H19" s="506">
        <f>+Report1!X24</f>
        <v>2.2394568575328688</v>
      </c>
      <c r="I19" s="506">
        <f>+Report1!Y24</f>
        <v>2.4308926520620591</v>
      </c>
      <c r="J19" s="506">
        <f>+Report1!AD24</f>
        <v>851.44083626698853</v>
      </c>
      <c r="K19" s="507">
        <f>+Report1!AE24</f>
        <v>990.34441585967477</v>
      </c>
      <c r="L19" s="508">
        <f>+[1]Report1!J24</f>
        <v>0.98286428917415825</v>
      </c>
      <c r="M19" s="509">
        <f>+[1]Report1!K24</f>
        <v>0.87025822048997503</v>
      </c>
      <c r="N19" s="509">
        <f>+[1]Report1!BJ24</f>
        <v>0.98286428917415825</v>
      </c>
      <c r="O19" s="509">
        <f>+[1]Report1!BK24</f>
        <v>0.87025822048997503</v>
      </c>
      <c r="P19" s="506">
        <f>+[1]Report1!R24</f>
        <v>69.228999999999999</v>
      </c>
      <c r="Q19" s="506">
        <f>+[1]Report1!S24</f>
        <v>799.65600000000006</v>
      </c>
      <c r="R19" s="506">
        <f>+[1]Report1!AL24</f>
        <v>1.9554377500758351</v>
      </c>
      <c r="S19" s="506">
        <f>+[1]Report1!AM24</f>
        <v>2.6878282661544457</v>
      </c>
      <c r="T19" s="506">
        <f>+[1]Report1!AR24</f>
        <v>0.2325614987938581</v>
      </c>
      <c r="U19" s="506">
        <f>+[1]Report1!AS24</f>
        <v>0.28524765649229167</v>
      </c>
      <c r="V19" s="506">
        <f>+[1]Report1!AX24</f>
        <v>555.72130176659834</v>
      </c>
      <c r="W19" s="506">
        <f>+[1]Report1!AY24</f>
        <v>759.15926348329663</v>
      </c>
      <c r="X19" s="506">
        <f>+[1]Report1!BD24</f>
        <v>371.4917158994063</v>
      </c>
      <c r="Y19" s="576">
        <f>+[1]Report1!BE24</f>
        <v>455.97606970997521</v>
      </c>
      <c r="Z19" s="604">
        <f>+[2]Report1!J24</f>
        <v>0.52236410153560753</v>
      </c>
      <c r="AA19" s="509">
        <f>+[2]Report1!K24</f>
        <v>3.240951566510393E-2</v>
      </c>
      <c r="AB19" s="509">
        <f>+[2]Report1!BC24</f>
        <v>0.58310411334207357</v>
      </c>
      <c r="AC19" s="509">
        <f>+[2]Report1!BD24</f>
        <v>0.58310411334207357</v>
      </c>
      <c r="AD19" s="506">
        <f>+[2]Report1!R24</f>
        <v>22.440999999999999</v>
      </c>
      <c r="AE19" s="506">
        <f>+[2]Report1!S24</f>
        <v>22.440999999999999</v>
      </c>
      <c r="AF19" s="506">
        <f>+[2]Report1!X24</f>
        <v>129.86238221379963</v>
      </c>
      <c r="AG19" s="506">
        <f>+[2]Report1!Y24</f>
        <v>139.77464992980171</v>
      </c>
      <c r="AH19" s="506">
        <f>+[2]Report1!AD24</f>
        <v>2.4419589144868765</v>
      </c>
      <c r="AI19" s="506">
        <f>+[2]Report1!AE24</f>
        <v>16.93329174279221</v>
      </c>
      <c r="AJ19" s="506">
        <f>+[2]Report1!AJ24</f>
        <v>1313.8817343255973</v>
      </c>
      <c r="AK19" s="506">
        <f>+[2]Report1!AK24</f>
        <v>4964.2012388039757</v>
      </c>
      <c r="AL19" s="584"/>
      <c r="AM19" s="584"/>
      <c r="AN19" s="604">
        <f>+[3]Report1!J24</f>
        <v>0.96297080014302994</v>
      </c>
      <c r="AO19" s="509">
        <f>+[3]Report1!K24</f>
        <v>0.8752562039367513</v>
      </c>
      <c r="AP19" s="509">
        <f>+[3]Report1!BN24</f>
        <v>0.96297080014302994</v>
      </c>
      <c r="AQ19" s="509">
        <f>+[3]Report1!BO24</f>
        <v>0.8752562039367513</v>
      </c>
      <c r="AR19" s="506">
        <f>+[3]Report1!R24</f>
        <v>52.406999999999996</v>
      </c>
      <c r="AS19" s="506">
        <f>+[3]Report1!S24</f>
        <v>767.9</v>
      </c>
      <c r="AT19" s="510">
        <f>+[3]Report1!AF24</f>
        <v>84.556596130012537</v>
      </c>
      <c r="AU19" s="510">
        <f>+[3]Report1!AG24</f>
        <v>107.64756010343118</v>
      </c>
      <c r="AV19" s="506">
        <f>+[3]Report1!AL24</f>
        <v>1.3643215600969336</v>
      </c>
      <c r="AW19" s="506">
        <f>+[3]Report1!AM24</f>
        <v>1.384294830055997</v>
      </c>
      <c r="AX19" s="506">
        <f>+[3]Report1!AR24</f>
        <v>0.22897704505123362</v>
      </c>
      <c r="AY19" s="506">
        <f>+[3]Report1!AS24</f>
        <v>0.20497460606849852</v>
      </c>
      <c r="AZ19" s="506">
        <f>+[3]Report1!AX24</f>
        <v>836.23981529185187</v>
      </c>
      <c r="BA19" s="506">
        <f>+[3]Report1!AY24</f>
        <v>821.72371402526369</v>
      </c>
      <c r="BB19" s="506">
        <f>+[3]Report1!BD24</f>
        <v>556.19379090579525</v>
      </c>
      <c r="BC19" s="506">
        <f>+[3]Report1!BE24</f>
        <v>499.93011850501375</v>
      </c>
      <c r="BD19" s="506">
        <f>+[3]Report1!BJ24</f>
        <v>5.1538916556949612</v>
      </c>
      <c r="BE19" s="506">
        <f>+[3]Report1!BK24</f>
        <v>6.1599166558145741</v>
      </c>
      <c r="BF19" s="508">
        <f>+[4]Report1!J24</f>
        <v>0.9281339315604259</v>
      </c>
      <c r="BG19" s="509">
        <f>+[4]Report1!K24</f>
        <v>0.90181771930010501</v>
      </c>
      <c r="BH19" s="509">
        <f>+[4]Report1!AN24</f>
        <v>0.9281339315604259</v>
      </c>
      <c r="BI19" s="509">
        <f>+[4]Report1!AO24</f>
        <v>0.90181771930010501</v>
      </c>
      <c r="BJ19" s="506">
        <f>+[4]Report1!R24</f>
        <v>47.314999999999998</v>
      </c>
      <c r="BK19" s="506">
        <f>+[4]Report1!S24</f>
        <v>763.0440000000001</v>
      </c>
      <c r="BL19" s="506">
        <f>+[4]Report1!AD24</f>
        <v>2.616506393321357</v>
      </c>
      <c r="BM19" s="506">
        <f>+[4]Report1!AE24</f>
        <v>2.701679064378987</v>
      </c>
      <c r="BN19" s="510">
        <v>0</v>
      </c>
      <c r="BO19" s="510">
        <v>0</v>
      </c>
      <c r="BP19" s="510">
        <f>+[4]Report1!AJ24</f>
        <v>1059.9141921166567</v>
      </c>
      <c r="BQ19" s="510">
        <f>+[4]Report1!AK24</f>
        <v>1078.6580852480324</v>
      </c>
      <c r="BR19" s="510">
        <v>0</v>
      </c>
      <c r="BS19" s="511">
        <v>0</v>
      </c>
      <c r="BT19" s="604">
        <f>+[5]Report1!J24</f>
        <v>0.87368921468890781</v>
      </c>
      <c r="BU19" s="509">
        <f>+[5]Report1!K24</f>
        <v>0.81819473040335533</v>
      </c>
      <c r="BV19" s="509">
        <f>+[5]Report1!BG24</f>
        <v>0.87368921468890781</v>
      </c>
      <c r="BW19" s="509">
        <f>+[5]Report1!BH24</f>
        <v>0.81819473040335533</v>
      </c>
      <c r="BX19" s="506">
        <f>+[5]Report1!R24</f>
        <v>45.72</v>
      </c>
      <c r="BY19" s="506">
        <f>+[5]Report1!S24</f>
        <v>687.82600000000014</v>
      </c>
      <c r="BZ19" s="510">
        <f>+[5]Report1!X24</f>
        <v>62.804040843275452</v>
      </c>
      <c r="CA19" s="510">
        <f>+[5]Report1!Y24</f>
        <v>85.246495011093671</v>
      </c>
      <c r="CB19" s="506">
        <f>+[5]Report1!AD24</f>
        <v>1.8022747156605425</v>
      </c>
      <c r="CC19" s="506">
        <f>+[5]Report1!AE24</f>
        <v>2.1592670239275624</v>
      </c>
      <c r="CD19" s="510">
        <f>+[5]Report1!AJ24</f>
        <v>0.20997375328083989</v>
      </c>
      <c r="CE19" s="510">
        <f>+[5]Report1!AK24</f>
        <v>0.21066374344674377</v>
      </c>
      <c r="CF19" s="510">
        <f>+[5]Report1!AP24</f>
        <v>483.9199475065617</v>
      </c>
      <c r="CG19" s="510">
        <f>+[5]Report1!AQ24</f>
        <v>600.75024788245832</v>
      </c>
      <c r="CH19" s="510">
        <f>+[5]Report1!AV24</f>
        <v>500.92633420822409</v>
      </c>
      <c r="CI19" s="510">
        <f>+[5]Report1!AW24</f>
        <v>513.33238638841783</v>
      </c>
      <c r="CJ19" s="510"/>
      <c r="CK19" s="511"/>
    </row>
    <row r="20" spans="1:89" ht="12.75" customHeight="1">
      <c r="A20" s="558">
        <f t="shared" si="0"/>
        <v>45978</v>
      </c>
      <c r="B20" s="508">
        <f>+Report1!J25</f>
        <v>0.7280433272742024</v>
      </c>
      <c r="C20" s="509">
        <f>+Report1!K25</f>
        <v>0.82881022538247362</v>
      </c>
      <c r="D20" s="509">
        <f>+Report1!AJ25</f>
        <v>0.7280433272742024</v>
      </c>
      <c r="E20" s="509">
        <f>+Report1!AK25</f>
        <v>0.82881022538247362</v>
      </c>
      <c r="F20" s="506">
        <f>+Report1!R25</f>
        <v>45.265999999999998</v>
      </c>
      <c r="G20" s="506">
        <f>+Report1!S25</f>
        <v>879.43200000000013</v>
      </c>
      <c r="H20" s="506">
        <f>+Report1!X25</f>
        <v>2.4709494985198606</v>
      </c>
      <c r="I20" s="506">
        <f>+Report1!Y25</f>
        <v>2.4329544524192883</v>
      </c>
      <c r="J20" s="506">
        <f>+Report1!AD25</f>
        <v>1082.0275703618647</v>
      </c>
      <c r="K20" s="507">
        <f>+Report1!AE25</f>
        <v>995.06351827088588</v>
      </c>
      <c r="L20" s="508">
        <f>+[1]Report1!J25</f>
        <v>0.96618671979017001</v>
      </c>
      <c r="M20" s="509">
        <f>+[1]Report1!K25</f>
        <v>0.87713061192043962</v>
      </c>
      <c r="N20" s="509">
        <f>+[1]Report1!BJ25</f>
        <v>0.96618671979017001</v>
      </c>
      <c r="O20" s="509">
        <f>+[1]Report1!BK25</f>
        <v>0.87713061192043962</v>
      </c>
      <c r="P20" s="506">
        <f>+[1]Report1!R25</f>
        <v>68.510999999999996</v>
      </c>
      <c r="Q20" s="506">
        <f>+[1]Report1!S25</f>
        <v>868.16700000000003</v>
      </c>
      <c r="R20" s="506">
        <f>+[1]Report1!AL25</f>
        <v>1.9681948884120797</v>
      </c>
      <c r="S20" s="506">
        <f>+[1]Report1!AM25</f>
        <v>2.6310387287238508</v>
      </c>
      <c r="T20" s="506">
        <f>+[1]Report1!AR25</f>
        <v>0.21602370422267958</v>
      </c>
      <c r="U20" s="506">
        <f>+[1]Report1!AS25</f>
        <v>0.27978488009795349</v>
      </c>
      <c r="V20" s="506">
        <f>+[1]Report1!AX25</f>
        <v>580.00306520119989</v>
      </c>
      <c r="W20" s="506">
        <f>+[1]Report1!AY25</f>
        <v>745.02123439384195</v>
      </c>
      <c r="X20" s="506">
        <f>+[1]Report1!BD25</f>
        <v>325.29082920990788</v>
      </c>
      <c r="Y20" s="576">
        <f>+[1]Report1!BE25</f>
        <v>445.66310398805757</v>
      </c>
      <c r="Z20" s="604">
        <f>+[2]Report1!J25</f>
        <v>0.59466314789582309</v>
      </c>
      <c r="AA20" s="509">
        <f>+[2]Report1!K25</f>
        <v>6.5256008967164492E-2</v>
      </c>
      <c r="AB20" s="509">
        <f>+[2]Report1!BC25</f>
        <v>0.59466314789582309</v>
      </c>
      <c r="AC20" s="509">
        <f>+[2]Report1!BD25</f>
        <v>0.58920118651328213</v>
      </c>
      <c r="AD20" s="506">
        <f>+[2]Report1!R25</f>
        <v>25.547000000000001</v>
      </c>
      <c r="AE20" s="506">
        <f>+[2]Report1!S25</f>
        <v>47.988</v>
      </c>
      <c r="AF20" s="506">
        <f>+[2]Report1!X25</f>
        <v>156.68069465891028</v>
      </c>
      <c r="AG20" s="506">
        <f>+[2]Report1!Y25</f>
        <v>148.77479006263778</v>
      </c>
      <c r="AH20" s="506">
        <f>+[2]Report1!AD25</f>
        <v>2.3916702548244411</v>
      </c>
      <c r="AI20" s="506">
        <f>+[2]Report1!AE25</f>
        <v>9.1918813036592493</v>
      </c>
      <c r="AJ20" s="506">
        <f>+[2]Report1!AJ25</f>
        <v>1414.610717501105</v>
      </c>
      <c r="AK20" s="506">
        <f>+[2]Report1!AK25</f>
        <v>3074.5332166375083</v>
      </c>
      <c r="AL20" s="584"/>
      <c r="AM20" s="584"/>
      <c r="AN20" s="604">
        <f>+[3]Report1!J25</f>
        <v>0.93426728035711137</v>
      </c>
      <c r="AO20" s="509">
        <f>+[3]Report1!K25</f>
        <v>0.87877767921810501</v>
      </c>
      <c r="AP20" s="509">
        <f>+[3]Report1!BN25</f>
        <v>0.93426728035711137</v>
      </c>
      <c r="AQ20" s="509">
        <f>+[3]Report1!BO25</f>
        <v>0.87877767921810501</v>
      </c>
      <c r="AR20" s="506">
        <f>+[3]Report1!R25</f>
        <v>52.018000000000001</v>
      </c>
      <c r="AS20" s="506">
        <f>+[3]Report1!S25</f>
        <v>819.91800000000001</v>
      </c>
      <c r="AT20" s="510">
        <f>+[3]Report1!AF25</f>
        <v>94.821416306773244</v>
      </c>
      <c r="AU20" s="510">
        <f>+[3]Report1!AG25</f>
        <v>106.8338319647459</v>
      </c>
      <c r="AV20" s="506">
        <f>+[3]Report1!AL25</f>
        <v>1.3533776769579762</v>
      </c>
      <c r="AW20" s="506">
        <f>+[3]Report1!AM25</f>
        <v>1.3823333552867483</v>
      </c>
      <c r="AX20" s="506">
        <f>+[3]Report1!AR25</f>
        <v>0.22299973086239377</v>
      </c>
      <c r="AY20" s="506">
        <f>+[3]Report1!AS25</f>
        <v>0.20611817279288905</v>
      </c>
      <c r="AZ20" s="506">
        <f>+[3]Report1!AX25</f>
        <v>790.88123341919913</v>
      </c>
      <c r="BA20" s="506">
        <f>+[3]Report1!AY25</f>
        <v>819.76697669766975</v>
      </c>
      <c r="BB20" s="506">
        <f>+[3]Report1!BD25</f>
        <v>550.05350071129783</v>
      </c>
      <c r="BC20" s="506">
        <f>+[3]Report1!BE25</f>
        <v>503.11009271658912</v>
      </c>
      <c r="BD20" s="506">
        <f>+[3]Report1!BJ25</f>
        <v>6.5765696489672179</v>
      </c>
      <c r="BE20" s="506">
        <f>+[3]Report1!BK25</f>
        <v>6.186350342351294</v>
      </c>
      <c r="BF20" s="508">
        <f>+[4]Report1!J25</f>
        <v>0.67441514339693709</v>
      </c>
      <c r="BG20" s="509">
        <f>+[4]Report1!K25</f>
        <v>0.88820543215382397</v>
      </c>
      <c r="BH20" s="509">
        <f>+[4]Report1!AN25</f>
        <v>0.67441514339693709</v>
      </c>
      <c r="BI20" s="509">
        <f>+[4]Report1!AO25</f>
        <v>0.88820543215382397</v>
      </c>
      <c r="BJ20" s="506">
        <f>+[4]Report1!R25</f>
        <v>36.332999999999998</v>
      </c>
      <c r="BK20" s="506">
        <f>+[4]Report1!S25</f>
        <v>799.37700000000007</v>
      </c>
      <c r="BL20" s="506">
        <f>+[4]Report1!AD25</f>
        <v>3.6248038972834613</v>
      </c>
      <c r="BM20" s="506">
        <f>+[4]Report1!AE25</f>
        <v>2.7436366070077067</v>
      </c>
      <c r="BN20" s="510">
        <v>0</v>
      </c>
      <c r="BO20" s="510">
        <v>0</v>
      </c>
      <c r="BP20" s="510">
        <f>+[4]Report1!AJ25</f>
        <v>1443.9991192579901</v>
      </c>
      <c r="BQ20" s="510">
        <f>+[4]Report1!AK25</f>
        <v>1095.2634364010976</v>
      </c>
      <c r="BR20" s="510">
        <v>0</v>
      </c>
      <c r="BS20" s="511">
        <v>0</v>
      </c>
      <c r="BT20" s="604">
        <f>+[5]Report1!J25</f>
        <v>0.94044252502274883</v>
      </c>
      <c r="BU20" s="509">
        <f>+[5]Report1!K25</f>
        <v>0.82541697077196763</v>
      </c>
      <c r="BV20" s="509">
        <f>+[5]Report1!BG25</f>
        <v>0.94044252502274883</v>
      </c>
      <c r="BW20" s="509">
        <f>+[5]Report1!BH25</f>
        <v>0.82541697077196763</v>
      </c>
      <c r="BX20" s="506">
        <f>+[5]Report1!R25</f>
        <v>49.64</v>
      </c>
      <c r="BY20" s="506">
        <f>+[5]Report1!S25</f>
        <v>737.46600000000012</v>
      </c>
      <c r="BZ20" s="510">
        <f>+[5]Report1!X25</f>
        <v>77.736862612874461</v>
      </c>
      <c r="CA20" s="510">
        <f>+[5]Report1!Y25</f>
        <v>84.741009806016294</v>
      </c>
      <c r="CB20" s="506">
        <f>+[5]Report1!AD25</f>
        <v>2.0366639806607574</v>
      </c>
      <c r="CC20" s="506">
        <f>+[5]Report1!AE25</f>
        <v>2.1510144196478205</v>
      </c>
      <c r="CD20" s="510">
        <f>+[5]Report1!AJ25</f>
        <v>0.22562449637389201</v>
      </c>
      <c r="CE20" s="510">
        <f>+[5]Report1!AK25</f>
        <v>0.21167077533065926</v>
      </c>
      <c r="CF20" s="510">
        <f>+[5]Report1!AP25</f>
        <v>611.98751007252497</v>
      </c>
      <c r="CG20" s="510">
        <f>+[5]Report1!AQ25</f>
        <v>601.50664573010818</v>
      </c>
      <c r="CH20" s="510">
        <f>+[5]Report1!AV25</f>
        <v>553.79969782434091</v>
      </c>
      <c r="CI20" s="510">
        <f>+[5]Report1!AW25</f>
        <v>516.05630496863603</v>
      </c>
      <c r="CJ20" s="510"/>
      <c r="CK20" s="511"/>
    </row>
    <row r="21" spans="1:89" ht="12.75" customHeight="1">
      <c r="A21" s="558">
        <f t="shared" si="0"/>
        <v>45979</v>
      </c>
      <c r="B21" s="508">
        <f>+Report1!J26</f>
        <v>0.70191175327409483</v>
      </c>
      <c r="C21" s="509">
        <f>+Report1!K26</f>
        <v>0.82151381775490562</v>
      </c>
      <c r="D21" s="509">
        <f>+Report1!AJ26</f>
        <v>0.70191175327409483</v>
      </c>
      <c r="E21" s="509">
        <f>+Report1!AK26</f>
        <v>0.82151381775490562</v>
      </c>
      <c r="F21" s="506">
        <f>+Report1!R26</f>
        <v>45.436</v>
      </c>
      <c r="G21" s="506">
        <f>+Report1!S26</f>
        <v>924.86800000000017</v>
      </c>
      <c r="H21" s="506">
        <f>+Report1!X26</f>
        <v>2.7077427590456904</v>
      </c>
      <c r="I21" s="506">
        <f>+Report1!Y26</f>
        <v>2.4464539804599137</v>
      </c>
      <c r="J21" s="506">
        <f>+Report1!AD26</f>
        <v>1121.0027291134802</v>
      </c>
      <c r="K21" s="507">
        <f>+Report1!AE26</f>
        <v>1001.2505352115134</v>
      </c>
      <c r="L21" s="508">
        <f>+[1]Report1!J26</f>
        <v>0.95680935377424836</v>
      </c>
      <c r="M21" s="509">
        <f>+[1]Report1!K26</f>
        <v>0.88234190211283758</v>
      </c>
      <c r="N21" s="509">
        <f>+[1]Report1!BJ26</f>
        <v>0.95680935377424836</v>
      </c>
      <c r="O21" s="509">
        <f>+[1]Report1!BK26</f>
        <v>0.88234190211283758</v>
      </c>
      <c r="P21" s="506">
        <f>+[1]Report1!R26</f>
        <v>66.274000000000001</v>
      </c>
      <c r="Q21" s="506">
        <f>+[1]Report1!S26</f>
        <v>934.44100000000003</v>
      </c>
      <c r="R21" s="506">
        <f>+[1]Report1!AL26</f>
        <v>2.0695747955457646</v>
      </c>
      <c r="S21" s="506">
        <f>+[1]Report1!AM26</f>
        <v>2.5912176370685787</v>
      </c>
      <c r="T21" s="506">
        <f>+[1]Report1!AR26</f>
        <v>0.24142197543531399</v>
      </c>
      <c r="U21" s="506">
        <f>+[1]Report1!AS26</f>
        <v>0.27706404149646685</v>
      </c>
      <c r="V21" s="506">
        <f>+[1]Report1!AX26</f>
        <v>553.18858074056322</v>
      </c>
      <c r="W21" s="506">
        <f>+[1]Report1!AY26</f>
        <v>731.41575551586322</v>
      </c>
      <c r="X21" s="506">
        <f>+[1]Report1!BD26</f>
        <v>408.42562694269247</v>
      </c>
      <c r="Y21" s="576">
        <f>+[1]Report1!BE26</f>
        <v>443.02208486143053</v>
      </c>
      <c r="Z21" s="604">
        <f>+[2]Report1!J26</f>
        <v>0.80760888974803402</v>
      </c>
      <c r="AA21" s="509">
        <f>+[2]Report1!K26</f>
        <v>0.1058636592717377</v>
      </c>
      <c r="AB21" s="509">
        <f>+[2]Report1!BC26</f>
        <v>0.84897980625055791</v>
      </c>
      <c r="AC21" s="509">
        <f>+[2]Report1!BD26</f>
        <v>0.67544949294955425</v>
      </c>
      <c r="AD21" s="506">
        <f>+[2]Report1!R26</f>
        <v>34.366999999999997</v>
      </c>
      <c r="AE21" s="506">
        <f>+[2]Report1!S26</f>
        <v>82.35499999999999</v>
      </c>
      <c r="AF21" s="506">
        <f>+[2]Report1!X26</f>
        <v>129.71690934114199</v>
      </c>
      <c r="AG21" s="506">
        <f>+[2]Report1!Y26</f>
        <v>140.82187661772679</v>
      </c>
      <c r="AH21" s="506">
        <f>+[2]Report1!AD26</f>
        <v>1.6236505950475748</v>
      </c>
      <c r="AI21" s="506">
        <f>+[2]Report1!AE26</f>
        <v>6.0336348734138801</v>
      </c>
      <c r="AJ21" s="506">
        <f>+[2]Report1!AJ26</f>
        <v>1093.8947245904183</v>
      </c>
      <c r="AK21" s="506">
        <f>+[2]Report1!AK26</f>
        <v>2248.0065569789285</v>
      </c>
      <c r="AL21" s="584"/>
      <c r="AM21" s="584"/>
      <c r="AN21" s="604">
        <f>+[3]Report1!J26</f>
        <v>0.85466379693890182</v>
      </c>
      <c r="AO21" s="509">
        <f>+[3]Report1!K26</f>
        <v>0.87745872676918213</v>
      </c>
      <c r="AP21" s="509">
        <f>+[3]Report1!BN26</f>
        <v>0.85466379693890182</v>
      </c>
      <c r="AQ21" s="509">
        <f>+[3]Report1!BO26</f>
        <v>0.87745872676918213</v>
      </c>
      <c r="AR21" s="506">
        <f>+[3]Report1!R26</f>
        <v>46.14</v>
      </c>
      <c r="AS21" s="506">
        <f>+[3]Report1!S26</f>
        <v>866.05799999999999</v>
      </c>
      <c r="AT21" s="510">
        <f>+[3]Report1!AF26</f>
        <v>99.540265143684451</v>
      </c>
      <c r="AU21" s="510">
        <f>+[3]Report1!AG26</f>
        <v>106.44526079154068</v>
      </c>
      <c r="AV21" s="506">
        <f>+[3]Report1!AL26</f>
        <v>1.4217598612917206</v>
      </c>
      <c r="AW21" s="506">
        <f>+[3]Report1!AM26</f>
        <v>1.3844338369947509</v>
      </c>
      <c r="AX21" s="506">
        <f>+[3]Report1!AR26</f>
        <v>0.19505851755526657</v>
      </c>
      <c r="AY21" s="506">
        <f>+[3]Report1!AS26</f>
        <v>0.20552895995418322</v>
      </c>
      <c r="AZ21" s="506">
        <f>+[3]Report1!AX26</f>
        <v>811.07238838318142</v>
      </c>
      <c r="BA21" s="506">
        <f>+[3]Report1!AY26</f>
        <v>819.30376487486978</v>
      </c>
      <c r="BB21" s="506">
        <f>+[3]Report1!BD26</f>
        <v>446.74447334199516</v>
      </c>
      <c r="BC21" s="506">
        <f>+[3]Report1!BE26</f>
        <v>500.10716487810282</v>
      </c>
      <c r="BD21" s="506">
        <f>+[3]Report1!BJ26</f>
        <v>6.6688339835286436</v>
      </c>
      <c r="BE21" s="506">
        <f>+[3]Report1!BK26</f>
        <v>6.2120550817612683</v>
      </c>
      <c r="BF21" s="508">
        <f>+[4]Report1!J26</f>
        <v>1.0373273599234563</v>
      </c>
      <c r="BG21" s="509">
        <f>+[4]Report1!K26</f>
        <v>0.89701633851290075</v>
      </c>
      <c r="BH21" s="509">
        <f>+[4]Report1!AN26</f>
        <v>1.0373273599234563</v>
      </c>
      <c r="BI21" s="509">
        <f>+[4]Report1!AO26</f>
        <v>0.89701633851290075</v>
      </c>
      <c r="BJ21" s="506">
        <f>+[4]Report1!R26</f>
        <v>58.625</v>
      </c>
      <c r="BK21" s="506">
        <f>+[4]Report1!S26</f>
        <v>858.00200000000007</v>
      </c>
      <c r="BL21" s="506">
        <f>+[4]Report1!AD26</f>
        <v>2.2515991471215351</v>
      </c>
      <c r="BM21" s="506">
        <f>+[4]Report1!AE26</f>
        <v>2.7100169929673821</v>
      </c>
      <c r="BN21" s="510">
        <v>0</v>
      </c>
      <c r="BO21" s="510">
        <v>0</v>
      </c>
      <c r="BP21" s="510">
        <f>+[4]Report1!AJ26</f>
        <v>875.91914712152504</v>
      </c>
      <c r="BQ21" s="510">
        <f>+[4]Report1!AK26</f>
        <v>1080.2762231323466</v>
      </c>
      <c r="BR21" s="510">
        <v>0</v>
      </c>
      <c r="BS21" s="511">
        <v>0</v>
      </c>
      <c r="BT21" s="604">
        <f>+[5]Report1!J26</f>
        <v>0.9653620745189162</v>
      </c>
      <c r="BU21" s="509">
        <f>+[5]Report1!K26</f>
        <v>0.83313736540344863</v>
      </c>
      <c r="BV21" s="509">
        <f>+[5]Report1!BG26</f>
        <v>0.9653620745189162</v>
      </c>
      <c r="BW21" s="509">
        <f>+[5]Report1!BH26</f>
        <v>0.83313736540344863</v>
      </c>
      <c r="BX21" s="506">
        <f>+[5]Report1!R26</f>
        <v>50.36</v>
      </c>
      <c r="BY21" s="506">
        <f>+[5]Report1!S26</f>
        <v>787.82600000000014</v>
      </c>
      <c r="BZ21" s="510">
        <f>+[5]Report1!X26</f>
        <v>77.824287985372763</v>
      </c>
      <c r="CA21" s="510">
        <f>+[5]Report1!Y26</f>
        <v>84.298873965249911</v>
      </c>
      <c r="CB21" s="506">
        <f>+[5]Report1!AD26</f>
        <v>1.9718030182684669</v>
      </c>
      <c r="CC21" s="506">
        <f>+[5]Report1!AE26</f>
        <v>2.1395587350506324</v>
      </c>
      <c r="CD21" s="510">
        <f>+[5]Report1!AJ26</f>
        <v>0.20055599682287528</v>
      </c>
      <c r="CE21" s="510">
        <f>+[5]Report1!AK26</f>
        <v>0.21096028818546222</v>
      </c>
      <c r="CF21" s="510">
        <f>+[5]Report1!AP26</f>
        <v>525.09690230341619</v>
      </c>
      <c r="CG21" s="510">
        <f>+[5]Report1!AQ26</f>
        <v>596.62232523425234</v>
      </c>
      <c r="CH21" s="510">
        <f>+[5]Report1!AV26</f>
        <v>461.56096108021489</v>
      </c>
      <c r="CI21" s="510">
        <f>+[5]Report1!AW26</f>
        <v>512.572813032319</v>
      </c>
      <c r="CJ21" s="510"/>
      <c r="CK21" s="511"/>
    </row>
    <row r="22" spans="1:89" ht="12.75" customHeight="1">
      <c r="A22" s="558">
        <f t="shared" si="0"/>
        <v>45980</v>
      </c>
      <c r="B22" s="508">
        <f>+Report1!J27</f>
        <v>0.95327963337831756</v>
      </c>
      <c r="C22" s="509">
        <f>+Report1!K27</f>
        <v>0.82878844894484371</v>
      </c>
      <c r="D22" s="509">
        <f>+Report1!AJ27</f>
        <v>0.95327963337831756</v>
      </c>
      <c r="E22" s="509">
        <f>+Report1!AK27</f>
        <v>0.82878844894484371</v>
      </c>
      <c r="F22" s="506">
        <f>+Report1!R27</f>
        <v>62.713000000000001</v>
      </c>
      <c r="G22" s="506">
        <f>+Report1!S27</f>
        <v>987.58100000000013</v>
      </c>
      <c r="H22" s="506">
        <f>+Report1!X27</f>
        <v>2.1808396983081657</v>
      </c>
      <c r="I22" s="506">
        <f>+Report1!Y27</f>
        <v>2.4295870414679905</v>
      </c>
      <c r="J22" s="506">
        <f>+Report1!AD27</f>
        <v>889.70388914577029</v>
      </c>
      <c r="K22" s="507">
        <f>+Report1!AE27</f>
        <v>994.16714173318496</v>
      </c>
      <c r="L22" s="508">
        <f>+[1]Report1!J27</f>
        <v>0.97993770855510287</v>
      </c>
      <c r="M22" s="509">
        <f>+[1]Report1!K27</f>
        <v>0.88833318349973722</v>
      </c>
      <c r="N22" s="509">
        <f>+[1]Report1!BJ27</f>
        <v>0.97993770855510287</v>
      </c>
      <c r="O22" s="509">
        <f>+[1]Report1!BK27</f>
        <v>0.88833318349973722</v>
      </c>
      <c r="P22" s="506">
        <f>+[1]Report1!R27</f>
        <v>67.876000000000005</v>
      </c>
      <c r="Q22" s="506">
        <f>+[1]Report1!S27</f>
        <v>1002.317</v>
      </c>
      <c r="R22" s="506">
        <f>+[1]Report1!AL27</f>
        <v>2.0119924568330485</v>
      </c>
      <c r="S22" s="506">
        <f>+[1]Report1!AM27</f>
        <v>2.5519930321445208</v>
      </c>
      <c r="T22" s="506">
        <f>+[1]Report1!AR27</f>
        <v>0.23867051682479815</v>
      </c>
      <c r="U22" s="506">
        <f>+[1]Report1!AS27</f>
        <v>0.27446406675732327</v>
      </c>
      <c r="V22" s="506">
        <f>+[1]Report1!AX27</f>
        <v>580.68978725913416</v>
      </c>
      <c r="W22" s="506">
        <f>+[1]Report1!AY27</f>
        <v>721.20872937403999</v>
      </c>
      <c r="X22" s="506">
        <f>+[1]Report1!BD27</f>
        <v>365.94672638340501</v>
      </c>
      <c r="Y22" s="576">
        <f>+[1]Report1!BE27</f>
        <v>437.8026113495032</v>
      </c>
      <c r="Z22" s="604">
        <f>+[2]Report1!J27</f>
        <v>0.60527929400063352</v>
      </c>
      <c r="AA22" s="509">
        <f>+[2]Report1!K27</f>
        <v>0.13146010408207578</v>
      </c>
      <c r="AB22" s="509">
        <f>+[2]Report1!BC27</f>
        <v>1.1074995976631667</v>
      </c>
      <c r="AC22" s="509">
        <f>+[2]Report1!BD27</f>
        <v>0.7439360791958739</v>
      </c>
      <c r="AD22" s="506">
        <f>+[2]Report1!R27</f>
        <v>25.437000000000001</v>
      </c>
      <c r="AE22" s="506">
        <f>+[2]Report1!S27</f>
        <v>107.79199999999999</v>
      </c>
      <c r="AF22" s="506">
        <f>+[2]Report1!X27</f>
        <v>100.1695220878657</v>
      </c>
      <c r="AG22" s="506">
        <f>+[2]Report1!Y27</f>
        <v>131.22864203467725</v>
      </c>
      <c r="AH22" s="506">
        <f>+[2]Report1!AD27</f>
        <v>1.1440028305224672</v>
      </c>
      <c r="AI22" s="506">
        <f>+[2]Report1!AE27</f>
        <v>4.8797684429271193</v>
      </c>
      <c r="AJ22" s="506">
        <f>+[2]Report1!AJ27</f>
        <v>1115.5403546015932</v>
      </c>
      <c r="AK22" s="506">
        <f>+[2]Report1!AK27</f>
        <v>1980.7646207510797</v>
      </c>
      <c r="AL22" s="584"/>
      <c r="AM22" s="584"/>
      <c r="AN22" s="604">
        <f>+[3]Report1!J27</f>
        <v>0.94715342732880969</v>
      </c>
      <c r="AO22" s="509">
        <f>+[3]Report1!K27</f>
        <v>0.88100117522208743</v>
      </c>
      <c r="AP22" s="509">
        <f>+[3]Report1!BN27</f>
        <v>0.94715342732880969</v>
      </c>
      <c r="AQ22" s="509">
        <f>+[3]Report1!BO27</f>
        <v>0.88100117522208743</v>
      </c>
      <c r="AR22" s="506">
        <f>+[3]Report1!R27</f>
        <v>50.061</v>
      </c>
      <c r="AS22" s="506">
        <f>+[3]Report1!S27</f>
        <v>916.11900000000003</v>
      </c>
      <c r="AT22" s="510">
        <f>+[3]Report1!AF27</f>
        <v>98.601101402431098</v>
      </c>
      <c r="AU22" s="510">
        <f>+[3]Report1!AG27</f>
        <v>106.01661946527386</v>
      </c>
      <c r="AV22" s="506">
        <f>+[3]Report1!AL27</f>
        <v>1.3863087033818742</v>
      </c>
      <c r="AW22" s="506">
        <f>+[3]Report1!AM27</f>
        <v>1.3845362884079471</v>
      </c>
      <c r="AX22" s="506">
        <f>+[3]Report1!AR27</f>
        <v>0.20774654920996385</v>
      </c>
      <c r="AY22" s="506">
        <f>+[3]Report1!AS27</f>
        <v>0.20565013933779344</v>
      </c>
      <c r="AZ22" s="506">
        <f>+[3]Report1!AX27</f>
        <v>817.12310980603695</v>
      </c>
      <c r="BA22" s="506">
        <f>+[3]Report1!AY27</f>
        <v>819.184603746893</v>
      </c>
      <c r="BB22" s="506">
        <f>+[3]Report1!BD27</f>
        <v>553.2849923093836</v>
      </c>
      <c r="BC22" s="506">
        <f>+[3]Report1!BE27</f>
        <v>503.0130485231723</v>
      </c>
      <c r="BD22" s="506">
        <f>+[3]Report1!BJ27</f>
        <v>6.3941990771260224</v>
      </c>
      <c r="BE22" s="506">
        <f>+[3]Report1!BK27</f>
        <v>6.2220082762173972</v>
      </c>
      <c r="BF22" s="508">
        <f>+[4]Report1!J27</f>
        <v>0.92841534552581595</v>
      </c>
      <c r="BG22" s="509">
        <f>+[4]Report1!K27</f>
        <v>0.89870966229881122</v>
      </c>
      <c r="BH22" s="509">
        <f>+[4]Report1!AN27</f>
        <v>0.92841534552581595</v>
      </c>
      <c r="BI22" s="509">
        <f>+[4]Report1!AO27</f>
        <v>0.89870966229881122</v>
      </c>
      <c r="BJ22" s="506">
        <f>+[4]Report1!R27</f>
        <v>50.621000000000002</v>
      </c>
      <c r="BK22" s="506">
        <f>+[4]Report1!S27</f>
        <v>908.62300000000005</v>
      </c>
      <c r="BL22" s="506">
        <f>+[4]Report1!AD27</f>
        <v>2.5700796112285413</v>
      </c>
      <c r="BM22" s="506">
        <f>+[4]Report1!AE27</f>
        <v>2.7022208330627771</v>
      </c>
      <c r="BN22" s="510">
        <v>0</v>
      </c>
      <c r="BO22" s="510">
        <v>0</v>
      </c>
      <c r="BP22" s="510">
        <f>+[4]Report1!AJ27</f>
        <v>1144.0311333241129</v>
      </c>
      <c r="BQ22" s="510">
        <f>+[4]Report1!AK27</f>
        <v>1083.8281223345653</v>
      </c>
      <c r="BR22" s="510">
        <v>0</v>
      </c>
      <c r="BS22" s="511">
        <v>0</v>
      </c>
      <c r="BT22" s="604">
        <f>+[5]Report1!J27</f>
        <v>0.78021146496104055</v>
      </c>
      <c r="BU22" s="509">
        <f>+[5]Report1!K27</f>
        <v>0.83036735803659811</v>
      </c>
      <c r="BV22" s="509">
        <f>+[5]Report1!BG27</f>
        <v>0.78021146496104055</v>
      </c>
      <c r="BW22" s="509">
        <f>+[5]Report1!BH27</f>
        <v>0.83036735803659811</v>
      </c>
      <c r="BX22" s="506">
        <f>+[5]Report1!R27</f>
        <v>40.746000000000002</v>
      </c>
      <c r="BY22" s="506">
        <f>+[5]Report1!S27</f>
        <v>828.57200000000012</v>
      </c>
      <c r="BZ22" s="510">
        <f>+[5]Report1!X27</f>
        <v>76.987143016341648</v>
      </c>
      <c r="CA22" s="510">
        <f>+[5]Report1!Y27</f>
        <v>83.939311019308931</v>
      </c>
      <c r="CB22" s="506">
        <f>+[5]Report1!AD27</f>
        <v>2.0100132528346339</v>
      </c>
      <c r="CC22" s="506">
        <f>+[5]Report1!AE27</f>
        <v>2.1331881840081484</v>
      </c>
      <c r="CD22" s="510">
        <f>+[5]Report1!AJ27</f>
        <v>0.21106366269081625</v>
      </c>
      <c r="CE22" s="510">
        <f>+[5]Report1!AK27</f>
        <v>0.21096537174801944</v>
      </c>
      <c r="CF22" s="510">
        <f>+[5]Report1!AP27</f>
        <v>575.90929170961124</v>
      </c>
      <c r="CG22" s="510">
        <f>+[5]Report1!AQ27</f>
        <v>595.60373751466352</v>
      </c>
      <c r="CH22" s="510">
        <f>+[5]Report1!AV27</f>
        <v>556.17729347666125</v>
      </c>
      <c r="CI22" s="510">
        <f>+[5]Report1!AW27</f>
        <v>514.71711450543808</v>
      </c>
      <c r="CJ22" s="510"/>
      <c r="CK22" s="511"/>
    </row>
    <row r="23" spans="1:89" ht="12.75" customHeight="1">
      <c r="A23" s="558">
        <f t="shared" si="0"/>
        <v>45981</v>
      </c>
      <c r="B23" s="508">
        <f>+Report1!J28</f>
        <v>0.87730668346960916</v>
      </c>
      <c r="C23" s="509">
        <f>+Report1!K28</f>
        <v>0.83132693519286616</v>
      </c>
      <c r="D23" s="509">
        <f>+Report1!AJ28</f>
        <v>0.87730668346960916</v>
      </c>
      <c r="E23" s="509">
        <f>+Report1!AK28</f>
        <v>0.83132693519286616</v>
      </c>
      <c r="F23" s="506">
        <f>+Report1!R28</f>
        <v>57.715000000000003</v>
      </c>
      <c r="G23" s="506">
        <f>+Report1!S28</f>
        <v>1045.296</v>
      </c>
      <c r="H23" s="506">
        <f>+Report1!X28</f>
        <v>2.3296889889976606</v>
      </c>
      <c r="I23" s="506">
        <f>+Report1!Y28</f>
        <v>2.4240712678514025</v>
      </c>
      <c r="J23" s="506">
        <f>+Report1!AD28</f>
        <v>960.56588408558162</v>
      </c>
      <c r="K23" s="507">
        <f>+Report1!AE28</f>
        <v>992.31188103656768</v>
      </c>
      <c r="L23" s="508">
        <f>+[1]Report1!J28</f>
        <v>0.97605179021139932</v>
      </c>
      <c r="M23" s="509">
        <f>+[1]Report1!K28</f>
        <v>0.89352457958945686</v>
      </c>
      <c r="N23" s="509">
        <f>+[1]Report1!BJ28</f>
        <v>0.97605179021139932</v>
      </c>
      <c r="O23" s="509">
        <f>+[1]Report1!BK28</f>
        <v>0.89352457958945686</v>
      </c>
      <c r="P23" s="506">
        <f>+[1]Report1!R28</f>
        <v>69.277000000000001</v>
      </c>
      <c r="Q23" s="506">
        <f>+[1]Report1!S28</f>
        <v>1071.5940000000001</v>
      </c>
      <c r="R23" s="506">
        <f>+[1]Report1!AL28</f>
        <v>1.946547916335869</v>
      </c>
      <c r="S23" s="506">
        <f>+[1]Report1!AM28</f>
        <v>2.5128518823360335</v>
      </c>
      <c r="T23" s="506">
        <f>+[1]Report1!AR28</f>
        <v>0.25982649364146831</v>
      </c>
      <c r="U23" s="506">
        <f>+[1]Report1!AS28</f>
        <v>0.27351776885648849</v>
      </c>
      <c r="V23" s="506">
        <f>+[1]Report1!AX28</f>
        <v>493.51862811611846</v>
      </c>
      <c r="W23" s="506">
        <f>+[1]Report1!AY28</f>
        <v>706.48889411474875</v>
      </c>
      <c r="X23" s="506">
        <f>+[1]Report1!BD28</f>
        <v>375.24719603908943</v>
      </c>
      <c r="Y23" s="576">
        <f>+[1]Report1!BE28</f>
        <v>433.75849435513823</v>
      </c>
      <c r="Z23" s="604">
        <f>+[2]Report1!J28</f>
        <v>0.25645272839111277</v>
      </c>
      <c r="AA23" s="509">
        <f>+[2]Report1!K28</f>
        <v>0.13810409973045307</v>
      </c>
      <c r="AB23" s="509">
        <f>+[2]Report1!BC28</f>
        <v>0.5106185064612293</v>
      </c>
      <c r="AC23" s="509">
        <f>+[2]Report1!BD28</f>
        <v>0.71183101724604747</v>
      </c>
      <c r="AD23" s="506">
        <f>+[2]Report1!R28</f>
        <v>11.805</v>
      </c>
      <c r="AE23" s="506">
        <f>+[2]Report1!S28</f>
        <v>119.59699999999998</v>
      </c>
      <c r="AF23" s="506">
        <f>+[2]Report1!X28</f>
        <v>218.32445353087547</v>
      </c>
      <c r="AG23" s="506">
        <f>+[2]Report1!Y28</f>
        <v>139.82556381961018</v>
      </c>
      <c r="AH23" s="506">
        <f>+[2]Report1!AD28</f>
        <v>2.8293096145700973</v>
      </c>
      <c r="AI23" s="506">
        <f>+[2]Report1!AE28</f>
        <v>4.6773748505397297</v>
      </c>
      <c r="AJ23" s="506">
        <f>+[2]Report1!AJ28</f>
        <v>1681.4112664125371</v>
      </c>
      <c r="AK23" s="506">
        <f>+[2]Report1!AK28</f>
        <v>1951.216502086176</v>
      </c>
      <c r="AL23" s="584"/>
      <c r="AM23" s="584"/>
      <c r="AN23" s="604">
        <f>+[3]Report1!J28</f>
        <v>0.96062044160805338</v>
      </c>
      <c r="AO23" s="509">
        <f>+[3]Report1!K28</f>
        <v>0.88505584891061162</v>
      </c>
      <c r="AP23" s="509">
        <f>+[3]Report1!BN28</f>
        <v>0.96062044160805338</v>
      </c>
      <c r="AQ23" s="509">
        <f>+[3]Report1!BO28</f>
        <v>0.88505584891061162</v>
      </c>
      <c r="AR23" s="506">
        <f>+[3]Report1!R28</f>
        <v>53.6</v>
      </c>
      <c r="AS23" s="506">
        <f>+[3]Report1!S28</f>
        <v>969.71900000000005</v>
      </c>
      <c r="AT23" s="510">
        <f>+[3]Report1!AF28</f>
        <v>92.609363055946915</v>
      </c>
      <c r="AU23" s="510">
        <f>+[3]Report1!AG28</f>
        <v>105.27555020341561</v>
      </c>
      <c r="AV23" s="506">
        <f>+[3]Report1!AL28</f>
        <v>1.3003731343283582</v>
      </c>
      <c r="AW23" s="506">
        <f>+[3]Report1!AM28</f>
        <v>1.3798842757541103</v>
      </c>
      <c r="AX23" s="506">
        <f>+[3]Report1!AR28</f>
        <v>0.18656716417910446</v>
      </c>
      <c r="AY23" s="506">
        <f>+[3]Report1!AS28</f>
        <v>0.20459535184935015</v>
      </c>
      <c r="AZ23" s="506">
        <f>+[3]Report1!AX28</f>
        <v>709.31082089552365</v>
      </c>
      <c r="BA23" s="506">
        <f>+[3]Report1!AY28</f>
        <v>813.11146837382785</v>
      </c>
      <c r="BB23" s="506">
        <f>+[3]Report1!BD28</f>
        <v>479.1567164179105</v>
      </c>
      <c r="BC23" s="506">
        <f>+[3]Report1!BE28</f>
        <v>501.69441972365189</v>
      </c>
      <c r="BD23" s="506">
        <f>+[3]Report1!BJ28</f>
        <v>6.1585820895523478</v>
      </c>
      <c r="BE23" s="506">
        <f>+[3]Report1!BK28</f>
        <v>6.2185024733969447</v>
      </c>
      <c r="BF23" s="508">
        <f>+[4]Report1!J28</f>
        <v>1.0491932223225513</v>
      </c>
      <c r="BG23" s="509">
        <f>+[4]Report1!K28</f>
        <v>0.90624090533533885</v>
      </c>
      <c r="BH23" s="509">
        <f>+[4]Report1!AN28</f>
        <v>1.0491932223225513</v>
      </c>
      <c r="BI23" s="509">
        <f>+[4]Report1!AO28</f>
        <v>0.90624090533533885</v>
      </c>
      <c r="BJ23" s="506">
        <f>+[4]Report1!R28</f>
        <v>55.884999999999998</v>
      </c>
      <c r="BK23" s="506">
        <f>+[4]Report1!S28</f>
        <v>964.50800000000004</v>
      </c>
      <c r="BL23" s="506">
        <f>+[4]Report1!AD28</f>
        <v>2.3047329337031406</v>
      </c>
      <c r="BM23" s="506">
        <f>+[4]Report1!AE28</f>
        <v>2.6791898045428342</v>
      </c>
      <c r="BN23" s="510">
        <v>0</v>
      </c>
      <c r="BO23" s="510">
        <v>0</v>
      </c>
      <c r="BP23" s="510">
        <f>+[4]Report1!AJ28</f>
        <v>1023.3178849423048</v>
      </c>
      <c r="BQ23" s="510">
        <f>+[4]Report1!AK28</f>
        <v>1080.3220709418692</v>
      </c>
      <c r="BR23" s="510">
        <v>0</v>
      </c>
      <c r="BS23" s="511">
        <v>0</v>
      </c>
      <c r="BT23" s="604">
        <f>+[5]Report1!J28</f>
        <v>0.93007595360841477</v>
      </c>
      <c r="BU23" s="509">
        <f>+[5]Report1!K28</f>
        <v>0.83532810194471907</v>
      </c>
      <c r="BV23" s="509">
        <f>+[5]Report1!BG28</f>
        <v>0.93007595360841477</v>
      </c>
      <c r="BW23" s="509">
        <f>+[5]Report1!BH28</f>
        <v>0.83532810194471907</v>
      </c>
      <c r="BX23" s="506">
        <f>+[5]Report1!R28</f>
        <v>48.591000000000001</v>
      </c>
      <c r="BY23" s="506">
        <f>+[5]Report1!S28</f>
        <v>877.16300000000012</v>
      </c>
      <c r="BZ23" s="510">
        <f>+[5]Report1!X28</f>
        <v>78.87917446171636</v>
      </c>
      <c r="CA23" s="510">
        <f>+[5]Report1!Y28</f>
        <v>83.659001549495471</v>
      </c>
      <c r="CB23" s="506">
        <f>+[5]Report1!AD28</f>
        <v>2.053878290218353</v>
      </c>
      <c r="CC23" s="506">
        <f>+[5]Report1!AE28</f>
        <v>2.1287947622049717</v>
      </c>
      <c r="CD23" s="510">
        <f>+[5]Report1!AJ28</f>
        <v>0.19345146220493506</v>
      </c>
      <c r="CE23" s="510">
        <f>+[5]Report1!AK28</f>
        <v>0.20999517763517153</v>
      </c>
      <c r="CF23" s="510">
        <f>+[5]Report1!AP28</f>
        <v>525.79819308102344</v>
      </c>
      <c r="CG23" s="510">
        <f>+[5]Report1!AQ28</f>
        <v>591.73681516434203</v>
      </c>
      <c r="CH23" s="510">
        <f>+[5]Report1!AV28</f>
        <v>487.89281965796147</v>
      </c>
      <c r="CI23" s="510">
        <f>+[5]Report1!AW28</f>
        <v>513.23116570124353</v>
      </c>
      <c r="CJ23" s="510"/>
      <c r="CK23" s="511"/>
    </row>
    <row r="24" spans="1:89" ht="12.75" customHeight="1">
      <c r="A24" s="558">
        <f t="shared" si="0"/>
        <v>45982</v>
      </c>
      <c r="B24" s="508">
        <f>+Report1!J29</f>
        <v>0.85333522648560867</v>
      </c>
      <c r="C24" s="509">
        <f>+Report1!K29</f>
        <v>0.83242116419824463</v>
      </c>
      <c r="D24" s="509">
        <f>+Report1!AJ29</f>
        <v>0.85333522648560867</v>
      </c>
      <c r="E24" s="509">
        <f>+Report1!AK29</f>
        <v>0.83242116419824463</v>
      </c>
      <c r="F24" s="506">
        <f>+Report1!R29</f>
        <v>56.137999999999998</v>
      </c>
      <c r="G24" s="506">
        <f>+Report1!S29</f>
        <v>1101.434</v>
      </c>
      <c r="H24" s="506">
        <f>+Report1!X29</f>
        <v>2.3652784210338811</v>
      </c>
      <c r="I24" s="506">
        <f>+Report1!Y29</f>
        <v>2.4210747080623989</v>
      </c>
      <c r="J24" s="506">
        <f>+Report1!AD29</f>
        <v>967.18835726248938</v>
      </c>
      <c r="K24" s="507">
        <f>+Report1!AE29</f>
        <v>991.03138272470392</v>
      </c>
      <c r="L24" s="508">
        <f>+[1]Report1!J29</f>
        <v>0.97867089044103095</v>
      </c>
      <c r="M24" s="509">
        <f>+[1]Report1!K29</f>
        <v>0.8983475043832384</v>
      </c>
      <c r="N24" s="509">
        <f>+[1]Report1!BJ29</f>
        <v>0.97867089044103095</v>
      </c>
      <c r="O24" s="509">
        <f>+[1]Report1!BK29</f>
        <v>0.8983475043832384</v>
      </c>
      <c r="P24" s="506">
        <f>+[1]Report1!R29</f>
        <v>70.474000000000004</v>
      </c>
      <c r="Q24" s="506">
        <f>+[1]Report1!S29</f>
        <v>1142.068</v>
      </c>
      <c r="R24" s="506">
        <f>+[1]Report1!AL29</f>
        <v>1.9042483752873398</v>
      </c>
      <c r="S24" s="506">
        <f>+[1]Report1!AM29</f>
        <v>2.475296567279706</v>
      </c>
      <c r="T24" s="506">
        <f>+[1]Report1!AR29</f>
        <v>0.24973749184096264</v>
      </c>
      <c r="U24" s="506">
        <f>+[1]Report1!AS29</f>
        <v>0.27205035076720474</v>
      </c>
      <c r="V24" s="506">
        <f>+[1]Report1!AX29</f>
        <v>506.54326418253282</v>
      </c>
      <c r="W24" s="506">
        <f>+[1]Report1!AY29</f>
        <v>694.15077736176806</v>
      </c>
      <c r="X24" s="506">
        <f>+[1]Report1!BD29</f>
        <v>388.02962794789568</v>
      </c>
      <c r="Y24" s="576">
        <f>+[1]Report1!BE29</f>
        <v>430.93668678222315</v>
      </c>
      <c r="Z24" s="604">
        <f>+[2]Report1!J29</f>
        <v>0.92279177112584931</v>
      </c>
      <c r="AA24" s="509">
        <f>+[2]Report1!K29</f>
        <v>0.17520868642240017</v>
      </c>
      <c r="AB24" s="509">
        <f>+[2]Report1!BC29</f>
        <v>0.92279177112584931</v>
      </c>
      <c r="AC24" s="509">
        <f>+[2]Report1!BD29</f>
        <v>0.75480562613258406</v>
      </c>
      <c r="AD24" s="506">
        <f>+[2]Report1!R29</f>
        <v>39.662999999999997</v>
      </c>
      <c r="AE24" s="506">
        <f>+[2]Report1!S29</f>
        <v>159.26</v>
      </c>
      <c r="AF24" s="506">
        <f>+[2]Report1!X29</f>
        <v>114.58427602837681</v>
      </c>
      <c r="AG24" s="506">
        <f>+[2]Report1!Y29</f>
        <v>133.53933251442564</v>
      </c>
      <c r="AH24" s="506">
        <f>+[2]Report1!AD29</f>
        <v>1.3992890099084792</v>
      </c>
      <c r="AI24" s="506">
        <f>+[2]Report1!AE29</f>
        <v>3.8609820419439909</v>
      </c>
      <c r="AJ24" s="506">
        <f>+[2]Report1!AJ29</f>
        <v>1019.2375765827184</v>
      </c>
      <c r="AK24" s="506">
        <f>+[2]Report1!AK29</f>
        <v>1719.1112645987739</v>
      </c>
      <c r="AL24" s="584"/>
      <c r="AM24" s="584"/>
      <c r="AN24" s="604">
        <f>+[3]Report1!J29</f>
        <v>0.97684577591390198</v>
      </c>
      <c r="AO24" s="509">
        <f>+[3]Report1!K29</f>
        <v>0.88944441561694243</v>
      </c>
      <c r="AP24" s="509">
        <f>+[3]Report1!BN29</f>
        <v>0.97684577591390198</v>
      </c>
      <c r="AQ24" s="509">
        <f>+[3]Report1!BO29</f>
        <v>0.88944441561694243</v>
      </c>
      <c r="AR24" s="506">
        <f>+[3]Report1!R29</f>
        <v>53.741</v>
      </c>
      <c r="AS24" s="506">
        <f>+[3]Report1!S29</f>
        <v>1023.46</v>
      </c>
      <c r="AT24" s="510">
        <f>+[3]Report1!AF29</f>
        <v>88.323400967416944</v>
      </c>
      <c r="AU24" s="510">
        <f>+[3]Report1!AG29</f>
        <v>104.38540749916551</v>
      </c>
      <c r="AV24" s="506">
        <f>+[3]Report1!AL29</f>
        <v>1.3081260117973241</v>
      </c>
      <c r="AW24" s="506">
        <f>+[3]Report1!AM29</f>
        <v>1.3761163113360562</v>
      </c>
      <c r="AX24" s="506">
        <f>+[3]Report1!AR29</f>
        <v>0.18235611544258576</v>
      </c>
      <c r="AY24" s="506">
        <f>+[3]Report1!AS29</f>
        <v>0.20342758876751413</v>
      </c>
      <c r="AZ24" s="506">
        <f>+[3]Report1!AX29</f>
        <v>709.62616996334168</v>
      </c>
      <c r="BA24" s="506">
        <f>+[3]Report1!AY29</f>
        <v>807.67754479901498</v>
      </c>
      <c r="BB24" s="506">
        <f>+[3]Report1!BD29</f>
        <v>452.44785173331354</v>
      </c>
      <c r="BC24" s="506">
        <f>+[3]Report1!BE29</f>
        <v>499.1085250034198</v>
      </c>
      <c r="BD24" s="506">
        <f>+[3]Report1!BJ29</f>
        <v>6.5089968552871804</v>
      </c>
      <c r="BE24" s="506">
        <f>+[3]Report1!BK29</f>
        <v>6.2337560823090303</v>
      </c>
      <c r="BF24" s="508">
        <f>+[4]Report1!J29</f>
        <v>0.9367913832199547</v>
      </c>
      <c r="BG24" s="509">
        <f>+[4]Report1!K29</f>
        <v>0.90763276618001265</v>
      </c>
      <c r="BH24" s="509">
        <f>+[4]Report1!AN29</f>
        <v>0.9367913832199547</v>
      </c>
      <c r="BI24" s="509">
        <f>+[4]Report1!AO29</f>
        <v>0.90763276618001265</v>
      </c>
      <c r="BJ24" s="506">
        <f>+[4]Report1!R29</f>
        <v>47.591999999999999</v>
      </c>
      <c r="BK24" s="506">
        <f>+[4]Report1!S29</f>
        <v>1012.1</v>
      </c>
      <c r="BL24" s="606">
        <f>+[4]Report1!AD29</f>
        <v>2.689527651706169</v>
      </c>
      <c r="BM24" s="506">
        <f>+[4]Report1!AE29</f>
        <v>2.6796759213516448</v>
      </c>
      <c r="BN24" s="510">
        <v>0</v>
      </c>
      <c r="BO24" s="510">
        <v>0</v>
      </c>
      <c r="BP24" s="510">
        <f>+[4]Report1!AJ29</f>
        <v>1183.6451504454383</v>
      </c>
      <c r="BQ24" s="510">
        <f>+[4]Report1!AK29</f>
        <v>1085.180634324671</v>
      </c>
      <c r="BR24" s="510">
        <v>0</v>
      </c>
      <c r="BS24" s="511">
        <v>0</v>
      </c>
      <c r="BT24" s="604">
        <f>+[5]Report1!J29</f>
        <v>1.0748851589050479</v>
      </c>
      <c r="BU24" s="509">
        <f>+[5]Report1!K29</f>
        <v>0.84667437096557696</v>
      </c>
      <c r="BV24" s="509">
        <f>+[5]Report1!BG29</f>
        <v>1.0748851589050479</v>
      </c>
      <c r="BW24" s="509">
        <f>+[5]Report1!BH29</f>
        <v>0.84667437096557696</v>
      </c>
      <c r="BX24" s="506">
        <f>+[5]Report1!R29</f>
        <v>56.118000000000002</v>
      </c>
      <c r="BY24" s="506">
        <f>+[5]Report1!S29</f>
        <v>933.28100000000018</v>
      </c>
      <c r="BZ24" s="510">
        <f>+[5]Report1!X29</f>
        <v>70.773298558333067</v>
      </c>
      <c r="CA24" s="510">
        <f>+[5]Report1!Y29</f>
        <v>82.884186804035039</v>
      </c>
      <c r="CB24" s="506">
        <f>+[5]Report1!AD29</f>
        <v>1.7890872803734987</v>
      </c>
      <c r="CC24" s="506">
        <f>+[5]Report1!AE29</f>
        <v>2.1083682192180055</v>
      </c>
      <c r="CD24" s="510">
        <f>+[5]Report1!AJ29</f>
        <v>0.17463202537510247</v>
      </c>
      <c r="CE24" s="510">
        <f>+[5]Report1!AK29</f>
        <v>0.20786879835762215</v>
      </c>
      <c r="CF24" s="510">
        <f>+[5]Report1!AP29</f>
        <v>473.57389785808419</v>
      </c>
      <c r="CG24" s="510">
        <f>+[5]Report1!AQ29</f>
        <v>584.63170256332205</v>
      </c>
      <c r="CH24" s="510">
        <f>+[5]Report1!AV29</f>
        <v>433.28343846894052</v>
      </c>
      <c r="CI24" s="510">
        <f>+[5]Report1!AW29</f>
        <v>508.4239248414998</v>
      </c>
      <c r="CJ24" s="510"/>
      <c r="CK24" s="511"/>
    </row>
    <row r="25" spans="1:89" ht="12.75" customHeight="1">
      <c r="A25" s="558">
        <f t="shared" si="0"/>
        <v>45983</v>
      </c>
      <c r="B25" s="508">
        <f>+Report1!J30</f>
        <v>0.83448639537580538</v>
      </c>
      <c r="C25" s="509">
        <f>+Report1!K30</f>
        <v>0.83251898191804918</v>
      </c>
      <c r="D25" s="509">
        <f>+Report1!AJ30</f>
        <v>0.83448639537580538</v>
      </c>
      <c r="E25" s="509">
        <f>+Report1!AK30</f>
        <v>0.83251898191804918</v>
      </c>
      <c r="F25" s="506">
        <f>+Report1!R30</f>
        <v>54.898000000000003</v>
      </c>
      <c r="G25" s="506">
        <f>+Report1!S30</f>
        <v>1156.3319999999999</v>
      </c>
      <c r="H25" s="506">
        <f>+Report1!X30</f>
        <v>2.2582061277277856</v>
      </c>
      <c r="I25" s="506">
        <f>+Report1!Y30</f>
        <v>2.4133423618822278</v>
      </c>
      <c r="J25" s="506">
        <f>+Report1!AD30</f>
        <v>992.96331378187381</v>
      </c>
      <c r="K25" s="507">
        <f>+Report1!AE30</f>
        <v>991.12310305344761</v>
      </c>
      <c r="L25" s="508">
        <f>+[1]Report1!J30</f>
        <v>0.96910276257098127</v>
      </c>
      <c r="M25" s="509">
        <f>+[1]Report1!K30</f>
        <v>0.90214043745148431</v>
      </c>
      <c r="N25" s="509">
        <f>+[1]Report1!BJ30</f>
        <v>0.96910276257098127</v>
      </c>
      <c r="O25" s="509">
        <f>+[1]Report1!BK30</f>
        <v>0.90214043745148431</v>
      </c>
      <c r="P25" s="506">
        <f>+[1]Report1!R30</f>
        <v>69.784999999999997</v>
      </c>
      <c r="Q25" s="506">
        <f>+[1]Report1!S30</f>
        <v>1211.8530000000001</v>
      </c>
      <c r="R25" s="506">
        <f>+[1]Report1!AL30</f>
        <v>1.9252991330515155</v>
      </c>
      <c r="S25" s="506">
        <f>+[1]Report1!AM30</f>
        <v>2.4436247630694474</v>
      </c>
      <c r="T25" s="506">
        <f>+[1]Report1!AR30</f>
        <v>0.243605359317905</v>
      </c>
      <c r="U25" s="506">
        <f>+[1]Report1!AS30</f>
        <v>0.27041233548953542</v>
      </c>
      <c r="V25" s="506">
        <f>+[1]Report1!AX30</f>
        <v>525.86873970049555</v>
      </c>
      <c r="W25" s="506">
        <f>+[1]Report1!AY30</f>
        <v>684.46019442952149</v>
      </c>
      <c r="X25" s="506">
        <f>+[1]Report1!BD30</f>
        <v>409.8588521888658</v>
      </c>
      <c r="Y25" s="576">
        <f>+[1]Report1!BE30</f>
        <v>429.72291193733889</v>
      </c>
      <c r="Z25" s="604">
        <f>+[2]Report1!J30</f>
        <v>0.83116241400620816</v>
      </c>
      <c r="AA25" s="509">
        <f>+[2]Report1!K30</f>
        <v>0.2037315060733452</v>
      </c>
      <c r="AB25" s="509">
        <f>+[2]Report1!BC30</f>
        <v>0.83116241400620816</v>
      </c>
      <c r="AC25" s="509">
        <f>+[2]Report1!BD30</f>
        <v>0.76731051557279661</v>
      </c>
      <c r="AD25" s="506">
        <f>+[2]Report1!R30</f>
        <v>34.344999999999999</v>
      </c>
      <c r="AE25" s="506">
        <f>+[2]Report1!S30</f>
        <v>193.60499999999999</v>
      </c>
      <c r="AF25" s="506">
        <f>+[2]Report1!X30</f>
        <v>129.31343372637164</v>
      </c>
      <c r="AG25" s="506">
        <f>+[2]Report1!Y30</f>
        <v>132.78966957247829</v>
      </c>
      <c r="AH25" s="506">
        <f>+[2]Report1!AD30</f>
        <v>1.5402533119813655</v>
      </c>
      <c r="AI25" s="506">
        <f>+[2]Report1!AE30</f>
        <v>3.44929108235841</v>
      </c>
      <c r="AJ25" s="506">
        <f>+[2]Report1!AJ30</f>
        <v>1116.6603581307004</v>
      </c>
      <c r="AK25" s="506">
        <f>+[2]Report1!AK30</f>
        <v>1612.2381136850786</v>
      </c>
      <c r="AL25" s="584"/>
      <c r="AM25" s="584"/>
      <c r="AN25" s="604">
        <f>+[3]Report1!J30</f>
        <v>0.93131034253043377</v>
      </c>
      <c r="AO25" s="509">
        <f>+[3]Report1!K30</f>
        <v>0.89135395418980623</v>
      </c>
      <c r="AP25" s="509">
        <f>+[3]Report1!BN30</f>
        <v>0.93131034253043377</v>
      </c>
      <c r="AQ25" s="509">
        <f>+[3]Report1!BO30</f>
        <v>0.89135395418980623</v>
      </c>
      <c r="AR25" s="506">
        <f>+[3]Report1!R30</f>
        <v>51.213999999999999</v>
      </c>
      <c r="AS25" s="506">
        <f>+[3]Report1!S30</f>
        <v>1074.674</v>
      </c>
      <c r="AT25" s="510">
        <f>+[3]Report1!AF30</f>
        <v>103.21968402897016</v>
      </c>
      <c r="AU25" s="510">
        <f>+[3]Report1!AG30</f>
        <v>104.32985450188207</v>
      </c>
      <c r="AV25" s="506">
        <f>+[3]Report1!AL30</f>
        <v>1.3707189440387395</v>
      </c>
      <c r="AW25" s="506">
        <f>+[3]Report1!AM30</f>
        <v>1.3758590977356855</v>
      </c>
      <c r="AX25" s="506">
        <f>+[3]Report1!AR30</f>
        <v>0.18940133557230443</v>
      </c>
      <c r="AY25" s="506">
        <f>+[3]Report1!AS30</f>
        <v>0.20275916231340854</v>
      </c>
      <c r="AZ25" s="506">
        <f>+[3]Report1!AX30</f>
        <v>765.64415980005572</v>
      </c>
      <c r="BA25" s="506">
        <f>+[3]Report1!AY30</f>
        <v>805.67442777995939</v>
      </c>
      <c r="BB25" s="506">
        <f>+[3]Report1!BD30</f>
        <v>480.29835591830368</v>
      </c>
      <c r="BC25" s="506">
        <f>+[3]Report1!BE30</f>
        <v>498.21211921010467</v>
      </c>
      <c r="BD25" s="506">
        <f>+[3]Report1!BJ30</f>
        <v>6.6407622915610149</v>
      </c>
      <c r="BE25" s="506">
        <f>+[3]Report1!BK30</f>
        <v>6.2531521186890222</v>
      </c>
      <c r="BF25" s="508">
        <f>+[4]Report1!J30</f>
        <v>0.98918357479695107</v>
      </c>
      <c r="BG25" s="509">
        <f>+[4]Report1!K30</f>
        <v>0.91115733928203602</v>
      </c>
      <c r="BH25" s="509">
        <f>+[4]Report1!AN30</f>
        <v>0.98918357479695107</v>
      </c>
      <c r="BI25" s="509">
        <f>+[4]Report1!AO30</f>
        <v>0.91115733928203602</v>
      </c>
      <c r="BJ25" s="506">
        <f>+[4]Report1!R30</f>
        <v>49.826000000000001</v>
      </c>
      <c r="BK25" s="506">
        <f>+[4]Report1!S30</f>
        <v>1061.9259999999999</v>
      </c>
      <c r="BL25" s="606">
        <f>+[4]Report1!AD30</f>
        <v>2.5689399108898967</v>
      </c>
      <c r="BM25" s="506">
        <f>+[4]Report1!AE30</f>
        <v>2.6744801426841418</v>
      </c>
      <c r="BN25" s="510">
        <v>0</v>
      </c>
      <c r="BO25" s="510">
        <v>0</v>
      </c>
      <c r="BP25" s="510">
        <f>+[4]Report1!AJ30</f>
        <v>1207.8713924457138</v>
      </c>
      <c r="BQ25" s="510">
        <f>+[4]Report1!AK30</f>
        <v>1090.9373346165362</v>
      </c>
      <c r="BR25" s="510">
        <v>0</v>
      </c>
      <c r="BS25" s="511">
        <v>0</v>
      </c>
      <c r="BT25" s="604">
        <f>+[5]Report1!J30</f>
        <v>0.99272149290670719</v>
      </c>
      <c r="BU25" s="509">
        <f>+[5]Report1!K30</f>
        <v>0.85327882175085656</v>
      </c>
      <c r="BV25" s="509">
        <f>+[5]Report1!BG30</f>
        <v>0.99272149290670719</v>
      </c>
      <c r="BW25" s="509">
        <f>+[5]Report1!BH30</f>
        <v>0.85327882175085656</v>
      </c>
      <c r="BX25" s="506">
        <f>+[5]Report1!R30</f>
        <v>51.828000000000003</v>
      </c>
      <c r="BY25" s="506">
        <f>+[5]Report1!S30</f>
        <v>985.10900000000015</v>
      </c>
      <c r="BZ25" s="510">
        <f>+[5]Report1!X30</f>
        <v>79.984510704794474</v>
      </c>
      <c r="CA25" s="510">
        <f>+[5]Report1!Y30</f>
        <v>82.731630677889157</v>
      </c>
      <c r="CB25" s="506">
        <f>+[5]Report1!AD30</f>
        <v>1.9198116848035809</v>
      </c>
      <c r="CC25" s="506">
        <f>+[5]Report1!AE30</f>
        <v>2.0984479890042618</v>
      </c>
      <c r="CD25" s="510">
        <f>+[5]Report1!AJ30</f>
        <v>0.19487535694991123</v>
      </c>
      <c r="CE25" s="510">
        <f>+[5]Report1!AK30</f>
        <v>0.2071851947347958</v>
      </c>
      <c r="CF25" s="510">
        <f>+[5]Report1!AP30</f>
        <v>476.60916878907233</v>
      </c>
      <c r="CG25" s="510">
        <f>+[5]Report1!AQ30</f>
        <v>578.94848184312582</v>
      </c>
      <c r="CH25" s="510">
        <f>+[5]Report1!AV30</f>
        <v>493.98008798332955</v>
      </c>
      <c r="CI25" s="510">
        <f>+[5]Report1!AW30</f>
        <v>507.66401382994155</v>
      </c>
      <c r="CJ25" s="510"/>
      <c r="CK25" s="511"/>
    </row>
    <row r="26" spans="1:89" ht="12.75" customHeight="1">
      <c r="A26" s="558">
        <f t="shared" si="0"/>
        <v>45984</v>
      </c>
      <c r="B26" s="508">
        <f>+Report1!J31</f>
        <v>0.78222649105684983</v>
      </c>
      <c r="C26" s="509">
        <f>+Report1!K31</f>
        <v>0.8302446473963826</v>
      </c>
      <c r="D26" s="509">
        <f>+Report1!AJ31</f>
        <v>0.78222649105684983</v>
      </c>
      <c r="E26" s="509">
        <f>+Report1!AK31</f>
        <v>0.8302446473963826</v>
      </c>
      <c r="F26" s="506">
        <f>+Report1!R31</f>
        <v>51.46</v>
      </c>
      <c r="G26" s="506">
        <f>+Report1!S31</f>
        <v>1207.7919999999999</v>
      </c>
      <c r="H26" s="506">
        <f>+Report1!X31</f>
        <v>2.5465798678585307</v>
      </c>
      <c r="I26" s="506">
        <f>+Report1!Y31</f>
        <v>2.419019168863513</v>
      </c>
      <c r="J26" s="506">
        <f>+Report1!AD31</f>
        <v>1052.8876797512814</v>
      </c>
      <c r="K26" s="507">
        <f>+Report1!AE31</f>
        <v>993.75468623736526</v>
      </c>
      <c r="L26" s="508">
        <f>+[1]Report1!J31</f>
        <v>0.97099410165765021</v>
      </c>
      <c r="M26" s="509">
        <f>+[1]Report1!K31</f>
        <v>0.9057339031294247</v>
      </c>
      <c r="N26" s="509">
        <f>+[1]Report1!BJ31</f>
        <v>0.97099410165765021</v>
      </c>
      <c r="O26" s="509">
        <f>+[1]Report1!BK31</f>
        <v>0.9057339031294247</v>
      </c>
      <c r="P26" s="506">
        <f>+[1]Report1!R31</f>
        <v>71.822000000000003</v>
      </c>
      <c r="Q26" s="506">
        <f>+[1]Report1!S31</f>
        <v>1283.6750000000002</v>
      </c>
      <c r="R26" s="506">
        <f>+[1]Report1!AL31</f>
        <v>1.8879451978502408</v>
      </c>
      <c r="S26" s="506">
        <f>+[1]Report1!AM31</f>
        <v>2.4125343252770359</v>
      </c>
      <c r="T26" s="506">
        <f>+[1]Report1!AR31</f>
        <v>0.24505026315056669</v>
      </c>
      <c r="U26" s="506">
        <f>+[1]Report1!AS31</f>
        <v>0.26899331996027026</v>
      </c>
      <c r="V26" s="506">
        <f>+[1]Report1!AX31</f>
        <v>531.74932471944805</v>
      </c>
      <c r="W26" s="506">
        <f>+[1]Report1!AY31</f>
        <v>675.91597561688036</v>
      </c>
      <c r="X26" s="506">
        <f>+[1]Report1!BD31</f>
        <v>398.74968672551586</v>
      </c>
      <c r="Y26" s="576">
        <f>+[1]Report1!BE31</f>
        <v>427.98995072740365</v>
      </c>
      <c r="Z26" s="604">
        <f>+[2]Report1!J31</f>
        <v>0.81768215916552578</v>
      </c>
      <c r="AA26" s="509">
        <f>+[2]Report1!K31</f>
        <v>0.23205714549018236</v>
      </c>
      <c r="AB26" s="509">
        <f>+[2]Report1!BC31</f>
        <v>0.81768215916552578</v>
      </c>
      <c r="AC26" s="509">
        <f>+[2]Report1!BD31</f>
        <v>0.77507262626301165</v>
      </c>
      <c r="AD26" s="506">
        <f>+[2]Report1!R31</f>
        <v>37.584000000000003</v>
      </c>
      <c r="AE26" s="506">
        <f>+[2]Report1!S31</f>
        <v>231.18899999999999</v>
      </c>
      <c r="AF26" s="506">
        <f>+[2]Report1!X31</f>
        <v>118.21849509805561</v>
      </c>
      <c r="AG26" s="506">
        <f>+[2]Report1!Y31</f>
        <v>130.42085867988953</v>
      </c>
      <c r="AH26" s="506">
        <f>+[2]Report1!AD31</f>
        <v>1.4766922094508299</v>
      </c>
      <c r="AI26" s="506">
        <f>+[2]Report1!AE31</f>
        <v>3.1286090601196421</v>
      </c>
      <c r="AJ26" s="506">
        <f>+[2]Report1!AJ31</f>
        <v>1015.3682418050524</v>
      </c>
      <c r="AK26" s="506">
        <f>+[2]Report1!AK31</f>
        <v>1515.2060002854839</v>
      </c>
      <c r="AL26" s="584"/>
      <c r="AM26" s="584"/>
      <c r="AN26" s="604">
        <f>+[3]Report1!J31</f>
        <v>0.90018751841225031</v>
      </c>
      <c r="AO26" s="509">
        <f>+[3]Report1!K31</f>
        <v>0.89173278446705495</v>
      </c>
      <c r="AP26" s="509">
        <f>+[3]Report1!BN31</f>
        <v>0.90018751841225031</v>
      </c>
      <c r="AQ26" s="509">
        <f>+[3]Report1!BO31</f>
        <v>0.89173278446705495</v>
      </c>
      <c r="AR26" s="506">
        <f>+[3]Report1!R31</f>
        <v>48.63</v>
      </c>
      <c r="AS26" s="506">
        <f>+[3]Report1!S31</f>
        <v>1123.3040000000001</v>
      </c>
      <c r="AT26" s="510">
        <f>+[3]Report1!AF31</f>
        <v>98.903231816513767</v>
      </c>
      <c r="AU26" s="510">
        <f>+[3]Report1!AG31</f>
        <v>104.09492552344928</v>
      </c>
      <c r="AV26" s="506">
        <f>+[3]Report1!AL31</f>
        <v>1.4209335800945917</v>
      </c>
      <c r="AW26" s="506">
        <f>+[3]Report1!AM31</f>
        <v>1.3778104591455207</v>
      </c>
      <c r="AX26" s="506">
        <f>+[3]Report1!AR31</f>
        <v>0.21591610117211596</v>
      </c>
      <c r="AY26" s="506">
        <f>+[3]Report1!AS31</f>
        <v>0.20332875161131803</v>
      </c>
      <c r="AZ26" s="506">
        <f>+[3]Report1!AX31</f>
        <v>860.61279045856475</v>
      </c>
      <c r="BA26" s="506">
        <f>+[3]Report1!AY31</f>
        <v>808.05281562248513</v>
      </c>
      <c r="BB26" s="506">
        <f>+[3]Report1!BD31</f>
        <v>467.00596339708005</v>
      </c>
      <c r="BC26" s="506">
        <f>+[3]Report1!BE31</f>
        <v>496.86114444531495</v>
      </c>
      <c r="BD26" s="506">
        <f>+[3]Report1!BJ31</f>
        <v>5.7598190417438992</v>
      </c>
      <c r="BE26" s="506">
        <f>+[3]Report1!BK31</f>
        <v>6.2317947768369129</v>
      </c>
      <c r="BF26" s="508">
        <f>+[4]Report1!J31</f>
        <v>0.9775182002625612</v>
      </c>
      <c r="BG26" s="509">
        <f>+[4]Report1!K31</f>
        <v>0.91379612257166376</v>
      </c>
      <c r="BH26" s="509">
        <f>+[4]Report1!AN31</f>
        <v>0.9775182002625612</v>
      </c>
      <c r="BI26" s="509">
        <f>+[4]Report1!AO31</f>
        <v>0.91379612257166376</v>
      </c>
      <c r="BJ26" s="506">
        <f>+[4]Report1!R31</f>
        <v>47.177999999999997</v>
      </c>
      <c r="BK26" s="506">
        <f>+[4]Report1!S31</f>
        <v>1109.1039999999998</v>
      </c>
      <c r="BL26" s="606">
        <f>+[4]Report1!AD31</f>
        <v>2.7131290008054605</v>
      </c>
      <c r="BM26" s="506">
        <f>+[4]Report1!AE31</f>
        <v>2.6761241506657631</v>
      </c>
      <c r="BN26" s="510">
        <v>0</v>
      </c>
      <c r="BO26" s="510">
        <v>0</v>
      </c>
      <c r="BP26" s="510">
        <f>+[4]Report1!AJ31</f>
        <v>1249.1669846114821</v>
      </c>
      <c r="BQ26" s="510">
        <f>+[4]Report1!AK31</f>
        <v>1097.6679553946251</v>
      </c>
      <c r="BR26" s="510">
        <v>0</v>
      </c>
      <c r="BS26" s="511">
        <v>0</v>
      </c>
      <c r="BT26" s="604">
        <f>+[5]Report1!J31</f>
        <v>0.81396915588011332</v>
      </c>
      <c r="BU26" s="509">
        <f>+[5]Report1!K31</f>
        <v>0.8515776230722657</v>
      </c>
      <c r="BV26" s="509">
        <f>+[5]Report1!BG31</f>
        <v>0.81396915588011332</v>
      </c>
      <c r="BW26" s="509">
        <f>+[5]Report1!BH31</f>
        <v>0.8515776230722657</v>
      </c>
      <c r="BX26" s="506">
        <f>+[5]Report1!R31</f>
        <v>42.508000000000003</v>
      </c>
      <c r="BY26" s="506">
        <f>+[5]Report1!S31</f>
        <v>1027.6170000000002</v>
      </c>
      <c r="BZ26" s="510">
        <f>+[5]Report1!X31</f>
        <v>74.908532911395852</v>
      </c>
      <c r="CA26" s="510">
        <f>+[5]Report1!Y31</f>
        <v>82.408023497531019</v>
      </c>
      <c r="CB26" s="506">
        <f>+[5]Report1!AD31</f>
        <v>2.0443210689752518</v>
      </c>
      <c r="CC26" s="506">
        <f>+[5]Report1!AE31</f>
        <v>2.0962089961532357</v>
      </c>
      <c r="CD26" s="510">
        <f>+[5]Report1!AJ31</f>
        <v>0.22113484520560836</v>
      </c>
      <c r="CE26" s="510">
        <f>+[5]Report1!AK31</f>
        <v>0.20776223048081138</v>
      </c>
      <c r="CF26" s="510">
        <f>+[5]Report1!AP31</f>
        <v>533.11376682036405</v>
      </c>
      <c r="CG26" s="510">
        <f>+[5]Report1!AQ31</f>
        <v>577.052501077736</v>
      </c>
      <c r="CH26" s="510">
        <f>+[5]Report1!AV31</f>
        <v>473.781405853016</v>
      </c>
      <c r="CI26" s="510">
        <f>+[5]Report1!AW31</f>
        <v>506.26243921616685</v>
      </c>
      <c r="CJ26" s="510"/>
      <c r="CK26" s="511"/>
    </row>
    <row r="27" spans="1:89" ht="12.75" customHeight="1">
      <c r="A27" s="558">
        <f t="shared" si="0"/>
        <v>45985</v>
      </c>
      <c r="B27" s="508">
        <f>+Report1!J32</f>
        <v>0.89462070011974226</v>
      </c>
      <c r="C27" s="509">
        <f>+Report1!K32</f>
        <v>0.83289878323439592</v>
      </c>
      <c r="D27" s="509">
        <f>+Report1!AJ32</f>
        <v>0.89462070011974226</v>
      </c>
      <c r="E27" s="509">
        <f>+Report1!AK32</f>
        <v>0.83289878323439592</v>
      </c>
      <c r="F27" s="506">
        <f>+Report1!R32</f>
        <v>55.963999999999999</v>
      </c>
      <c r="G27" s="506">
        <f>+Report1!S32</f>
        <v>1263.7559999999999</v>
      </c>
      <c r="H27" s="506">
        <f>+Report1!X32</f>
        <v>2.2908655564291327</v>
      </c>
      <c r="I27" s="506">
        <f>+Report1!Y32</f>
        <v>2.4133440316010373</v>
      </c>
      <c r="J27" s="506">
        <f>+Report1!AD32</f>
        <v>978.69487527699084</v>
      </c>
      <c r="K27" s="507">
        <f>+Report1!AE32</f>
        <v>993.08777960302609</v>
      </c>
      <c r="L27" s="508">
        <f>+[1]Report1!J32</f>
        <v>0.98216566128933958</v>
      </c>
      <c r="M27" s="509">
        <f>+[1]Report1!K32</f>
        <v>0.90953863107044308</v>
      </c>
      <c r="N27" s="509">
        <f>+[1]Report1!BJ32</f>
        <v>0.98216566128933958</v>
      </c>
      <c r="O27" s="509">
        <f>+[1]Report1!BK32</f>
        <v>0.90953863107044308</v>
      </c>
      <c r="P27" s="506">
        <f>+[1]Report1!R32</f>
        <v>72.923000000000002</v>
      </c>
      <c r="Q27" s="506">
        <f>+[1]Report1!S32</f>
        <v>1356.5980000000002</v>
      </c>
      <c r="R27" s="506">
        <f>+[1]Report1!AL32</f>
        <v>1.8303964455658706</v>
      </c>
      <c r="S27" s="506">
        <f>+[1]Report1!AM32</f>
        <v>2.3812419006957102</v>
      </c>
      <c r="T27" s="506">
        <f>+[1]Report1!AR32</f>
        <v>0.27974713053494782</v>
      </c>
      <c r="U27" s="506">
        <f>+[1]Report1!AS32</f>
        <v>0.26957138371131312</v>
      </c>
      <c r="V27" s="506">
        <f>+[1]Report1!AX32</f>
        <v>498.86620133567004</v>
      </c>
      <c r="W27" s="506">
        <f>+[1]Report1!AY32</f>
        <v>666.39878578620926</v>
      </c>
      <c r="X27" s="506">
        <f>+[1]Report1!BD32</f>
        <v>397.00780275084679</v>
      </c>
      <c r="Y27" s="576">
        <f>+[1]Report1!BE32</f>
        <v>426.32452649937557</v>
      </c>
      <c r="Z27" s="604">
        <f>+[2]Report1!J32</f>
        <v>0.72082169690597142</v>
      </c>
      <c r="AA27" s="509">
        <f>+[2]Report1!K32</f>
        <v>0.25500098326897219</v>
      </c>
      <c r="AB27" s="509">
        <f>+[2]Report1!BC32</f>
        <v>0.72082169690597142</v>
      </c>
      <c r="AC27" s="509">
        <f>+[2]Report1!BD32</f>
        <v>0.76740857609975965</v>
      </c>
      <c r="AD27" s="506">
        <f>+[2]Report1!R32</f>
        <v>35.371000000000002</v>
      </c>
      <c r="AE27" s="506">
        <f>+[2]Report1!S32</f>
        <v>266.56</v>
      </c>
      <c r="AF27" s="506">
        <f>+[2]Report1!X32</f>
        <v>137.38050024252195</v>
      </c>
      <c r="AG27" s="506">
        <f>+[2]Report1!Y32</f>
        <v>131.34436363829241</v>
      </c>
      <c r="AH27" s="506">
        <f>+[2]Report1!AD32</f>
        <v>1.5125385202567074</v>
      </c>
      <c r="AI27" s="506">
        <f>+[2]Report1!AE32</f>
        <v>2.9141656662665065</v>
      </c>
      <c r="AJ27" s="506">
        <f>+[2]Report1!AJ32</f>
        <v>1024.8983630657576</v>
      </c>
      <c r="AK27" s="506">
        <f>+[2]Report1!AK32</f>
        <v>1450.1449579831917</v>
      </c>
      <c r="AL27" s="584"/>
      <c r="AM27" s="584"/>
      <c r="AN27" s="604">
        <f>+[3]Report1!J32</f>
        <v>0.93009409381491182</v>
      </c>
      <c r="AO27" s="509">
        <f>+[3]Report1!K32</f>
        <v>0.89334159432257509</v>
      </c>
      <c r="AP27" s="509">
        <f>+[3]Report1!BN32</f>
        <v>0.93009409381491182</v>
      </c>
      <c r="AQ27" s="509">
        <f>+[3]Report1!BO32</f>
        <v>0.89334159432257509</v>
      </c>
      <c r="AR27" s="506">
        <f>+[3]Report1!R32</f>
        <v>51.286999999999999</v>
      </c>
      <c r="AS27" s="506">
        <f>+[3]Report1!S32</f>
        <v>1174.5910000000001</v>
      </c>
      <c r="AT27" s="510">
        <f>+[3]Report1!AF32</f>
        <v>100.15019290617724</v>
      </c>
      <c r="AU27" s="510">
        <f>+[3]Report1!AG32</f>
        <v>103.92268386508306</v>
      </c>
      <c r="AV27" s="506">
        <f>+[3]Report1!AL32</f>
        <v>1.3180728059742235</v>
      </c>
      <c r="AW27" s="506">
        <f>+[3]Report1!AM32</f>
        <v>1.3752020916216792</v>
      </c>
      <c r="AX27" s="506">
        <f>+[3]Report1!AR32</f>
        <v>0.20668005537465634</v>
      </c>
      <c r="AY27" s="506">
        <f>+[3]Report1!AS32</f>
        <v>0.20347508196470088</v>
      </c>
      <c r="AZ27" s="506">
        <f>+[3]Report1!AX32</f>
        <v>798.285725427496</v>
      </c>
      <c r="BA27" s="506">
        <f>+[3]Report1!AY32</f>
        <v>807.62634823525775</v>
      </c>
      <c r="BB27" s="506">
        <f>+[3]Report1!BD32</f>
        <v>499.00949558367626</v>
      </c>
      <c r="BC27" s="506">
        <f>+[3]Report1!BE32</f>
        <v>496.95494942494867</v>
      </c>
      <c r="BD27" s="506">
        <f>+[3]Report1!BJ32</f>
        <v>6.2403728040241848</v>
      </c>
      <c r="BE27" s="506">
        <f>+[3]Report1!BK32</f>
        <v>6.2321693253226007</v>
      </c>
      <c r="BF27" s="508">
        <f>+[4]Report1!J32</f>
        <v>0.81397558455329411</v>
      </c>
      <c r="BG27" s="509">
        <f>+[4]Report1!K32</f>
        <v>0.90995639870796363</v>
      </c>
      <c r="BH27" s="509">
        <f>+[4]Report1!AN32</f>
        <v>0.81397558455329411</v>
      </c>
      <c r="BI27" s="509">
        <f>+[4]Report1!AO32</f>
        <v>0.90995639870796363</v>
      </c>
      <c r="BJ27" s="506">
        <f>+[4]Report1!R32</f>
        <v>39.523000000000003</v>
      </c>
      <c r="BK27" s="506">
        <f>+[4]Report1!S32</f>
        <v>1148.6269999999997</v>
      </c>
      <c r="BL27" s="606">
        <f>+[4]Report1!AD32</f>
        <v>3.2386205500594589</v>
      </c>
      <c r="BM27" s="506">
        <f>+[4]Report1!AE32</f>
        <v>2.6954790371460891</v>
      </c>
      <c r="BN27" s="510">
        <v>0</v>
      </c>
      <c r="BO27" s="510">
        <v>0</v>
      </c>
      <c r="BP27" s="510">
        <f>+[4]Report1!AJ32</f>
        <v>1558.4181362750717</v>
      </c>
      <c r="BQ27" s="510">
        <f>+[4]Report1!AK32</f>
        <v>1113.5218656709271</v>
      </c>
      <c r="BR27" s="510">
        <v>0</v>
      </c>
      <c r="BS27" s="511">
        <v>0</v>
      </c>
      <c r="BT27" s="604">
        <f>+[5]Report1!J32</f>
        <v>1.093382900184056</v>
      </c>
      <c r="BU27" s="509">
        <f>+[5]Report1!K32</f>
        <v>0.8616902712116109</v>
      </c>
      <c r="BV27" s="509">
        <f>+[5]Report1!BG32</f>
        <v>1.093382900184056</v>
      </c>
      <c r="BW27" s="509">
        <f>+[5]Report1!BH32</f>
        <v>0.8616902712116109</v>
      </c>
      <c r="BX27" s="506">
        <f>+[5]Report1!R32</f>
        <v>57.588000000000001</v>
      </c>
      <c r="BY27" s="506">
        <f>+[5]Report1!S32</f>
        <v>1085.2050000000002</v>
      </c>
      <c r="BZ27" s="510">
        <f>+[5]Report1!X32</f>
        <v>67.814672889189495</v>
      </c>
      <c r="CA27" s="510">
        <f>+[5]Report1!Y32</f>
        <v>81.633605876129366</v>
      </c>
      <c r="CB27" s="506">
        <f>+[5]Report1!AD32</f>
        <v>1.7382093491699659</v>
      </c>
      <c r="CC27" s="506">
        <f>+[5]Report1!AE32</f>
        <v>2.0772112181569375</v>
      </c>
      <c r="CD27" s="510">
        <f>+[5]Report1!AJ32</f>
        <v>0.19101201639230395</v>
      </c>
      <c r="CE27" s="510">
        <f>+[5]Report1!AK32</f>
        <v>0.2068733557254159</v>
      </c>
      <c r="CF27" s="510">
        <f>+[5]Report1!AP32</f>
        <v>482.76863235396212</v>
      </c>
      <c r="CG27" s="510">
        <f>+[5]Report1!AQ32</f>
        <v>572.04918886293353</v>
      </c>
      <c r="CH27" s="510">
        <f>+[5]Report1!AV32</f>
        <v>462.54948947697443</v>
      </c>
      <c r="CI27" s="510">
        <f>+[5]Report1!AW32</f>
        <v>503.94274722287469</v>
      </c>
      <c r="CJ27" s="510"/>
      <c r="CK27" s="511"/>
    </row>
    <row r="28" spans="1:89" ht="12.75" customHeight="1">
      <c r="A28" s="558">
        <f t="shared" si="0"/>
        <v>45986</v>
      </c>
      <c r="B28" s="508">
        <f>+Report1!J33</f>
        <v>0.93744864483055979</v>
      </c>
      <c r="C28" s="509">
        <f>+Report1!K33</f>
        <v>0.83670550573244495</v>
      </c>
      <c r="D28" s="509">
        <f>+Report1!AJ33</f>
        <v>0.93744864483055979</v>
      </c>
      <c r="E28" s="509">
        <f>+Report1!AK33</f>
        <v>0.83670550573244495</v>
      </c>
      <c r="F28" s="506">
        <f>+Report1!R33</f>
        <v>53.747</v>
      </c>
      <c r="G28" s="506">
        <f>+Report1!S33</f>
        <v>1317.5029999999999</v>
      </c>
      <c r="H28" s="506">
        <f>+Report1!X33</f>
        <v>2.3259158650715386</v>
      </c>
      <c r="I28" s="506">
        <f>+Report1!Y33</f>
        <v>2.4097774350418937</v>
      </c>
      <c r="J28" s="506">
        <f>+Report1!AD33</f>
        <v>1014.1336260628531</v>
      </c>
      <c r="K28" s="507">
        <f>+Report1!AE33</f>
        <v>993.94633636507979</v>
      </c>
      <c r="L28" s="508">
        <f>+[1]Report1!J33</f>
        <v>0.67743153151985103</v>
      </c>
      <c r="M28" s="509">
        <f>+[1]Report1!K33</f>
        <v>0.89908536888324964</v>
      </c>
      <c r="N28" s="509">
        <f>+[1]Report1!BJ33</f>
        <v>0.67743153151985103</v>
      </c>
      <c r="O28" s="509">
        <f>+[1]Report1!BK33</f>
        <v>0.89908536888324964</v>
      </c>
      <c r="P28" s="506">
        <f>+[1]Report1!R33</f>
        <v>47.651000000000003</v>
      </c>
      <c r="Q28" s="506">
        <f>+[1]Report1!S33</f>
        <v>1404.2490000000003</v>
      </c>
      <c r="R28" s="506">
        <f>+[1]Report1!AL33</f>
        <v>1.9258777360391175</v>
      </c>
      <c r="S28" s="506">
        <f>+[1]Report1!AM33</f>
        <v>2.3657898278724065</v>
      </c>
      <c r="T28" s="506">
        <f>+[1]Report1!AR33</f>
        <v>0.2686197561436276</v>
      </c>
      <c r="U28" s="506">
        <f>+[1]Report1!AS33</f>
        <v>0.26953909171379148</v>
      </c>
      <c r="V28" s="506">
        <f>+[1]Report1!AX33</f>
        <v>529.49696753474427</v>
      </c>
      <c r="W28" s="506">
        <f>+[1]Report1!AY33</f>
        <v>661.75323607137909</v>
      </c>
      <c r="X28" s="506">
        <f>+[1]Report1!BD33</f>
        <v>448.86780969969152</v>
      </c>
      <c r="Y28" s="576">
        <f>+[1]Report1!BE33</f>
        <v>427.0894976603152</v>
      </c>
      <c r="Z28" s="604">
        <f>+[2]Report1!J33</f>
        <v>0.75741496713922296</v>
      </c>
      <c r="AA28" s="509">
        <f>+[2]Report1!K33</f>
        <v>0.27827741261004524</v>
      </c>
      <c r="AB28" s="509">
        <f>+[2]Report1!BC33</f>
        <v>0.75741496713922296</v>
      </c>
      <c r="AC28" s="509">
        <f>+[2]Report1!BD33</f>
        <v>0.7661338886530511</v>
      </c>
      <c r="AD28" s="506">
        <f>+[2]Report1!R33</f>
        <v>38.463000000000001</v>
      </c>
      <c r="AE28" s="506">
        <f>+[2]Report1!S33</f>
        <v>305.02300000000002</v>
      </c>
      <c r="AF28" s="506">
        <f>+[2]Report1!X33</f>
        <v>129.46130689960171</v>
      </c>
      <c r="AG28" s="506">
        <f>+[2]Report1!Y33</f>
        <v>131.10691265479193</v>
      </c>
      <c r="AH28" s="506">
        <f>+[2]Report1!AD33</f>
        <v>1.414346254842316</v>
      </c>
      <c r="AI28" s="506">
        <f>+[2]Report1!AE33</f>
        <v>2.7250404067889957</v>
      </c>
      <c r="AJ28" s="506">
        <f>+[2]Report1!AJ33</f>
        <v>918.45773860596137</v>
      </c>
      <c r="AK28" s="506">
        <f>+[2]Report1!AK33</f>
        <v>1383.0998973847898</v>
      </c>
      <c r="AL28" s="584"/>
      <c r="AM28" s="584"/>
      <c r="AN28" s="604">
        <f>+[3]Report1!J33</f>
        <v>0.93980399420860672</v>
      </c>
      <c r="AO28" s="509">
        <f>+[3]Report1!K33</f>
        <v>0.89510936851379463</v>
      </c>
      <c r="AP28" s="509">
        <f>+[3]Report1!BN33</f>
        <v>0.93980399420860672</v>
      </c>
      <c r="AQ28" s="509">
        <f>+[3]Report1!BO33</f>
        <v>0.89510936851379463</v>
      </c>
      <c r="AR28" s="506">
        <f>+[3]Report1!R33</f>
        <v>48.874000000000002</v>
      </c>
      <c r="AS28" s="506">
        <f>+[3]Report1!S33</f>
        <v>1223.4650000000001</v>
      </c>
      <c r="AT28" s="510">
        <f>+[3]Report1!AF33</f>
        <v>101.43611500350372</v>
      </c>
      <c r="AU28" s="510">
        <f>+[3]Report1!AG33</f>
        <v>103.82335240358572</v>
      </c>
      <c r="AV28" s="506">
        <f>+[3]Report1!AL33</f>
        <v>1.4097475140156321</v>
      </c>
      <c r="AW28" s="506">
        <f>+[3]Report1!AM33</f>
        <v>1.376582084489544</v>
      </c>
      <c r="AX28" s="506">
        <f>+[3]Report1!AR33</f>
        <v>0.20869992224904854</v>
      </c>
      <c r="AY28" s="506">
        <f>+[3]Report1!AS33</f>
        <v>0.20368379970003225</v>
      </c>
      <c r="AZ28" s="506">
        <f>+[3]Report1!AX33</f>
        <v>838.61848835781643</v>
      </c>
      <c r="BA28" s="506">
        <f>+[3]Report1!AY33</f>
        <v>808.86439742861421</v>
      </c>
      <c r="BB28" s="506">
        <f>+[3]Report1!BD33</f>
        <v>540.28931538240829</v>
      </c>
      <c r="BC28" s="506">
        <f>+[3]Report1!BE33</f>
        <v>498.68603597160501</v>
      </c>
      <c r="BD28" s="506">
        <f>+[3]Report1!BJ33</f>
        <v>6.957687113802602</v>
      </c>
      <c r="BE28" s="506">
        <f>+[3]Report1!BK33</f>
        <v>6.2611517289011021</v>
      </c>
      <c r="BF28" s="508">
        <f>+[4]Report1!J33</f>
        <v>0.6843536624125004</v>
      </c>
      <c r="BG28" s="509">
        <f>+[4]Report1!K33</f>
        <v>0.90150392893259879</v>
      </c>
      <c r="BH28" s="509">
        <f>+[4]Report1!AN33</f>
        <v>0.6843536624125004</v>
      </c>
      <c r="BI28" s="509">
        <f>+[4]Report1!AO33</f>
        <v>0.90150392893259879</v>
      </c>
      <c r="BJ28" s="506">
        <f>+[4]Report1!R33</f>
        <v>33.625</v>
      </c>
      <c r="BK28" s="506">
        <f>+[4]Report1!S33</f>
        <v>1182.2519999999997</v>
      </c>
      <c r="BL28" s="606">
        <f>+[4]Report1!AD33</f>
        <v>2.557620817843866</v>
      </c>
      <c r="BM28" s="506">
        <f>+[4]Report1!AE33</f>
        <v>2.6915581449640182</v>
      </c>
      <c r="BN28" s="510">
        <v>0</v>
      </c>
      <c r="BO28" s="510">
        <v>0</v>
      </c>
      <c r="BP28" s="510">
        <f>+[4]Report1!AJ33</f>
        <v>1156.9748698884832</v>
      </c>
      <c r="BQ28" s="510">
        <f>+[4]Report1!AK33</f>
        <v>1114.7577335458095</v>
      </c>
      <c r="BR28" s="510">
        <v>0</v>
      </c>
      <c r="BS28" s="511">
        <v>0</v>
      </c>
      <c r="BT28" s="604">
        <f>+[5]Report1!J33</f>
        <v>0.94126563237966576</v>
      </c>
      <c r="BU28" s="509">
        <f>+[5]Report1!K33</f>
        <v>0.86486557877355119</v>
      </c>
      <c r="BV28" s="509">
        <f>+[5]Report1!BG33</f>
        <v>0.94126563237966576</v>
      </c>
      <c r="BW28" s="509">
        <f>+[5]Report1!BH33</f>
        <v>0.86486557877355119</v>
      </c>
      <c r="BX28" s="506">
        <f>+[5]Report1!R33</f>
        <v>49.268000000000001</v>
      </c>
      <c r="BY28" s="506">
        <f>+[5]Report1!S33</f>
        <v>1134.4730000000002</v>
      </c>
      <c r="BZ28" s="510">
        <f>+[5]Report1!X33</f>
        <v>78.711152635369402</v>
      </c>
      <c r="CA28" s="510">
        <f>+[5]Report1!Y33</f>
        <v>81.506689302296621</v>
      </c>
      <c r="CB28" s="506">
        <f>+[5]Report1!AD33</f>
        <v>2.0033287326459366</v>
      </c>
      <c r="CC28" s="506">
        <f>+[5]Report1!AE33</f>
        <v>2.0740026426367124</v>
      </c>
      <c r="CD28" s="510">
        <f>+[5]Report1!AJ33</f>
        <v>0.21717950799707719</v>
      </c>
      <c r="CE28" s="510">
        <f>+[5]Report1!AK33</f>
        <v>0.20732093227428061</v>
      </c>
      <c r="CF28" s="510">
        <f>+[5]Report1!AP33</f>
        <v>524.20719331005762</v>
      </c>
      <c r="CG28" s="510">
        <f>+[5]Report1!AQ33</f>
        <v>569.97150218647755</v>
      </c>
      <c r="CH28" s="510">
        <f>+[5]Report1!AV33</f>
        <v>557.84484858325527</v>
      </c>
      <c r="CI28" s="510">
        <f>+[5]Report1!AW33</f>
        <v>506.28361274353784</v>
      </c>
      <c r="CJ28" s="510"/>
      <c r="CK28" s="511"/>
    </row>
    <row r="29" spans="1:89" ht="12.75" customHeight="1">
      <c r="A29" s="558">
        <f t="shared" si="0"/>
        <v>45987</v>
      </c>
      <c r="B29" s="508">
        <f>+Report1!J34</f>
        <v>0.90289199558061528</v>
      </c>
      <c r="C29" s="509">
        <f>+Report1!K34</f>
        <v>0.8390320430586472</v>
      </c>
      <c r="D29" s="509">
        <f>+Report1!AJ34</f>
        <v>0.90289199558061528</v>
      </c>
      <c r="E29" s="509">
        <f>+Report1!AK34</f>
        <v>0.8390320430586472</v>
      </c>
      <c r="F29" s="506">
        <f>+Report1!R34</f>
        <v>51.795999999999999</v>
      </c>
      <c r="G29" s="506">
        <f>+Report1!S34</f>
        <v>1369.299</v>
      </c>
      <c r="H29" s="506">
        <f>+Report1!X34</f>
        <v>2.500250984632018</v>
      </c>
      <c r="I29" s="506">
        <f>+Report1!Y34</f>
        <v>2.4131997467317219</v>
      </c>
      <c r="J29" s="506">
        <f>+Report1!AD34</f>
        <v>1027.3855123947505</v>
      </c>
      <c r="K29" s="507">
        <f>+Report1!AE34</f>
        <v>995.21122851911832</v>
      </c>
      <c r="L29" s="508">
        <f>+[1]Report1!J34</f>
        <v>0.94005020702492115</v>
      </c>
      <c r="M29" s="509">
        <f>+[1]Report1!K34</f>
        <v>0.90088908490626263</v>
      </c>
      <c r="N29" s="509">
        <f>+[1]Report1!BJ34</f>
        <v>0.94005020702492115</v>
      </c>
      <c r="O29" s="509">
        <f>+[1]Report1!BK34</f>
        <v>0.90088908490626263</v>
      </c>
      <c r="P29" s="506">
        <f>+[1]Report1!R34</f>
        <v>67.625</v>
      </c>
      <c r="Q29" s="506">
        <f>+[1]Report1!S34</f>
        <v>1471.8740000000003</v>
      </c>
      <c r="R29" s="506">
        <f>+[1]Report1!AL34</f>
        <v>1.9288280961182995</v>
      </c>
      <c r="S29" s="506">
        <f>+[1]Report1!AM34</f>
        <v>2.3457136956016607</v>
      </c>
      <c r="T29" s="506">
        <f>+[1]Report1!AR34</f>
        <v>0.30166358595194082</v>
      </c>
      <c r="U29" s="506">
        <f>+[1]Report1!AS34</f>
        <v>0.27101504612487204</v>
      </c>
      <c r="V29" s="506">
        <f>+[1]Report1!AX34</f>
        <v>520.46565619224873</v>
      </c>
      <c r="W29" s="506">
        <f>+[1]Report1!AY34</f>
        <v>655.26180230101136</v>
      </c>
      <c r="X29" s="506">
        <f>+[1]Report1!BD34</f>
        <v>444.89463955637711</v>
      </c>
      <c r="Y29" s="576">
        <f>+[1]Report1!BE34</f>
        <v>427.90755186924963</v>
      </c>
      <c r="Z29" s="604">
        <f>+[2]Report1!J34</f>
        <v>0.7392249780886202</v>
      </c>
      <c r="AA29" s="509">
        <f>+[2]Report1!K34</f>
        <v>0.29940914742404651</v>
      </c>
      <c r="AB29" s="509">
        <f>+[2]Report1!BC34</f>
        <v>0.7392249780886202</v>
      </c>
      <c r="AC29" s="509">
        <f>+[2]Report1!BD34</f>
        <v>0.76299024246449776</v>
      </c>
      <c r="AD29" s="506">
        <f>+[2]Report1!R34</f>
        <v>38.930999999999997</v>
      </c>
      <c r="AE29" s="506">
        <f>+[2]Report1!S34</f>
        <v>343.95400000000001</v>
      </c>
      <c r="AF29" s="506">
        <f>+[2]Report1!X34</f>
        <v>133.74717223741112</v>
      </c>
      <c r="AG29" s="506">
        <f>+[2]Report1!Y34</f>
        <v>131.40575478429457</v>
      </c>
      <c r="AH29" s="506">
        <f>+[2]Report1!AD34</f>
        <v>1.4076186072795458</v>
      </c>
      <c r="AI29" s="506">
        <f>+[2]Report1!AE34</f>
        <v>2.5759258505497824</v>
      </c>
      <c r="AJ29" s="506">
        <f>+[2]Report1!AJ34</f>
        <v>957.96306285479443</v>
      </c>
      <c r="AK29" s="506">
        <f>+[2]Report1!AK34</f>
        <v>1334.9800845461914</v>
      </c>
      <c r="AL29" s="584"/>
      <c r="AM29" s="584"/>
      <c r="AN29" s="604">
        <f>+[3]Report1!J34</f>
        <v>0.93809888311201073</v>
      </c>
      <c r="AO29" s="509">
        <f>+[3]Report1!K34</f>
        <v>0.89667110330686939</v>
      </c>
      <c r="AP29" s="509">
        <f>+[3]Report1!BN34</f>
        <v>0.93809888311201073</v>
      </c>
      <c r="AQ29" s="509">
        <f>+[3]Report1!BO34</f>
        <v>0.89667110330686939</v>
      </c>
      <c r="AR29" s="506">
        <f>+[3]Report1!R34</f>
        <v>48.337000000000003</v>
      </c>
      <c r="AS29" s="506">
        <f>+[3]Report1!S34</f>
        <v>1271.8020000000001</v>
      </c>
      <c r="AT29" s="510">
        <f>+[3]Report1!AF34</f>
        <v>105.59192723915804</v>
      </c>
      <c r="AU29" s="510">
        <f>+[3]Report1!AG34</f>
        <v>103.89057010085862</v>
      </c>
      <c r="AV29" s="506">
        <f>+[3]Report1!AL34</f>
        <v>1.4129962554564826</v>
      </c>
      <c r="AW29" s="506">
        <f>+[3]Report1!AM34</f>
        <v>1.3779660670450273</v>
      </c>
      <c r="AX29" s="506">
        <f>+[3]Report1!AR34</f>
        <v>0.19860562302170179</v>
      </c>
      <c r="AY29" s="506">
        <f>+[3]Report1!AS34</f>
        <v>0.20349079495078634</v>
      </c>
      <c r="AZ29" s="506">
        <f>+[3]Report1!AX34</f>
        <v>927.74603305956214</v>
      </c>
      <c r="BA29" s="506">
        <f>+[3]Report1!AY34</f>
        <v>813.38269636311293</v>
      </c>
      <c r="BB29" s="506">
        <f>+[3]Report1!BD34</f>
        <v>447.80395969961052</v>
      </c>
      <c r="BC29" s="506">
        <f>+[3]Report1!BE34</f>
        <v>496.75217604627125</v>
      </c>
      <c r="BD29" s="506">
        <f>+[3]Report1!BJ34</f>
        <v>5.9933384363947217</v>
      </c>
      <c r="BE29" s="506">
        <f>+[3]Report1!BK34</f>
        <v>6.250973028820523</v>
      </c>
      <c r="BF29" s="508">
        <f>+[4]Report1!J34</f>
        <v>0.66263658668332714</v>
      </c>
      <c r="BG29" s="509">
        <f>+[4]Report1!K34</f>
        <v>0.89287153708156264</v>
      </c>
      <c r="BH29" s="509">
        <f>+[4]Report1!AN34</f>
        <v>0.66263658668332714</v>
      </c>
      <c r="BI29" s="509">
        <f>+[4]Report1!AO34</f>
        <v>0.89287153708156264</v>
      </c>
      <c r="BJ29" s="506">
        <f>+[4]Report1!R34</f>
        <v>32.582000000000001</v>
      </c>
      <c r="BK29" s="506">
        <f>+[4]Report1!S34</f>
        <v>1214.8339999999998</v>
      </c>
      <c r="BL29" s="506">
        <f>+[4]Report1!AD34</f>
        <v>3.0845251979620647</v>
      </c>
      <c r="BM29" s="506">
        <f>+[4]Report1!AE34</f>
        <v>2.7020975705322705</v>
      </c>
      <c r="BN29" s="510">
        <v>0</v>
      </c>
      <c r="BO29" s="510">
        <v>0</v>
      </c>
      <c r="BP29" s="510">
        <f>+[4]Report1!AJ34</f>
        <v>1510.9238229697244</v>
      </c>
      <c r="BQ29" s="510">
        <f>+[4]Report1!AK34</f>
        <v>1125.382957671583</v>
      </c>
      <c r="BR29" s="510">
        <v>0</v>
      </c>
      <c r="BS29" s="511">
        <v>0</v>
      </c>
      <c r="BT29" s="604">
        <f>+[5]Report1!J34</f>
        <v>0.96765374543152305</v>
      </c>
      <c r="BU29" s="509">
        <f>+[5]Report1!K34</f>
        <v>0.8687838320611061</v>
      </c>
      <c r="BV29" s="509">
        <f>+[5]Report1!BG34</f>
        <v>0.96765374543152305</v>
      </c>
      <c r="BW29" s="509">
        <f>+[5]Report1!BH34</f>
        <v>0.8687838320611061</v>
      </c>
      <c r="BX29" s="506">
        <f>+[5]Report1!R34</f>
        <v>50.302999999999997</v>
      </c>
      <c r="BY29" s="506">
        <f>+[5]Report1!S34</f>
        <v>1184.7760000000003</v>
      </c>
      <c r="BZ29" s="510">
        <f>+[5]Report1!X34</f>
        <v>73.337412294816687</v>
      </c>
      <c r="CA29" s="510">
        <f>+[5]Report1!Y34</f>
        <v>81.159839651976839</v>
      </c>
      <c r="CB29" s="506">
        <f>+[5]Report1!AD34</f>
        <v>1.9283144146472377</v>
      </c>
      <c r="CC29" s="506">
        <f>+[5]Report1!AE34</f>
        <v>2.067817038832656</v>
      </c>
      <c r="CD29" s="510">
        <f>+[5]Report1!AJ34</f>
        <v>0.18885553545514186</v>
      </c>
      <c r="CE29" s="510">
        <f>+[5]Report1!AK34</f>
        <v>0.20653693187573002</v>
      </c>
      <c r="CF29" s="510">
        <f>+[5]Report1!AP34</f>
        <v>505.82390712284132</v>
      </c>
      <c r="CG29" s="510">
        <f>+[5]Report1!AQ34</f>
        <v>567.24793547472268</v>
      </c>
      <c r="CH29" s="510">
        <f>+[5]Report1!AV34</f>
        <v>430.30236765203017</v>
      </c>
      <c r="CI29" s="510">
        <f>+[5]Report1!AW34</f>
        <v>503.05761511036661</v>
      </c>
      <c r="CJ29" s="510"/>
      <c r="CK29" s="511"/>
    </row>
    <row r="30" spans="1:89" ht="12.75" customHeight="1">
      <c r="A30" s="558">
        <f t="shared" si="0"/>
        <v>45988</v>
      </c>
      <c r="B30" s="508">
        <f>+Report1!J35</f>
        <v>1.0425622476570926</v>
      </c>
      <c r="C30" s="509">
        <f>+Report1!K35</f>
        <v>0.84602362292498889</v>
      </c>
      <c r="D30" s="509">
        <f>+Report1!AJ35</f>
        <v>1.0425622476570926</v>
      </c>
      <c r="E30" s="509">
        <f>+Report1!AK35</f>
        <v>0.84602362292498889</v>
      </c>
      <c r="F30" s="506">
        <f>+Report1!R35</f>
        <v>60.527000000000001</v>
      </c>
      <c r="G30" s="506">
        <f>+Report1!S35</f>
        <v>1429.826</v>
      </c>
      <c r="H30" s="506">
        <f>+Report1!X35</f>
        <v>2.1028136203677699</v>
      </c>
      <c r="I30" s="506">
        <f>+Report1!Y35</f>
        <v>2.4000605668102275</v>
      </c>
      <c r="J30" s="506">
        <f>+Report1!AD35</f>
        <v>857.92753647134577</v>
      </c>
      <c r="K30" s="507">
        <f>+Report1!AE35</f>
        <v>989.3997731192477</v>
      </c>
      <c r="L30" s="508">
        <f>+[1]Report1!J35</f>
        <v>0.86055079223470676</v>
      </c>
      <c r="M30" s="509">
        <f>+[1]Report1!K35</f>
        <v>0.89924102648321202</v>
      </c>
      <c r="N30" s="509">
        <f>+[1]Report1!BJ35</f>
        <v>0.86055079223470676</v>
      </c>
      <c r="O30" s="509">
        <f>+[1]Report1!BK35</f>
        <v>0.89924102648321202</v>
      </c>
      <c r="P30" s="506">
        <f>+[1]Report1!R35</f>
        <v>59.889000000000003</v>
      </c>
      <c r="Q30" s="506">
        <f>+[1]Report1!S35</f>
        <v>1531.7630000000001</v>
      </c>
      <c r="R30" s="506">
        <f>+[1]Report1!AL35</f>
        <v>1.9613785503180885</v>
      </c>
      <c r="S30" s="506">
        <f>+[1]Report1!AM35</f>
        <v>2.3306869274163167</v>
      </c>
      <c r="T30" s="506">
        <f>+[1]Report1!AR35</f>
        <v>0.3356208986625257</v>
      </c>
      <c r="U30" s="506">
        <f>+[1]Report1!AS35</f>
        <v>0.27354101123998947</v>
      </c>
      <c r="V30" s="506">
        <f>+[1]Report1!AX35</f>
        <v>494.60952762610657</v>
      </c>
      <c r="W30" s="506">
        <f>+[1]Report1!AY35</f>
        <v>648.98060600758652</v>
      </c>
      <c r="X30" s="506">
        <f>+[1]Report1!BD35</f>
        <v>483.04363071682616</v>
      </c>
      <c r="Y30" s="576">
        <f>+[1]Report1!BE35</f>
        <v>430.06326696753996</v>
      </c>
      <c r="Z30" s="604">
        <f>+[2]Report1!J35</f>
        <v>0.84598749520666394</v>
      </c>
      <c r="AA30" s="509">
        <f>+[2]Report1!K35</f>
        <v>0.31968468085613555</v>
      </c>
      <c r="AB30" s="509">
        <f>+[2]Report1!BC35</f>
        <v>0.84598749520666394</v>
      </c>
      <c r="AC30" s="509">
        <f>+[2]Report1!BD35</f>
        <v>0.77040989571784158</v>
      </c>
      <c r="AD30" s="506">
        <f>+[2]Report1!R35</f>
        <v>37.44</v>
      </c>
      <c r="AE30" s="506">
        <f>+[2]Report1!S35</f>
        <v>381.39400000000001</v>
      </c>
      <c r="AF30" s="506">
        <f>+[2]Report1!X35</f>
        <v>125.06909486551032</v>
      </c>
      <c r="AG30" s="506">
        <f>+[2]Report1!Y35</f>
        <v>130.78370895410509</v>
      </c>
      <c r="AH30" s="506">
        <f>+[2]Report1!AD35</f>
        <v>1.4449786324786327</v>
      </c>
      <c r="AI30" s="506">
        <f>+[2]Report1!AE35</f>
        <v>2.4649050588105736</v>
      </c>
      <c r="AJ30" s="506">
        <f>+[2]Report1!AJ35</f>
        <v>1046.949252136752</v>
      </c>
      <c r="AK30" s="506">
        <f>+[2]Report1!AK35</f>
        <v>1306.7051920061688</v>
      </c>
      <c r="AL30" s="584"/>
      <c r="AM30" s="584"/>
      <c r="AN30" s="604">
        <f>+[3]Report1!J35</f>
        <v>0.75305577798209489</v>
      </c>
      <c r="AO30" s="509">
        <f>+[3]Report1!K35</f>
        <v>0.89141350273827458</v>
      </c>
      <c r="AP30" s="509">
        <f>+[3]Report1!BN35</f>
        <v>0.75305577798209489</v>
      </c>
      <c r="AQ30" s="509">
        <f>+[3]Report1!BO35</f>
        <v>0.89141350273827458</v>
      </c>
      <c r="AR30" s="506">
        <f>+[3]Report1!R35</f>
        <v>40.588000000000001</v>
      </c>
      <c r="AS30" s="506">
        <f>+[3]Report1!S35</f>
        <v>1312.39</v>
      </c>
      <c r="AT30" s="510">
        <f>+[3]Report1!AF35</f>
        <v>112.03061195282292</v>
      </c>
      <c r="AU30" s="510">
        <f>+[3]Report1!AG35</f>
        <v>104.14231540422693</v>
      </c>
      <c r="AV30" s="506">
        <f>+[3]Report1!AL35</f>
        <v>1.5250813048191583</v>
      </c>
      <c r="AW30" s="506">
        <f>+[3]Report1!AM35</f>
        <v>1.3825158679965559</v>
      </c>
      <c r="AX30" s="506">
        <f>+[3]Report1!AR35</f>
        <v>0.20695772149403766</v>
      </c>
      <c r="AY30" s="506">
        <f>+[3]Report1!AS35</f>
        <v>0.20359801583370796</v>
      </c>
      <c r="AZ30" s="506">
        <f>+[3]Report1!AX35</f>
        <v>1000.240957918596</v>
      </c>
      <c r="BA30" s="506">
        <f>+[3]Report1!AY35</f>
        <v>819.16162116444025</v>
      </c>
      <c r="BB30" s="506">
        <f>+[3]Report1!BD35</f>
        <v>441.51862619492999</v>
      </c>
      <c r="BC30" s="506">
        <f>+[3]Report1!BE35</f>
        <v>495.04398006690064</v>
      </c>
      <c r="BD30" s="506">
        <f>+[3]Report1!BJ35</f>
        <v>6.9478663644434091</v>
      </c>
      <c r="BE30" s="506">
        <f>+[3]Report1!BK35</f>
        <v>6.2725256973918029</v>
      </c>
      <c r="BF30" s="508">
        <f>+[4]Report1!J35</f>
        <v>0.80621724561515773</v>
      </c>
      <c r="BG30" s="509">
        <f>+[4]Report1!K35</f>
        <v>0.88971641499166521</v>
      </c>
      <c r="BH30" s="509">
        <f>+[4]Report1!AN35</f>
        <v>0.80621724561515773</v>
      </c>
      <c r="BI30" s="509">
        <f>+[4]Report1!AO35</f>
        <v>0.88971641499166521</v>
      </c>
      <c r="BJ30" s="506">
        <f>+[4]Report1!R35</f>
        <v>41.448999999999998</v>
      </c>
      <c r="BK30" s="506">
        <f>+[4]Report1!S35</f>
        <v>1256.2829999999999</v>
      </c>
      <c r="BL30" s="506">
        <f>+[4]Report1!AD35</f>
        <v>2.9095997490892422</v>
      </c>
      <c r="BM30" s="506">
        <f>+[4]Report1!AE35</f>
        <v>2.7089437650593058</v>
      </c>
      <c r="BN30" s="510">
        <v>0</v>
      </c>
      <c r="BO30" s="510">
        <v>0</v>
      </c>
      <c r="BP30" s="510">
        <f>+[4]Report1!AJ35</f>
        <v>1362.3720717025976</v>
      </c>
      <c r="BQ30" s="510">
        <f>+[4]Report1!AK35</f>
        <v>1133.2020253398323</v>
      </c>
      <c r="BR30" s="510">
        <v>0</v>
      </c>
      <c r="BS30" s="511">
        <v>0</v>
      </c>
      <c r="BT30" s="604">
        <f>+[5]Report1!J35</f>
        <v>0.89164556507978765</v>
      </c>
      <c r="BU30" s="509">
        <f>+[5]Report1!K35</f>
        <v>0.86962303869341717</v>
      </c>
      <c r="BV30" s="509">
        <f>+[5]Report1!BG35</f>
        <v>0.89164556507978765</v>
      </c>
      <c r="BW30" s="509">
        <f>+[5]Report1!BH35</f>
        <v>0.86962303869341717</v>
      </c>
      <c r="BX30" s="506">
        <f>+[5]Report1!R35</f>
        <v>46.335999999999999</v>
      </c>
      <c r="BY30" s="506">
        <f>+[5]Report1!S35</f>
        <v>1231.1120000000003</v>
      </c>
      <c r="BZ30" s="510">
        <f>+[5]Report1!X35</f>
        <v>80.268357439013243</v>
      </c>
      <c r="CA30" s="510">
        <f>+[5]Report1!Y35</f>
        <v>81.126286474183203</v>
      </c>
      <c r="CB30" s="506">
        <f>+[5]Report1!AD35</f>
        <v>2.1214606353591159</v>
      </c>
      <c r="CC30" s="506">
        <f>+[5]Report1!AE35</f>
        <v>2.0698360506598905</v>
      </c>
      <c r="CD30" s="510">
        <f>+[5]Report1!AJ35</f>
        <v>0.21149861878453041</v>
      </c>
      <c r="CE30" s="510">
        <f>+[5]Report1!AK35</f>
        <v>0.20672367745582851</v>
      </c>
      <c r="CF30" s="510">
        <f>+[5]Report1!AP35</f>
        <v>590.20588743097733</v>
      </c>
      <c r="CG30" s="510">
        <f>+[5]Report1!AQ35</f>
        <v>568.11201580360012</v>
      </c>
      <c r="CH30" s="510">
        <f>+[5]Report1!AV35</f>
        <v>454.00858943369701</v>
      </c>
      <c r="CI30" s="510">
        <f>+[5]Report1!AW35</f>
        <v>501.21153152596963</v>
      </c>
      <c r="CJ30" s="510"/>
      <c r="CK30" s="511"/>
    </row>
    <row r="31" spans="1:89" ht="12.75" customHeight="1">
      <c r="A31" s="558">
        <f t="shared" si="0"/>
        <v>45989</v>
      </c>
      <c r="B31" s="508">
        <f>+Report1!J36</f>
        <v>0.88405245138991273</v>
      </c>
      <c r="C31" s="509">
        <f>+Report1!K36</f>
        <v>0.84729813288501943</v>
      </c>
      <c r="D31" s="509">
        <f>+Report1!AJ36</f>
        <v>0.88405245138991273</v>
      </c>
      <c r="E31" s="509">
        <f>+Report1!AK36</f>
        <v>0.84729813288501943</v>
      </c>
      <c r="F31" s="506">
        <f>+Report1!R36</f>
        <v>51.81</v>
      </c>
      <c r="G31" s="506">
        <f>+Report1!S36</f>
        <v>1481.636</v>
      </c>
      <c r="H31" s="506">
        <f>+Report1!X36</f>
        <v>2.3985717043041883</v>
      </c>
      <c r="I31" s="506">
        <f>+Report1!Y36</f>
        <v>2.4000085041130212</v>
      </c>
      <c r="J31" s="506">
        <f>+Report1!AD36</f>
        <v>1014.1053850608048</v>
      </c>
      <c r="K31" s="507">
        <f>+Report1!AE36</f>
        <v>990.2636814980209</v>
      </c>
      <c r="L31" s="508">
        <f>+[1]Report1!J36</f>
        <v>0.92910915905177593</v>
      </c>
      <c r="M31" s="509">
        <f>+[1]Report1!K36</f>
        <v>0.90039654118118484</v>
      </c>
      <c r="N31" s="509">
        <f>+[1]Report1!BJ36</f>
        <v>0.92910915905177593</v>
      </c>
      <c r="O31" s="509">
        <f>+[1]Report1!BK36</f>
        <v>0.90039654118118484</v>
      </c>
      <c r="P31" s="506">
        <f>+[1]Report1!R36</f>
        <v>63.692</v>
      </c>
      <c r="Q31" s="506">
        <f>+[1]Report1!S36</f>
        <v>1595.4550000000002</v>
      </c>
      <c r="R31" s="506">
        <f>+[1]Report1!AL36</f>
        <v>1.8085473842868807</v>
      </c>
      <c r="S31" s="506">
        <f>+[1]Report1!AM36</f>
        <v>2.3098426467684763</v>
      </c>
      <c r="T31" s="506">
        <f>+[1]Report1!AR36</f>
        <v>0.31872134647993472</v>
      </c>
      <c r="U31" s="506">
        <f>+[1]Report1!AS36</f>
        <v>0.27534465089895982</v>
      </c>
      <c r="V31" s="506">
        <f>+[1]Report1!AX36</f>
        <v>457.26621867737992</v>
      </c>
      <c r="W31" s="506">
        <f>+[1]Report1!AY36</f>
        <v>641.32719506347621</v>
      </c>
      <c r="X31" s="506">
        <f>+[1]Report1!BD36</f>
        <v>475.74263643785719</v>
      </c>
      <c r="Y31" s="576">
        <f>+[1]Report1!BE36</f>
        <v>431.886828522271</v>
      </c>
      <c r="Z31" s="604">
        <f>+[2]Report1!J36</f>
        <v>0.88846416455897692</v>
      </c>
      <c r="AA31" s="509">
        <f>+[2]Report1!K36</f>
        <v>0.33992288040243035</v>
      </c>
      <c r="AB31" s="509">
        <f>+[2]Report1!BC36</f>
        <v>0.88846416455897692</v>
      </c>
      <c r="AC31" s="509">
        <f>+[2]Report1!BD36</f>
        <v>0.78004932482987199</v>
      </c>
      <c r="AD31" s="506">
        <f>+[2]Report1!R36</f>
        <v>39.106999999999999</v>
      </c>
      <c r="AE31" s="506">
        <f>+[2]Report1!S36</f>
        <v>420.50099999999998</v>
      </c>
      <c r="AF31" s="506">
        <f>+[2]Report1!X36</f>
        <v>126.94823176719517</v>
      </c>
      <c r="AG31" s="506">
        <f>+[2]Report1!Y36</f>
        <v>130.42700586339075</v>
      </c>
      <c r="AH31" s="506">
        <f>+[2]Report1!AD36</f>
        <v>1.3501419183266423</v>
      </c>
      <c r="AI31" s="506">
        <f>+[2]Report1!AE36</f>
        <v>2.3612310077740597</v>
      </c>
      <c r="AJ31" s="506">
        <f>+[2]Report1!AJ36</f>
        <v>1024.389495486723</v>
      </c>
      <c r="AK31" s="506">
        <f>+[2]Report1!AK36</f>
        <v>1280.4495589784565</v>
      </c>
      <c r="AL31" s="584"/>
      <c r="AM31" s="584"/>
      <c r="AN31" s="604">
        <f>+[3]Report1!J36</f>
        <v>1.0023070373394531</v>
      </c>
      <c r="AO31" s="509">
        <f>+[3]Report1!K36</f>
        <v>0.89541053004765436</v>
      </c>
      <c r="AP31" s="509">
        <f>+[3]Report1!BN36</f>
        <v>1.0023070373394531</v>
      </c>
      <c r="AQ31" s="509">
        <f>+[3]Report1!BO36</f>
        <v>0.89541053004765436</v>
      </c>
      <c r="AR31" s="506">
        <f>+[3]Report1!R36</f>
        <v>55.177</v>
      </c>
      <c r="AS31" s="506">
        <f>+[3]Report1!S36</f>
        <v>1367.567</v>
      </c>
      <c r="AT31" s="510">
        <f>+[3]Report1!AF36</f>
        <v>89.183961289942857</v>
      </c>
      <c r="AU31" s="510">
        <f>+[3]Report1!AG36</f>
        <v>103.53879316000501</v>
      </c>
      <c r="AV31" s="506">
        <f>+[3]Report1!AL36</f>
        <v>1.2197111115138555</v>
      </c>
      <c r="AW31" s="506">
        <f>+[3]Report1!AM36</f>
        <v>1.375947211361491</v>
      </c>
      <c r="AX31" s="506">
        <f>+[3]Report1!AR36</f>
        <v>0.18304728419450134</v>
      </c>
      <c r="AY31" s="506">
        <f>+[3]Report1!AS36</f>
        <v>0.20276885885664103</v>
      </c>
      <c r="AZ31" s="506">
        <f>+[3]Report1!AX36</f>
        <v>789.65510991898702</v>
      </c>
      <c r="BA31" s="506">
        <f>+[3]Report1!AY36</f>
        <v>817.97112682596162</v>
      </c>
      <c r="BB31" s="506">
        <f>+[3]Report1!BD36</f>
        <v>451.02254562589928</v>
      </c>
      <c r="BC31" s="506">
        <f>+[3]Report1!BE36</f>
        <v>493.26785451827953</v>
      </c>
      <c r="BD31" s="506">
        <f>+[3]Report1!BJ36</f>
        <v>7.3255160664766574</v>
      </c>
      <c r="BE31" s="506">
        <f>+[3]Report1!BK36</f>
        <v>6.3150105259925189</v>
      </c>
      <c r="BF31" s="508">
        <f>+[4]Report1!J36</f>
        <v>0.94123262106127237</v>
      </c>
      <c r="BG31" s="509">
        <f>+[4]Report1!K36</f>
        <v>0.89151345530145409</v>
      </c>
      <c r="BH31" s="509">
        <f>+[4]Report1!AN36</f>
        <v>0.94123262106127237</v>
      </c>
      <c r="BI31" s="509">
        <f>+[4]Report1!AO36</f>
        <v>0.89151345530145409</v>
      </c>
      <c r="BJ31" s="506">
        <f>+[4]Report1!R36</f>
        <v>48.036000000000001</v>
      </c>
      <c r="BK31" s="506">
        <f>+[4]Report1!S36</f>
        <v>1304.319</v>
      </c>
      <c r="BL31" s="506">
        <f>+[4]Report1!AD36</f>
        <v>2.5980514614039469</v>
      </c>
      <c r="BM31" s="506">
        <f>+[4]Report1!AE36</f>
        <v>2.7048597774010807</v>
      </c>
      <c r="BN31" s="510">
        <v>0</v>
      </c>
      <c r="BO31" s="510">
        <v>0</v>
      </c>
      <c r="BP31" s="510">
        <f>+[4]Report1!AJ36</f>
        <v>1289.0228162210985</v>
      </c>
      <c r="BQ31" s="510">
        <f>+[4]Report1!AK36</f>
        <v>1138.9406579218712</v>
      </c>
      <c r="BR31" s="510">
        <v>0</v>
      </c>
      <c r="BS31" s="511">
        <v>0</v>
      </c>
      <c r="BT31" s="604">
        <f>+[5]Report1!J36</f>
        <v>1.0036312021749176</v>
      </c>
      <c r="BU31" s="509">
        <f>+[5]Report1!K36</f>
        <v>0.87440201413647656</v>
      </c>
      <c r="BV31" s="509">
        <f>+[5]Report1!BG36</f>
        <v>1.0036312021749176</v>
      </c>
      <c r="BW31" s="509">
        <f>+[5]Report1!BH36</f>
        <v>0.87440201413647656</v>
      </c>
      <c r="BX31" s="506">
        <f>+[5]Report1!R36</f>
        <v>52.542999999999999</v>
      </c>
      <c r="BY31" s="506">
        <f>+[5]Report1!S36</f>
        <v>1283.6550000000002</v>
      </c>
      <c r="BZ31" s="510">
        <f>+[5]Report1!X36</f>
        <v>70.618961006891894</v>
      </c>
      <c r="CA31" s="510">
        <f>+[5]Report1!Y36</f>
        <v>80.69619707942536</v>
      </c>
      <c r="CB31" s="506">
        <f>+[5]Report1!AD36</f>
        <v>1.9146223093466304</v>
      </c>
      <c r="CC31" s="506">
        <f>+[5]Report1!AE36</f>
        <v>2.0634827893787655</v>
      </c>
      <c r="CD31" s="510">
        <f>+[5]Report1!AJ36</f>
        <v>0.19793312144338923</v>
      </c>
      <c r="CE31" s="510">
        <f>+[5]Report1!AK36</f>
        <v>0.20636385944821617</v>
      </c>
      <c r="CF31" s="510">
        <f>+[5]Report1!AP36</f>
        <v>515.02198199566487</v>
      </c>
      <c r="CG31" s="510">
        <f>+[5]Report1!AQ36</f>
        <v>565.93891660921349</v>
      </c>
      <c r="CH31" s="510">
        <f>+[5]Report1!AV36</f>
        <v>492.96441010220684</v>
      </c>
      <c r="CI31" s="510">
        <f>+[5]Report1!AW36</f>
        <v>500.87395756647987</v>
      </c>
      <c r="CJ31" s="510"/>
      <c r="CK31" s="511"/>
    </row>
    <row r="32" spans="1:89" ht="12.75" customHeight="1">
      <c r="A32" s="558">
        <f t="shared" si="0"/>
        <v>45990</v>
      </c>
      <c r="B32" s="508">
        <f>+Report1!J37</f>
        <v>0.92475667222025415</v>
      </c>
      <c r="C32" s="509">
        <f>+Report1!K37</f>
        <v>0.84986080833249089</v>
      </c>
      <c r="D32" s="509">
        <f>+Report1!AJ37</f>
        <v>0.92475667222025415</v>
      </c>
      <c r="E32" s="509">
        <f>+Report1!AK37</f>
        <v>0.84986080833249089</v>
      </c>
      <c r="F32" s="506">
        <f>+Report1!R37</f>
        <v>55.331000000000003</v>
      </c>
      <c r="G32" s="506">
        <f>+Report1!S37</f>
        <v>1536.9669999999999</v>
      </c>
      <c r="H32" s="506">
        <f>+Report1!X37</f>
        <v>2.2334315302452512</v>
      </c>
      <c r="I32" s="506">
        <f>+Report1!Y37</f>
        <v>2.3940117126782816</v>
      </c>
      <c r="J32" s="506">
        <f>+Report1!AD37</f>
        <v>979.76215864520191</v>
      </c>
      <c r="K32" s="507">
        <f>+Report1!AE37</f>
        <v>989.88562539078566</v>
      </c>
      <c r="L32" s="508">
        <f>+[1]Report1!J37</f>
        <v>0.96209057917583229</v>
      </c>
      <c r="M32" s="509">
        <f>+[1]Report1!K37</f>
        <v>0.90269572353862571</v>
      </c>
      <c r="N32" s="509">
        <f>+[1]Report1!BJ37</f>
        <v>0.96209057917583229</v>
      </c>
      <c r="O32" s="509">
        <f>+[1]Report1!BK37</f>
        <v>0.90269572353862571</v>
      </c>
      <c r="P32" s="506">
        <f>+[1]Report1!R37</f>
        <v>65.992000000000004</v>
      </c>
      <c r="Q32" s="506">
        <f>+[1]Report1!S37</f>
        <v>1661.4470000000001</v>
      </c>
      <c r="R32" s="506">
        <f>+[1]Report1!AL37</f>
        <v>1.7602285125469752</v>
      </c>
      <c r="S32" s="506">
        <f>+[1]Report1!AM37</f>
        <v>2.288012196597303</v>
      </c>
      <c r="T32" s="506">
        <f>+[1]Report1!AR37</f>
        <v>0.30912837919747843</v>
      </c>
      <c r="U32" s="506">
        <f>+[1]Report1!AS37</f>
        <v>0.27668652686483525</v>
      </c>
      <c r="V32" s="506">
        <f>+[1]Report1!AX37</f>
        <v>471.61519578130367</v>
      </c>
      <c r="W32" s="506">
        <f>+[1]Report1!AY37</f>
        <v>634.58630338493992</v>
      </c>
      <c r="X32" s="506">
        <f>+[1]Report1!BD37</f>
        <v>468.90532185719479</v>
      </c>
      <c r="Y32" s="576">
        <f>+[1]Report1!BE37</f>
        <v>433.35718804150844</v>
      </c>
      <c r="Z32" s="604">
        <f>+[2]Report1!J37</f>
        <v>0.80833331055278401</v>
      </c>
      <c r="AA32" s="509">
        <f>+[2]Report1!K37</f>
        <v>0.35736586749660282</v>
      </c>
      <c r="AB32" s="509">
        <f>+[2]Report1!BC37</f>
        <v>0.80833331055278401</v>
      </c>
      <c r="AC32" s="509">
        <f>+[2]Report1!BD37</f>
        <v>0.7823551468682316</v>
      </c>
      <c r="AD32" s="506">
        <f>+[2]Report1!R37</f>
        <v>38.677</v>
      </c>
      <c r="AE32" s="506">
        <f>+[2]Report1!S37</f>
        <v>459.178</v>
      </c>
      <c r="AF32" s="506">
        <f>+[2]Report1!X37</f>
        <v>110.856317796198</v>
      </c>
      <c r="AG32" s="506">
        <f>+[2]Report1!Y37</f>
        <v>128.77854817949731</v>
      </c>
      <c r="AH32" s="506">
        <f>+[2]Report1!AD37</f>
        <v>1.3005145176720014</v>
      </c>
      <c r="AI32" s="506">
        <f>+[2]Report1!AE37</f>
        <v>2.2718858481895907</v>
      </c>
      <c r="AJ32" s="506">
        <f>+[2]Report1!AJ37</f>
        <v>949.17444476045193</v>
      </c>
      <c r="AK32" s="506">
        <f>+[2]Report1!AK37</f>
        <v>1252.5459407898461</v>
      </c>
      <c r="AL32" s="584"/>
      <c r="AM32" s="584"/>
      <c r="AN32" s="604">
        <f>+[3]Report1!J37</f>
        <v>0.92561311937277901</v>
      </c>
      <c r="AO32" s="509">
        <f>+[3]Report1!K37</f>
        <v>0.8964612740978094</v>
      </c>
      <c r="AP32" s="509">
        <f>+[3]Report1!BN37</f>
        <v>0.92561311937277901</v>
      </c>
      <c r="AQ32" s="509">
        <f>+[3]Report1!BO37</f>
        <v>0.8964612740978094</v>
      </c>
      <c r="AR32" s="506">
        <f>+[3]Report1!R37</f>
        <v>50.954999999999998</v>
      </c>
      <c r="AS32" s="506">
        <f>+[3]Report1!S37</f>
        <v>1418.5219999999999</v>
      </c>
      <c r="AT32" s="510">
        <f>+[3]Report1!AF37</f>
        <v>94.791927494946151</v>
      </c>
      <c r="AU32" s="510">
        <f>+[3]Report1!AG37</f>
        <v>103.2245953259474</v>
      </c>
      <c r="AV32" s="506">
        <f>+[3]Report1!AL37</f>
        <v>1.312923167500736</v>
      </c>
      <c r="AW32" s="506">
        <f>+[3]Report1!AM37</f>
        <v>1.3736833126310344</v>
      </c>
      <c r="AX32" s="506">
        <f>+[3]Report1!AR37</f>
        <v>0.20017662643508977</v>
      </c>
      <c r="AY32" s="506">
        <f>+[3]Report1!AS37</f>
        <v>0.20267574278016134</v>
      </c>
      <c r="AZ32" s="506">
        <f>+[3]Report1!AX37</f>
        <v>900.42625846335147</v>
      </c>
      <c r="BA32" s="506">
        <f>+[3]Report1!AY37</f>
        <v>820.93301337589401</v>
      </c>
      <c r="BB32" s="506">
        <f>+[3]Report1!BD37</f>
        <v>473.48498086546465</v>
      </c>
      <c r="BC32" s="506">
        <f>+[3]Report1!BE37</f>
        <v>492.55723013107996</v>
      </c>
      <c r="BD32" s="506">
        <f>+[3]Report1!BJ37</f>
        <v>6.6238838190552531</v>
      </c>
      <c r="BE32" s="506">
        <f>+[3]Report1!BK37</f>
        <v>6.3261056226128121</v>
      </c>
      <c r="BF32" s="508">
        <f>+[4]Report1!J37</f>
        <v>0.87139710467620801</v>
      </c>
      <c r="BG32" s="509">
        <f>+[4]Report1!K37</f>
        <v>0.89083695023399756</v>
      </c>
      <c r="BH32" s="509">
        <f>+[4]Report1!AN37</f>
        <v>0.87139710467620801</v>
      </c>
      <c r="BI32" s="509">
        <f>+[4]Report1!AO37</f>
        <v>0.89083695023399756</v>
      </c>
      <c r="BJ32" s="506">
        <f>+[4]Report1!R37</f>
        <v>44.366</v>
      </c>
      <c r="BK32" s="506">
        <f>+[4]Report1!S37</f>
        <v>1348.6849999999999</v>
      </c>
      <c r="BL32" s="506">
        <f>+[4]Report1!AD37</f>
        <v>2.7182977956092502</v>
      </c>
      <c r="BM32" s="506">
        <f>+[4]Report1!AE37</f>
        <v>2.7053018310428305</v>
      </c>
      <c r="BN32" s="510">
        <v>0</v>
      </c>
      <c r="BO32" s="510">
        <v>0</v>
      </c>
      <c r="BP32" s="510">
        <f>+[4]Report1!AJ37</f>
        <v>1341.5460036965951</v>
      </c>
      <c r="BQ32" s="510">
        <f>+[4]Report1!AK37</f>
        <v>1145.605512035798</v>
      </c>
      <c r="BR32" s="510">
        <v>0</v>
      </c>
      <c r="BS32" s="511">
        <v>0</v>
      </c>
      <c r="BT32" s="604">
        <f>+[5]Report1!J37</f>
        <v>0.97931106546673963</v>
      </c>
      <c r="BU32" s="509">
        <f>+[5]Report1!K37</f>
        <v>0.87798988639489484</v>
      </c>
      <c r="BV32" s="509">
        <f>+[5]Report1!BG37</f>
        <v>0.97931106546673963</v>
      </c>
      <c r="BW32" s="509">
        <f>+[5]Report1!BH37</f>
        <v>0.87798988639489484</v>
      </c>
      <c r="BX32" s="506">
        <f>+[5]Report1!R37</f>
        <v>50.908999999999999</v>
      </c>
      <c r="BY32" s="506">
        <f>+[5]Report1!S37</f>
        <v>1334.5640000000003</v>
      </c>
      <c r="BZ32" s="510">
        <f>+[5]Report1!X37</f>
        <v>70.484345225627465</v>
      </c>
      <c r="CA32" s="510">
        <f>+[5]Report1!Y37</f>
        <v>80.306650256624053</v>
      </c>
      <c r="CB32" s="506">
        <f>+[5]Report1!AD37</f>
        <v>1.9112534129525232</v>
      </c>
      <c r="CC32" s="506">
        <f>+[5]Report1!AE37</f>
        <v>2.0576757652686566</v>
      </c>
      <c r="CD32" s="510">
        <f>+[5]Report1!AJ37</f>
        <v>0.18857176530672376</v>
      </c>
      <c r="CE32" s="510">
        <f>+[5]Report1!AK37</f>
        <v>0.20568515260414633</v>
      </c>
      <c r="CF32" s="510">
        <f>+[5]Report1!AP37</f>
        <v>540.30171482450271</v>
      </c>
      <c r="CG32" s="510">
        <f>+[5]Report1!AQ37</f>
        <v>564.96094604679922</v>
      </c>
      <c r="CH32" s="510">
        <f>+[5]Report1!AV37</f>
        <v>455.32799308569724</v>
      </c>
      <c r="CI32" s="510">
        <f>+[5]Report1!AW37</f>
        <v>499.13653657673927</v>
      </c>
      <c r="CJ32" s="510"/>
      <c r="CK32" s="511"/>
    </row>
    <row r="33" spans="1:16384" ht="12.75" customHeight="1">
      <c r="A33" s="558">
        <f t="shared" si="0"/>
        <v>45991</v>
      </c>
      <c r="B33" s="508">
        <f>+Report1!J38</f>
        <v>0.93511365399264468</v>
      </c>
      <c r="C33" s="509">
        <f>+Report1!K38</f>
        <v>0.85269190429667641</v>
      </c>
      <c r="D33" s="509">
        <f>+Report1!AJ38</f>
        <v>0.93511365399264468</v>
      </c>
      <c r="E33" s="509">
        <f>+Report1!AK38</f>
        <v>0.85269190429667641</v>
      </c>
      <c r="F33" s="506">
        <f>+Report1!R38</f>
        <v>58.088999999999999</v>
      </c>
      <c r="G33" s="506">
        <f>+Report1!S38</f>
        <v>1595.0559999999998</v>
      </c>
      <c r="H33" s="506">
        <f>+Report1!X38</f>
        <v>2.0557420509907209</v>
      </c>
      <c r="I33" s="506">
        <f>+Report1!Y38</f>
        <v>2.381692554994935</v>
      </c>
      <c r="J33" s="506">
        <f>+Report1!AD38</f>
        <v>897.35750314176926</v>
      </c>
      <c r="K33" s="507">
        <f>+Report1!AE38</f>
        <v>986.51592169804803</v>
      </c>
      <c r="L33" s="508">
        <f>+[1]Report1!J38</f>
        <v>0.9398988334850632</v>
      </c>
      <c r="M33" s="509">
        <f>+[1]Report1!K38</f>
        <v>0.90405788689995714</v>
      </c>
      <c r="N33" s="509">
        <f>+[1]Report1!BJ38</f>
        <v>0.9398988334850632</v>
      </c>
      <c r="O33" s="509">
        <f>+[1]Report1!BK38</f>
        <v>0.90405788689995714</v>
      </c>
      <c r="P33" s="506">
        <f>+[1]Report1!R38</f>
        <v>65.747</v>
      </c>
      <c r="Q33" s="506">
        <f>+[1]Report1!S38</f>
        <v>1727.1940000000002</v>
      </c>
      <c r="R33" s="506">
        <f>+[1]Report1!AL38</f>
        <v>1.7229379287267861</v>
      </c>
      <c r="S33" s="506">
        <f>+[1]Report1!AM38</f>
        <v>2.2665021995213039</v>
      </c>
      <c r="T33" s="506">
        <f>+[1]Report1!AR38</f>
        <v>0.29202853362130593</v>
      </c>
      <c r="U33" s="506">
        <f>+[1]Report1!AS38</f>
        <v>0.27727053243584676</v>
      </c>
      <c r="V33" s="506">
        <f>+[1]Report1!AX38</f>
        <v>452.71875522839235</v>
      </c>
      <c r="W33" s="506">
        <f>+[1]Report1!AY38</f>
        <v>627.66337192000401</v>
      </c>
      <c r="X33" s="506">
        <f>+[1]Report1!BD38</f>
        <v>449.92166942978383</v>
      </c>
      <c r="Y33" s="576">
        <f>+[1]Report1!BE38</f>
        <v>433.98772807223736</v>
      </c>
      <c r="Z33" s="604">
        <f>+[2]Report1!J38</f>
        <v>0.83776073626843861</v>
      </c>
      <c r="AA33" s="509">
        <f>+[2]Report1!K38</f>
        <v>0.37501240246787071</v>
      </c>
      <c r="AB33" s="509">
        <f>+[2]Report1!BC38</f>
        <v>0.83776073626843861</v>
      </c>
      <c r="AC33" s="509">
        <f>+[2]Report1!BD38</f>
        <v>0.78662424716927493</v>
      </c>
      <c r="AD33" s="506">
        <f>+[2]Report1!R38</f>
        <v>41.048999999999999</v>
      </c>
      <c r="AE33" s="506">
        <f>+[2]Report1!S38</f>
        <v>500.22699999999998</v>
      </c>
      <c r="AF33" s="506">
        <f>+[2]Report1!X38</f>
        <v>113.94938807739574</v>
      </c>
      <c r="AG33" s="506">
        <f>+[2]Report1!Y38</f>
        <v>127.56165626236535</v>
      </c>
      <c r="AH33" s="506">
        <f>+[2]Report1!AD38</f>
        <v>1.2692148408000195</v>
      </c>
      <c r="AI33" s="506">
        <f>+[2]Report1!AE38</f>
        <v>2.1896059189128132</v>
      </c>
      <c r="AJ33" s="506">
        <f>+[2]Report1!AJ38</f>
        <v>918.81897244754498</v>
      </c>
      <c r="AK33" s="506">
        <f>+[2]Report1!AK38</f>
        <v>1225.1600573339688</v>
      </c>
      <c r="AL33" s="584"/>
      <c r="AM33" s="584"/>
      <c r="AN33" s="604">
        <f>+[3]Report1!J38</f>
        <v>0.90387639014321897</v>
      </c>
      <c r="AO33" s="509">
        <f>+[3]Report1!K38</f>
        <v>0.89671048774219353</v>
      </c>
      <c r="AP33" s="509">
        <f>+[3]Report1!BN38</f>
        <v>0.90387639014321897</v>
      </c>
      <c r="AQ33" s="509">
        <f>+[3]Report1!BO38</f>
        <v>0.89671048774219353</v>
      </c>
      <c r="AR33" s="506">
        <f>+[3]Report1!R38</f>
        <v>49.741</v>
      </c>
      <c r="AS33" s="506">
        <f>+[3]Report1!S38</f>
        <v>1468.2629999999999</v>
      </c>
      <c r="AT33" s="510">
        <f>+[3]Report1!AF38</f>
        <v>100.22614043399678</v>
      </c>
      <c r="AU33" s="510">
        <f>+[3]Report1!AG38</f>
        <v>103.12301533327545</v>
      </c>
      <c r="AV33" s="506">
        <f>+[3]Report1!AL38</f>
        <v>1.3409461008021553</v>
      </c>
      <c r="AW33" s="506">
        <f>+[3]Report1!AM38</f>
        <v>1.3725742595161767</v>
      </c>
      <c r="AX33" s="506">
        <f>+[3]Report1!AR38</f>
        <v>0.1970205665346495</v>
      </c>
      <c r="AY33" s="506">
        <f>+[3]Report1!AS38</f>
        <v>0.20248415985419507</v>
      </c>
      <c r="AZ33" s="506">
        <f>+[3]Report1!AX38</f>
        <v>885.1169055708574</v>
      </c>
      <c r="BA33" s="506">
        <f>+[3]Report1!AY38</f>
        <v>823.10739969610347</v>
      </c>
      <c r="BB33" s="506">
        <f>+[3]Report1!BD38</f>
        <v>477.36388894474396</v>
      </c>
      <c r="BC33" s="506">
        <f>+[3]Report1!BE38</f>
        <v>492.04251854061584</v>
      </c>
      <c r="BD33" s="506">
        <f>+[3]Report1!BJ38</f>
        <v>6.3344122554843167</v>
      </c>
      <c r="BE33" s="506">
        <f>+[3]Report1!BK38</f>
        <v>6.3263870301165506</v>
      </c>
      <c r="BF33" s="508">
        <f>+[4]Report1!J38</f>
        <v>0.88954270451671236</v>
      </c>
      <c r="BG33" s="509">
        <f>+[4]Report1!K38</f>
        <v>0.89079472610344168</v>
      </c>
      <c r="BH33" s="509">
        <f>+[4]Report1!AN38</f>
        <v>0.88954270451671236</v>
      </c>
      <c r="BI33" s="509">
        <f>+[4]Report1!AO38</f>
        <v>0.89079472610344168</v>
      </c>
      <c r="BJ33" s="506">
        <f>+[4]Report1!R38</f>
        <v>45.417999999999999</v>
      </c>
      <c r="BK33" s="506">
        <f>+[4]Report1!S38</f>
        <v>1394.1029999999998</v>
      </c>
      <c r="BL33" s="506">
        <f>+[4]Report1!AD38</f>
        <v>2.7390021577348191</v>
      </c>
      <c r="BM33" s="506">
        <f>+[4]Report1!AE38</f>
        <v>2.7063997423432848</v>
      </c>
      <c r="BN33" s="510">
        <v>0</v>
      </c>
      <c r="BO33" s="510">
        <v>0</v>
      </c>
      <c r="BP33" s="510">
        <f>+[4]Report1!AJ38</f>
        <v>1249.0512572108021</v>
      </c>
      <c r="BQ33" s="510">
        <f>+[4]Report1!AK38</f>
        <v>1148.9756352292482</v>
      </c>
      <c r="BR33" s="510">
        <v>0</v>
      </c>
      <c r="BS33" s="511">
        <v>0</v>
      </c>
      <c r="BT33" s="604">
        <f>+[5]Report1!J38</f>
        <v>1.014513863592889</v>
      </c>
      <c r="BU33" s="509">
        <f>+[5]Report1!K38</f>
        <v>0.88250458205810622</v>
      </c>
      <c r="BV33" s="509">
        <f>+[5]Report1!BG38</f>
        <v>1.014513863592889</v>
      </c>
      <c r="BW33" s="509">
        <f>+[5]Report1!BH38</f>
        <v>0.88250458205810622</v>
      </c>
      <c r="BX33" s="506">
        <f>+[5]Report1!R38</f>
        <v>52.738999999999997</v>
      </c>
      <c r="BY33" s="506">
        <f>+[5]Report1!S38</f>
        <v>1387.3030000000003</v>
      </c>
      <c r="BZ33" s="510">
        <f>+[5]Report1!X38</f>
        <v>71.866040643234584</v>
      </c>
      <c r="CA33" s="510">
        <f>+[5]Report1!Y38</f>
        <v>79.985776366492942</v>
      </c>
      <c r="CB33" s="506">
        <f>+[5]Report1!AD38</f>
        <v>1.8657919186939458</v>
      </c>
      <c r="CC33" s="506">
        <f>+[5]Report1!AE38</f>
        <v>2.0503812072777174</v>
      </c>
      <c r="CD33" s="510">
        <f>+[5]Report1!AJ38</f>
        <v>0.1896129998672709</v>
      </c>
      <c r="CE33" s="510">
        <f>+[5]Report1!AK38</f>
        <v>0.20507416188100216</v>
      </c>
      <c r="CF33" s="510">
        <f>+[5]Report1!AP38</f>
        <v>500.98788372925384</v>
      </c>
      <c r="CG33" s="510">
        <f>+[5]Report1!AQ38</f>
        <v>562.52897888925327</v>
      </c>
      <c r="CH33" s="510">
        <f>+[5]Report1!AV38</f>
        <v>468.604311799627</v>
      </c>
      <c r="CI33" s="510">
        <f>+[5]Report1!AW38</f>
        <v>497.97583916419126</v>
      </c>
      <c r="CJ33" s="510"/>
      <c r="CK33" s="511"/>
    </row>
    <row r="34" spans="1:16384" ht="12.75" hidden="1" customHeight="1">
      <c r="A34" s="558"/>
      <c r="B34" s="508"/>
      <c r="C34" s="509"/>
      <c r="D34" s="509"/>
      <c r="E34" s="509"/>
      <c r="F34" s="506"/>
      <c r="G34" s="506"/>
      <c r="H34" s="506"/>
      <c r="I34" s="506"/>
      <c r="J34" s="506"/>
      <c r="K34" s="507"/>
      <c r="L34" s="508"/>
      <c r="M34" s="509"/>
      <c r="N34" s="509"/>
      <c r="O34" s="509"/>
      <c r="P34" s="506"/>
      <c r="Q34" s="506"/>
      <c r="R34" s="506"/>
      <c r="S34" s="506"/>
      <c r="T34" s="506"/>
      <c r="U34" s="506"/>
      <c r="V34" s="506"/>
      <c r="W34" s="506"/>
      <c r="X34" s="506"/>
      <c r="Y34" s="576"/>
      <c r="Z34" s="604"/>
      <c r="AA34" s="509"/>
      <c r="AB34" s="509"/>
      <c r="AC34" s="509"/>
      <c r="AD34" s="506"/>
      <c r="AE34" s="506"/>
      <c r="AF34" s="506"/>
      <c r="AG34" s="506"/>
      <c r="AH34" s="506"/>
      <c r="AI34" s="506"/>
      <c r="AJ34" s="506"/>
      <c r="AK34" s="506"/>
      <c r="AL34" s="584"/>
      <c r="AM34" s="584"/>
      <c r="AN34" s="604"/>
      <c r="AO34" s="509"/>
      <c r="AP34" s="509"/>
      <c r="AQ34" s="509"/>
      <c r="AR34" s="506"/>
      <c r="AS34" s="506"/>
      <c r="AT34" s="510"/>
      <c r="AU34" s="510"/>
      <c r="AV34" s="506"/>
      <c r="AW34" s="506"/>
      <c r="AX34" s="506"/>
      <c r="AY34" s="506"/>
      <c r="AZ34" s="506"/>
      <c r="BA34" s="506"/>
      <c r="BB34" s="506"/>
      <c r="BC34" s="506"/>
      <c r="BD34" s="506"/>
      <c r="BE34" s="506"/>
      <c r="BF34" s="508"/>
      <c r="BG34" s="509"/>
      <c r="BH34" s="509"/>
      <c r="BI34" s="509"/>
      <c r="BJ34" s="506"/>
      <c r="BK34" s="506"/>
      <c r="BL34" s="506"/>
      <c r="BM34" s="506"/>
      <c r="BN34" s="510"/>
      <c r="BO34" s="510"/>
      <c r="BP34" s="510"/>
      <c r="BQ34" s="510"/>
      <c r="BR34" s="510"/>
      <c r="BS34" s="511"/>
      <c r="BT34" s="604"/>
      <c r="BU34" s="509"/>
      <c r="BV34" s="509"/>
      <c r="BW34" s="509"/>
      <c r="BX34" s="506"/>
      <c r="BY34" s="506"/>
      <c r="BZ34" s="510"/>
      <c r="CA34" s="510"/>
      <c r="CB34" s="506"/>
      <c r="CC34" s="506"/>
      <c r="CD34" s="510"/>
      <c r="CE34" s="510"/>
      <c r="CF34" s="510"/>
      <c r="CG34" s="510"/>
      <c r="CH34" s="510"/>
      <c r="CI34" s="510"/>
      <c r="CJ34" s="510"/>
      <c r="CK34" s="511"/>
    </row>
    <row r="35" spans="1:16384" ht="12.75" customHeight="1">
      <c r="A35" s="558"/>
      <c r="B35" s="508"/>
      <c r="C35" s="509"/>
      <c r="D35" s="509"/>
      <c r="E35" s="509"/>
      <c r="F35" s="506"/>
      <c r="G35" s="506"/>
      <c r="H35" s="506"/>
      <c r="I35" s="506"/>
      <c r="J35" s="506"/>
      <c r="K35" s="507"/>
      <c r="L35" s="508"/>
      <c r="M35" s="509"/>
      <c r="N35" s="509"/>
      <c r="O35" s="509"/>
      <c r="P35" s="506"/>
      <c r="Q35" s="506"/>
      <c r="R35" s="506"/>
      <c r="S35" s="506"/>
      <c r="T35" s="506"/>
      <c r="U35" s="506"/>
      <c r="V35" s="506"/>
      <c r="W35" s="506"/>
      <c r="X35" s="506"/>
      <c r="Y35" s="576"/>
      <c r="Z35" s="508"/>
      <c r="AA35" s="509"/>
      <c r="AB35" s="509"/>
      <c r="AC35" s="509"/>
      <c r="AD35" s="506"/>
      <c r="AE35" s="506"/>
      <c r="AF35" s="506"/>
      <c r="AG35" s="506"/>
      <c r="AH35" s="506"/>
      <c r="AI35" s="506"/>
      <c r="AJ35" s="506"/>
      <c r="AK35" s="576"/>
      <c r="AL35" s="506"/>
      <c r="AM35" s="576"/>
      <c r="AN35" s="508"/>
      <c r="AO35" s="509"/>
      <c r="AP35" s="509"/>
      <c r="AQ35" s="509"/>
      <c r="AR35" s="506"/>
      <c r="AS35" s="506"/>
      <c r="AT35" s="510"/>
      <c r="AU35" s="510"/>
      <c r="AV35" s="506"/>
      <c r="AW35" s="506"/>
      <c r="AX35" s="506"/>
      <c r="AY35" s="506"/>
      <c r="AZ35" s="506"/>
      <c r="BA35" s="506"/>
      <c r="BB35" s="506"/>
      <c r="BC35" s="576"/>
      <c r="BD35" s="506"/>
      <c r="BE35" s="507"/>
      <c r="BF35" s="508"/>
      <c r="BG35" s="509"/>
      <c r="BH35" s="509"/>
      <c r="BI35" s="509"/>
      <c r="BJ35" s="506"/>
      <c r="BK35" s="506"/>
      <c r="BL35" s="506"/>
      <c r="BM35" s="506"/>
      <c r="BN35" s="510"/>
      <c r="BO35" s="510"/>
      <c r="BP35" s="510"/>
      <c r="BQ35" s="510"/>
      <c r="BR35" s="510"/>
      <c r="BS35" s="511"/>
      <c r="BT35" s="508"/>
      <c r="BU35" s="509"/>
      <c r="BV35" s="509"/>
      <c r="BW35" s="509"/>
      <c r="BX35" s="506"/>
      <c r="BY35" s="506"/>
      <c r="BZ35" s="506"/>
      <c r="CA35" s="506"/>
      <c r="CB35" s="506"/>
      <c r="CC35" s="506"/>
      <c r="CD35" s="506"/>
      <c r="CE35" s="506"/>
      <c r="CF35" s="579"/>
      <c r="CG35" s="510"/>
      <c r="CH35" s="510"/>
      <c r="CI35" s="510"/>
      <c r="CJ35" s="510"/>
      <c r="CK35" s="511"/>
    </row>
    <row r="36" spans="1:16384" ht="12.75" hidden="1" customHeight="1">
      <c r="A36" s="559" t="s">
        <v>322</v>
      </c>
      <c r="B36" s="620"/>
      <c r="C36" s="621"/>
      <c r="D36" s="622"/>
      <c r="E36" s="621"/>
      <c r="F36" s="643"/>
      <c r="G36" s="644"/>
      <c r="H36" s="645"/>
      <c r="I36" s="646"/>
      <c r="J36" s="645"/>
      <c r="K36" s="647"/>
      <c r="L36" s="620"/>
      <c r="M36" s="621"/>
      <c r="N36" s="622"/>
      <c r="O36" s="621"/>
      <c r="P36" s="643"/>
      <c r="Q36" s="644"/>
      <c r="R36" s="643"/>
      <c r="S36" s="644"/>
      <c r="T36" s="643"/>
      <c r="U36" s="644"/>
      <c r="V36" s="617"/>
      <c r="W36" s="618"/>
      <c r="X36" s="617"/>
      <c r="Y36" s="656"/>
      <c r="Z36" s="654"/>
      <c r="AA36" s="655"/>
      <c r="AB36" s="622"/>
      <c r="AC36" s="621"/>
      <c r="AD36" s="653"/>
      <c r="AE36" s="653"/>
      <c r="AF36" s="653"/>
      <c r="AG36" s="653"/>
      <c r="AH36" s="653"/>
      <c r="AI36" s="653"/>
      <c r="AJ36" s="653"/>
      <c r="AK36" s="653"/>
      <c r="AL36" s="619"/>
      <c r="AM36" s="617"/>
      <c r="AN36" s="654"/>
      <c r="AO36" s="655"/>
      <c r="AP36" s="655"/>
      <c r="AQ36" s="655"/>
      <c r="AR36" s="619"/>
      <c r="AS36" s="619"/>
      <c r="AT36" s="619"/>
      <c r="AU36" s="619"/>
      <c r="AV36" s="619"/>
      <c r="AW36" s="619"/>
      <c r="AX36" s="619"/>
      <c r="AY36" s="619"/>
      <c r="AZ36" s="619"/>
      <c r="BA36" s="619"/>
      <c r="BB36" s="619"/>
      <c r="BC36" s="617"/>
      <c r="BD36" s="619"/>
      <c r="BE36" s="786"/>
      <c r="BF36" s="620"/>
      <c r="BG36" s="621"/>
      <c r="BH36" s="622"/>
      <c r="BI36" s="621"/>
      <c r="BJ36" s="617"/>
      <c r="BK36" s="618"/>
      <c r="BL36" s="617"/>
      <c r="BM36" s="618"/>
      <c r="BN36" s="617"/>
      <c r="BO36" s="618"/>
      <c r="BP36" s="617"/>
      <c r="BQ36" s="618"/>
      <c r="BR36" s="617"/>
      <c r="BS36" s="665"/>
      <c r="BT36" s="620"/>
      <c r="BU36" s="621"/>
      <c r="BV36" s="622"/>
      <c r="BW36" s="621"/>
      <c r="BX36" s="617"/>
      <c r="BY36" s="618"/>
      <c r="BZ36" s="617"/>
      <c r="CA36" s="618"/>
      <c r="CB36" s="617"/>
      <c r="CC36" s="618"/>
      <c r="CD36" s="617"/>
      <c r="CE36" s="618"/>
      <c r="CF36" s="617"/>
      <c r="CG36" s="618"/>
      <c r="CH36" s="619"/>
      <c r="CI36" s="619"/>
      <c r="CJ36" s="619"/>
      <c r="CK36" s="786"/>
    </row>
    <row r="37" spans="1:16384" s="590" customFormat="1" ht="12.75" customHeight="1">
      <c r="A37" s="560" t="s">
        <v>221</v>
      </c>
      <c r="B37" s="657">
        <f>+C33</f>
        <v>0.85269190429667641</v>
      </c>
      <c r="C37" s="624"/>
      <c r="D37" s="623">
        <f>+E33</f>
        <v>0.85269190429667641</v>
      </c>
      <c r="E37" s="624"/>
      <c r="F37" s="658">
        <f>+G33</f>
        <v>1595.0559999999998</v>
      </c>
      <c r="G37" s="659"/>
      <c r="H37" s="660">
        <f>+I33</f>
        <v>2.381692554994935</v>
      </c>
      <c r="I37" s="661"/>
      <c r="J37" s="658">
        <f>+K33</f>
        <v>986.51592169804803</v>
      </c>
      <c r="K37" s="668"/>
      <c r="L37" s="657">
        <f>+M33</f>
        <v>0.90405788689995714</v>
      </c>
      <c r="M37" s="624"/>
      <c r="N37" s="623">
        <f>+O33</f>
        <v>0.90405788689995714</v>
      </c>
      <c r="O37" s="624"/>
      <c r="P37" s="658">
        <f>+Q33</f>
        <v>1727.1940000000002</v>
      </c>
      <c r="Q37" s="659"/>
      <c r="R37" s="660">
        <f>+S33</f>
        <v>2.2665021995213039</v>
      </c>
      <c r="S37" s="661"/>
      <c r="T37" s="660">
        <f>+U33</f>
        <v>0.27727053243584676</v>
      </c>
      <c r="U37" s="661"/>
      <c r="V37" s="658">
        <f>+W33</f>
        <v>627.66337192000401</v>
      </c>
      <c r="W37" s="659"/>
      <c r="X37" s="660">
        <f>+Y33</f>
        <v>433.98772807223736</v>
      </c>
      <c r="Y37" s="680"/>
      <c r="Z37" s="657">
        <f>+AA33</f>
        <v>0.37501240246787071</v>
      </c>
      <c r="AA37" s="624"/>
      <c r="AB37" s="623">
        <f>+AC33</f>
        <v>0.78662424716927493</v>
      </c>
      <c r="AC37" s="624"/>
      <c r="AD37" s="658">
        <f>+AE33</f>
        <v>500.22699999999998</v>
      </c>
      <c r="AE37" s="659"/>
      <c r="AF37" s="660">
        <f>+AG33</f>
        <v>127.56165626236535</v>
      </c>
      <c r="AG37" s="661"/>
      <c r="AH37" s="660">
        <f>+AI33</f>
        <v>2.1896059189128132</v>
      </c>
      <c r="AI37" s="661"/>
      <c r="AJ37" s="660">
        <f>+AK33</f>
        <v>1225.1600573339688</v>
      </c>
      <c r="AK37" s="661"/>
      <c r="AL37" s="658">
        <f>+AM33</f>
        <v>0</v>
      </c>
      <c r="AM37" s="668"/>
      <c r="AN37" s="657">
        <f>+AO33</f>
        <v>0.89671048774219353</v>
      </c>
      <c r="AO37" s="624"/>
      <c r="AP37" s="623">
        <f>+AQ33</f>
        <v>0.89671048774219353</v>
      </c>
      <c r="AQ37" s="624"/>
      <c r="AR37" s="662">
        <f>+AS33</f>
        <v>1468.2629999999999</v>
      </c>
      <c r="AS37" s="663"/>
      <c r="AT37" s="660">
        <f>+AU33</f>
        <v>103.12301533327545</v>
      </c>
      <c r="AU37" s="661"/>
      <c r="AV37" s="660">
        <f>+AW33</f>
        <v>1.3725742595161767</v>
      </c>
      <c r="AW37" s="661"/>
      <c r="AX37" s="660">
        <f>+AY33</f>
        <v>0.20248415985419507</v>
      </c>
      <c r="AY37" s="661"/>
      <c r="AZ37" s="658">
        <f>+BA33</f>
        <v>823.10739969610347</v>
      </c>
      <c r="BA37" s="659"/>
      <c r="BB37" s="658">
        <f>+BC33</f>
        <v>492.04251854061584</v>
      </c>
      <c r="BC37" s="659"/>
      <c r="BD37" s="658">
        <f>+BE33</f>
        <v>6.3263870301165506</v>
      </c>
      <c r="BE37" s="668"/>
      <c r="BF37" s="657">
        <f>+BG33</f>
        <v>0.89079472610344168</v>
      </c>
      <c r="BG37" s="624"/>
      <c r="BH37" s="623">
        <f>+BI33</f>
        <v>0.89079472610344168</v>
      </c>
      <c r="BI37" s="624"/>
      <c r="BJ37" s="658">
        <f>+BK33</f>
        <v>1394.1029999999998</v>
      </c>
      <c r="BK37" s="659"/>
      <c r="BL37" s="660">
        <f>+BM33</f>
        <v>2.7063997423432848</v>
      </c>
      <c r="BM37" s="661"/>
      <c r="BN37" s="660">
        <f>+BO33</f>
        <v>0</v>
      </c>
      <c r="BO37" s="661"/>
      <c r="BP37" s="658">
        <f>+BQ33</f>
        <v>1148.9756352292482</v>
      </c>
      <c r="BQ37" s="659"/>
      <c r="BR37" s="658">
        <f>+BS33</f>
        <v>0</v>
      </c>
      <c r="BS37" s="668"/>
      <c r="BT37" s="657">
        <f>+BU33</f>
        <v>0.88250458205810622</v>
      </c>
      <c r="BU37" s="624"/>
      <c r="BV37" s="623">
        <f>+BW33</f>
        <v>0.88250458205810622</v>
      </c>
      <c r="BW37" s="624"/>
      <c r="BX37" s="658">
        <f>+BY33</f>
        <v>1387.3030000000003</v>
      </c>
      <c r="BY37" s="659"/>
      <c r="BZ37" s="664">
        <f>+CA33</f>
        <v>79.985776366492942</v>
      </c>
      <c r="CA37" s="664"/>
      <c r="CB37" s="664">
        <f>+CC33</f>
        <v>2.0503812072777174</v>
      </c>
      <c r="CC37" s="664"/>
      <c r="CD37" s="664">
        <f>+CE33</f>
        <v>0.20507416188100216</v>
      </c>
      <c r="CE37" s="664"/>
      <c r="CF37" s="658">
        <f>+CG33</f>
        <v>562.52897888925327</v>
      </c>
      <c r="CG37" s="659"/>
      <c r="CH37" s="669">
        <f>+CI33</f>
        <v>497.97583916419126</v>
      </c>
      <c r="CI37" s="669"/>
      <c r="CJ37" s="669">
        <f>+CK33</f>
        <v>0</v>
      </c>
      <c r="CK37" s="801"/>
      <c r="CL37" s="578"/>
      <c r="CM37" s="578"/>
      <c r="CN37" s="578"/>
      <c r="CO37" s="578"/>
      <c r="CP37" s="578"/>
      <c r="CQ37" s="578"/>
      <c r="CR37" s="578"/>
      <c r="CS37" s="578"/>
      <c r="CT37" s="578"/>
      <c r="CU37" s="578"/>
      <c r="CV37" s="578"/>
      <c r="CW37" s="578"/>
      <c r="CX37" s="578"/>
      <c r="CY37" s="578"/>
      <c r="CZ37" s="578"/>
      <c r="DA37" s="578"/>
      <c r="DB37" s="578"/>
      <c r="DC37" s="578"/>
      <c r="DD37" s="578"/>
      <c r="DE37" s="578"/>
      <c r="DF37" s="578"/>
      <c r="DG37" s="578"/>
      <c r="DH37" s="578"/>
      <c r="DI37" s="578"/>
      <c r="DJ37" s="578"/>
      <c r="DK37" s="578"/>
      <c r="DL37" s="578"/>
      <c r="DM37" s="578"/>
      <c r="DN37" s="578"/>
      <c r="DO37" s="578"/>
      <c r="DP37" s="578"/>
      <c r="DQ37" s="578"/>
      <c r="DR37" s="578"/>
      <c r="DS37" s="578"/>
      <c r="DT37" s="578"/>
      <c r="DU37" s="578"/>
      <c r="DV37" s="578"/>
      <c r="DW37" s="578"/>
      <c r="DX37" s="578"/>
      <c r="DY37" s="578"/>
      <c r="DZ37" s="578"/>
      <c r="EA37" s="578"/>
      <c r="EB37" s="578"/>
      <c r="EC37" s="578"/>
      <c r="ED37" s="578"/>
      <c r="EE37" s="578"/>
      <c r="EF37" s="578"/>
      <c r="EG37" s="578"/>
      <c r="EH37" s="578"/>
      <c r="EI37" s="578"/>
      <c r="EJ37" s="578"/>
      <c r="EK37" s="578"/>
      <c r="EL37" s="578"/>
      <c r="EM37" s="578"/>
      <c r="EN37" s="578"/>
      <c r="EO37" s="578"/>
      <c r="EP37" s="578"/>
      <c r="EQ37" s="578"/>
      <c r="ER37" s="578"/>
      <c r="ES37" s="578"/>
      <c r="ET37" s="578"/>
      <c r="EU37" s="578"/>
      <c r="EV37" s="578"/>
      <c r="EW37" s="578"/>
      <c r="EX37" s="578"/>
      <c r="EY37" s="578"/>
      <c r="EZ37" s="578"/>
      <c r="FA37" s="578"/>
      <c r="FB37" s="578"/>
      <c r="FC37" s="578"/>
      <c r="FD37" s="578"/>
      <c r="FE37" s="578"/>
      <c r="FF37" s="578"/>
      <c r="FG37" s="578"/>
      <c r="FH37" s="578"/>
      <c r="FI37" s="578"/>
      <c r="FJ37" s="578"/>
      <c r="FK37" s="578"/>
      <c r="FL37" s="578"/>
      <c r="FM37" s="578"/>
      <c r="FN37" s="578"/>
      <c r="FO37" s="578"/>
      <c r="FP37" s="578"/>
      <c r="FQ37" s="578"/>
      <c r="FR37" s="578"/>
      <c r="FS37" s="578"/>
      <c r="FT37" s="578"/>
      <c r="FU37" s="578"/>
      <c r="FV37" s="578"/>
      <c r="FW37" s="578"/>
      <c r="FX37" s="578"/>
      <c r="FY37" s="578"/>
      <c r="FZ37" s="578"/>
      <c r="GA37" s="578"/>
      <c r="GB37" s="578"/>
      <c r="GC37" s="578"/>
      <c r="GD37" s="578"/>
      <c r="GE37" s="578"/>
      <c r="GF37" s="578"/>
      <c r="GG37" s="578"/>
      <c r="GH37" s="578"/>
      <c r="GI37" s="578"/>
      <c r="GJ37" s="578"/>
      <c r="GK37" s="578"/>
      <c r="GL37" s="578"/>
      <c r="GM37" s="578"/>
      <c r="GN37" s="578"/>
      <c r="GO37" s="578"/>
      <c r="GP37" s="578"/>
      <c r="GQ37" s="578"/>
      <c r="GR37" s="578"/>
      <c r="GS37" s="578"/>
      <c r="GT37" s="578"/>
      <c r="GU37" s="578"/>
      <c r="GV37" s="578"/>
      <c r="GW37" s="578"/>
      <c r="GX37" s="578"/>
      <c r="GY37" s="578"/>
      <c r="GZ37" s="578"/>
      <c r="HA37" s="578"/>
      <c r="HB37" s="578"/>
      <c r="HC37" s="578"/>
      <c r="HD37" s="578"/>
      <c r="HE37" s="578"/>
      <c r="HF37" s="578"/>
      <c r="HG37" s="578"/>
      <c r="HH37" s="578"/>
      <c r="HI37" s="578"/>
      <c r="HJ37" s="578"/>
      <c r="HK37" s="578"/>
      <c r="HL37" s="578"/>
      <c r="HM37" s="578"/>
      <c r="HN37" s="578"/>
      <c r="HO37" s="578"/>
      <c r="HP37" s="578"/>
      <c r="HQ37" s="578"/>
      <c r="HR37" s="578"/>
      <c r="HS37" s="578"/>
      <c r="HT37" s="578"/>
      <c r="HU37" s="578"/>
      <c r="HV37" s="578"/>
      <c r="HW37" s="578"/>
      <c r="HX37" s="578"/>
      <c r="HY37" s="578"/>
      <c r="HZ37" s="578"/>
      <c r="IA37" s="578"/>
      <c r="IB37" s="578"/>
      <c r="IC37" s="578"/>
      <c r="ID37" s="578"/>
      <c r="IE37" s="578"/>
      <c r="IF37" s="578"/>
      <c r="IG37" s="578"/>
      <c r="IH37" s="578"/>
      <c r="II37" s="578"/>
      <c r="IJ37" s="578"/>
      <c r="IK37" s="578"/>
      <c r="IL37" s="578"/>
      <c r="IM37" s="578"/>
      <c r="IN37" s="578"/>
      <c r="IO37" s="578"/>
      <c r="IP37" s="578"/>
      <c r="IQ37" s="578"/>
      <c r="IR37" s="578"/>
      <c r="IS37" s="578"/>
      <c r="IT37" s="578"/>
      <c r="IU37" s="578"/>
      <c r="IV37" s="578"/>
      <c r="IW37" s="578"/>
      <c r="IX37" s="578"/>
      <c r="IY37" s="578"/>
      <c r="IZ37" s="578"/>
      <c r="JA37" s="578"/>
      <c r="JB37" s="578"/>
      <c r="JC37" s="578"/>
      <c r="JD37" s="578"/>
      <c r="JE37" s="578"/>
      <c r="JF37" s="578"/>
      <c r="JG37" s="578"/>
      <c r="JH37" s="578"/>
      <c r="JI37" s="578"/>
      <c r="JJ37" s="578"/>
      <c r="JK37" s="578"/>
      <c r="JL37" s="578"/>
      <c r="JM37" s="578"/>
      <c r="JN37" s="578"/>
      <c r="JO37" s="578"/>
      <c r="JP37" s="578"/>
      <c r="JQ37" s="578"/>
      <c r="JR37" s="578"/>
      <c r="JS37" s="578"/>
      <c r="JT37" s="578"/>
      <c r="JU37" s="578"/>
      <c r="JV37" s="578"/>
      <c r="JW37" s="578"/>
      <c r="JX37" s="578"/>
      <c r="JY37" s="578"/>
      <c r="JZ37" s="578"/>
      <c r="KA37" s="578"/>
      <c r="KB37" s="578"/>
      <c r="KC37" s="578"/>
      <c r="KD37" s="578"/>
      <c r="KE37" s="578"/>
      <c r="KF37" s="578"/>
      <c r="KG37" s="578"/>
      <c r="KH37" s="578"/>
      <c r="KI37" s="578"/>
      <c r="KJ37" s="578"/>
      <c r="KK37" s="578"/>
      <c r="KL37" s="578"/>
      <c r="KM37" s="578"/>
      <c r="KN37" s="578"/>
      <c r="KO37" s="578"/>
      <c r="KP37" s="578"/>
      <c r="KQ37" s="578"/>
      <c r="KR37" s="578"/>
      <c r="KS37" s="578"/>
      <c r="KT37" s="578"/>
      <c r="KU37" s="578"/>
      <c r="KV37" s="578"/>
      <c r="KW37" s="578"/>
      <c r="KX37" s="578"/>
      <c r="KY37" s="578"/>
      <c r="KZ37" s="578"/>
      <c r="LA37" s="578"/>
      <c r="LB37" s="578"/>
      <c r="LC37" s="578"/>
      <c r="LD37" s="578"/>
      <c r="LE37" s="578"/>
      <c r="LF37" s="578"/>
      <c r="LG37" s="578"/>
      <c r="LH37" s="578"/>
      <c r="LI37" s="578"/>
      <c r="LJ37" s="578"/>
      <c r="LK37" s="578"/>
      <c r="LL37" s="578"/>
      <c r="LM37" s="578"/>
      <c r="LN37" s="578"/>
      <c r="LO37" s="578"/>
      <c r="LP37" s="578"/>
      <c r="LQ37" s="578"/>
      <c r="LR37" s="578"/>
      <c r="LS37" s="578"/>
      <c r="LT37" s="578"/>
      <c r="LU37" s="578"/>
      <c r="LV37" s="578"/>
      <c r="LW37" s="578"/>
      <c r="LX37" s="578"/>
      <c r="LY37" s="578"/>
      <c r="LZ37" s="578"/>
      <c r="MA37" s="578"/>
      <c r="MB37" s="578"/>
      <c r="MC37" s="578"/>
      <c r="MD37" s="578"/>
      <c r="ME37" s="578"/>
      <c r="MF37" s="578"/>
      <c r="MG37" s="578"/>
      <c r="MH37" s="578"/>
      <c r="MI37" s="578"/>
      <c r="MJ37" s="578"/>
      <c r="MK37" s="578"/>
      <c r="ML37" s="578"/>
      <c r="MM37" s="578"/>
      <c r="MN37" s="578"/>
      <c r="MO37" s="578"/>
      <c r="MP37" s="578"/>
      <c r="MQ37" s="578"/>
      <c r="MR37" s="578"/>
      <c r="MS37" s="578"/>
      <c r="MT37" s="578"/>
      <c r="MU37" s="578"/>
      <c r="MV37" s="578"/>
      <c r="MW37" s="578"/>
      <c r="MX37" s="578"/>
      <c r="MY37" s="578"/>
      <c r="MZ37" s="578"/>
      <c r="NA37" s="578"/>
      <c r="NB37" s="578"/>
      <c r="NC37" s="578"/>
      <c r="ND37" s="578"/>
      <c r="NE37" s="578"/>
      <c r="NF37" s="578"/>
      <c r="NG37" s="578"/>
      <c r="NH37" s="578"/>
      <c r="NI37" s="578"/>
      <c r="NJ37" s="578"/>
      <c r="NK37" s="578"/>
      <c r="NL37" s="578"/>
      <c r="NM37" s="578"/>
      <c r="NN37" s="578"/>
      <c r="NO37" s="578"/>
      <c r="NP37" s="578"/>
      <c r="NQ37" s="578"/>
      <c r="NR37" s="578"/>
      <c r="NS37" s="578"/>
      <c r="NT37" s="578"/>
      <c r="NU37" s="578"/>
      <c r="NV37" s="578"/>
      <c r="NW37" s="578"/>
      <c r="NX37" s="578"/>
      <c r="NY37" s="578"/>
      <c r="NZ37" s="578"/>
      <c r="OA37" s="578"/>
      <c r="OB37" s="578"/>
      <c r="OC37" s="578"/>
      <c r="OD37" s="578"/>
      <c r="OE37" s="578"/>
      <c r="OF37" s="578"/>
      <c r="OG37" s="578"/>
      <c r="OH37" s="578"/>
      <c r="OI37" s="578"/>
      <c r="OJ37" s="578"/>
      <c r="OK37" s="578"/>
      <c r="OL37" s="578"/>
      <c r="OM37" s="578"/>
      <c r="ON37" s="578"/>
      <c r="OO37" s="578"/>
      <c r="OP37" s="578"/>
      <c r="OQ37" s="578"/>
      <c r="OR37" s="578"/>
      <c r="OS37" s="578"/>
      <c r="OT37" s="578"/>
      <c r="OU37" s="578"/>
      <c r="OV37" s="578"/>
      <c r="OW37" s="578"/>
      <c r="OX37" s="578"/>
      <c r="OY37" s="578"/>
      <c r="OZ37" s="578"/>
      <c r="PA37" s="578"/>
      <c r="PB37" s="578"/>
      <c r="PC37" s="578"/>
      <c r="PD37" s="578"/>
      <c r="PE37" s="578"/>
      <c r="PF37" s="578"/>
      <c r="PG37" s="578"/>
      <c r="PH37" s="578"/>
      <c r="PI37" s="578"/>
      <c r="PJ37" s="578"/>
      <c r="PK37" s="578"/>
      <c r="PL37" s="578"/>
      <c r="PM37" s="578"/>
      <c r="PN37" s="578"/>
      <c r="PO37" s="578"/>
      <c r="PP37" s="578"/>
      <c r="PQ37" s="578"/>
      <c r="PR37" s="578"/>
      <c r="PS37" s="578"/>
      <c r="PT37" s="578"/>
      <c r="PU37" s="578"/>
      <c r="PV37" s="578"/>
      <c r="PW37" s="578"/>
      <c r="PX37" s="578"/>
      <c r="PY37" s="578"/>
      <c r="PZ37" s="578"/>
      <c r="QA37" s="578"/>
      <c r="QB37" s="578"/>
      <c r="QC37" s="578"/>
      <c r="QD37" s="578"/>
      <c r="QE37" s="578"/>
      <c r="QF37" s="578"/>
      <c r="QG37" s="578"/>
      <c r="QH37" s="578"/>
      <c r="QI37" s="578"/>
      <c r="QJ37" s="578"/>
      <c r="QK37" s="578"/>
      <c r="QL37" s="578"/>
      <c r="QM37" s="578"/>
      <c r="QN37" s="578"/>
      <c r="QO37" s="578"/>
      <c r="QP37" s="578"/>
      <c r="QQ37" s="578"/>
      <c r="QR37" s="578"/>
      <c r="QS37" s="578"/>
      <c r="QT37" s="578"/>
      <c r="QU37" s="578"/>
      <c r="QV37" s="578"/>
      <c r="QW37" s="578"/>
      <c r="QX37" s="578"/>
      <c r="QY37" s="578"/>
      <c r="QZ37" s="578"/>
      <c r="RA37" s="578"/>
      <c r="RB37" s="578"/>
      <c r="RC37" s="578"/>
      <c r="RD37" s="578"/>
      <c r="RE37" s="578"/>
      <c r="RF37" s="578"/>
      <c r="RG37" s="578"/>
      <c r="RH37" s="578"/>
      <c r="RI37" s="578"/>
      <c r="RJ37" s="578"/>
      <c r="RK37" s="578"/>
      <c r="RL37" s="578"/>
      <c r="RM37" s="578"/>
      <c r="RN37" s="578"/>
      <c r="RO37" s="578"/>
      <c r="RP37" s="578"/>
      <c r="RQ37" s="578"/>
      <c r="RR37" s="578"/>
      <c r="RS37" s="578"/>
      <c r="RT37" s="578"/>
      <c r="RU37" s="578"/>
      <c r="RV37" s="578"/>
      <c r="RW37" s="578"/>
      <c r="RX37" s="578"/>
      <c r="RY37" s="578"/>
      <c r="RZ37" s="578"/>
      <c r="SA37" s="578"/>
      <c r="SB37" s="578"/>
      <c r="SC37" s="578"/>
      <c r="SD37" s="578"/>
      <c r="SE37" s="578"/>
      <c r="SF37" s="578"/>
      <c r="SG37" s="578"/>
      <c r="SH37" s="578"/>
      <c r="SI37" s="578"/>
      <c r="SJ37" s="578"/>
      <c r="SK37" s="578"/>
      <c r="SL37" s="578"/>
      <c r="SM37" s="578"/>
      <c r="SN37" s="578"/>
      <c r="SO37" s="578"/>
      <c r="SP37" s="578"/>
      <c r="SQ37" s="578"/>
      <c r="SR37" s="578"/>
      <c r="SS37" s="578"/>
      <c r="ST37" s="578"/>
      <c r="SU37" s="578"/>
      <c r="SV37" s="578"/>
      <c r="SW37" s="578"/>
      <c r="SX37" s="578"/>
      <c r="SY37" s="578"/>
      <c r="SZ37" s="578"/>
      <c r="TA37" s="578"/>
      <c r="TB37" s="578"/>
      <c r="TC37" s="578"/>
      <c r="TD37" s="578"/>
      <c r="TE37" s="578"/>
      <c r="TF37" s="578"/>
      <c r="TG37" s="578"/>
      <c r="TH37" s="578"/>
      <c r="TI37" s="578"/>
      <c r="TJ37" s="578"/>
      <c r="TK37" s="578"/>
      <c r="TL37" s="578"/>
      <c r="TM37" s="578"/>
      <c r="TN37" s="578"/>
      <c r="TO37" s="578"/>
      <c r="TP37" s="578"/>
      <c r="TQ37" s="578"/>
      <c r="TR37" s="578"/>
      <c r="TS37" s="578"/>
      <c r="TT37" s="578"/>
      <c r="TU37" s="578"/>
      <c r="TV37" s="578"/>
      <c r="TW37" s="578"/>
      <c r="TX37" s="578"/>
      <c r="TY37" s="578"/>
      <c r="TZ37" s="578"/>
      <c r="UA37" s="578"/>
      <c r="UB37" s="578"/>
      <c r="UC37" s="578"/>
      <c r="UD37" s="578"/>
      <c r="UE37" s="578"/>
      <c r="UF37" s="578"/>
      <c r="UG37" s="578"/>
      <c r="UH37" s="578"/>
      <c r="UI37" s="578"/>
      <c r="UJ37" s="578"/>
      <c r="UK37" s="578"/>
      <c r="UL37" s="578"/>
      <c r="UM37" s="578"/>
      <c r="UN37" s="578"/>
      <c r="UO37" s="578"/>
      <c r="UP37" s="578"/>
      <c r="UQ37" s="578"/>
      <c r="UR37" s="578"/>
      <c r="US37" s="578"/>
      <c r="UT37" s="578"/>
      <c r="UU37" s="578"/>
      <c r="UV37" s="578"/>
      <c r="UW37" s="578"/>
      <c r="UX37" s="578"/>
      <c r="UY37" s="578"/>
      <c r="UZ37" s="578"/>
      <c r="VA37" s="578"/>
      <c r="VB37" s="578"/>
      <c r="VC37" s="578"/>
      <c r="VD37" s="578"/>
      <c r="VE37" s="578"/>
      <c r="VF37" s="578"/>
      <c r="VG37" s="578"/>
      <c r="VH37" s="578"/>
      <c r="VI37" s="578"/>
      <c r="VJ37" s="578"/>
      <c r="VK37" s="578"/>
      <c r="VL37" s="578"/>
      <c r="VM37" s="578"/>
      <c r="VN37" s="578"/>
      <c r="VO37" s="578"/>
      <c r="VP37" s="578"/>
      <c r="VQ37" s="578"/>
      <c r="VR37" s="578"/>
      <c r="VS37" s="578"/>
      <c r="VT37" s="578"/>
      <c r="VU37" s="578"/>
      <c r="VV37" s="578"/>
      <c r="VW37" s="578"/>
      <c r="VX37" s="578"/>
      <c r="VY37" s="578"/>
      <c r="VZ37" s="578"/>
      <c r="WA37" s="578"/>
      <c r="WB37" s="578"/>
      <c r="WC37" s="578"/>
      <c r="WD37" s="578"/>
      <c r="WE37" s="578"/>
      <c r="WF37" s="578"/>
      <c r="WG37" s="578"/>
      <c r="WH37" s="578"/>
      <c r="WI37" s="578"/>
      <c r="WJ37" s="578"/>
      <c r="WK37" s="578"/>
      <c r="WL37" s="578"/>
      <c r="WM37" s="578"/>
      <c r="WN37" s="578"/>
      <c r="WO37" s="578"/>
      <c r="WP37" s="578"/>
      <c r="WQ37" s="578"/>
      <c r="WR37" s="578"/>
      <c r="WS37" s="578"/>
      <c r="WT37" s="578"/>
      <c r="WU37" s="578"/>
      <c r="WV37" s="578"/>
      <c r="WW37" s="578"/>
      <c r="WX37" s="578"/>
      <c r="WY37" s="578"/>
      <c r="WZ37" s="578"/>
      <c r="XA37" s="578"/>
      <c r="XB37" s="578"/>
      <c r="XC37" s="578"/>
      <c r="XD37" s="578"/>
      <c r="XE37" s="578"/>
      <c r="XF37" s="578"/>
      <c r="XG37" s="578"/>
      <c r="XH37" s="578"/>
      <c r="XI37" s="578"/>
      <c r="XJ37" s="578"/>
      <c r="XK37" s="578"/>
      <c r="XL37" s="578"/>
      <c r="XM37" s="578"/>
      <c r="XN37" s="578"/>
      <c r="XO37" s="578"/>
      <c r="XP37" s="578"/>
      <c r="XQ37" s="578"/>
      <c r="XR37" s="578"/>
      <c r="XS37" s="578"/>
      <c r="XT37" s="578"/>
      <c r="XU37" s="578"/>
      <c r="XV37" s="578"/>
      <c r="XW37" s="578"/>
      <c r="XX37" s="578"/>
      <c r="XY37" s="578"/>
      <c r="XZ37" s="578"/>
      <c r="YA37" s="578"/>
      <c r="YB37" s="578"/>
      <c r="YC37" s="578"/>
      <c r="YD37" s="578"/>
      <c r="YE37" s="578"/>
      <c r="YF37" s="578"/>
      <c r="YG37" s="578"/>
      <c r="YH37" s="578"/>
      <c r="YI37" s="578"/>
      <c r="YJ37" s="578"/>
      <c r="YK37" s="578"/>
      <c r="YL37" s="578"/>
      <c r="YM37" s="578"/>
      <c r="YN37" s="578"/>
      <c r="YO37" s="578"/>
      <c r="YP37" s="578"/>
      <c r="YQ37" s="578"/>
      <c r="YR37" s="578"/>
      <c r="YS37" s="578"/>
      <c r="YT37" s="578"/>
      <c r="YU37" s="578"/>
      <c r="YV37" s="578"/>
      <c r="YW37" s="578"/>
      <c r="YX37" s="578"/>
      <c r="YY37" s="578"/>
      <c r="YZ37" s="578"/>
      <c r="ZA37" s="578"/>
      <c r="ZB37" s="578"/>
      <c r="ZC37" s="578"/>
      <c r="ZD37" s="578"/>
      <c r="ZE37" s="578"/>
      <c r="ZF37" s="578"/>
      <c r="ZG37" s="578"/>
      <c r="ZH37" s="578"/>
      <c r="ZI37" s="578"/>
      <c r="ZJ37" s="578"/>
      <c r="ZK37" s="578"/>
      <c r="ZL37" s="578"/>
      <c r="ZM37" s="578"/>
      <c r="ZN37" s="578"/>
      <c r="ZO37" s="578"/>
      <c r="ZP37" s="578"/>
      <c r="ZQ37" s="578"/>
      <c r="ZR37" s="578"/>
      <c r="ZS37" s="578"/>
      <c r="ZT37" s="578"/>
      <c r="ZU37" s="578"/>
      <c r="ZV37" s="578"/>
      <c r="ZW37" s="578"/>
      <c r="ZX37" s="578"/>
      <c r="ZY37" s="578"/>
      <c r="ZZ37" s="578"/>
      <c r="AAA37" s="578"/>
      <c r="AAB37" s="578"/>
      <c r="AAC37" s="578"/>
      <c r="AAD37" s="578"/>
      <c r="AAE37" s="578"/>
      <c r="AAF37" s="578"/>
      <c r="AAG37" s="578"/>
      <c r="AAH37" s="578"/>
      <c r="AAI37" s="578"/>
      <c r="AAJ37" s="578"/>
      <c r="AAK37" s="578"/>
      <c r="AAL37" s="578"/>
      <c r="AAM37" s="578"/>
      <c r="AAN37" s="578"/>
      <c r="AAO37" s="578"/>
      <c r="AAP37" s="578"/>
      <c r="AAQ37" s="578"/>
      <c r="AAR37" s="578"/>
      <c r="AAS37" s="578"/>
      <c r="AAT37" s="578"/>
      <c r="AAU37" s="578"/>
      <c r="AAV37" s="578"/>
      <c r="AAW37" s="578"/>
      <c r="AAX37" s="578"/>
      <c r="AAY37" s="578"/>
      <c r="AAZ37" s="578"/>
      <c r="ABA37" s="578"/>
      <c r="ABB37" s="578"/>
      <c r="ABC37" s="578"/>
      <c r="ABD37" s="578"/>
      <c r="ABE37" s="578"/>
      <c r="ABF37" s="578"/>
      <c r="ABG37" s="578"/>
      <c r="ABH37" s="578"/>
      <c r="ABI37" s="578"/>
      <c r="ABJ37" s="578"/>
      <c r="ABK37" s="578"/>
      <c r="ABL37" s="578"/>
      <c r="ABM37" s="578"/>
      <c r="ABN37" s="578"/>
      <c r="ABO37" s="578"/>
      <c r="ABP37" s="578"/>
      <c r="ABQ37" s="578"/>
      <c r="ABR37" s="578"/>
      <c r="ABS37" s="578"/>
      <c r="ABT37" s="578"/>
      <c r="ABU37" s="578"/>
      <c r="ABV37" s="578"/>
      <c r="ABW37" s="578"/>
      <c r="ABX37" s="578"/>
      <c r="ABY37" s="578"/>
      <c r="ABZ37" s="578"/>
      <c r="ACA37" s="578"/>
      <c r="ACB37" s="578"/>
      <c r="ACC37" s="578"/>
      <c r="ACD37" s="578"/>
      <c r="ACE37" s="578"/>
      <c r="ACF37" s="578"/>
      <c r="ACG37" s="578"/>
      <c r="ACH37" s="578"/>
      <c r="ACI37" s="578"/>
      <c r="ACJ37" s="578"/>
      <c r="ACK37" s="578"/>
      <c r="ACL37" s="578"/>
      <c r="ACM37" s="578"/>
      <c r="ACN37" s="578"/>
      <c r="ACO37" s="578"/>
      <c r="ACP37" s="578"/>
      <c r="ACQ37" s="578"/>
      <c r="ACR37" s="578"/>
      <c r="ACS37" s="578"/>
      <c r="ACT37" s="578"/>
      <c r="ACU37" s="578"/>
      <c r="ACV37" s="578"/>
      <c r="ACW37" s="578"/>
      <c r="ACX37" s="578"/>
      <c r="ACY37" s="578"/>
      <c r="ACZ37" s="578"/>
      <c r="ADA37" s="578"/>
      <c r="ADB37" s="578"/>
      <c r="ADC37" s="578"/>
      <c r="ADD37" s="578"/>
      <c r="ADE37" s="578"/>
      <c r="ADF37" s="578"/>
      <c r="ADG37" s="578"/>
      <c r="ADH37" s="578"/>
      <c r="ADI37" s="578"/>
      <c r="ADJ37" s="578"/>
      <c r="ADK37" s="578"/>
      <c r="ADL37" s="578"/>
      <c r="ADM37" s="578"/>
      <c r="ADN37" s="578"/>
      <c r="ADO37" s="578"/>
      <c r="ADP37" s="578"/>
      <c r="ADQ37" s="578"/>
      <c r="ADR37" s="578"/>
      <c r="ADS37" s="578"/>
      <c r="ADT37" s="578"/>
      <c r="ADU37" s="578"/>
      <c r="ADV37" s="578"/>
      <c r="ADW37" s="578"/>
      <c r="ADX37" s="578"/>
      <c r="ADY37" s="578"/>
      <c r="ADZ37" s="578"/>
      <c r="AEA37" s="578"/>
      <c r="AEB37" s="578"/>
      <c r="AEC37" s="578"/>
      <c r="AED37" s="578"/>
      <c r="AEE37" s="578"/>
      <c r="AEF37" s="578"/>
      <c r="AEG37" s="578"/>
      <c r="AEH37" s="578"/>
      <c r="AEI37" s="578"/>
      <c r="AEJ37" s="578"/>
      <c r="AEK37" s="578"/>
      <c r="AEL37" s="578"/>
      <c r="AEM37" s="578"/>
      <c r="AEN37" s="578"/>
      <c r="AEO37" s="578"/>
      <c r="AEP37" s="578"/>
      <c r="AEQ37" s="578"/>
      <c r="AER37" s="578"/>
      <c r="AES37" s="578"/>
      <c r="AET37" s="578"/>
      <c r="AEU37" s="578"/>
      <c r="AEV37" s="578"/>
      <c r="AEW37" s="578"/>
      <c r="AEX37" s="578"/>
      <c r="AEY37" s="578"/>
      <c r="AEZ37" s="578"/>
      <c r="AFA37" s="578"/>
      <c r="AFB37" s="578"/>
      <c r="AFC37" s="578"/>
      <c r="AFD37" s="578"/>
      <c r="AFE37" s="578"/>
      <c r="AFF37" s="578"/>
      <c r="AFG37" s="578"/>
      <c r="AFH37" s="578"/>
      <c r="AFI37" s="578"/>
      <c r="AFJ37" s="578"/>
      <c r="AFK37" s="578"/>
      <c r="AFL37" s="578"/>
      <c r="AFM37" s="578"/>
      <c r="AFN37" s="578"/>
      <c r="AFO37" s="578"/>
      <c r="AFP37" s="578"/>
      <c r="AFQ37" s="578"/>
      <c r="AFR37" s="578"/>
      <c r="AFS37" s="578"/>
      <c r="AFT37" s="578"/>
      <c r="AFU37" s="578"/>
      <c r="AFV37" s="578"/>
      <c r="AFW37" s="578"/>
      <c r="AFX37" s="578"/>
      <c r="AFY37" s="578"/>
      <c r="AFZ37" s="578"/>
      <c r="AGA37" s="578"/>
      <c r="AGB37" s="578"/>
      <c r="AGC37" s="578"/>
      <c r="AGD37" s="578"/>
      <c r="AGE37" s="578"/>
      <c r="AGF37" s="578"/>
      <c r="AGG37" s="578"/>
      <c r="AGH37" s="578"/>
      <c r="AGI37" s="578"/>
      <c r="AGJ37" s="578"/>
      <c r="AGK37" s="578"/>
      <c r="AGL37" s="578"/>
      <c r="AGM37" s="578"/>
      <c r="AGN37" s="578"/>
      <c r="AGO37" s="578"/>
      <c r="AGP37" s="578"/>
      <c r="AGQ37" s="578"/>
      <c r="AGR37" s="578"/>
      <c r="AGS37" s="578"/>
      <c r="AGT37" s="578"/>
      <c r="AGU37" s="578"/>
      <c r="AGV37" s="578"/>
      <c r="AGW37" s="578"/>
      <c r="AGX37" s="578"/>
      <c r="AGY37" s="578"/>
      <c r="AGZ37" s="578"/>
      <c r="AHA37" s="578"/>
      <c r="AHB37" s="578"/>
      <c r="AHC37" s="578"/>
      <c r="AHD37" s="578"/>
      <c r="AHE37" s="578"/>
      <c r="AHF37" s="578"/>
      <c r="AHG37" s="578"/>
      <c r="AHH37" s="578"/>
      <c r="AHI37" s="578"/>
      <c r="AHJ37" s="578"/>
      <c r="AHK37" s="578"/>
      <c r="AHL37" s="578"/>
      <c r="AHM37" s="578"/>
      <c r="AHN37" s="578"/>
      <c r="AHO37" s="578"/>
      <c r="AHP37" s="578"/>
      <c r="AHQ37" s="578"/>
      <c r="AHR37" s="578"/>
      <c r="AHS37" s="578"/>
      <c r="AHT37" s="578"/>
      <c r="AHU37" s="578"/>
      <c r="AHV37" s="578"/>
      <c r="AHW37" s="578"/>
      <c r="AHX37" s="578"/>
      <c r="AHY37" s="578"/>
      <c r="AHZ37" s="578"/>
      <c r="AIA37" s="578"/>
      <c r="AIB37" s="578"/>
      <c r="AIC37" s="578"/>
      <c r="AID37" s="578"/>
      <c r="AIE37" s="578"/>
      <c r="AIF37" s="578"/>
      <c r="AIG37" s="578"/>
      <c r="AIH37" s="578"/>
      <c r="AII37" s="578"/>
      <c r="AIJ37" s="578"/>
      <c r="AIK37" s="578"/>
      <c r="AIL37" s="578"/>
      <c r="AIM37" s="578"/>
      <c r="AIN37" s="578"/>
      <c r="AIO37" s="578"/>
      <c r="AIP37" s="578"/>
      <c r="AIQ37" s="578"/>
      <c r="AIR37" s="578"/>
      <c r="AIS37" s="578"/>
      <c r="AIT37" s="578"/>
      <c r="AIU37" s="578"/>
      <c r="AIV37" s="578"/>
      <c r="AIW37" s="578"/>
      <c r="AIX37" s="578"/>
      <c r="AIY37" s="578"/>
      <c r="AIZ37" s="578"/>
      <c r="AJA37" s="578"/>
      <c r="AJB37" s="578"/>
      <c r="AJC37" s="578"/>
      <c r="AJD37" s="578"/>
      <c r="AJE37" s="578"/>
      <c r="AJF37" s="578"/>
      <c r="AJG37" s="578"/>
      <c r="AJH37" s="578"/>
      <c r="AJI37" s="578"/>
      <c r="AJJ37" s="578"/>
      <c r="AJK37" s="578"/>
      <c r="AJL37" s="578"/>
      <c r="AJM37" s="578"/>
      <c r="AJN37" s="578"/>
      <c r="AJO37" s="578"/>
      <c r="AJP37" s="578"/>
      <c r="AJQ37" s="578"/>
      <c r="AJR37" s="578"/>
      <c r="AJS37" s="578"/>
      <c r="AJT37" s="578"/>
      <c r="AJU37" s="578"/>
      <c r="AJV37" s="578"/>
      <c r="AJW37" s="578"/>
      <c r="AJX37" s="578"/>
      <c r="AJY37" s="578"/>
      <c r="AJZ37" s="578"/>
      <c r="AKA37" s="578"/>
      <c r="AKB37" s="578"/>
      <c r="AKC37" s="578"/>
      <c r="AKD37" s="578"/>
      <c r="AKE37" s="578"/>
      <c r="AKF37" s="578"/>
      <c r="AKG37" s="578"/>
      <c r="AKH37" s="578"/>
      <c r="AKI37" s="578"/>
      <c r="AKJ37" s="578"/>
      <c r="AKK37" s="578"/>
      <c r="AKL37" s="578"/>
      <c r="AKM37" s="578"/>
      <c r="AKN37" s="578"/>
      <c r="AKO37" s="578"/>
      <c r="AKP37" s="578"/>
      <c r="AKQ37" s="578"/>
      <c r="AKR37" s="578"/>
      <c r="AKS37" s="578"/>
      <c r="AKT37" s="578"/>
      <c r="AKU37" s="578"/>
      <c r="AKV37" s="578"/>
      <c r="AKW37" s="578"/>
      <c r="AKX37" s="578"/>
      <c r="AKY37" s="578"/>
      <c r="AKZ37" s="578"/>
      <c r="ALA37" s="578"/>
      <c r="ALB37" s="578"/>
      <c r="ALC37" s="578"/>
      <c r="ALD37" s="578"/>
      <c r="ALE37" s="578"/>
      <c r="ALF37" s="578"/>
      <c r="ALG37" s="578"/>
      <c r="ALH37" s="578"/>
      <c r="ALI37" s="578"/>
      <c r="ALJ37" s="578"/>
      <c r="ALK37" s="578"/>
      <c r="ALL37" s="578"/>
      <c r="ALM37" s="578"/>
      <c r="ALN37" s="578"/>
      <c r="ALO37" s="578"/>
      <c r="ALP37" s="578"/>
      <c r="ALQ37" s="578"/>
      <c r="ALR37" s="578"/>
      <c r="ALS37" s="578"/>
      <c r="ALT37" s="578"/>
      <c r="ALU37" s="578"/>
      <c r="ALV37" s="578"/>
      <c r="ALW37" s="578"/>
      <c r="ALX37" s="578"/>
      <c r="ALY37" s="578"/>
      <c r="ALZ37" s="578"/>
      <c r="AMA37" s="578"/>
      <c r="AMB37" s="578"/>
      <c r="AMC37" s="578"/>
      <c r="AMD37" s="578"/>
      <c r="AME37" s="578"/>
      <c r="AMF37" s="578"/>
      <c r="AMG37" s="578"/>
      <c r="AMH37" s="578"/>
      <c r="AMI37" s="578"/>
      <c r="AMJ37" s="578"/>
      <c r="AMK37" s="578"/>
      <c r="AML37" s="578"/>
      <c r="AMM37" s="578"/>
      <c r="AMN37" s="578"/>
      <c r="AMO37" s="578"/>
      <c r="AMP37" s="578"/>
      <c r="AMQ37" s="578"/>
      <c r="AMR37" s="578"/>
      <c r="AMS37" s="578"/>
      <c r="AMT37" s="578"/>
      <c r="AMU37" s="578"/>
      <c r="AMV37" s="578"/>
      <c r="AMW37" s="578"/>
      <c r="AMX37" s="578"/>
      <c r="AMY37" s="578"/>
      <c r="AMZ37" s="578"/>
      <c r="ANA37" s="578"/>
      <c r="ANB37" s="578"/>
      <c r="ANC37" s="578"/>
      <c r="AND37" s="578"/>
      <c r="ANE37" s="578"/>
      <c r="ANF37" s="578"/>
      <c r="ANG37" s="578"/>
      <c r="ANH37" s="578"/>
      <c r="ANI37" s="578"/>
      <c r="ANJ37" s="578"/>
      <c r="ANK37" s="578"/>
      <c r="ANL37" s="578"/>
      <c r="ANM37" s="578"/>
      <c r="ANN37" s="578"/>
      <c r="ANO37" s="578"/>
      <c r="ANP37" s="578"/>
      <c r="ANQ37" s="578"/>
      <c r="ANR37" s="578"/>
      <c r="ANS37" s="578"/>
      <c r="ANT37" s="578"/>
      <c r="ANU37" s="578"/>
      <c r="ANV37" s="578"/>
      <c r="ANW37" s="578"/>
      <c r="ANX37" s="578"/>
      <c r="ANY37" s="578"/>
      <c r="ANZ37" s="578"/>
      <c r="AOA37" s="578"/>
      <c r="AOB37" s="578"/>
      <c r="AOC37" s="578"/>
      <c r="AOD37" s="578"/>
      <c r="AOE37" s="578"/>
      <c r="AOF37" s="578"/>
      <c r="AOG37" s="578"/>
      <c r="AOH37" s="578"/>
      <c r="AOI37" s="578"/>
      <c r="AOJ37" s="578"/>
      <c r="AOK37" s="578"/>
      <c r="AOL37" s="578"/>
      <c r="AOM37" s="578"/>
      <c r="AON37" s="578"/>
      <c r="AOO37" s="578"/>
      <c r="AOP37" s="578"/>
      <c r="AOQ37" s="578"/>
      <c r="AOR37" s="578"/>
      <c r="AOS37" s="578"/>
      <c r="AOT37" s="578"/>
      <c r="AOU37" s="578"/>
      <c r="AOV37" s="578"/>
      <c r="AOW37" s="578"/>
      <c r="AOX37" s="578"/>
      <c r="AOY37" s="578"/>
      <c r="AOZ37" s="578"/>
      <c r="APA37" s="578"/>
      <c r="APB37" s="578"/>
      <c r="APC37" s="578"/>
      <c r="APD37" s="578"/>
      <c r="APE37" s="578"/>
      <c r="APF37" s="578"/>
      <c r="APG37" s="578"/>
      <c r="APH37" s="578"/>
      <c r="API37" s="578"/>
      <c r="APJ37" s="578"/>
      <c r="APK37" s="578"/>
      <c r="APL37" s="578"/>
      <c r="APM37" s="578"/>
      <c r="APN37" s="578"/>
      <c r="APO37" s="578"/>
      <c r="APP37" s="578"/>
      <c r="APQ37" s="578"/>
      <c r="APR37" s="578"/>
      <c r="APS37" s="578"/>
      <c r="APT37" s="578"/>
      <c r="APU37" s="578"/>
      <c r="APV37" s="578"/>
      <c r="APW37" s="578"/>
      <c r="APX37" s="578"/>
      <c r="APY37" s="578"/>
      <c r="APZ37" s="578"/>
      <c r="AQA37" s="578"/>
      <c r="AQB37" s="578"/>
      <c r="AQC37" s="578"/>
      <c r="AQD37" s="578"/>
      <c r="AQE37" s="578"/>
      <c r="AQF37" s="578"/>
      <c r="AQG37" s="578"/>
      <c r="AQH37" s="578"/>
      <c r="AQI37" s="578"/>
      <c r="AQJ37" s="578"/>
      <c r="AQK37" s="578"/>
      <c r="AQL37" s="578"/>
      <c r="AQM37" s="578"/>
      <c r="AQN37" s="578"/>
      <c r="AQO37" s="578"/>
      <c r="AQP37" s="578"/>
      <c r="AQQ37" s="578"/>
      <c r="AQR37" s="578"/>
      <c r="AQS37" s="578"/>
      <c r="AQT37" s="578"/>
      <c r="AQU37" s="578"/>
      <c r="AQV37" s="578"/>
      <c r="AQW37" s="578"/>
      <c r="AQX37" s="578"/>
      <c r="AQY37" s="578"/>
      <c r="AQZ37" s="578"/>
      <c r="ARA37" s="578"/>
      <c r="ARB37" s="578"/>
      <c r="ARC37" s="578"/>
      <c r="ARD37" s="578"/>
      <c r="ARE37" s="578"/>
      <c r="ARF37" s="578"/>
      <c r="ARG37" s="578"/>
      <c r="ARH37" s="578"/>
      <c r="ARI37" s="578"/>
      <c r="ARJ37" s="578"/>
      <c r="ARK37" s="578"/>
      <c r="ARL37" s="578"/>
      <c r="ARM37" s="578"/>
      <c r="ARN37" s="578"/>
      <c r="ARO37" s="578"/>
      <c r="ARP37" s="578"/>
      <c r="ARQ37" s="578"/>
      <c r="ARR37" s="578"/>
      <c r="ARS37" s="578"/>
      <c r="ART37" s="578"/>
      <c r="ARU37" s="578"/>
      <c r="ARV37" s="578"/>
      <c r="ARW37" s="578"/>
      <c r="ARX37" s="578"/>
      <c r="ARY37" s="578"/>
      <c r="ARZ37" s="578"/>
      <c r="ASA37" s="578"/>
      <c r="ASB37" s="578"/>
      <c r="ASC37" s="578"/>
      <c r="ASD37" s="578"/>
      <c r="ASE37" s="578"/>
      <c r="ASF37" s="578"/>
      <c r="ASG37" s="578"/>
      <c r="ASH37" s="578"/>
      <c r="ASI37" s="578"/>
      <c r="ASJ37" s="578"/>
      <c r="ASK37" s="578"/>
      <c r="ASL37" s="578"/>
      <c r="ASM37" s="578"/>
      <c r="ASN37" s="578"/>
      <c r="ASO37" s="578"/>
      <c r="ASP37" s="578"/>
      <c r="ASQ37" s="578"/>
      <c r="ASR37" s="578"/>
      <c r="ASS37" s="578"/>
      <c r="AST37" s="578"/>
      <c r="ASU37" s="578"/>
      <c r="ASV37" s="578"/>
      <c r="ASW37" s="578"/>
      <c r="ASX37" s="578"/>
      <c r="ASY37" s="578"/>
      <c r="ASZ37" s="578"/>
      <c r="ATA37" s="578"/>
      <c r="ATB37" s="578"/>
      <c r="ATC37" s="578"/>
      <c r="ATD37" s="578"/>
      <c r="ATE37" s="578"/>
      <c r="ATF37" s="578"/>
      <c r="ATG37" s="578"/>
      <c r="ATH37" s="578"/>
      <c r="ATI37" s="578"/>
      <c r="ATJ37" s="578"/>
      <c r="ATK37" s="578"/>
      <c r="ATL37" s="578"/>
      <c r="ATM37" s="578"/>
      <c r="ATN37" s="578"/>
      <c r="ATO37" s="578"/>
      <c r="ATP37" s="578"/>
      <c r="ATQ37" s="578"/>
      <c r="ATR37" s="578"/>
      <c r="ATS37" s="578"/>
      <c r="ATT37" s="578"/>
      <c r="ATU37" s="578"/>
      <c r="ATV37" s="578"/>
      <c r="ATW37" s="578"/>
      <c r="ATX37" s="578"/>
      <c r="ATY37" s="578"/>
      <c r="ATZ37" s="578"/>
      <c r="AUA37" s="578"/>
      <c r="AUB37" s="578"/>
      <c r="AUC37" s="578"/>
      <c r="AUD37" s="578"/>
      <c r="AUE37" s="578"/>
      <c r="AUF37" s="578"/>
      <c r="AUG37" s="578"/>
      <c r="AUH37" s="578"/>
      <c r="AUI37" s="578"/>
      <c r="AUJ37" s="578"/>
      <c r="AUK37" s="578"/>
      <c r="AUL37" s="578"/>
      <c r="AUM37" s="578"/>
      <c r="AUN37" s="578"/>
      <c r="AUO37" s="578"/>
      <c r="AUP37" s="578"/>
      <c r="AUQ37" s="578"/>
      <c r="AUR37" s="578"/>
      <c r="AUS37" s="578"/>
      <c r="AUT37" s="578"/>
      <c r="AUU37" s="578"/>
      <c r="AUV37" s="578"/>
      <c r="AUW37" s="578"/>
      <c r="AUX37" s="578"/>
      <c r="AUY37" s="578"/>
      <c r="AUZ37" s="578"/>
      <c r="AVA37" s="578"/>
      <c r="AVB37" s="578"/>
      <c r="AVC37" s="578"/>
      <c r="AVD37" s="578"/>
      <c r="AVE37" s="578"/>
      <c r="AVF37" s="578"/>
      <c r="AVG37" s="578"/>
      <c r="AVH37" s="578"/>
      <c r="AVI37" s="578"/>
      <c r="AVJ37" s="578"/>
      <c r="AVK37" s="578"/>
      <c r="AVL37" s="578"/>
      <c r="AVM37" s="578"/>
      <c r="AVN37" s="578"/>
      <c r="AVO37" s="578"/>
      <c r="AVP37" s="578"/>
      <c r="AVQ37" s="578"/>
      <c r="AVR37" s="578"/>
      <c r="AVS37" s="578"/>
      <c r="AVT37" s="578"/>
      <c r="AVU37" s="578"/>
      <c r="AVV37" s="578"/>
      <c r="AVW37" s="578"/>
      <c r="AVX37" s="578"/>
      <c r="AVY37" s="578"/>
      <c r="AVZ37" s="578"/>
      <c r="AWA37" s="578"/>
      <c r="AWB37" s="578"/>
      <c r="AWC37" s="578"/>
      <c r="AWD37" s="578"/>
      <c r="AWE37" s="578"/>
      <c r="AWF37" s="578"/>
      <c r="AWG37" s="578"/>
      <c r="AWH37" s="578"/>
      <c r="AWI37" s="578"/>
      <c r="AWJ37" s="578"/>
      <c r="AWK37" s="578"/>
      <c r="AWL37" s="578"/>
      <c r="AWM37" s="578"/>
      <c r="AWN37" s="578"/>
      <c r="AWO37" s="578"/>
      <c r="AWP37" s="578"/>
      <c r="AWQ37" s="578"/>
      <c r="AWR37" s="578"/>
      <c r="AWS37" s="578"/>
      <c r="AWT37" s="578"/>
      <c r="AWU37" s="578"/>
      <c r="AWV37" s="578"/>
      <c r="AWW37" s="578"/>
      <c r="AWX37" s="578"/>
      <c r="AWY37" s="578"/>
      <c r="AWZ37" s="578"/>
      <c r="AXA37" s="578"/>
      <c r="AXB37" s="578"/>
      <c r="AXC37" s="578"/>
      <c r="AXD37" s="578"/>
      <c r="AXE37" s="578"/>
      <c r="AXF37" s="578"/>
      <c r="AXG37" s="578"/>
      <c r="AXH37" s="578"/>
      <c r="AXI37" s="578"/>
      <c r="AXJ37" s="578"/>
      <c r="AXK37" s="578"/>
      <c r="AXL37" s="578"/>
      <c r="AXM37" s="578"/>
      <c r="AXN37" s="578"/>
      <c r="AXO37" s="578"/>
      <c r="AXP37" s="578"/>
      <c r="AXQ37" s="578"/>
      <c r="AXR37" s="578"/>
      <c r="AXS37" s="578"/>
      <c r="AXT37" s="578"/>
      <c r="AXU37" s="578"/>
      <c r="AXV37" s="578"/>
      <c r="AXW37" s="578"/>
      <c r="AXX37" s="578"/>
      <c r="AXY37" s="578"/>
      <c r="AXZ37" s="578"/>
      <c r="AYA37" s="578"/>
      <c r="AYB37" s="578"/>
      <c r="AYC37" s="578"/>
      <c r="AYD37" s="578"/>
      <c r="AYE37" s="578"/>
      <c r="AYF37" s="578"/>
      <c r="AYG37" s="578"/>
      <c r="AYH37" s="578"/>
      <c r="AYI37" s="578"/>
      <c r="AYJ37" s="578"/>
      <c r="AYK37" s="578"/>
      <c r="AYL37" s="578"/>
      <c r="AYM37" s="578"/>
      <c r="AYN37" s="578"/>
      <c r="AYO37" s="578"/>
      <c r="AYP37" s="578"/>
      <c r="AYQ37" s="578"/>
      <c r="AYR37" s="578"/>
      <c r="AYS37" s="578"/>
      <c r="AYT37" s="578"/>
      <c r="AYU37" s="578"/>
      <c r="AYV37" s="578"/>
      <c r="AYW37" s="578"/>
      <c r="AYX37" s="578"/>
      <c r="AYY37" s="578"/>
      <c r="AYZ37" s="578"/>
      <c r="AZA37" s="578"/>
      <c r="AZB37" s="578"/>
      <c r="AZC37" s="578"/>
      <c r="AZD37" s="578"/>
      <c r="AZE37" s="578"/>
      <c r="AZF37" s="578"/>
      <c r="AZG37" s="578"/>
      <c r="AZH37" s="578"/>
      <c r="AZI37" s="578"/>
      <c r="AZJ37" s="578"/>
      <c r="AZK37" s="578"/>
      <c r="AZL37" s="578"/>
      <c r="AZM37" s="578"/>
      <c r="AZN37" s="578"/>
      <c r="AZO37" s="578"/>
      <c r="AZP37" s="578"/>
      <c r="AZQ37" s="578"/>
      <c r="AZR37" s="578"/>
      <c r="AZS37" s="578"/>
      <c r="AZT37" s="578"/>
      <c r="AZU37" s="578"/>
      <c r="AZV37" s="578"/>
      <c r="AZW37" s="578"/>
      <c r="AZX37" s="578"/>
      <c r="AZY37" s="578"/>
      <c r="AZZ37" s="578"/>
      <c r="BAA37" s="578"/>
      <c r="BAB37" s="578"/>
      <c r="BAC37" s="578"/>
      <c r="BAD37" s="578"/>
      <c r="BAE37" s="578"/>
      <c r="BAF37" s="578"/>
      <c r="BAG37" s="578"/>
      <c r="BAH37" s="578"/>
      <c r="BAI37" s="578"/>
      <c r="BAJ37" s="578"/>
      <c r="BAK37" s="578"/>
      <c r="BAL37" s="578"/>
      <c r="BAM37" s="578"/>
      <c r="BAN37" s="578"/>
      <c r="BAO37" s="578"/>
      <c r="BAP37" s="578"/>
      <c r="BAQ37" s="578"/>
      <c r="BAR37" s="578"/>
      <c r="BAS37" s="578"/>
      <c r="BAT37" s="578"/>
      <c r="BAU37" s="578"/>
      <c r="BAV37" s="578"/>
      <c r="BAW37" s="578"/>
      <c r="BAX37" s="578"/>
      <c r="BAY37" s="578"/>
      <c r="BAZ37" s="578"/>
      <c r="BBA37" s="578"/>
      <c r="BBB37" s="578"/>
      <c r="BBC37" s="578"/>
      <c r="BBD37" s="578"/>
      <c r="BBE37" s="578"/>
      <c r="BBF37" s="578"/>
      <c r="BBG37" s="578"/>
      <c r="BBH37" s="578"/>
      <c r="BBI37" s="578"/>
      <c r="BBJ37" s="578"/>
      <c r="BBK37" s="578"/>
      <c r="BBL37" s="578"/>
      <c r="BBM37" s="578"/>
      <c r="BBN37" s="578"/>
      <c r="BBO37" s="578"/>
      <c r="BBP37" s="578"/>
      <c r="BBQ37" s="578"/>
      <c r="BBR37" s="578"/>
      <c r="BBS37" s="578"/>
      <c r="BBT37" s="578"/>
      <c r="BBU37" s="578"/>
      <c r="BBV37" s="578"/>
      <c r="BBW37" s="578"/>
      <c r="BBX37" s="578"/>
      <c r="BBY37" s="578"/>
      <c r="BBZ37" s="578"/>
      <c r="BCA37" s="578"/>
      <c r="BCB37" s="578"/>
      <c r="BCC37" s="578"/>
      <c r="BCD37" s="578"/>
      <c r="BCE37" s="578"/>
      <c r="BCF37" s="578"/>
      <c r="BCG37" s="578"/>
      <c r="BCH37" s="578"/>
      <c r="BCI37" s="578"/>
      <c r="BCJ37" s="578"/>
      <c r="BCK37" s="578"/>
      <c r="BCL37" s="578"/>
      <c r="BCM37" s="578"/>
      <c r="BCN37" s="578"/>
      <c r="BCO37" s="578"/>
      <c r="BCP37" s="578"/>
      <c r="BCQ37" s="578"/>
      <c r="BCR37" s="578"/>
      <c r="BCS37" s="578"/>
      <c r="BCT37" s="578"/>
      <c r="BCU37" s="578"/>
      <c r="BCV37" s="578"/>
      <c r="BCW37" s="578"/>
      <c r="BCX37" s="578"/>
      <c r="BCY37" s="578"/>
      <c r="BCZ37" s="578"/>
      <c r="BDA37" s="578"/>
      <c r="BDB37" s="578"/>
      <c r="BDC37" s="578"/>
      <c r="BDD37" s="578"/>
      <c r="BDE37" s="578"/>
      <c r="BDF37" s="578"/>
      <c r="BDG37" s="578"/>
      <c r="BDH37" s="578"/>
      <c r="BDI37" s="578"/>
      <c r="BDJ37" s="578"/>
      <c r="BDK37" s="578"/>
      <c r="BDL37" s="578"/>
      <c r="BDM37" s="578"/>
      <c r="BDN37" s="578"/>
      <c r="BDO37" s="578"/>
      <c r="BDP37" s="578"/>
      <c r="BDQ37" s="578"/>
      <c r="BDR37" s="578"/>
      <c r="BDS37" s="578"/>
      <c r="BDT37" s="578"/>
      <c r="BDU37" s="578"/>
      <c r="BDV37" s="578"/>
      <c r="BDW37" s="578"/>
      <c r="BDX37" s="578"/>
      <c r="BDY37" s="578"/>
      <c r="BDZ37" s="578"/>
      <c r="BEA37" s="578"/>
      <c r="BEB37" s="578"/>
      <c r="BEC37" s="578"/>
      <c r="BED37" s="578"/>
      <c r="BEE37" s="578"/>
      <c r="BEF37" s="578"/>
      <c r="BEG37" s="578"/>
      <c r="BEH37" s="578"/>
      <c r="BEI37" s="578"/>
      <c r="BEJ37" s="578"/>
      <c r="BEK37" s="578"/>
      <c r="BEL37" s="578"/>
      <c r="BEM37" s="578"/>
      <c r="BEN37" s="578"/>
      <c r="BEO37" s="578"/>
      <c r="BEP37" s="578"/>
      <c r="BEQ37" s="578"/>
      <c r="BER37" s="578"/>
      <c r="BES37" s="578"/>
      <c r="BET37" s="578"/>
      <c r="BEU37" s="578"/>
      <c r="BEV37" s="578"/>
      <c r="BEW37" s="578"/>
      <c r="BEX37" s="578"/>
      <c r="BEY37" s="578"/>
      <c r="BEZ37" s="578"/>
      <c r="BFA37" s="578"/>
      <c r="BFB37" s="578"/>
      <c r="BFC37" s="578"/>
      <c r="BFD37" s="578"/>
      <c r="BFE37" s="578"/>
      <c r="BFF37" s="578"/>
      <c r="BFG37" s="578"/>
      <c r="BFH37" s="578"/>
      <c r="BFI37" s="578"/>
      <c r="BFJ37" s="578"/>
      <c r="BFK37" s="578"/>
      <c r="BFL37" s="578"/>
      <c r="BFM37" s="578"/>
      <c r="BFN37" s="578"/>
      <c r="BFO37" s="578"/>
      <c r="BFP37" s="578"/>
      <c r="BFQ37" s="578"/>
      <c r="BFR37" s="578"/>
      <c r="BFS37" s="578"/>
      <c r="BFT37" s="578"/>
      <c r="BFU37" s="578"/>
      <c r="BFV37" s="578"/>
      <c r="BFW37" s="578"/>
      <c r="BFX37" s="578"/>
      <c r="BFY37" s="578"/>
      <c r="BFZ37" s="578"/>
      <c r="BGA37" s="578"/>
      <c r="BGB37" s="578"/>
      <c r="BGC37" s="578"/>
      <c r="BGD37" s="578"/>
      <c r="BGE37" s="578"/>
      <c r="BGF37" s="578"/>
      <c r="BGG37" s="578"/>
      <c r="BGH37" s="578"/>
      <c r="BGI37" s="578"/>
      <c r="BGJ37" s="578"/>
      <c r="BGK37" s="578"/>
      <c r="BGL37" s="578"/>
      <c r="BGM37" s="578"/>
      <c r="BGN37" s="578"/>
      <c r="BGO37" s="578"/>
      <c r="BGP37" s="578"/>
      <c r="BGQ37" s="578"/>
      <c r="BGR37" s="578"/>
      <c r="BGS37" s="578"/>
      <c r="BGT37" s="578"/>
      <c r="BGU37" s="578"/>
      <c r="BGV37" s="578"/>
      <c r="BGW37" s="578"/>
      <c r="BGX37" s="578"/>
      <c r="BGY37" s="578"/>
      <c r="BGZ37" s="578"/>
      <c r="BHA37" s="578"/>
      <c r="BHB37" s="578"/>
      <c r="BHC37" s="578"/>
      <c r="BHD37" s="578"/>
      <c r="BHE37" s="578"/>
      <c r="BHF37" s="578"/>
      <c r="BHG37" s="578"/>
      <c r="BHH37" s="578"/>
      <c r="BHI37" s="578"/>
      <c r="BHJ37" s="578"/>
      <c r="BHK37" s="578"/>
      <c r="BHL37" s="578"/>
      <c r="BHM37" s="578"/>
      <c r="BHN37" s="578"/>
      <c r="BHO37" s="578"/>
      <c r="BHP37" s="578"/>
      <c r="BHQ37" s="578"/>
      <c r="BHR37" s="578"/>
      <c r="BHS37" s="578"/>
      <c r="BHT37" s="578"/>
      <c r="BHU37" s="578"/>
      <c r="BHV37" s="578"/>
      <c r="BHW37" s="578"/>
      <c r="BHX37" s="578"/>
      <c r="BHY37" s="578"/>
      <c r="BHZ37" s="578"/>
      <c r="BIA37" s="578"/>
      <c r="BIB37" s="578"/>
      <c r="BIC37" s="578"/>
      <c r="BID37" s="578"/>
      <c r="BIE37" s="578"/>
      <c r="BIF37" s="578"/>
      <c r="BIG37" s="578"/>
      <c r="BIH37" s="578"/>
      <c r="BII37" s="578"/>
      <c r="BIJ37" s="578"/>
      <c r="BIK37" s="578"/>
      <c r="BIL37" s="578"/>
      <c r="BIM37" s="578"/>
      <c r="BIN37" s="578"/>
      <c r="BIO37" s="578"/>
      <c r="BIP37" s="578"/>
      <c r="BIQ37" s="578"/>
      <c r="BIR37" s="578"/>
      <c r="BIS37" s="578"/>
      <c r="BIT37" s="578"/>
      <c r="BIU37" s="578"/>
      <c r="BIV37" s="578"/>
      <c r="BIW37" s="578"/>
      <c r="BIX37" s="578"/>
      <c r="BIY37" s="578"/>
      <c r="BIZ37" s="578"/>
      <c r="BJA37" s="578"/>
      <c r="BJB37" s="578"/>
      <c r="BJC37" s="578"/>
      <c r="BJD37" s="578"/>
      <c r="BJE37" s="578"/>
      <c r="BJF37" s="578"/>
      <c r="BJG37" s="578"/>
      <c r="BJH37" s="578"/>
      <c r="BJI37" s="578"/>
      <c r="BJJ37" s="578"/>
      <c r="BJK37" s="578"/>
      <c r="BJL37" s="578"/>
      <c r="BJM37" s="578"/>
      <c r="BJN37" s="578"/>
      <c r="BJO37" s="578"/>
      <c r="BJP37" s="578"/>
      <c r="BJQ37" s="578"/>
      <c r="BJR37" s="578"/>
      <c r="BJS37" s="578"/>
      <c r="BJT37" s="578"/>
      <c r="BJU37" s="578"/>
      <c r="BJV37" s="578"/>
      <c r="BJW37" s="578"/>
      <c r="BJX37" s="578"/>
      <c r="BJY37" s="578"/>
      <c r="BJZ37" s="578"/>
      <c r="BKA37" s="578"/>
      <c r="BKB37" s="578"/>
      <c r="BKC37" s="578"/>
      <c r="BKD37" s="578"/>
      <c r="BKE37" s="578"/>
      <c r="BKF37" s="578"/>
      <c r="BKG37" s="578"/>
      <c r="BKH37" s="578"/>
      <c r="BKI37" s="578"/>
      <c r="BKJ37" s="578"/>
      <c r="BKK37" s="578"/>
      <c r="BKL37" s="578"/>
      <c r="BKM37" s="578"/>
      <c r="BKN37" s="578"/>
      <c r="BKO37" s="578"/>
      <c r="BKP37" s="578"/>
      <c r="BKQ37" s="578"/>
      <c r="BKR37" s="578"/>
      <c r="BKS37" s="578"/>
      <c r="BKT37" s="578"/>
      <c r="BKU37" s="578"/>
      <c r="BKV37" s="578"/>
      <c r="BKW37" s="578"/>
      <c r="BKX37" s="578"/>
      <c r="BKY37" s="578"/>
      <c r="BKZ37" s="578"/>
      <c r="BLA37" s="578"/>
      <c r="BLB37" s="578"/>
      <c r="BLC37" s="578"/>
      <c r="BLD37" s="578"/>
      <c r="BLE37" s="578"/>
      <c r="BLF37" s="578"/>
      <c r="BLG37" s="578"/>
      <c r="BLH37" s="578"/>
      <c r="BLI37" s="578"/>
      <c r="BLJ37" s="578"/>
      <c r="BLK37" s="578"/>
      <c r="BLL37" s="578"/>
      <c r="BLM37" s="578"/>
      <c r="BLN37" s="578"/>
      <c r="BLO37" s="578"/>
      <c r="BLP37" s="578"/>
      <c r="BLQ37" s="578"/>
      <c r="BLR37" s="578"/>
      <c r="BLS37" s="578"/>
      <c r="BLT37" s="578"/>
      <c r="BLU37" s="578"/>
      <c r="BLV37" s="578"/>
      <c r="BLW37" s="578"/>
      <c r="BLX37" s="578"/>
      <c r="BLY37" s="578"/>
      <c r="BLZ37" s="578"/>
      <c r="BMA37" s="578"/>
      <c r="BMB37" s="578"/>
      <c r="BMC37" s="578"/>
      <c r="BMD37" s="578"/>
      <c r="BME37" s="578"/>
      <c r="BMF37" s="578"/>
      <c r="BMG37" s="578"/>
      <c r="BMH37" s="578"/>
      <c r="BMI37" s="578"/>
      <c r="BMJ37" s="578"/>
      <c r="BMK37" s="578"/>
      <c r="BML37" s="578"/>
      <c r="BMM37" s="578"/>
      <c r="BMN37" s="578"/>
      <c r="BMO37" s="578"/>
      <c r="BMP37" s="578"/>
      <c r="BMQ37" s="578"/>
      <c r="BMR37" s="578"/>
      <c r="BMS37" s="578"/>
      <c r="BMT37" s="578"/>
      <c r="BMU37" s="578"/>
      <c r="BMV37" s="578"/>
      <c r="BMW37" s="578"/>
      <c r="BMX37" s="578"/>
      <c r="BMY37" s="578"/>
      <c r="BMZ37" s="578"/>
      <c r="BNA37" s="578"/>
      <c r="BNB37" s="578"/>
      <c r="BNC37" s="578"/>
      <c r="BND37" s="578"/>
      <c r="BNE37" s="578"/>
      <c r="BNF37" s="578"/>
      <c r="BNG37" s="578"/>
      <c r="BNH37" s="578"/>
      <c r="BNI37" s="578"/>
      <c r="BNJ37" s="578"/>
      <c r="BNK37" s="578"/>
      <c r="BNL37" s="578"/>
      <c r="BNM37" s="578"/>
      <c r="BNN37" s="578"/>
      <c r="BNO37" s="578"/>
      <c r="BNP37" s="578"/>
      <c r="BNQ37" s="578"/>
      <c r="BNR37" s="578"/>
      <c r="BNS37" s="578"/>
      <c r="BNT37" s="578"/>
      <c r="BNU37" s="578"/>
      <c r="BNV37" s="578"/>
      <c r="BNW37" s="578"/>
      <c r="BNX37" s="578"/>
      <c r="BNY37" s="578"/>
      <c r="BNZ37" s="578"/>
      <c r="BOA37" s="578"/>
      <c r="BOB37" s="578"/>
      <c r="BOC37" s="578"/>
      <c r="BOD37" s="578"/>
      <c r="BOE37" s="578"/>
      <c r="BOF37" s="578"/>
      <c r="BOG37" s="578"/>
      <c r="BOH37" s="578"/>
      <c r="BOI37" s="578"/>
      <c r="BOJ37" s="578"/>
      <c r="BOK37" s="578"/>
      <c r="BOL37" s="578"/>
      <c r="BOM37" s="578"/>
      <c r="BON37" s="578"/>
      <c r="BOO37" s="578"/>
      <c r="BOP37" s="578"/>
      <c r="BOQ37" s="578"/>
      <c r="BOR37" s="578"/>
      <c r="BOS37" s="578"/>
      <c r="BOT37" s="578"/>
      <c r="BOU37" s="578"/>
      <c r="BOV37" s="578"/>
      <c r="BOW37" s="578"/>
      <c r="BOX37" s="578"/>
      <c r="BOY37" s="578"/>
      <c r="BOZ37" s="578"/>
      <c r="BPA37" s="578"/>
      <c r="BPB37" s="578"/>
      <c r="BPC37" s="578"/>
      <c r="BPD37" s="578"/>
      <c r="BPE37" s="578"/>
      <c r="BPF37" s="578"/>
      <c r="BPG37" s="578"/>
      <c r="BPH37" s="578"/>
      <c r="BPI37" s="578"/>
      <c r="BPJ37" s="578"/>
      <c r="BPK37" s="578"/>
      <c r="BPL37" s="578"/>
      <c r="BPM37" s="578"/>
      <c r="BPN37" s="578"/>
      <c r="BPO37" s="578"/>
      <c r="BPP37" s="578"/>
      <c r="BPQ37" s="578"/>
      <c r="BPR37" s="578"/>
      <c r="BPS37" s="578"/>
      <c r="BPT37" s="578"/>
      <c r="BPU37" s="578"/>
      <c r="BPV37" s="578"/>
      <c r="BPW37" s="578"/>
      <c r="BPX37" s="578"/>
      <c r="BPY37" s="578"/>
      <c r="BPZ37" s="578"/>
      <c r="BQA37" s="578"/>
      <c r="BQB37" s="578"/>
      <c r="BQC37" s="578"/>
      <c r="BQD37" s="578"/>
      <c r="BQE37" s="578"/>
      <c r="BQF37" s="578"/>
      <c r="BQG37" s="578"/>
      <c r="BQH37" s="578"/>
      <c r="BQI37" s="578"/>
      <c r="BQJ37" s="578"/>
      <c r="BQK37" s="578"/>
      <c r="BQL37" s="578"/>
      <c r="BQM37" s="578"/>
      <c r="BQN37" s="578"/>
      <c r="BQO37" s="578"/>
      <c r="BQP37" s="578"/>
      <c r="BQQ37" s="578"/>
      <c r="BQR37" s="578"/>
      <c r="BQS37" s="578"/>
      <c r="BQT37" s="578"/>
      <c r="BQU37" s="578"/>
      <c r="BQV37" s="578"/>
      <c r="BQW37" s="578"/>
      <c r="BQX37" s="578"/>
      <c r="BQY37" s="578"/>
      <c r="BQZ37" s="578"/>
      <c r="BRA37" s="578"/>
      <c r="BRB37" s="578"/>
      <c r="BRC37" s="578"/>
      <c r="BRD37" s="578"/>
      <c r="BRE37" s="578"/>
      <c r="BRF37" s="578"/>
      <c r="BRG37" s="578"/>
      <c r="BRH37" s="578"/>
      <c r="BRI37" s="578"/>
      <c r="BRJ37" s="578"/>
      <c r="BRK37" s="578"/>
      <c r="BRL37" s="578"/>
      <c r="BRM37" s="578"/>
      <c r="BRN37" s="578"/>
      <c r="BRO37" s="578"/>
      <c r="BRP37" s="578"/>
      <c r="BRQ37" s="578"/>
      <c r="BRR37" s="578"/>
      <c r="BRS37" s="578"/>
      <c r="BRT37" s="578"/>
      <c r="BRU37" s="578"/>
      <c r="BRV37" s="578"/>
      <c r="BRW37" s="578"/>
      <c r="BRX37" s="578"/>
      <c r="BRY37" s="578"/>
      <c r="BRZ37" s="578"/>
      <c r="BSA37" s="578"/>
      <c r="BSB37" s="578"/>
      <c r="BSC37" s="578"/>
      <c r="BSD37" s="578"/>
      <c r="BSE37" s="578"/>
      <c r="BSF37" s="578"/>
      <c r="BSG37" s="578"/>
      <c r="BSH37" s="578"/>
      <c r="BSI37" s="578"/>
      <c r="BSJ37" s="578"/>
      <c r="BSK37" s="578"/>
      <c r="BSL37" s="578"/>
      <c r="BSM37" s="578"/>
      <c r="BSN37" s="578"/>
      <c r="BSO37" s="578"/>
      <c r="BSP37" s="578"/>
      <c r="BSQ37" s="578"/>
      <c r="BSR37" s="578"/>
      <c r="BSS37" s="578"/>
      <c r="BST37" s="578"/>
      <c r="BSU37" s="578"/>
      <c r="BSV37" s="578"/>
      <c r="BSW37" s="578"/>
      <c r="BSX37" s="578"/>
      <c r="BSY37" s="578"/>
      <c r="BSZ37" s="578"/>
      <c r="BTA37" s="578"/>
      <c r="BTB37" s="578"/>
      <c r="BTC37" s="578"/>
      <c r="BTD37" s="578"/>
      <c r="BTE37" s="578"/>
      <c r="BTF37" s="578"/>
      <c r="BTG37" s="578"/>
      <c r="BTH37" s="578"/>
      <c r="BTI37" s="578"/>
      <c r="BTJ37" s="578"/>
      <c r="BTK37" s="578"/>
      <c r="BTL37" s="578"/>
      <c r="BTM37" s="578"/>
      <c r="BTN37" s="578"/>
      <c r="BTO37" s="578"/>
      <c r="BTP37" s="578"/>
      <c r="BTQ37" s="578"/>
      <c r="BTR37" s="578"/>
      <c r="BTS37" s="578"/>
      <c r="BTT37" s="578"/>
      <c r="BTU37" s="578"/>
      <c r="BTV37" s="578"/>
      <c r="BTW37" s="578"/>
      <c r="BTX37" s="578"/>
      <c r="BTY37" s="578"/>
      <c r="BTZ37" s="578"/>
      <c r="BUA37" s="578"/>
      <c r="BUB37" s="578"/>
      <c r="BUC37" s="578"/>
      <c r="BUD37" s="578"/>
      <c r="BUE37" s="578"/>
      <c r="BUF37" s="578"/>
      <c r="BUG37" s="578"/>
      <c r="BUH37" s="578"/>
      <c r="BUI37" s="578"/>
      <c r="BUJ37" s="578"/>
      <c r="BUK37" s="578"/>
      <c r="BUL37" s="578"/>
      <c r="BUM37" s="578"/>
      <c r="BUN37" s="578"/>
      <c r="BUO37" s="578"/>
      <c r="BUP37" s="578"/>
      <c r="BUQ37" s="578"/>
      <c r="BUR37" s="578"/>
      <c r="BUS37" s="578"/>
      <c r="BUT37" s="578"/>
      <c r="BUU37" s="578"/>
      <c r="BUV37" s="578"/>
      <c r="BUW37" s="578"/>
      <c r="BUX37" s="578"/>
      <c r="BUY37" s="578"/>
      <c r="BUZ37" s="578"/>
      <c r="BVA37" s="578"/>
      <c r="BVB37" s="578"/>
      <c r="BVC37" s="578"/>
      <c r="BVD37" s="578"/>
      <c r="BVE37" s="578"/>
      <c r="BVF37" s="578"/>
      <c r="BVG37" s="578"/>
      <c r="BVH37" s="578"/>
      <c r="BVI37" s="578"/>
      <c r="BVJ37" s="578"/>
      <c r="BVK37" s="578"/>
      <c r="BVL37" s="578"/>
      <c r="BVM37" s="578"/>
      <c r="BVN37" s="578"/>
      <c r="BVO37" s="578"/>
      <c r="BVP37" s="578"/>
      <c r="BVQ37" s="578"/>
      <c r="BVR37" s="578"/>
      <c r="BVS37" s="578"/>
      <c r="BVT37" s="578"/>
      <c r="BVU37" s="578"/>
      <c r="BVV37" s="578"/>
      <c r="BVW37" s="578"/>
      <c r="BVX37" s="578"/>
      <c r="BVY37" s="578"/>
      <c r="BVZ37" s="578"/>
      <c r="BWA37" s="578"/>
      <c r="BWB37" s="578"/>
      <c r="BWC37" s="578"/>
      <c r="BWD37" s="578"/>
      <c r="BWE37" s="578"/>
      <c r="BWF37" s="578"/>
      <c r="BWG37" s="578"/>
      <c r="BWH37" s="578"/>
      <c r="BWI37" s="578"/>
      <c r="BWJ37" s="578"/>
      <c r="BWK37" s="578"/>
      <c r="BWL37" s="578"/>
      <c r="BWM37" s="578"/>
      <c r="BWN37" s="578"/>
      <c r="BWO37" s="578"/>
      <c r="BWP37" s="578"/>
      <c r="BWQ37" s="578"/>
      <c r="BWR37" s="578"/>
      <c r="BWS37" s="578"/>
      <c r="BWT37" s="578"/>
      <c r="BWU37" s="578"/>
      <c r="BWV37" s="578"/>
      <c r="BWW37" s="578"/>
      <c r="BWX37" s="578"/>
      <c r="BWY37" s="578"/>
      <c r="BWZ37" s="578"/>
      <c r="BXA37" s="578"/>
      <c r="BXB37" s="578"/>
      <c r="BXC37" s="578"/>
      <c r="BXD37" s="578"/>
      <c r="BXE37" s="578"/>
      <c r="BXF37" s="578"/>
      <c r="BXG37" s="578"/>
      <c r="BXH37" s="578"/>
      <c r="BXI37" s="578"/>
      <c r="BXJ37" s="578"/>
      <c r="BXK37" s="578"/>
      <c r="BXL37" s="578"/>
      <c r="BXM37" s="578"/>
      <c r="BXN37" s="578"/>
      <c r="BXO37" s="578"/>
      <c r="BXP37" s="578"/>
      <c r="BXQ37" s="578"/>
      <c r="BXR37" s="578"/>
      <c r="BXS37" s="578"/>
      <c r="BXT37" s="578"/>
      <c r="BXU37" s="578"/>
      <c r="BXV37" s="578"/>
      <c r="BXW37" s="578"/>
      <c r="BXX37" s="578"/>
      <c r="BXY37" s="578"/>
      <c r="BXZ37" s="578"/>
      <c r="BYA37" s="578"/>
      <c r="BYB37" s="578"/>
      <c r="BYC37" s="578"/>
      <c r="BYD37" s="578"/>
      <c r="BYE37" s="578"/>
      <c r="BYF37" s="578"/>
      <c r="BYG37" s="578"/>
      <c r="BYH37" s="578"/>
      <c r="BYI37" s="578"/>
      <c r="BYJ37" s="578"/>
      <c r="BYK37" s="578"/>
      <c r="BYL37" s="578"/>
      <c r="BYM37" s="578"/>
      <c r="BYN37" s="578"/>
      <c r="BYO37" s="578"/>
      <c r="BYP37" s="578"/>
      <c r="BYQ37" s="578"/>
      <c r="BYR37" s="578"/>
      <c r="BYS37" s="578"/>
      <c r="BYT37" s="578"/>
      <c r="BYU37" s="578"/>
      <c r="BYV37" s="578"/>
      <c r="BYW37" s="578"/>
      <c r="BYX37" s="578"/>
      <c r="BYY37" s="578"/>
      <c r="BYZ37" s="578"/>
      <c r="BZA37" s="578"/>
      <c r="BZB37" s="578"/>
      <c r="BZC37" s="578"/>
      <c r="BZD37" s="578"/>
      <c r="BZE37" s="578"/>
      <c r="BZF37" s="578"/>
      <c r="BZG37" s="578"/>
      <c r="BZH37" s="578"/>
      <c r="BZI37" s="578"/>
      <c r="BZJ37" s="578"/>
      <c r="BZK37" s="578"/>
      <c r="BZL37" s="578"/>
      <c r="BZM37" s="578"/>
      <c r="BZN37" s="578"/>
      <c r="BZO37" s="578"/>
      <c r="BZP37" s="578"/>
      <c r="BZQ37" s="578"/>
      <c r="BZR37" s="578"/>
      <c r="BZS37" s="578"/>
      <c r="BZT37" s="578"/>
      <c r="BZU37" s="578"/>
      <c r="BZV37" s="578"/>
      <c r="BZW37" s="578"/>
      <c r="BZX37" s="578"/>
      <c r="BZY37" s="578"/>
      <c r="BZZ37" s="578"/>
      <c r="CAA37" s="578"/>
      <c r="CAB37" s="578"/>
      <c r="CAC37" s="578"/>
      <c r="CAD37" s="578"/>
      <c r="CAE37" s="578"/>
      <c r="CAF37" s="578"/>
      <c r="CAG37" s="578"/>
      <c r="CAH37" s="578"/>
      <c r="CAI37" s="578"/>
      <c r="CAJ37" s="578"/>
      <c r="CAK37" s="578"/>
      <c r="CAL37" s="578"/>
      <c r="CAM37" s="578"/>
      <c r="CAN37" s="578"/>
      <c r="CAO37" s="578"/>
      <c r="CAP37" s="578"/>
      <c r="CAQ37" s="578"/>
      <c r="CAR37" s="578"/>
      <c r="CAS37" s="578"/>
      <c r="CAT37" s="578"/>
      <c r="CAU37" s="578"/>
      <c r="CAV37" s="578"/>
      <c r="CAW37" s="578"/>
      <c r="CAX37" s="578"/>
      <c r="CAY37" s="578"/>
      <c r="CAZ37" s="578"/>
      <c r="CBA37" s="578"/>
      <c r="CBB37" s="578"/>
      <c r="CBC37" s="578"/>
      <c r="CBD37" s="578"/>
      <c r="CBE37" s="578"/>
      <c r="CBF37" s="578"/>
      <c r="CBG37" s="578"/>
      <c r="CBH37" s="578"/>
      <c r="CBI37" s="578"/>
      <c r="CBJ37" s="578"/>
      <c r="CBK37" s="578"/>
      <c r="CBL37" s="578"/>
      <c r="CBM37" s="578"/>
      <c r="CBN37" s="578"/>
      <c r="CBO37" s="578"/>
      <c r="CBP37" s="578"/>
      <c r="CBQ37" s="578"/>
      <c r="CBR37" s="578"/>
      <c r="CBS37" s="578"/>
      <c r="CBT37" s="578"/>
      <c r="CBU37" s="578"/>
      <c r="CBV37" s="578"/>
      <c r="CBW37" s="578"/>
      <c r="CBX37" s="578"/>
      <c r="CBY37" s="578"/>
      <c r="CBZ37" s="578"/>
      <c r="CCA37" s="578"/>
      <c r="CCB37" s="578"/>
      <c r="CCC37" s="578"/>
      <c r="CCD37" s="578"/>
      <c r="CCE37" s="578"/>
      <c r="CCF37" s="578"/>
      <c r="CCG37" s="578"/>
      <c r="CCH37" s="578"/>
      <c r="CCI37" s="578"/>
      <c r="CCJ37" s="578"/>
      <c r="CCK37" s="578"/>
      <c r="CCL37" s="578"/>
      <c r="CCM37" s="578"/>
      <c r="CCN37" s="578"/>
      <c r="CCO37" s="578"/>
      <c r="CCP37" s="578"/>
      <c r="CCQ37" s="578"/>
      <c r="CCR37" s="578"/>
      <c r="CCS37" s="578"/>
      <c r="CCT37" s="578"/>
      <c r="CCU37" s="578"/>
      <c r="CCV37" s="578"/>
      <c r="CCW37" s="578"/>
      <c r="CCX37" s="578"/>
      <c r="CCY37" s="578"/>
      <c r="CCZ37" s="578"/>
      <c r="CDA37" s="578"/>
      <c r="CDB37" s="578"/>
      <c r="CDC37" s="578"/>
      <c r="CDD37" s="578"/>
      <c r="CDE37" s="578"/>
      <c r="CDF37" s="578"/>
      <c r="CDG37" s="578"/>
      <c r="CDH37" s="578"/>
      <c r="CDI37" s="578"/>
      <c r="CDJ37" s="578"/>
      <c r="CDK37" s="578"/>
      <c r="CDL37" s="578"/>
      <c r="CDM37" s="578"/>
      <c r="CDN37" s="578"/>
      <c r="CDO37" s="578"/>
      <c r="CDP37" s="578"/>
      <c r="CDQ37" s="578"/>
      <c r="CDR37" s="578"/>
      <c r="CDS37" s="578"/>
      <c r="CDT37" s="578"/>
      <c r="CDU37" s="578"/>
      <c r="CDV37" s="578"/>
      <c r="CDW37" s="578"/>
      <c r="CDX37" s="578"/>
      <c r="CDY37" s="578"/>
      <c r="CDZ37" s="578"/>
      <c r="CEA37" s="578"/>
      <c r="CEB37" s="578"/>
      <c r="CEC37" s="578"/>
      <c r="CED37" s="578"/>
      <c r="CEE37" s="578"/>
      <c r="CEF37" s="578"/>
      <c r="CEG37" s="578"/>
      <c r="CEH37" s="578"/>
      <c r="CEI37" s="578"/>
      <c r="CEJ37" s="578"/>
      <c r="CEK37" s="578"/>
      <c r="CEL37" s="578"/>
      <c r="CEM37" s="578"/>
      <c r="CEN37" s="578"/>
      <c r="CEO37" s="578"/>
      <c r="CEP37" s="578"/>
      <c r="CEQ37" s="578"/>
      <c r="CER37" s="578"/>
      <c r="CES37" s="578"/>
      <c r="CET37" s="578"/>
      <c r="CEU37" s="578"/>
      <c r="CEV37" s="578"/>
      <c r="CEW37" s="578"/>
      <c r="CEX37" s="578"/>
      <c r="CEY37" s="578"/>
      <c r="CEZ37" s="578"/>
      <c r="CFA37" s="578"/>
      <c r="CFB37" s="578"/>
      <c r="CFC37" s="578"/>
      <c r="CFD37" s="578"/>
      <c r="CFE37" s="578"/>
      <c r="CFF37" s="578"/>
      <c r="CFG37" s="578"/>
      <c r="CFH37" s="578"/>
      <c r="CFI37" s="578"/>
      <c r="CFJ37" s="578"/>
      <c r="CFK37" s="578"/>
      <c r="CFL37" s="578"/>
      <c r="CFM37" s="578"/>
      <c r="CFN37" s="578"/>
      <c r="CFO37" s="578"/>
      <c r="CFP37" s="578"/>
      <c r="CFQ37" s="578"/>
      <c r="CFR37" s="578"/>
      <c r="CFS37" s="578"/>
      <c r="CFT37" s="578"/>
      <c r="CFU37" s="578"/>
      <c r="CFV37" s="578"/>
      <c r="CFW37" s="578"/>
      <c r="CFX37" s="578"/>
      <c r="CFY37" s="578"/>
      <c r="CFZ37" s="578"/>
      <c r="CGA37" s="578"/>
      <c r="CGB37" s="578"/>
      <c r="CGC37" s="578"/>
      <c r="CGD37" s="578"/>
      <c r="CGE37" s="578"/>
      <c r="CGF37" s="578"/>
      <c r="CGG37" s="578"/>
      <c r="CGH37" s="578"/>
      <c r="CGI37" s="578"/>
      <c r="CGJ37" s="578"/>
      <c r="CGK37" s="578"/>
      <c r="CGL37" s="578"/>
      <c r="CGM37" s="578"/>
      <c r="CGN37" s="578"/>
      <c r="CGO37" s="578"/>
      <c r="CGP37" s="578"/>
      <c r="CGQ37" s="578"/>
      <c r="CGR37" s="578"/>
      <c r="CGS37" s="578"/>
      <c r="CGT37" s="578"/>
      <c r="CGU37" s="578"/>
      <c r="CGV37" s="578"/>
      <c r="CGW37" s="578"/>
      <c r="CGX37" s="578"/>
      <c r="CGY37" s="578"/>
      <c r="CGZ37" s="578"/>
      <c r="CHA37" s="578"/>
      <c r="CHB37" s="578"/>
      <c r="CHC37" s="578"/>
      <c r="CHD37" s="578"/>
      <c r="CHE37" s="578"/>
      <c r="CHF37" s="578"/>
      <c r="CHG37" s="578"/>
      <c r="CHH37" s="578"/>
      <c r="CHI37" s="578"/>
      <c r="CHJ37" s="578"/>
      <c r="CHK37" s="578"/>
      <c r="CHL37" s="578"/>
      <c r="CHM37" s="578"/>
      <c r="CHN37" s="578"/>
      <c r="CHO37" s="578"/>
      <c r="CHP37" s="578"/>
      <c r="CHQ37" s="578"/>
      <c r="CHR37" s="578"/>
      <c r="CHS37" s="578"/>
      <c r="CHT37" s="578"/>
      <c r="CHU37" s="578"/>
      <c r="CHV37" s="578"/>
      <c r="CHW37" s="578"/>
      <c r="CHX37" s="578"/>
      <c r="CHY37" s="578"/>
      <c r="CHZ37" s="578"/>
      <c r="CIA37" s="578"/>
      <c r="CIB37" s="578"/>
      <c r="CIC37" s="578"/>
      <c r="CID37" s="578"/>
      <c r="CIE37" s="578"/>
      <c r="CIF37" s="578"/>
      <c r="CIG37" s="578"/>
      <c r="CIH37" s="578"/>
      <c r="CII37" s="578"/>
      <c r="CIJ37" s="578"/>
      <c r="CIK37" s="578"/>
      <c r="CIL37" s="578"/>
      <c r="CIM37" s="578"/>
      <c r="CIN37" s="578"/>
      <c r="CIO37" s="578"/>
      <c r="CIP37" s="578"/>
      <c r="CIQ37" s="578"/>
      <c r="CIR37" s="578"/>
      <c r="CIS37" s="578"/>
      <c r="CIT37" s="578"/>
      <c r="CIU37" s="578"/>
      <c r="CIV37" s="578"/>
      <c r="CIW37" s="578"/>
      <c r="CIX37" s="578"/>
      <c r="CIY37" s="578"/>
      <c r="CIZ37" s="578"/>
      <c r="CJA37" s="578"/>
      <c r="CJB37" s="578"/>
      <c r="CJC37" s="578"/>
      <c r="CJD37" s="578"/>
      <c r="CJE37" s="578"/>
      <c r="CJF37" s="578"/>
      <c r="CJG37" s="578"/>
      <c r="CJH37" s="578"/>
      <c r="CJI37" s="578"/>
      <c r="CJJ37" s="578"/>
      <c r="CJK37" s="578"/>
      <c r="CJL37" s="578"/>
      <c r="CJM37" s="578"/>
      <c r="CJN37" s="578"/>
      <c r="CJO37" s="578"/>
      <c r="CJP37" s="578"/>
      <c r="CJQ37" s="578"/>
      <c r="CJR37" s="578"/>
      <c r="CJS37" s="578"/>
      <c r="CJT37" s="578"/>
      <c r="CJU37" s="578"/>
      <c r="CJV37" s="578"/>
      <c r="CJW37" s="578"/>
      <c r="CJX37" s="578"/>
      <c r="CJY37" s="578"/>
      <c r="CJZ37" s="578"/>
      <c r="CKA37" s="578"/>
      <c r="CKB37" s="578"/>
      <c r="CKC37" s="578"/>
      <c r="CKD37" s="578"/>
      <c r="CKE37" s="578"/>
      <c r="CKF37" s="578"/>
      <c r="CKG37" s="578"/>
      <c r="CKH37" s="578"/>
      <c r="CKI37" s="578"/>
      <c r="CKJ37" s="578"/>
      <c r="CKK37" s="578"/>
      <c r="CKL37" s="578"/>
      <c r="CKM37" s="578"/>
      <c r="CKN37" s="578"/>
      <c r="CKO37" s="578"/>
      <c r="CKP37" s="578"/>
      <c r="CKQ37" s="578"/>
      <c r="CKR37" s="578"/>
      <c r="CKS37" s="578"/>
      <c r="CKT37" s="578"/>
      <c r="CKU37" s="578"/>
      <c r="CKV37" s="578"/>
      <c r="CKW37" s="578"/>
      <c r="CKX37" s="578"/>
      <c r="CKY37" s="578"/>
      <c r="CKZ37" s="578"/>
      <c r="CLA37" s="578"/>
      <c r="CLB37" s="578"/>
      <c r="CLC37" s="578"/>
      <c r="CLD37" s="578"/>
      <c r="CLE37" s="578"/>
      <c r="CLF37" s="578"/>
      <c r="CLG37" s="578"/>
      <c r="CLH37" s="578"/>
      <c r="CLI37" s="578"/>
      <c r="CLJ37" s="578"/>
      <c r="CLK37" s="578"/>
      <c r="CLL37" s="578"/>
      <c r="CLM37" s="578"/>
      <c r="CLN37" s="578"/>
      <c r="CLO37" s="578"/>
      <c r="CLP37" s="578"/>
      <c r="CLQ37" s="578"/>
      <c r="CLR37" s="578"/>
      <c r="CLS37" s="578"/>
      <c r="CLT37" s="578"/>
      <c r="CLU37" s="578"/>
      <c r="CLV37" s="578"/>
      <c r="CLW37" s="578"/>
      <c r="CLX37" s="578"/>
      <c r="CLY37" s="578"/>
      <c r="CLZ37" s="578"/>
      <c r="CMA37" s="578"/>
      <c r="CMB37" s="578"/>
      <c r="CMC37" s="578"/>
      <c r="CMD37" s="578"/>
      <c r="CME37" s="578"/>
      <c r="CMF37" s="578"/>
      <c r="CMG37" s="578"/>
      <c r="CMH37" s="578"/>
      <c r="CMI37" s="578"/>
      <c r="CMJ37" s="578"/>
      <c r="CMK37" s="578"/>
      <c r="CML37" s="578"/>
      <c r="CMM37" s="578"/>
      <c r="CMN37" s="578"/>
      <c r="CMO37" s="578"/>
      <c r="CMP37" s="578"/>
      <c r="CMQ37" s="578"/>
      <c r="CMR37" s="578"/>
      <c r="CMS37" s="578"/>
      <c r="CMT37" s="578"/>
      <c r="CMU37" s="578"/>
      <c r="CMV37" s="578"/>
      <c r="CMW37" s="578"/>
      <c r="CMX37" s="578"/>
      <c r="CMY37" s="578"/>
      <c r="CMZ37" s="578"/>
      <c r="CNA37" s="578"/>
      <c r="CNB37" s="578"/>
      <c r="CNC37" s="578"/>
      <c r="CND37" s="578"/>
      <c r="CNE37" s="578"/>
      <c r="CNF37" s="578"/>
      <c r="CNG37" s="578"/>
      <c r="CNH37" s="578"/>
      <c r="CNI37" s="578"/>
      <c r="CNJ37" s="578"/>
      <c r="CNK37" s="578"/>
      <c r="CNL37" s="578"/>
      <c r="CNM37" s="578"/>
      <c r="CNN37" s="578"/>
      <c r="CNO37" s="578"/>
      <c r="CNP37" s="578"/>
      <c r="CNQ37" s="578"/>
      <c r="CNR37" s="578"/>
      <c r="CNS37" s="578"/>
      <c r="CNT37" s="578"/>
      <c r="CNU37" s="578"/>
      <c r="CNV37" s="578"/>
      <c r="CNW37" s="578"/>
      <c r="CNX37" s="578"/>
      <c r="CNY37" s="578"/>
      <c r="CNZ37" s="578"/>
      <c r="COA37" s="578"/>
      <c r="COB37" s="578"/>
      <c r="COC37" s="578"/>
      <c r="COD37" s="578"/>
      <c r="COE37" s="578"/>
      <c r="COF37" s="578"/>
      <c r="COG37" s="578"/>
      <c r="COH37" s="578"/>
      <c r="COI37" s="578"/>
      <c r="COJ37" s="578"/>
      <c r="COK37" s="578"/>
      <c r="COL37" s="578"/>
      <c r="COM37" s="578"/>
      <c r="CON37" s="578"/>
      <c r="COO37" s="578"/>
      <c r="COP37" s="578"/>
      <c r="COQ37" s="578"/>
      <c r="COR37" s="578"/>
      <c r="COS37" s="578"/>
      <c r="COT37" s="578"/>
      <c r="COU37" s="578"/>
      <c r="COV37" s="578"/>
      <c r="COW37" s="578"/>
      <c r="COX37" s="578"/>
      <c r="COY37" s="578"/>
      <c r="COZ37" s="578"/>
      <c r="CPA37" s="578"/>
      <c r="CPB37" s="578"/>
      <c r="CPC37" s="578"/>
      <c r="CPD37" s="578"/>
      <c r="CPE37" s="578"/>
      <c r="CPF37" s="578"/>
      <c r="CPG37" s="578"/>
      <c r="CPH37" s="578"/>
      <c r="CPI37" s="578"/>
      <c r="CPJ37" s="578"/>
      <c r="CPK37" s="578"/>
      <c r="CPL37" s="578"/>
      <c r="CPM37" s="578"/>
      <c r="CPN37" s="578"/>
      <c r="CPO37" s="578"/>
      <c r="CPP37" s="578"/>
      <c r="CPQ37" s="578"/>
      <c r="CPR37" s="578"/>
      <c r="CPS37" s="578"/>
      <c r="CPT37" s="578"/>
      <c r="CPU37" s="578"/>
      <c r="CPV37" s="578"/>
      <c r="CPW37" s="578"/>
      <c r="CPX37" s="578"/>
      <c r="CPY37" s="578"/>
      <c r="CPZ37" s="578"/>
      <c r="CQA37" s="578"/>
      <c r="CQB37" s="578"/>
      <c r="CQC37" s="578"/>
      <c r="CQD37" s="578"/>
      <c r="CQE37" s="578"/>
      <c r="CQF37" s="578"/>
      <c r="CQG37" s="578"/>
      <c r="CQH37" s="578"/>
      <c r="CQI37" s="578"/>
      <c r="CQJ37" s="578"/>
      <c r="CQK37" s="578"/>
      <c r="CQL37" s="578"/>
      <c r="CQM37" s="578"/>
      <c r="CQN37" s="578"/>
      <c r="CQO37" s="578"/>
      <c r="CQP37" s="578"/>
      <c r="CQQ37" s="578"/>
      <c r="CQR37" s="578"/>
      <c r="CQS37" s="578"/>
      <c r="CQT37" s="578"/>
      <c r="CQU37" s="578"/>
      <c r="CQV37" s="578"/>
      <c r="CQW37" s="578"/>
      <c r="CQX37" s="578"/>
      <c r="CQY37" s="578"/>
      <c r="CQZ37" s="578"/>
      <c r="CRA37" s="578"/>
      <c r="CRB37" s="578"/>
      <c r="CRC37" s="578"/>
      <c r="CRD37" s="578"/>
      <c r="CRE37" s="578"/>
      <c r="CRF37" s="578"/>
      <c r="CRG37" s="578"/>
      <c r="CRH37" s="578"/>
      <c r="CRI37" s="578"/>
      <c r="CRJ37" s="578"/>
      <c r="CRK37" s="578"/>
      <c r="CRL37" s="578"/>
      <c r="CRM37" s="578"/>
      <c r="CRN37" s="578"/>
      <c r="CRO37" s="578"/>
      <c r="CRP37" s="578"/>
      <c r="CRQ37" s="578"/>
      <c r="CRR37" s="578"/>
      <c r="CRS37" s="578"/>
      <c r="CRT37" s="578"/>
      <c r="CRU37" s="578"/>
      <c r="CRV37" s="578"/>
      <c r="CRW37" s="578"/>
      <c r="CRX37" s="578"/>
      <c r="CRY37" s="578"/>
      <c r="CRZ37" s="578"/>
      <c r="CSA37" s="578"/>
      <c r="CSB37" s="578"/>
      <c r="CSC37" s="578"/>
      <c r="CSD37" s="578"/>
      <c r="CSE37" s="578"/>
      <c r="CSF37" s="578"/>
      <c r="CSG37" s="578"/>
      <c r="CSH37" s="578"/>
      <c r="CSI37" s="578"/>
      <c r="CSJ37" s="578"/>
      <c r="CSK37" s="578"/>
      <c r="CSL37" s="578"/>
      <c r="CSM37" s="578"/>
      <c r="CSN37" s="578"/>
      <c r="CSO37" s="578"/>
      <c r="CSP37" s="578"/>
      <c r="CSQ37" s="578"/>
      <c r="CSR37" s="578"/>
      <c r="CSS37" s="578"/>
      <c r="CST37" s="578"/>
      <c r="CSU37" s="578"/>
      <c r="CSV37" s="578"/>
      <c r="CSW37" s="578"/>
      <c r="CSX37" s="578"/>
      <c r="CSY37" s="578"/>
      <c r="CSZ37" s="578"/>
      <c r="CTA37" s="578"/>
      <c r="CTB37" s="578"/>
      <c r="CTC37" s="578"/>
      <c r="CTD37" s="578"/>
      <c r="CTE37" s="578"/>
      <c r="CTF37" s="578"/>
      <c r="CTG37" s="578"/>
      <c r="CTH37" s="578"/>
      <c r="CTI37" s="578"/>
      <c r="CTJ37" s="578"/>
      <c r="CTK37" s="578"/>
      <c r="CTL37" s="578"/>
      <c r="CTM37" s="578"/>
      <c r="CTN37" s="578"/>
      <c r="CTO37" s="578"/>
      <c r="CTP37" s="578"/>
      <c r="CTQ37" s="578"/>
      <c r="CTR37" s="578"/>
      <c r="CTS37" s="578"/>
      <c r="CTT37" s="578"/>
      <c r="CTU37" s="578"/>
      <c r="CTV37" s="578"/>
      <c r="CTW37" s="578"/>
      <c r="CTX37" s="578"/>
      <c r="CTY37" s="578"/>
      <c r="CTZ37" s="578"/>
      <c r="CUA37" s="578"/>
      <c r="CUB37" s="578"/>
      <c r="CUC37" s="578"/>
      <c r="CUD37" s="578"/>
      <c r="CUE37" s="578"/>
      <c r="CUF37" s="578"/>
      <c r="CUG37" s="578"/>
      <c r="CUH37" s="578"/>
      <c r="CUI37" s="578"/>
      <c r="CUJ37" s="578"/>
      <c r="CUK37" s="578"/>
      <c r="CUL37" s="578"/>
      <c r="CUM37" s="578"/>
      <c r="CUN37" s="578"/>
      <c r="CUO37" s="578"/>
      <c r="CUP37" s="578"/>
      <c r="CUQ37" s="578"/>
      <c r="CUR37" s="578"/>
      <c r="CUS37" s="578"/>
      <c r="CUT37" s="578"/>
      <c r="CUU37" s="578"/>
      <c r="CUV37" s="578"/>
      <c r="CUW37" s="578"/>
      <c r="CUX37" s="578"/>
      <c r="CUY37" s="578"/>
      <c r="CUZ37" s="578"/>
      <c r="CVA37" s="578"/>
      <c r="CVB37" s="578"/>
      <c r="CVC37" s="578"/>
      <c r="CVD37" s="578"/>
      <c r="CVE37" s="578"/>
      <c r="CVF37" s="578"/>
      <c r="CVG37" s="578"/>
      <c r="CVH37" s="578"/>
      <c r="CVI37" s="578"/>
      <c r="CVJ37" s="578"/>
      <c r="CVK37" s="578"/>
      <c r="CVL37" s="578"/>
      <c r="CVM37" s="578"/>
      <c r="CVN37" s="578"/>
      <c r="CVO37" s="578"/>
      <c r="CVP37" s="578"/>
      <c r="CVQ37" s="578"/>
      <c r="CVR37" s="578"/>
      <c r="CVS37" s="578"/>
      <c r="CVT37" s="578"/>
      <c r="CVU37" s="578"/>
      <c r="CVV37" s="578"/>
      <c r="CVW37" s="578"/>
      <c r="CVX37" s="578"/>
      <c r="CVY37" s="578"/>
      <c r="CVZ37" s="578"/>
      <c r="CWA37" s="578"/>
      <c r="CWB37" s="578"/>
      <c r="CWC37" s="578"/>
      <c r="CWD37" s="578"/>
      <c r="CWE37" s="578"/>
      <c r="CWF37" s="578"/>
      <c r="CWG37" s="578"/>
      <c r="CWH37" s="578"/>
      <c r="CWI37" s="578"/>
      <c r="CWJ37" s="578"/>
      <c r="CWK37" s="578"/>
      <c r="CWL37" s="578"/>
      <c r="CWM37" s="578"/>
      <c r="CWN37" s="578"/>
      <c r="CWO37" s="578"/>
      <c r="CWP37" s="578"/>
      <c r="CWQ37" s="578"/>
      <c r="CWR37" s="578"/>
      <c r="CWS37" s="578"/>
      <c r="CWT37" s="578"/>
      <c r="CWU37" s="578"/>
      <c r="CWV37" s="578"/>
      <c r="CWW37" s="578"/>
      <c r="CWX37" s="578"/>
      <c r="CWY37" s="578"/>
      <c r="CWZ37" s="578"/>
      <c r="CXA37" s="578"/>
      <c r="CXB37" s="578"/>
      <c r="CXC37" s="578"/>
      <c r="CXD37" s="578"/>
      <c r="CXE37" s="578"/>
      <c r="CXF37" s="578"/>
      <c r="CXG37" s="578"/>
      <c r="CXH37" s="578"/>
      <c r="CXI37" s="578"/>
      <c r="CXJ37" s="578"/>
      <c r="CXK37" s="578"/>
      <c r="CXL37" s="578"/>
      <c r="CXM37" s="578"/>
      <c r="CXN37" s="578"/>
      <c r="CXO37" s="578"/>
      <c r="CXP37" s="578"/>
      <c r="CXQ37" s="578"/>
      <c r="CXR37" s="578"/>
      <c r="CXS37" s="578"/>
      <c r="CXT37" s="578"/>
      <c r="CXU37" s="578"/>
      <c r="CXV37" s="578"/>
      <c r="CXW37" s="578"/>
      <c r="CXX37" s="578"/>
      <c r="CXY37" s="578"/>
      <c r="CXZ37" s="578"/>
      <c r="CYA37" s="578"/>
      <c r="CYB37" s="578"/>
      <c r="CYC37" s="578"/>
      <c r="CYD37" s="578"/>
      <c r="CYE37" s="578"/>
      <c r="CYF37" s="578"/>
      <c r="CYG37" s="578"/>
      <c r="CYH37" s="578"/>
      <c r="CYI37" s="578"/>
      <c r="CYJ37" s="578"/>
      <c r="CYK37" s="578"/>
      <c r="CYL37" s="578"/>
      <c r="CYM37" s="578"/>
      <c r="CYN37" s="578"/>
      <c r="CYO37" s="578"/>
      <c r="CYP37" s="578"/>
      <c r="CYQ37" s="578"/>
      <c r="CYR37" s="578"/>
      <c r="CYS37" s="578"/>
      <c r="CYT37" s="578"/>
      <c r="CYU37" s="578"/>
      <c r="CYV37" s="578"/>
      <c r="CYW37" s="578"/>
      <c r="CYX37" s="578"/>
      <c r="CYY37" s="578"/>
      <c r="CYZ37" s="578"/>
      <c r="CZA37" s="578"/>
      <c r="CZB37" s="578"/>
      <c r="CZC37" s="578"/>
      <c r="CZD37" s="578"/>
      <c r="CZE37" s="578"/>
      <c r="CZF37" s="578"/>
      <c r="CZG37" s="578"/>
      <c r="CZH37" s="578"/>
      <c r="CZI37" s="578"/>
      <c r="CZJ37" s="578"/>
      <c r="CZK37" s="578"/>
      <c r="CZL37" s="578"/>
      <c r="CZM37" s="578"/>
      <c r="CZN37" s="578"/>
      <c r="CZO37" s="578"/>
      <c r="CZP37" s="578"/>
      <c r="CZQ37" s="578"/>
      <c r="CZR37" s="578"/>
      <c r="CZS37" s="578"/>
      <c r="CZT37" s="578"/>
      <c r="CZU37" s="578"/>
      <c r="CZV37" s="578"/>
      <c r="CZW37" s="578"/>
      <c r="CZX37" s="578"/>
      <c r="CZY37" s="578"/>
      <c r="CZZ37" s="578"/>
      <c r="DAA37" s="578"/>
      <c r="DAB37" s="578"/>
      <c r="DAC37" s="578"/>
      <c r="DAD37" s="578"/>
      <c r="DAE37" s="578"/>
      <c r="DAF37" s="578"/>
      <c r="DAG37" s="578"/>
      <c r="DAH37" s="578"/>
      <c r="DAI37" s="578"/>
      <c r="DAJ37" s="578"/>
      <c r="DAK37" s="578"/>
      <c r="DAL37" s="578"/>
      <c r="DAM37" s="578"/>
      <c r="DAN37" s="578"/>
      <c r="DAO37" s="578"/>
      <c r="DAP37" s="578"/>
      <c r="DAQ37" s="578"/>
      <c r="DAR37" s="578"/>
      <c r="DAS37" s="578"/>
      <c r="DAT37" s="578"/>
      <c r="DAU37" s="578"/>
      <c r="DAV37" s="578"/>
      <c r="DAW37" s="578"/>
      <c r="DAX37" s="578"/>
      <c r="DAY37" s="578"/>
      <c r="DAZ37" s="578"/>
      <c r="DBA37" s="578"/>
      <c r="DBB37" s="578"/>
      <c r="DBC37" s="578"/>
      <c r="DBD37" s="578"/>
      <c r="DBE37" s="578"/>
      <c r="DBF37" s="578"/>
      <c r="DBG37" s="578"/>
      <c r="DBH37" s="578"/>
      <c r="DBI37" s="578"/>
      <c r="DBJ37" s="578"/>
      <c r="DBK37" s="578"/>
      <c r="DBL37" s="578"/>
      <c r="DBM37" s="578"/>
      <c r="DBN37" s="578"/>
      <c r="DBO37" s="578"/>
      <c r="DBP37" s="578"/>
      <c r="DBQ37" s="578"/>
      <c r="DBR37" s="578"/>
      <c r="DBS37" s="578"/>
      <c r="DBT37" s="578"/>
      <c r="DBU37" s="578"/>
      <c r="DBV37" s="578"/>
      <c r="DBW37" s="578"/>
      <c r="DBX37" s="578"/>
      <c r="DBY37" s="578"/>
      <c r="DBZ37" s="578"/>
      <c r="DCA37" s="578"/>
      <c r="DCB37" s="578"/>
      <c r="DCC37" s="578"/>
      <c r="DCD37" s="578"/>
      <c r="DCE37" s="578"/>
      <c r="DCF37" s="578"/>
      <c r="DCG37" s="578"/>
      <c r="DCH37" s="578"/>
      <c r="DCI37" s="578"/>
      <c r="DCJ37" s="578"/>
      <c r="DCK37" s="578"/>
      <c r="DCL37" s="578"/>
      <c r="DCM37" s="578"/>
      <c r="DCN37" s="578"/>
      <c r="DCO37" s="578"/>
      <c r="DCP37" s="578"/>
      <c r="DCQ37" s="578"/>
      <c r="DCR37" s="578"/>
      <c r="DCS37" s="578"/>
      <c r="DCT37" s="578"/>
      <c r="DCU37" s="578"/>
      <c r="DCV37" s="578"/>
      <c r="DCW37" s="578"/>
      <c r="DCX37" s="578"/>
      <c r="DCY37" s="578"/>
      <c r="DCZ37" s="578"/>
      <c r="DDA37" s="578"/>
      <c r="DDB37" s="578"/>
      <c r="DDC37" s="578"/>
      <c r="DDD37" s="578"/>
      <c r="DDE37" s="578"/>
      <c r="DDF37" s="578"/>
      <c r="DDG37" s="578"/>
      <c r="DDH37" s="578"/>
      <c r="DDI37" s="578"/>
      <c r="DDJ37" s="578"/>
      <c r="DDK37" s="578"/>
      <c r="DDL37" s="578"/>
      <c r="DDM37" s="578"/>
      <c r="DDN37" s="578"/>
      <c r="DDO37" s="578"/>
      <c r="DDP37" s="578"/>
      <c r="DDQ37" s="578"/>
      <c r="DDR37" s="578"/>
      <c r="DDS37" s="578"/>
      <c r="DDT37" s="578"/>
      <c r="DDU37" s="578"/>
      <c r="DDV37" s="578"/>
      <c r="DDW37" s="578"/>
      <c r="DDX37" s="578"/>
      <c r="DDY37" s="578"/>
      <c r="DDZ37" s="578"/>
      <c r="DEA37" s="578"/>
      <c r="DEB37" s="578"/>
      <c r="DEC37" s="578"/>
      <c r="DED37" s="578"/>
      <c r="DEE37" s="578"/>
      <c r="DEF37" s="578"/>
      <c r="DEG37" s="578"/>
      <c r="DEH37" s="578"/>
      <c r="DEI37" s="578"/>
      <c r="DEJ37" s="578"/>
      <c r="DEK37" s="578"/>
      <c r="DEL37" s="578"/>
      <c r="DEM37" s="578"/>
      <c r="DEN37" s="578"/>
      <c r="DEO37" s="578"/>
      <c r="DEP37" s="578"/>
      <c r="DEQ37" s="578"/>
      <c r="DER37" s="578"/>
      <c r="DES37" s="578"/>
      <c r="DET37" s="578"/>
      <c r="DEU37" s="578"/>
      <c r="DEV37" s="578"/>
      <c r="DEW37" s="578"/>
      <c r="DEX37" s="578"/>
      <c r="DEY37" s="578"/>
      <c r="DEZ37" s="578"/>
      <c r="DFA37" s="578"/>
      <c r="DFB37" s="578"/>
      <c r="DFC37" s="578"/>
      <c r="DFD37" s="578"/>
      <c r="DFE37" s="578"/>
      <c r="DFF37" s="578"/>
      <c r="DFG37" s="578"/>
      <c r="DFH37" s="578"/>
      <c r="DFI37" s="578"/>
      <c r="DFJ37" s="578"/>
      <c r="DFK37" s="578"/>
      <c r="DFL37" s="578"/>
      <c r="DFM37" s="578"/>
      <c r="DFN37" s="578"/>
      <c r="DFO37" s="578"/>
      <c r="DFP37" s="578"/>
      <c r="DFQ37" s="578"/>
      <c r="DFR37" s="578"/>
      <c r="DFS37" s="578"/>
      <c r="DFT37" s="578"/>
      <c r="DFU37" s="578"/>
      <c r="DFV37" s="578"/>
      <c r="DFW37" s="578"/>
      <c r="DFX37" s="578"/>
      <c r="DFY37" s="578"/>
      <c r="DFZ37" s="578"/>
      <c r="DGA37" s="578"/>
      <c r="DGB37" s="578"/>
      <c r="DGC37" s="578"/>
      <c r="DGD37" s="578"/>
      <c r="DGE37" s="578"/>
      <c r="DGF37" s="578"/>
      <c r="DGG37" s="578"/>
      <c r="DGH37" s="578"/>
      <c r="DGI37" s="578"/>
      <c r="DGJ37" s="578"/>
      <c r="DGK37" s="578"/>
      <c r="DGL37" s="578"/>
      <c r="DGM37" s="578"/>
      <c r="DGN37" s="578"/>
      <c r="DGO37" s="578"/>
      <c r="DGP37" s="578"/>
      <c r="DGQ37" s="578"/>
      <c r="DGR37" s="578"/>
      <c r="DGS37" s="578"/>
      <c r="DGT37" s="578"/>
      <c r="DGU37" s="578"/>
      <c r="DGV37" s="578"/>
      <c r="DGW37" s="578"/>
      <c r="DGX37" s="578"/>
      <c r="DGY37" s="578"/>
      <c r="DGZ37" s="578"/>
      <c r="DHA37" s="578"/>
      <c r="DHB37" s="578"/>
      <c r="DHC37" s="578"/>
      <c r="DHD37" s="578"/>
      <c r="DHE37" s="578"/>
      <c r="DHF37" s="578"/>
      <c r="DHG37" s="578"/>
      <c r="DHH37" s="578"/>
      <c r="DHI37" s="578"/>
      <c r="DHJ37" s="578"/>
      <c r="DHK37" s="578"/>
      <c r="DHL37" s="578"/>
      <c r="DHM37" s="578"/>
      <c r="DHN37" s="578"/>
      <c r="DHO37" s="578"/>
      <c r="DHP37" s="578"/>
      <c r="DHQ37" s="578"/>
      <c r="DHR37" s="578"/>
      <c r="DHS37" s="578"/>
      <c r="DHT37" s="578"/>
      <c r="DHU37" s="578"/>
      <c r="DHV37" s="578"/>
      <c r="DHW37" s="578"/>
      <c r="DHX37" s="578"/>
      <c r="DHY37" s="578"/>
      <c r="DHZ37" s="578"/>
      <c r="DIA37" s="578"/>
      <c r="DIB37" s="578"/>
      <c r="DIC37" s="578"/>
      <c r="DID37" s="578"/>
      <c r="DIE37" s="578"/>
      <c r="DIF37" s="578"/>
      <c r="DIG37" s="578"/>
      <c r="DIH37" s="578"/>
      <c r="DII37" s="578"/>
      <c r="DIJ37" s="578"/>
      <c r="DIK37" s="578"/>
      <c r="DIL37" s="578"/>
      <c r="DIM37" s="578"/>
      <c r="DIN37" s="578"/>
      <c r="DIO37" s="578"/>
      <c r="DIP37" s="578"/>
      <c r="DIQ37" s="578"/>
      <c r="DIR37" s="578"/>
      <c r="DIS37" s="578"/>
      <c r="DIT37" s="578"/>
      <c r="DIU37" s="578"/>
      <c r="DIV37" s="578"/>
      <c r="DIW37" s="578"/>
      <c r="DIX37" s="578"/>
      <c r="DIY37" s="578"/>
      <c r="DIZ37" s="578"/>
      <c r="DJA37" s="578"/>
      <c r="DJB37" s="578"/>
      <c r="DJC37" s="578"/>
      <c r="DJD37" s="578"/>
      <c r="DJE37" s="578"/>
      <c r="DJF37" s="578"/>
      <c r="DJG37" s="578"/>
      <c r="DJH37" s="578"/>
      <c r="DJI37" s="578"/>
      <c r="DJJ37" s="578"/>
      <c r="DJK37" s="578"/>
      <c r="DJL37" s="578"/>
      <c r="DJM37" s="578"/>
      <c r="DJN37" s="578"/>
      <c r="DJO37" s="578"/>
      <c r="DJP37" s="578"/>
      <c r="DJQ37" s="578"/>
      <c r="DJR37" s="578"/>
      <c r="DJS37" s="578"/>
      <c r="DJT37" s="578"/>
      <c r="DJU37" s="578"/>
      <c r="DJV37" s="578"/>
      <c r="DJW37" s="578"/>
      <c r="DJX37" s="578"/>
      <c r="DJY37" s="578"/>
      <c r="DJZ37" s="578"/>
      <c r="DKA37" s="578"/>
      <c r="DKB37" s="578"/>
      <c r="DKC37" s="578"/>
      <c r="DKD37" s="578"/>
      <c r="DKE37" s="578"/>
      <c r="DKF37" s="578"/>
      <c r="DKG37" s="578"/>
      <c r="DKH37" s="578"/>
      <c r="DKI37" s="578"/>
      <c r="DKJ37" s="578"/>
      <c r="DKK37" s="578"/>
      <c r="DKL37" s="578"/>
      <c r="DKM37" s="578"/>
      <c r="DKN37" s="578"/>
      <c r="DKO37" s="578"/>
      <c r="DKP37" s="578"/>
      <c r="DKQ37" s="578"/>
      <c r="DKR37" s="578"/>
      <c r="DKS37" s="578"/>
      <c r="DKT37" s="578"/>
      <c r="DKU37" s="578"/>
      <c r="DKV37" s="578"/>
      <c r="DKW37" s="578"/>
      <c r="DKX37" s="578"/>
      <c r="DKY37" s="578"/>
      <c r="DKZ37" s="578"/>
      <c r="DLA37" s="578"/>
      <c r="DLB37" s="578"/>
      <c r="DLC37" s="578"/>
      <c r="DLD37" s="578"/>
      <c r="DLE37" s="578"/>
      <c r="DLF37" s="578"/>
      <c r="DLG37" s="578"/>
      <c r="DLH37" s="578"/>
      <c r="DLI37" s="578"/>
      <c r="DLJ37" s="578"/>
      <c r="DLK37" s="578"/>
      <c r="DLL37" s="578"/>
      <c r="DLM37" s="578"/>
      <c r="DLN37" s="578"/>
      <c r="DLO37" s="578"/>
      <c r="DLP37" s="578"/>
      <c r="DLQ37" s="578"/>
      <c r="DLR37" s="578"/>
      <c r="DLS37" s="578"/>
      <c r="DLT37" s="578"/>
      <c r="DLU37" s="578"/>
      <c r="DLV37" s="578"/>
      <c r="DLW37" s="578"/>
      <c r="DLX37" s="578"/>
      <c r="DLY37" s="578"/>
      <c r="DLZ37" s="578"/>
      <c r="DMA37" s="578"/>
      <c r="DMB37" s="578"/>
      <c r="DMC37" s="578"/>
      <c r="DMD37" s="578"/>
      <c r="DME37" s="578"/>
      <c r="DMF37" s="578"/>
      <c r="DMG37" s="578"/>
      <c r="DMH37" s="578"/>
      <c r="DMI37" s="578"/>
      <c r="DMJ37" s="578"/>
      <c r="DMK37" s="578"/>
      <c r="DML37" s="578"/>
      <c r="DMM37" s="578"/>
      <c r="DMN37" s="578"/>
      <c r="DMO37" s="578"/>
      <c r="DMP37" s="578"/>
      <c r="DMQ37" s="578"/>
      <c r="DMR37" s="578"/>
      <c r="DMS37" s="578"/>
      <c r="DMT37" s="578"/>
      <c r="DMU37" s="578"/>
      <c r="DMV37" s="578"/>
      <c r="DMW37" s="578"/>
      <c r="DMX37" s="578"/>
      <c r="DMY37" s="578"/>
      <c r="DMZ37" s="578"/>
      <c r="DNA37" s="578"/>
      <c r="DNB37" s="578"/>
      <c r="DNC37" s="578"/>
      <c r="DND37" s="578"/>
      <c r="DNE37" s="578"/>
      <c r="DNF37" s="578"/>
      <c r="DNG37" s="578"/>
      <c r="DNH37" s="578"/>
      <c r="DNI37" s="578"/>
      <c r="DNJ37" s="578"/>
      <c r="DNK37" s="578"/>
      <c r="DNL37" s="578"/>
      <c r="DNM37" s="578"/>
      <c r="DNN37" s="578"/>
      <c r="DNO37" s="578"/>
      <c r="DNP37" s="578"/>
      <c r="DNQ37" s="578"/>
      <c r="DNR37" s="578"/>
      <c r="DNS37" s="578"/>
      <c r="DNT37" s="578"/>
      <c r="DNU37" s="578"/>
      <c r="DNV37" s="578"/>
      <c r="DNW37" s="578"/>
      <c r="DNX37" s="578"/>
      <c r="DNY37" s="578"/>
      <c r="DNZ37" s="578"/>
      <c r="DOA37" s="578"/>
      <c r="DOB37" s="578"/>
      <c r="DOC37" s="578"/>
      <c r="DOD37" s="578"/>
      <c r="DOE37" s="578"/>
      <c r="DOF37" s="578"/>
      <c r="DOG37" s="578"/>
      <c r="DOH37" s="578"/>
      <c r="DOI37" s="578"/>
      <c r="DOJ37" s="578"/>
      <c r="DOK37" s="578"/>
      <c r="DOL37" s="578"/>
      <c r="DOM37" s="578"/>
      <c r="DON37" s="578"/>
      <c r="DOO37" s="578"/>
      <c r="DOP37" s="578"/>
      <c r="DOQ37" s="578"/>
      <c r="DOR37" s="578"/>
      <c r="DOS37" s="578"/>
      <c r="DOT37" s="578"/>
      <c r="DOU37" s="578"/>
      <c r="DOV37" s="578"/>
      <c r="DOW37" s="578"/>
      <c r="DOX37" s="578"/>
      <c r="DOY37" s="578"/>
      <c r="DOZ37" s="578"/>
      <c r="DPA37" s="578"/>
      <c r="DPB37" s="578"/>
      <c r="DPC37" s="578"/>
      <c r="DPD37" s="578"/>
      <c r="DPE37" s="578"/>
      <c r="DPF37" s="578"/>
      <c r="DPG37" s="578"/>
      <c r="DPH37" s="578"/>
      <c r="DPI37" s="578"/>
      <c r="DPJ37" s="578"/>
      <c r="DPK37" s="578"/>
      <c r="DPL37" s="578"/>
      <c r="DPM37" s="578"/>
      <c r="DPN37" s="578"/>
      <c r="DPO37" s="578"/>
      <c r="DPP37" s="578"/>
      <c r="DPQ37" s="578"/>
      <c r="DPR37" s="578"/>
      <c r="DPS37" s="578"/>
      <c r="DPT37" s="578"/>
      <c r="DPU37" s="578"/>
      <c r="DPV37" s="578"/>
      <c r="DPW37" s="578"/>
      <c r="DPX37" s="578"/>
      <c r="DPY37" s="578"/>
      <c r="DPZ37" s="578"/>
      <c r="DQA37" s="578"/>
      <c r="DQB37" s="578"/>
      <c r="DQC37" s="578"/>
      <c r="DQD37" s="578"/>
      <c r="DQE37" s="578"/>
      <c r="DQF37" s="578"/>
      <c r="DQG37" s="578"/>
      <c r="DQH37" s="578"/>
      <c r="DQI37" s="578"/>
      <c r="DQJ37" s="578"/>
      <c r="DQK37" s="578"/>
      <c r="DQL37" s="578"/>
      <c r="DQM37" s="578"/>
      <c r="DQN37" s="578"/>
      <c r="DQO37" s="578"/>
      <c r="DQP37" s="578"/>
      <c r="DQQ37" s="578"/>
      <c r="DQR37" s="578"/>
      <c r="DQS37" s="578"/>
      <c r="DQT37" s="578"/>
      <c r="DQU37" s="578"/>
      <c r="DQV37" s="578"/>
      <c r="DQW37" s="578"/>
      <c r="DQX37" s="578"/>
      <c r="DQY37" s="578"/>
      <c r="DQZ37" s="578"/>
      <c r="DRA37" s="578"/>
      <c r="DRB37" s="578"/>
      <c r="DRC37" s="578"/>
      <c r="DRD37" s="578"/>
      <c r="DRE37" s="578"/>
      <c r="DRF37" s="578"/>
      <c r="DRG37" s="578"/>
      <c r="DRH37" s="578"/>
      <c r="DRI37" s="578"/>
      <c r="DRJ37" s="578"/>
      <c r="DRK37" s="578"/>
      <c r="DRL37" s="578"/>
      <c r="DRM37" s="578"/>
      <c r="DRN37" s="578"/>
      <c r="DRO37" s="578"/>
      <c r="DRP37" s="578"/>
      <c r="DRQ37" s="578"/>
      <c r="DRR37" s="578"/>
      <c r="DRS37" s="578"/>
      <c r="DRT37" s="578"/>
      <c r="DRU37" s="578"/>
      <c r="DRV37" s="578"/>
      <c r="DRW37" s="578"/>
      <c r="DRX37" s="578"/>
      <c r="DRY37" s="578"/>
      <c r="DRZ37" s="578"/>
      <c r="DSA37" s="578"/>
      <c r="DSB37" s="578"/>
      <c r="DSC37" s="578"/>
      <c r="DSD37" s="578"/>
      <c r="DSE37" s="578"/>
      <c r="DSF37" s="578"/>
      <c r="DSG37" s="578"/>
      <c r="DSH37" s="578"/>
      <c r="DSI37" s="578"/>
      <c r="DSJ37" s="578"/>
      <c r="DSK37" s="578"/>
      <c r="DSL37" s="578"/>
      <c r="DSM37" s="578"/>
      <c r="DSN37" s="578"/>
      <c r="DSO37" s="578"/>
      <c r="DSP37" s="578"/>
      <c r="DSQ37" s="578"/>
      <c r="DSR37" s="578"/>
      <c r="DSS37" s="578"/>
      <c r="DST37" s="578"/>
      <c r="DSU37" s="578"/>
      <c r="DSV37" s="578"/>
      <c r="DSW37" s="578"/>
      <c r="DSX37" s="578"/>
      <c r="DSY37" s="578"/>
      <c r="DSZ37" s="578"/>
      <c r="DTA37" s="578"/>
      <c r="DTB37" s="578"/>
      <c r="DTC37" s="578"/>
      <c r="DTD37" s="578"/>
      <c r="DTE37" s="578"/>
      <c r="DTF37" s="578"/>
      <c r="DTG37" s="578"/>
      <c r="DTH37" s="578"/>
      <c r="DTI37" s="578"/>
      <c r="DTJ37" s="578"/>
      <c r="DTK37" s="578"/>
      <c r="DTL37" s="578"/>
      <c r="DTM37" s="578"/>
      <c r="DTN37" s="578"/>
      <c r="DTO37" s="578"/>
      <c r="DTP37" s="578"/>
      <c r="DTQ37" s="578"/>
      <c r="DTR37" s="578"/>
      <c r="DTS37" s="578"/>
      <c r="DTT37" s="578"/>
      <c r="DTU37" s="578"/>
      <c r="DTV37" s="578"/>
      <c r="DTW37" s="578"/>
      <c r="DTX37" s="578"/>
      <c r="DTY37" s="578"/>
      <c r="DTZ37" s="578"/>
      <c r="DUA37" s="578"/>
      <c r="DUB37" s="578"/>
      <c r="DUC37" s="578"/>
      <c r="DUD37" s="578"/>
      <c r="DUE37" s="578"/>
      <c r="DUF37" s="578"/>
      <c r="DUG37" s="578"/>
      <c r="DUH37" s="578"/>
      <c r="DUI37" s="578"/>
      <c r="DUJ37" s="578"/>
      <c r="DUK37" s="578"/>
      <c r="DUL37" s="578"/>
      <c r="DUM37" s="578"/>
      <c r="DUN37" s="578"/>
      <c r="DUO37" s="578"/>
      <c r="DUP37" s="578"/>
      <c r="DUQ37" s="578"/>
      <c r="DUR37" s="578"/>
      <c r="DUS37" s="578"/>
      <c r="DUT37" s="578"/>
      <c r="DUU37" s="578"/>
      <c r="DUV37" s="578"/>
      <c r="DUW37" s="578"/>
      <c r="DUX37" s="578"/>
      <c r="DUY37" s="578"/>
      <c r="DUZ37" s="578"/>
      <c r="DVA37" s="578"/>
      <c r="DVB37" s="578"/>
      <c r="DVC37" s="578"/>
      <c r="DVD37" s="578"/>
      <c r="DVE37" s="578"/>
      <c r="DVF37" s="578"/>
      <c r="DVG37" s="578"/>
      <c r="DVH37" s="578"/>
      <c r="DVI37" s="578"/>
      <c r="DVJ37" s="578"/>
      <c r="DVK37" s="578"/>
      <c r="DVL37" s="578"/>
      <c r="DVM37" s="578"/>
      <c r="DVN37" s="578"/>
      <c r="DVO37" s="578"/>
      <c r="DVP37" s="578"/>
      <c r="DVQ37" s="578"/>
      <c r="DVR37" s="578"/>
      <c r="DVS37" s="578"/>
      <c r="DVT37" s="578"/>
      <c r="DVU37" s="578"/>
      <c r="DVV37" s="578"/>
      <c r="DVW37" s="578"/>
      <c r="DVX37" s="578"/>
      <c r="DVY37" s="578"/>
      <c r="DVZ37" s="578"/>
      <c r="DWA37" s="578"/>
      <c r="DWB37" s="578"/>
      <c r="DWC37" s="578"/>
      <c r="DWD37" s="578"/>
      <c r="DWE37" s="578"/>
      <c r="DWF37" s="578"/>
      <c r="DWG37" s="578"/>
      <c r="DWH37" s="578"/>
      <c r="DWI37" s="578"/>
      <c r="DWJ37" s="578"/>
      <c r="DWK37" s="578"/>
      <c r="DWL37" s="578"/>
      <c r="DWM37" s="578"/>
      <c r="DWN37" s="578"/>
      <c r="DWO37" s="578"/>
      <c r="DWP37" s="578"/>
      <c r="DWQ37" s="578"/>
      <c r="DWR37" s="578"/>
      <c r="DWS37" s="578"/>
      <c r="DWT37" s="578"/>
      <c r="DWU37" s="578"/>
      <c r="DWV37" s="578"/>
      <c r="DWW37" s="578"/>
      <c r="DWX37" s="578"/>
      <c r="DWY37" s="578"/>
      <c r="DWZ37" s="578"/>
      <c r="DXA37" s="578"/>
      <c r="DXB37" s="578"/>
      <c r="DXC37" s="578"/>
      <c r="DXD37" s="578"/>
      <c r="DXE37" s="578"/>
      <c r="DXF37" s="578"/>
      <c r="DXG37" s="578"/>
      <c r="DXH37" s="578"/>
      <c r="DXI37" s="578"/>
      <c r="DXJ37" s="578"/>
      <c r="DXK37" s="578"/>
      <c r="DXL37" s="578"/>
      <c r="DXM37" s="578"/>
      <c r="DXN37" s="578"/>
      <c r="DXO37" s="578"/>
      <c r="DXP37" s="578"/>
      <c r="DXQ37" s="578"/>
      <c r="DXR37" s="578"/>
      <c r="DXS37" s="578"/>
      <c r="DXT37" s="578"/>
      <c r="DXU37" s="578"/>
      <c r="DXV37" s="578"/>
      <c r="DXW37" s="578"/>
      <c r="DXX37" s="578"/>
      <c r="DXY37" s="578"/>
      <c r="DXZ37" s="578"/>
      <c r="DYA37" s="578"/>
      <c r="DYB37" s="578"/>
      <c r="DYC37" s="578"/>
      <c r="DYD37" s="578"/>
      <c r="DYE37" s="578"/>
      <c r="DYF37" s="578"/>
      <c r="DYG37" s="578"/>
      <c r="DYH37" s="578"/>
      <c r="DYI37" s="578"/>
      <c r="DYJ37" s="578"/>
      <c r="DYK37" s="578"/>
      <c r="DYL37" s="578"/>
      <c r="DYM37" s="578"/>
      <c r="DYN37" s="578"/>
      <c r="DYO37" s="578"/>
      <c r="DYP37" s="578"/>
      <c r="DYQ37" s="578"/>
      <c r="DYR37" s="578"/>
      <c r="DYS37" s="578"/>
      <c r="DYT37" s="578"/>
      <c r="DYU37" s="578"/>
      <c r="DYV37" s="578"/>
      <c r="DYW37" s="578"/>
      <c r="DYX37" s="578"/>
      <c r="DYY37" s="578"/>
      <c r="DYZ37" s="578"/>
      <c r="DZA37" s="578"/>
      <c r="DZB37" s="578"/>
      <c r="DZC37" s="578"/>
      <c r="DZD37" s="578"/>
      <c r="DZE37" s="578"/>
      <c r="DZF37" s="578"/>
      <c r="DZG37" s="578"/>
      <c r="DZH37" s="578"/>
      <c r="DZI37" s="578"/>
      <c r="DZJ37" s="578"/>
      <c r="DZK37" s="578"/>
      <c r="DZL37" s="578"/>
      <c r="DZM37" s="578"/>
      <c r="DZN37" s="578"/>
      <c r="DZO37" s="578"/>
      <c r="DZP37" s="578"/>
      <c r="DZQ37" s="578"/>
      <c r="DZR37" s="578"/>
      <c r="DZS37" s="578"/>
      <c r="DZT37" s="578"/>
      <c r="DZU37" s="578"/>
      <c r="DZV37" s="578"/>
      <c r="DZW37" s="578"/>
      <c r="DZX37" s="578"/>
      <c r="DZY37" s="578"/>
      <c r="DZZ37" s="578"/>
      <c r="EAA37" s="578"/>
      <c r="EAB37" s="578"/>
      <c r="EAC37" s="578"/>
      <c r="EAD37" s="578"/>
      <c r="EAE37" s="578"/>
      <c r="EAF37" s="578"/>
      <c r="EAG37" s="578"/>
      <c r="EAH37" s="578"/>
      <c r="EAI37" s="578"/>
      <c r="EAJ37" s="578"/>
      <c r="EAK37" s="578"/>
      <c r="EAL37" s="578"/>
      <c r="EAM37" s="578"/>
      <c r="EAN37" s="578"/>
      <c r="EAO37" s="578"/>
      <c r="EAP37" s="578"/>
      <c r="EAQ37" s="578"/>
      <c r="EAR37" s="578"/>
      <c r="EAS37" s="578"/>
      <c r="EAT37" s="578"/>
      <c r="EAU37" s="578"/>
      <c r="EAV37" s="578"/>
      <c r="EAW37" s="578"/>
      <c r="EAX37" s="578"/>
      <c r="EAY37" s="578"/>
      <c r="EAZ37" s="578"/>
      <c r="EBA37" s="578"/>
      <c r="EBB37" s="578"/>
      <c r="EBC37" s="578"/>
      <c r="EBD37" s="578"/>
      <c r="EBE37" s="578"/>
      <c r="EBF37" s="578"/>
      <c r="EBG37" s="578"/>
      <c r="EBH37" s="578"/>
      <c r="EBI37" s="578"/>
      <c r="EBJ37" s="578"/>
      <c r="EBK37" s="578"/>
      <c r="EBL37" s="578"/>
      <c r="EBM37" s="578"/>
      <c r="EBN37" s="578"/>
      <c r="EBO37" s="578"/>
      <c r="EBP37" s="578"/>
      <c r="EBQ37" s="578"/>
      <c r="EBR37" s="578"/>
      <c r="EBS37" s="578"/>
      <c r="EBT37" s="578"/>
      <c r="EBU37" s="578"/>
      <c r="EBV37" s="578"/>
      <c r="EBW37" s="578"/>
      <c r="EBX37" s="578"/>
      <c r="EBY37" s="578"/>
      <c r="EBZ37" s="578"/>
      <c r="ECA37" s="578"/>
      <c r="ECB37" s="578"/>
      <c r="ECC37" s="578"/>
      <c r="ECD37" s="578"/>
      <c r="ECE37" s="578"/>
      <c r="ECF37" s="578"/>
      <c r="ECG37" s="578"/>
      <c r="ECH37" s="578"/>
      <c r="ECI37" s="578"/>
      <c r="ECJ37" s="578"/>
      <c r="ECK37" s="578"/>
      <c r="ECL37" s="578"/>
      <c r="ECM37" s="578"/>
      <c r="ECN37" s="578"/>
      <c r="ECO37" s="578"/>
      <c r="ECP37" s="578"/>
      <c r="ECQ37" s="578"/>
      <c r="ECR37" s="578"/>
      <c r="ECS37" s="578"/>
      <c r="ECT37" s="578"/>
      <c r="ECU37" s="578"/>
      <c r="ECV37" s="578"/>
      <c r="ECW37" s="578"/>
      <c r="ECX37" s="578"/>
      <c r="ECY37" s="578"/>
      <c r="ECZ37" s="578"/>
      <c r="EDA37" s="578"/>
      <c r="EDB37" s="578"/>
      <c r="EDC37" s="578"/>
      <c r="EDD37" s="578"/>
      <c r="EDE37" s="578"/>
      <c r="EDF37" s="578"/>
      <c r="EDG37" s="578"/>
      <c r="EDH37" s="578"/>
      <c r="EDI37" s="578"/>
      <c r="EDJ37" s="578"/>
      <c r="EDK37" s="578"/>
      <c r="EDL37" s="578"/>
      <c r="EDM37" s="578"/>
      <c r="EDN37" s="578"/>
      <c r="EDO37" s="578"/>
      <c r="EDP37" s="578"/>
      <c r="EDQ37" s="578"/>
      <c r="EDR37" s="578"/>
      <c r="EDS37" s="578"/>
      <c r="EDT37" s="578"/>
      <c r="EDU37" s="578"/>
      <c r="EDV37" s="578"/>
      <c r="EDW37" s="578"/>
      <c r="EDX37" s="578"/>
      <c r="EDY37" s="578"/>
      <c r="EDZ37" s="578"/>
      <c r="EEA37" s="578"/>
      <c r="EEB37" s="578"/>
      <c r="EEC37" s="578"/>
      <c r="EED37" s="578"/>
      <c r="EEE37" s="578"/>
      <c r="EEF37" s="578"/>
      <c r="EEG37" s="578"/>
      <c r="EEH37" s="578"/>
      <c r="EEI37" s="578"/>
      <c r="EEJ37" s="578"/>
      <c r="EEK37" s="578"/>
      <c r="EEL37" s="578"/>
      <c r="EEM37" s="578"/>
      <c r="EEN37" s="578"/>
      <c r="EEO37" s="578"/>
      <c r="EEP37" s="578"/>
      <c r="EEQ37" s="578"/>
      <c r="EER37" s="578"/>
      <c r="EES37" s="578"/>
      <c r="EET37" s="578"/>
      <c r="EEU37" s="578"/>
      <c r="EEV37" s="578"/>
      <c r="EEW37" s="578"/>
      <c r="EEX37" s="578"/>
      <c r="EEY37" s="578"/>
      <c r="EEZ37" s="578"/>
      <c r="EFA37" s="578"/>
      <c r="EFB37" s="578"/>
      <c r="EFC37" s="578"/>
      <c r="EFD37" s="578"/>
      <c r="EFE37" s="578"/>
      <c r="EFF37" s="578"/>
      <c r="EFG37" s="578"/>
      <c r="EFH37" s="578"/>
      <c r="EFI37" s="578"/>
      <c r="EFJ37" s="578"/>
      <c r="EFK37" s="578"/>
      <c r="EFL37" s="578"/>
      <c r="EFM37" s="578"/>
      <c r="EFN37" s="578"/>
      <c r="EFO37" s="578"/>
      <c r="EFP37" s="578"/>
      <c r="EFQ37" s="578"/>
      <c r="EFR37" s="578"/>
      <c r="EFS37" s="578"/>
      <c r="EFT37" s="578"/>
      <c r="EFU37" s="578"/>
      <c r="EFV37" s="578"/>
      <c r="EFW37" s="578"/>
      <c r="EFX37" s="578"/>
      <c r="EFY37" s="578"/>
      <c r="EFZ37" s="578"/>
      <c r="EGA37" s="578"/>
      <c r="EGB37" s="578"/>
      <c r="EGC37" s="578"/>
      <c r="EGD37" s="578"/>
      <c r="EGE37" s="578"/>
      <c r="EGF37" s="578"/>
      <c r="EGG37" s="578"/>
      <c r="EGH37" s="578"/>
      <c r="EGI37" s="578"/>
      <c r="EGJ37" s="578"/>
      <c r="EGK37" s="578"/>
      <c r="EGL37" s="578"/>
      <c r="EGM37" s="578"/>
      <c r="EGN37" s="578"/>
      <c r="EGO37" s="578"/>
      <c r="EGP37" s="578"/>
      <c r="EGQ37" s="578"/>
      <c r="EGR37" s="578"/>
      <c r="EGS37" s="578"/>
      <c r="EGT37" s="578"/>
      <c r="EGU37" s="578"/>
      <c r="EGV37" s="578"/>
      <c r="EGW37" s="578"/>
      <c r="EGX37" s="578"/>
      <c r="EGY37" s="578"/>
      <c r="EGZ37" s="578"/>
      <c r="EHA37" s="578"/>
      <c r="EHB37" s="578"/>
      <c r="EHC37" s="578"/>
      <c r="EHD37" s="578"/>
      <c r="EHE37" s="578"/>
      <c r="EHF37" s="578"/>
      <c r="EHG37" s="578"/>
      <c r="EHH37" s="578"/>
      <c r="EHI37" s="578"/>
      <c r="EHJ37" s="578"/>
      <c r="EHK37" s="578"/>
      <c r="EHL37" s="578"/>
      <c r="EHM37" s="578"/>
      <c r="EHN37" s="578"/>
      <c r="EHO37" s="578"/>
      <c r="EHP37" s="578"/>
      <c r="EHQ37" s="578"/>
      <c r="EHR37" s="578"/>
      <c r="EHS37" s="578"/>
      <c r="EHT37" s="578"/>
      <c r="EHU37" s="578"/>
      <c r="EHV37" s="578"/>
      <c r="EHW37" s="578"/>
      <c r="EHX37" s="578"/>
      <c r="EHY37" s="578"/>
      <c r="EHZ37" s="578"/>
      <c r="EIA37" s="578"/>
      <c r="EIB37" s="578"/>
      <c r="EIC37" s="578"/>
      <c r="EID37" s="578"/>
      <c r="EIE37" s="578"/>
      <c r="EIF37" s="578"/>
      <c r="EIG37" s="578"/>
      <c r="EIH37" s="578"/>
      <c r="EII37" s="578"/>
      <c r="EIJ37" s="578"/>
      <c r="EIK37" s="578"/>
      <c r="EIL37" s="578"/>
      <c r="EIM37" s="578"/>
      <c r="EIN37" s="578"/>
      <c r="EIO37" s="578"/>
      <c r="EIP37" s="578"/>
      <c r="EIQ37" s="578"/>
      <c r="EIR37" s="578"/>
      <c r="EIS37" s="578"/>
      <c r="EIT37" s="578"/>
      <c r="EIU37" s="578"/>
      <c r="EIV37" s="578"/>
      <c r="EIW37" s="578"/>
      <c r="EIX37" s="578"/>
      <c r="EIY37" s="578"/>
      <c r="EIZ37" s="578"/>
      <c r="EJA37" s="578"/>
      <c r="EJB37" s="578"/>
      <c r="EJC37" s="578"/>
      <c r="EJD37" s="578"/>
      <c r="EJE37" s="578"/>
      <c r="EJF37" s="578"/>
      <c r="EJG37" s="578"/>
      <c r="EJH37" s="578"/>
      <c r="EJI37" s="578"/>
      <c r="EJJ37" s="578"/>
      <c r="EJK37" s="578"/>
      <c r="EJL37" s="578"/>
      <c r="EJM37" s="578"/>
      <c r="EJN37" s="578"/>
      <c r="EJO37" s="578"/>
      <c r="EJP37" s="578"/>
      <c r="EJQ37" s="578"/>
      <c r="EJR37" s="578"/>
      <c r="EJS37" s="578"/>
      <c r="EJT37" s="578"/>
      <c r="EJU37" s="578"/>
      <c r="EJV37" s="578"/>
      <c r="EJW37" s="578"/>
      <c r="EJX37" s="578"/>
      <c r="EJY37" s="578"/>
      <c r="EJZ37" s="578"/>
      <c r="EKA37" s="578"/>
      <c r="EKB37" s="578"/>
      <c r="EKC37" s="578"/>
      <c r="EKD37" s="578"/>
      <c r="EKE37" s="578"/>
      <c r="EKF37" s="578"/>
      <c r="EKG37" s="578"/>
      <c r="EKH37" s="578"/>
      <c r="EKI37" s="578"/>
      <c r="EKJ37" s="578"/>
      <c r="EKK37" s="578"/>
      <c r="EKL37" s="578"/>
      <c r="EKM37" s="578"/>
      <c r="EKN37" s="578"/>
      <c r="EKO37" s="578"/>
      <c r="EKP37" s="578"/>
      <c r="EKQ37" s="578"/>
      <c r="EKR37" s="578"/>
      <c r="EKS37" s="578"/>
      <c r="EKT37" s="578"/>
      <c r="EKU37" s="578"/>
      <c r="EKV37" s="578"/>
      <c r="EKW37" s="578"/>
      <c r="EKX37" s="578"/>
      <c r="EKY37" s="578"/>
      <c r="EKZ37" s="578"/>
      <c r="ELA37" s="578"/>
      <c r="ELB37" s="578"/>
      <c r="ELC37" s="578"/>
      <c r="ELD37" s="578"/>
      <c r="ELE37" s="578"/>
      <c r="ELF37" s="578"/>
      <c r="ELG37" s="578"/>
      <c r="ELH37" s="578"/>
      <c r="ELI37" s="578"/>
      <c r="ELJ37" s="578"/>
      <c r="ELK37" s="578"/>
      <c r="ELL37" s="578"/>
      <c r="ELM37" s="578"/>
      <c r="ELN37" s="578"/>
      <c r="ELO37" s="578"/>
      <c r="ELP37" s="578"/>
      <c r="ELQ37" s="578"/>
      <c r="ELR37" s="578"/>
      <c r="ELS37" s="578"/>
      <c r="ELT37" s="578"/>
      <c r="ELU37" s="578"/>
      <c r="ELV37" s="578"/>
      <c r="ELW37" s="578"/>
      <c r="ELX37" s="578"/>
      <c r="ELY37" s="578"/>
      <c r="ELZ37" s="578"/>
      <c r="EMA37" s="578"/>
      <c r="EMB37" s="578"/>
      <c r="EMC37" s="578"/>
      <c r="EMD37" s="578"/>
      <c r="EME37" s="578"/>
      <c r="EMF37" s="578"/>
      <c r="EMG37" s="578"/>
      <c r="EMH37" s="578"/>
      <c r="EMI37" s="578"/>
      <c r="EMJ37" s="578"/>
      <c r="EMK37" s="578"/>
      <c r="EML37" s="578"/>
      <c r="EMM37" s="578"/>
      <c r="EMN37" s="578"/>
      <c r="EMO37" s="578"/>
      <c r="EMP37" s="578"/>
      <c r="EMQ37" s="578"/>
      <c r="EMR37" s="578"/>
      <c r="EMS37" s="578"/>
      <c r="EMT37" s="578"/>
      <c r="EMU37" s="578"/>
      <c r="EMV37" s="578"/>
      <c r="EMW37" s="578"/>
      <c r="EMX37" s="578"/>
      <c r="EMY37" s="578"/>
      <c r="EMZ37" s="578"/>
      <c r="ENA37" s="578"/>
      <c r="ENB37" s="578"/>
      <c r="ENC37" s="578"/>
      <c r="END37" s="578"/>
      <c r="ENE37" s="578"/>
      <c r="ENF37" s="578"/>
      <c r="ENG37" s="578"/>
      <c r="ENH37" s="578"/>
      <c r="ENI37" s="578"/>
      <c r="ENJ37" s="578"/>
      <c r="ENK37" s="578"/>
      <c r="ENL37" s="578"/>
      <c r="ENM37" s="578"/>
      <c r="ENN37" s="578"/>
      <c r="ENO37" s="578"/>
      <c r="ENP37" s="578"/>
      <c r="ENQ37" s="578"/>
      <c r="ENR37" s="578"/>
      <c r="ENS37" s="578"/>
      <c r="ENT37" s="578"/>
      <c r="ENU37" s="578"/>
      <c r="ENV37" s="578"/>
      <c r="ENW37" s="578"/>
      <c r="ENX37" s="578"/>
      <c r="ENY37" s="578"/>
      <c r="ENZ37" s="578"/>
      <c r="EOA37" s="578"/>
      <c r="EOB37" s="578"/>
      <c r="EOC37" s="578"/>
      <c r="EOD37" s="578"/>
      <c r="EOE37" s="578"/>
      <c r="EOF37" s="578"/>
      <c r="EOG37" s="578"/>
      <c r="EOH37" s="578"/>
      <c r="EOI37" s="578"/>
      <c r="EOJ37" s="578"/>
      <c r="EOK37" s="578"/>
      <c r="EOL37" s="578"/>
      <c r="EOM37" s="578"/>
      <c r="EON37" s="578"/>
      <c r="EOO37" s="578"/>
      <c r="EOP37" s="578"/>
      <c r="EOQ37" s="578"/>
      <c r="EOR37" s="578"/>
      <c r="EOS37" s="578"/>
      <c r="EOT37" s="578"/>
      <c r="EOU37" s="578"/>
      <c r="EOV37" s="578"/>
      <c r="EOW37" s="578"/>
      <c r="EOX37" s="578"/>
      <c r="EOY37" s="578"/>
      <c r="EOZ37" s="578"/>
      <c r="EPA37" s="578"/>
      <c r="EPB37" s="578"/>
      <c r="EPC37" s="578"/>
      <c r="EPD37" s="578"/>
      <c r="EPE37" s="578"/>
      <c r="EPF37" s="578"/>
      <c r="EPG37" s="578"/>
      <c r="EPH37" s="578"/>
      <c r="EPI37" s="578"/>
      <c r="EPJ37" s="578"/>
      <c r="EPK37" s="578"/>
      <c r="EPL37" s="578"/>
      <c r="EPM37" s="578"/>
      <c r="EPN37" s="578"/>
      <c r="EPO37" s="578"/>
      <c r="EPP37" s="578"/>
      <c r="EPQ37" s="578"/>
      <c r="EPR37" s="578"/>
      <c r="EPS37" s="578"/>
      <c r="EPT37" s="578"/>
      <c r="EPU37" s="578"/>
      <c r="EPV37" s="578"/>
      <c r="EPW37" s="578"/>
      <c r="EPX37" s="578"/>
      <c r="EPY37" s="578"/>
      <c r="EPZ37" s="578"/>
      <c r="EQA37" s="578"/>
      <c r="EQB37" s="578"/>
      <c r="EQC37" s="578"/>
      <c r="EQD37" s="578"/>
      <c r="EQE37" s="578"/>
      <c r="EQF37" s="578"/>
      <c r="EQG37" s="578"/>
      <c r="EQH37" s="578"/>
      <c r="EQI37" s="578"/>
      <c r="EQJ37" s="578"/>
      <c r="EQK37" s="578"/>
      <c r="EQL37" s="578"/>
      <c r="EQM37" s="578"/>
      <c r="EQN37" s="578"/>
      <c r="EQO37" s="578"/>
      <c r="EQP37" s="578"/>
      <c r="EQQ37" s="578"/>
      <c r="EQR37" s="578"/>
      <c r="EQS37" s="578"/>
      <c r="EQT37" s="578"/>
      <c r="EQU37" s="578"/>
      <c r="EQV37" s="578"/>
      <c r="EQW37" s="578"/>
      <c r="EQX37" s="578"/>
      <c r="EQY37" s="578"/>
      <c r="EQZ37" s="578"/>
      <c r="ERA37" s="578"/>
      <c r="ERB37" s="578"/>
      <c r="ERC37" s="578"/>
      <c r="ERD37" s="578"/>
      <c r="ERE37" s="578"/>
      <c r="ERF37" s="578"/>
      <c r="ERG37" s="578"/>
      <c r="ERH37" s="578"/>
      <c r="ERI37" s="578"/>
      <c r="ERJ37" s="578"/>
      <c r="ERK37" s="578"/>
      <c r="ERL37" s="578"/>
      <c r="ERM37" s="578"/>
      <c r="ERN37" s="578"/>
      <c r="ERO37" s="578"/>
      <c r="ERP37" s="578"/>
      <c r="ERQ37" s="578"/>
      <c r="ERR37" s="578"/>
      <c r="ERS37" s="578"/>
      <c r="ERT37" s="578"/>
      <c r="ERU37" s="578"/>
      <c r="ERV37" s="578"/>
      <c r="ERW37" s="578"/>
      <c r="ERX37" s="578"/>
      <c r="ERY37" s="578"/>
      <c r="ERZ37" s="578"/>
      <c r="ESA37" s="578"/>
      <c r="ESB37" s="578"/>
      <c r="ESC37" s="578"/>
      <c r="ESD37" s="578"/>
      <c r="ESE37" s="578"/>
      <c r="ESF37" s="578"/>
      <c r="ESG37" s="578"/>
      <c r="ESH37" s="578"/>
      <c r="ESI37" s="578"/>
      <c r="ESJ37" s="578"/>
      <c r="ESK37" s="578"/>
      <c r="ESL37" s="578"/>
      <c r="ESM37" s="578"/>
      <c r="ESN37" s="578"/>
      <c r="ESO37" s="578"/>
      <c r="ESP37" s="578"/>
      <c r="ESQ37" s="578"/>
      <c r="ESR37" s="578"/>
      <c r="ESS37" s="578"/>
      <c r="EST37" s="578"/>
      <c r="ESU37" s="578"/>
      <c r="ESV37" s="578"/>
      <c r="ESW37" s="578"/>
      <c r="ESX37" s="578"/>
      <c r="ESY37" s="578"/>
      <c r="ESZ37" s="578"/>
      <c r="ETA37" s="578"/>
      <c r="ETB37" s="578"/>
      <c r="ETC37" s="578"/>
      <c r="ETD37" s="578"/>
      <c r="ETE37" s="578"/>
      <c r="ETF37" s="578"/>
      <c r="ETG37" s="578"/>
      <c r="ETH37" s="578"/>
      <c r="ETI37" s="578"/>
      <c r="ETJ37" s="578"/>
      <c r="ETK37" s="578"/>
      <c r="ETL37" s="578"/>
      <c r="ETM37" s="578"/>
      <c r="ETN37" s="578"/>
      <c r="ETO37" s="578"/>
      <c r="ETP37" s="578"/>
      <c r="ETQ37" s="578"/>
      <c r="ETR37" s="578"/>
      <c r="ETS37" s="578"/>
      <c r="ETT37" s="578"/>
      <c r="ETU37" s="578"/>
      <c r="ETV37" s="578"/>
      <c r="ETW37" s="578"/>
      <c r="ETX37" s="578"/>
      <c r="ETY37" s="578"/>
      <c r="ETZ37" s="578"/>
      <c r="EUA37" s="578"/>
      <c r="EUB37" s="578"/>
      <c r="EUC37" s="578"/>
      <c r="EUD37" s="578"/>
      <c r="EUE37" s="578"/>
      <c r="EUF37" s="578"/>
      <c r="EUG37" s="578"/>
      <c r="EUH37" s="578"/>
      <c r="EUI37" s="578"/>
      <c r="EUJ37" s="578"/>
      <c r="EUK37" s="578"/>
      <c r="EUL37" s="578"/>
      <c r="EUM37" s="578"/>
      <c r="EUN37" s="578"/>
      <c r="EUO37" s="578"/>
      <c r="EUP37" s="578"/>
      <c r="EUQ37" s="578"/>
      <c r="EUR37" s="578"/>
      <c r="EUS37" s="578"/>
      <c r="EUT37" s="578"/>
      <c r="EUU37" s="578"/>
      <c r="EUV37" s="578"/>
      <c r="EUW37" s="578"/>
      <c r="EUX37" s="578"/>
      <c r="EUY37" s="578"/>
      <c r="EUZ37" s="578"/>
      <c r="EVA37" s="578"/>
      <c r="EVB37" s="578"/>
      <c r="EVC37" s="578"/>
      <c r="EVD37" s="578"/>
      <c r="EVE37" s="578"/>
      <c r="EVF37" s="578"/>
      <c r="EVG37" s="578"/>
      <c r="EVH37" s="578"/>
      <c r="EVI37" s="578"/>
      <c r="EVJ37" s="578"/>
      <c r="EVK37" s="578"/>
      <c r="EVL37" s="578"/>
      <c r="EVM37" s="578"/>
      <c r="EVN37" s="578"/>
      <c r="EVO37" s="578"/>
      <c r="EVP37" s="578"/>
      <c r="EVQ37" s="578"/>
      <c r="EVR37" s="578"/>
      <c r="EVS37" s="578"/>
      <c r="EVT37" s="578"/>
      <c r="EVU37" s="578"/>
      <c r="EVV37" s="578"/>
      <c r="EVW37" s="578"/>
      <c r="EVX37" s="578"/>
      <c r="EVY37" s="578"/>
      <c r="EVZ37" s="578"/>
      <c r="EWA37" s="578"/>
      <c r="EWB37" s="578"/>
      <c r="EWC37" s="578"/>
      <c r="EWD37" s="578"/>
      <c r="EWE37" s="578"/>
      <c r="EWF37" s="578"/>
      <c r="EWG37" s="578"/>
      <c r="EWH37" s="578"/>
      <c r="EWI37" s="578"/>
      <c r="EWJ37" s="578"/>
      <c r="EWK37" s="578"/>
      <c r="EWL37" s="578"/>
      <c r="EWM37" s="578"/>
      <c r="EWN37" s="578"/>
      <c r="EWO37" s="578"/>
      <c r="EWP37" s="578"/>
      <c r="EWQ37" s="578"/>
      <c r="EWR37" s="578"/>
      <c r="EWS37" s="578"/>
      <c r="EWT37" s="578"/>
      <c r="EWU37" s="578"/>
      <c r="EWV37" s="578"/>
      <c r="EWW37" s="578"/>
      <c r="EWX37" s="578"/>
      <c r="EWY37" s="578"/>
      <c r="EWZ37" s="578"/>
      <c r="EXA37" s="578"/>
      <c r="EXB37" s="578"/>
      <c r="EXC37" s="578"/>
      <c r="EXD37" s="578"/>
      <c r="EXE37" s="578"/>
      <c r="EXF37" s="578"/>
      <c r="EXG37" s="578"/>
      <c r="EXH37" s="578"/>
      <c r="EXI37" s="578"/>
      <c r="EXJ37" s="578"/>
      <c r="EXK37" s="578"/>
      <c r="EXL37" s="578"/>
      <c r="EXM37" s="578"/>
      <c r="EXN37" s="578"/>
      <c r="EXO37" s="578"/>
      <c r="EXP37" s="578"/>
      <c r="EXQ37" s="578"/>
      <c r="EXR37" s="578"/>
      <c r="EXS37" s="578"/>
      <c r="EXT37" s="578"/>
      <c r="EXU37" s="578"/>
      <c r="EXV37" s="578"/>
      <c r="EXW37" s="578"/>
      <c r="EXX37" s="578"/>
      <c r="EXY37" s="578"/>
      <c r="EXZ37" s="578"/>
      <c r="EYA37" s="578"/>
      <c r="EYB37" s="578"/>
      <c r="EYC37" s="578"/>
      <c r="EYD37" s="578"/>
      <c r="EYE37" s="578"/>
      <c r="EYF37" s="578"/>
      <c r="EYG37" s="578"/>
      <c r="EYH37" s="578"/>
      <c r="EYI37" s="578"/>
      <c r="EYJ37" s="578"/>
      <c r="EYK37" s="578"/>
      <c r="EYL37" s="578"/>
      <c r="EYM37" s="578"/>
      <c r="EYN37" s="578"/>
      <c r="EYO37" s="578"/>
      <c r="EYP37" s="578"/>
      <c r="EYQ37" s="578"/>
      <c r="EYR37" s="578"/>
      <c r="EYS37" s="578"/>
      <c r="EYT37" s="578"/>
      <c r="EYU37" s="578"/>
      <c r="EYV37" s="578"/>
      <c r="EYW37" s="578"/>
      <c r="EYX37" s="578"/>
      <c r="EYY37" s="578"/>
      <c r="EYZ37" s="578"/>
      <c r="EZA37" s="578"/>
      <c r="EZB37" s="578"/>
      <c r="EZC37" s="578"/>
      <c r="EZD37" s="578"/>
      <c r="EZE37" s="578"/>
      <c r="EZF37" s="578"/>
      <c r="EZG37" s="578"/>
      <c r="EZH37" s="578"/>
      <c r="EZI37" s="578"/>
      <c r="EZJ37" s="578"/>
      <c r="EZK37" s="578"/>
      <c r="EZL37" s="578"/>
      <c r="EZM37" s="578"/>
      <c r="EZN37" s="578"/>
      <c r="EZO37" s="578"/>
      <c r="EZP37" s="578"/>
      <c r="EZQ37" s="578"/>
      <c r="EZR37" s="578"/>
      <c r="EZS37" s="578"/>
      <c r="EZT37" s="578"/>
      <c r="EZU37" s="578"/>
      <c r="EZV37" s="578"/>
      <c r="EZW37" s="578"/>
      <c r="EZX37" s="578"/>
      <c r="EZY37" s="578"/>
      <c r="EZZ37" s="578"/>
      <c r="FAA37" s="578"/>
      <c r="FAB37" s="578"/>
      <c r="FAC37" s="578"/>
      <c r="FAD37" s="578"/>
      <c r="FAE37" s="578"/>
      <c r="FAF37" s="578"/>
      <c r="FAG37" s="578"/>
      <c r="FAH37" s="578"/>
      <c r="FAI37" s="578"/>
      <c r="FAJ37" s="578"/>
      <c r="FAK37" s="578"/>
      <c r="FAL37" s="578"/>
      <c r="FAM37" s="578"/>
      <c r="FAN37" s="578"/>
      <c r="FAO37" s="578"/>
      <c r="FAP37" s="578"/>
      <c r="FAQ37" s="578"/>
      <c r="FAR37" s="578"/>
      <c r="FAS37" s="578"/>
      <c r="FAT37" s="578"/>
      <c r="FAU37" s="578"/>
      <c r="FAV37" s="578"/>
      <c r="FAW37" s="578"/>
      <c r="FAX37" s="578"/>
      <c r="FAY37" s="578"/>
      <c r="FAZ37" s="578"/>
      <c r="FBA37" s="578"/>
      <c r="FBB37" s="578"/>
      <c r="FBC37" s="578"/>
      <c r="FBD37" s="578"/>
      <c r="FBE37" s="578"/>
      <c r="FBF37" s="578"/>
      <c r="FBG37" s="578"/>
      <c r="FBH37" s="578"/>
      <c r="FBI37" s="578"/>
      <c r="FBJ37" s="578"/>
      <c r="FBK37" s="578"/>
      <c r="FBL37" s="578"/>
      <c r="FBM37" s="578"/>
      <c r="FBN37" s="578"/>
      <c r="FBO37" s="578"/>
      <c r="FBP37" s="578"/>
      <c r="FBQ37" s="578"/>
      <c r="FBR37" s="578"/>
      <c r="FBS37" s="578"/>
      <c r="FBT37" s="578"/>
      <c r="FBU37" s="578"/>
      <c r="FBV37" s="578"/>
      <c r="FBW37" s="578"/>
      <c r="FBX37" s="578"/>
      <c r="FBY37" s="578"/>
      <c r="FBZ37" s="578"/>
      <c r="FCA37" s="578"/>
      <c r="FCB37" s="578"/>
      <c r="FCC37" s="578"/>
      <c r="FCD37" s="578"/>
      <c r="FCE37" s="578"/>
      <c r="FCF37" s="578"/>
      <c r="FCG37" s="578"/>
      <c r="FCH37" s="578"/>
      <c r="FCI37" s="578"/>
      <c r="FCJ37" s="578"/>
      <c r="FCK37" s="578"/>
      <c r="FCL37" s="578"/>
      <c r="FCM37" s="578"/>
      <c r="FCN37" s="578"/>
      <c r="FCO37" s="578"/>
      <c r="FCP37" s="578"/>
      <c r="FCQ37" s="578"/>
      <c r="FCR37" s="578"/>
      <c r="FCS37" s="578"/>
      <c r="FCT37" s="578"/>
      <c r="FCU37" s="578"/>
      <c r="FCV37" s="578"/>
      <c r="FCW37" s="578"/>
      <c r="FCX37" s="578"/>
      <c r="FCY37" s="578"/>
      <c r="FCZ37" s="578"/>
      <c r="FDA37" s="578"/>
      <c r="FDB37" s="578"/>
      <c r="FDC37" s="578"/>
      <c r="FDD37" s="578"/>
      <c r="FDE37" s="578"/>
      <c r="FDF37" s="578"/>
      <c r="FDG37" s="578"/>
      <c r="FDH37" s="578"/>
      <c r="FDI37" s="578"/>
      <c r="FDJ37" s="578"/>
      <c r="FDK37" s="578"/>
      <c r="FDL37" s="578"/>
      <c r="FDM37" s="578"/>
      <c r="FDN37" s="578"/>
      <c r="FDO37" s="578"/>
      <c r="FDP37" s="578"/>
      <c r="FDQ37" s="578"/>
      <c r="FDR37" s="578"/>
      <c r="FDS37" s="578"/>
      <c r="FDT37" s="578"/>
      <c r="FDU37" s="578"/>
      <c r="FDV37" s="578"/>
      <c r="FDW37" s="578"/>
      <c r="FDX37" s="578"/>
      <c r="FDY37" s="578"/>
      <c r="FDZ37" s="578"/>
      <c r="FEA37" s="578"/>
      <c r="FEB37" s="578"/>
      <c r="FEC37" s="578"/>
      <c r="FED37" s="578"/>
      <c r="FEE37" s="578"/>
      <c r="FEF37" s="578"/>
      <c r="FEG37" s="578"/>
      <c r="FEH37" s="578"/>
      <c r="FEI37" s="578"/>
      <c r="FEJ37" s="578"/>
      <c r="FEK37" s="578"/>
      <c r="FEL37" s="578"/>
      <c r="FEM37" s="578"/>
      <c r="FEN37" s="578"/>
      <c r="FEO37" s="578"/>
      <c r="FEP37" s="578"/>
      <c r="FEQ37" s="578"/>
      <c r="FER37" s="578"/>
      <c r="FES37" s="578"/>
      <c r="FET37" s="578"/>
      <c r="FEU37" s="578"/>
      <c r="FEV37" s="578"/>
      <c r="FEW37" s="578"/>
      <c r="FEX37" s="578"/>
      <c r="FEY37" s="578"/>
      <c r="FEZ37" s="578"/>
      <c r="FFA37" s="578"/>
      <c r="FFB37" s="578"/>
      <c r="FFC37" s="578"/>
      <c r="FFD37" s="578"/>
      <c r="FFE37" s="578"/>
      <c r="FFF37" s="578"/>
      <c r="FFG37" s="578"/>
      <c r="FFH37" s="578"/>
      <c r="FFI37" s="578"/>
      <c r="FFJ37" s="578"/>
      <c r="FFK37" s="578"/>
      <c r="FFL37" s="578"/>
      <c r="FFM37" s="578"/>
      <c r="FFN37" s="578"/>
      <c r="FFO37" s="578"/>
      <c r="FFP37" s="578"/>
      <c r="FFQ37" s="578"/>
      <c r="FFR37" s="578"/>
      <c r="FFS37" s="578"/>
      <c r="FFT37" s="578"/>
      <c r="FFU37" s="578"/>
      <c r="FFV37" s="578"/>
      <c r="FFW37" s="578"/>
      <c r="FFX37" s="578"/>
      <c r="FFY37" s="578"/>
      <c r="FFZ37" s="578"/>
      <c r="FGA37" s="578"/>
      <c r="FGB37" s="578"/>
      <c r="FGC37" s="578"/>
      <c r="FGD37" s="578"/>
      <c r="FGE37" s="578"/>
      <c r="FGF37" s="578"/>
      <c r="FGG37" s="578"/>
      <c r="FGH37" s="578"/>
      <c r="FGI37" s="578"/>
      <c r="FGJ37" s="578"/>
      <c r="FGK37" s="578"/>
      <c r="FGL37" s="578"/>
      <c r="FGM37" s="578"/>
      <c r="FGN37" s="578"/>
      <c r="FGO37" s="578"/>
      <c r="FGP37" s="578"/>
      <c r="FGQ37" s="578"/>
      <c r="FGR37" s="578"/>
      <c r="FGS37" s="578"/>
      <c r="FGT37" s="578"/>
      <c r="FGU37" s="578"/>
      <c r="FGV37" s="578"/>
      <c r="FGW37" s="578"/>
      <c r="FGX37" s="578"/>
      <c r="FGY37" s="578"/>
      <c r="FGZ37" s="578"/>
      <c r="FHA37" s="578"/>
      <c r="FHB37" s="578"/>
      <c r="FHC37" s="578"/>
      <c r="FHD37" s="578"/>
      <c r="FHE37" s="578"/>
      <c r="FHF37" s="578"/>
      <c r="FHG37" s="578"/>
      <c r="FHH37" s="578"/>
      <c r="FHI37" s="578"/>
      <c r="FHJ37" s="578"/>
      <c r="FHK37" s="578"/>
      <c r="FHL37" s="578"/>
      <c r="FHM37" s="578"/>
      <c r="FHN37" s="578"/>
      <c r="FHO37" s="578"/>
      <c r="FHP37" s="578"/>
      <c r="FHQ37" s="578"/>
      <c r="FHR37" s="578"/>
      <c r="FHS37" s="578"/>
      <c r="FHT37" s="578"/>
      <c r="FHU37" s="578"/>
      <c r="FHV37" s="578"/>
      <c r="FHW37" s="578"/>
      <c r="FHX37" s="578"/>
      <c r="FHY37" s="578"/>
      <c r="FHZ37" s="578"/>
      <c r="FIA37" s="578"/>
      <c r="FIB37" s="578"/>
      <c r="FIC37" s="578"/>
      <c r="FID37" s="578"/>
      <c r="FIE37" s="578"/>
      <c r="FIF37" s="578"/>
      <c r="FIG37" s="578"/>
      <c r="FIH37" s="578"/>
      <c r="FII37" s="578"/>
      <c r="FIJ37" s="578"/>
      <c r="FIK37" s="578"/>
      <c r="FIL37" s="578"/>
      <c r="FIM37" s="578"/>
      <c r="FIN37" s="578"/>
      <c r="FIO37" s="578"/>
      <c r="FIP37" s="578"/>
      <c r="FIQ37" s="578"/>
      <c r="FIR37" s="578"/>
      <c r="FIS37" s="578"/>
      <c r="FIT37" s="578"/>
      <c r="FIU37" s="578"/>
      <c r="FIV37" s="578"/>
      <c r="FIW37" s="578"/>
      <c r="FIX37" s="578"/>
      <c r="FIY37" s="578"/>
      <c r="FIZ37" s="578"/>
      <c r="FJA37" s="578"/>
      <c r="FJB37" s="578"/>
      <c r="FJC37" s="578"/>
      <c r="FJD37" s="578"/>
      <c r="FJE37" s="578"/>
      <c r="FJF37" s="578"/>
      <c r="FJG37" s="578"/>
      <c r="FJH37" s="578"/>
      <c r="FJI37" s="578"/>
      <c r="FJJ37" s="578"/>
      <c r="FJK37" s="578"/>
      <c r="FJL37" s="578"/>
      <c r="FJM37" s="578"/>
      <c r="FJN37" s="578"/>
      <c r="FJO37" s="578"/>
      <c r="FJP37" s="578"/>
      <c r="FJQ37" s="578"/>
      <c r="FJR37" s="578"/>
      <c r="FJS37" s="578"/>
      <c r="FJT37" s="578"/>
      <c r="FJU37" s="578"/>
      <c r="FJV37" s="578"/>
      <c r="FJW37" s="578"/>
      <c r="FJX37" s="578"/>
      <c r="FJY37" s="578"/>
      <c r="FJZ37" s="578"/>
      <c r="FKA37" s="578"/>
      <c r="FKB37" s="578"/>
      <c r="FKC37" s="578"/>
      <c r="FKD37" s="578"/>
      <c r="FKE37" s="578"/>
      <c r="FKF37" s="578"/>
      <c r="FKG37" s="578"/>
      <c r="FKH37" s="578"/>
      <c r="FKI37" s="578"/>
      <c r="FKJ37" s="578"/>
      <c r="FKK37" s="578"/>
      <c r="FKL37" s="578"/>
      <c r="FKM37" s="578"/>
      <c r="FKN37" s="578"/>
      <c r="FKO37" s="578"/>
      <c r="FKP37" s="578"/>
      <c r="FKQ37" s="578"/>
      <c r="FKR37" s="578"/>
      <c r="FKS37" s="578"/>
      <c r="FKT37" s="578"/>
      <c r="FKU37" s="578"/>
      <c r="FKV37" s="578"/>
      <c r="FKW37" s="578"/>
      <c r="FKX37" s="578"/>
      <c r="FKY37" s="578"/>
      <c r="FKZ37" s="578"/>
      <c r="FLA37" s="578"/>
      <c r="FLB37" s="578"/>
      <c r="FLC37" s="578"/>
      <c r="FLD37" s="578"/>
      <c r="FLE37" s="578"/>
      <c r="FLF37" s="578"/>
      <c r="FLG37" s="578"/>
      <c r="FLH37" s="578"/>
      <c r="FLI37" s="578"/>
      <c r="FLJ37" s="578"/>
      <c r="FLK37" s="578"/>
      <c r="FLL37" s="578"/>
      <c r="FLM37" s="578"/>
      <c r="FLN37" s="578"/>
      <c r="FLO37" s="578"/>
      <c r="FLP37" s="578"/>
      <c r="FLQ37" s="578"/>
      <c r="FLR37" s="578"/>
      <c r="FLS37" s="578"/>
      <c r="FLT37" s="578"/>
      <c r="FLU37" s="578"/>
      <c r="FLV37" s="578"/>
      <c r="FLW37" s="578"/>
      <c r="FLX37" s="578"/>
      <c r="FLY37" s="578"/>
      <c r="FLZ37" s="578"/>
      <c r="FMA37" s="578"/>
      <c r="FMB37" s="578"/>
      <c r="FMC37" s="578"/>
      <c r="FMD37" s="578"/>
      <c r="FME37" s="578"/>
      <c r="FMF37" s="578"/>
      <c r="FMG37" s="578"/>
      <c r="FMH37" s="578"/>
      <c r="FMI37" s="578"/>
      <c r="FMJ37" s="578"/>
      <c r="FMK37" s="578"/>
      <c r="FML37" s="578"/>
      <c r="FMM37" s="578"/>
      <c r="FMN37" s="578"/>
      <c r="FMO37" s="578"/>
      <c r="FMP37" s="578"/>
      <c r="FMQ37" s="578"/>
      <c r="FMR37" s="578"/>
      <c r="FMS37" s="578"/>
      <c r="FMT37" s="578"/>
      <c r="FMU37" s="578"/>
      <c r="FMV37" s="578"/>
      <c r="FMW37" s="578"/>
      <c r="FMX37" s="578"/>
      <c r="FMY37" s="578"/>
      <c r="FMZ37" s="578"/>
      <c r="FNA37" s="578"/>
      <c r="FNB37" s="578"/>
      <c r="FNC37" s="578"/>
      <c r="FND37" s="578"/>
      <c r="FNE37" s="578"/>
      <c r="FNF37" s="578"/>
      <c r="FNG37" s="578"/>
      <c r="FNH37" s="578"/>
      <c r="FNI37" s="578"/>
      <c r="FNJ37" s="578"/>
      <c r="FNK37" s="578"/>
      <c r="FNL37" s="578"/>
      <c r="FNM37" s="578"/>
      <c r="FNN37" s="578"/>
      <c r="FNO37" s="578"/>
      <c r="FNP37" s="578"/>
      <c r="FNQ37" s="578"/>
      <c r="FNR37" s="578"/>
      <c r="FNS37" s="578"/>
      <c r="FNT37" s="578"/>
      <c r="FNU37" s="578"/>
      <c r="FNV37" s="578"/>
      <c r="FNW37" s="578"/>
      <c r="FNX37" s="578"/>
      <c r="FNY37" s="578"/>
      <c r="FNZ37" s="578"/>
      <c r="FOA37" s="578"/>
      <c r="FOB37" s="578"/>
      <c r="FOC37" s="578"/>
      <c r="FOD37" s="578"/>
      <c r="FOE37" s="578"/>
      <c r="FOF37" s="578"/>
      <c r="FOG37" s="578"/>
      <c r="FOH37" s="578"/>
      <c r="FOI37" s="578"/>
      <c r="FOJ37" s="578"/>
      <c r="FOK37" s="578"/>
      <c r="FOL37" s="578"/>
      <c r="FOM37" s="578"/>
      <c r="FON37" s="578"/>
      <c r="FOO37" s="578"/>
      <c r="FOP37" s="578"/>
      <c r="FOQ37" s="578"/>
      <c r="FOR37" s="578"/>
      <c r="FOS37" s="578"/>
      <c r="FOT37" s="578"/>
      <c r="FOU37" s="578"/>
      <c r="FOV37" s="578"/>
      <c r="FOW37" s="578"/>
      <c r="FOX37" s="578"/>
      <c r="FOY37" s="578"/>
      <c r="FOZ37" s="578"/>
      <c r="FPA37" s="578"/>
      <c r="FPB37" s="578"/>
      <c r="FPC37" s="578"/>
      <c r="FPD37" s="578"/>
      <c r="FPE37" s="578"/>
      <c r="FPF37" s="578"/>
      <c r="FPG37" s="578"/>
      <c r="FPH37" s="578"/>
      <c r="FPI37" s="578"/>
      <c r="FPJ37" s="578"/>
      <c r="FPK37" s="578"/>
      <c r="FPL37" s="578"/>
      <c r="FPM37" s="578"/>
      <c r="FPN37" s="578"/>
      <c r="FPO37" s="578"/>
      <c r="FPP37" s="578"/>
      <c r="FPQ37" s="578"/>
      <c r="FPR37" s="578"/>
      <c r="FPS37" s="578"/>
      <c r="FPT37" s="578"/>
      <c r="FPU37" s="578"/>
      <c r="FPV37" s="578"/>
      <c r="FPW37" s="578"/>
      <c r="FPX37" s="578"/>
      <c r="FPY37" s="578"/>
      <c r="FPZ37" s="578"/>
      <c r="FQA37" s="578"/>
      <c r="FQB37" s="578"/>
      <c r="FQC37" s="578"/>
      <c r="FQD37" s="578"/>
      <c r="FQE37" s="578"/>
      <c r="FQF37" s="578"/>
      <c r="FQG37" s="578"/>
      <c r="FQH37" s="578"/>
      <c r="FQI37" s="578"/>
      <c r="FQJ37" s="578"/>
      <c r="FQK37" s="578"/>
      <c r="FQL37" s="578"/>
      <c r="FQM37" s="578"/>
      <c r="FQN37" s="578"/>
      <c r="FQO37" s="578"/>
      <c r="FQP37" s="578"/>
      <c r="FQQ37" s="578"/>
      <c r="FQR37" s="578"/>
      <c r="FQS37" s="578"/>
      <c r="FQT37" s="578"/>
      <c r="FQU37" s="578"/>
      <c r="FQV37" s="578"/>
      <c r="FQW37" s="578"/>
      <c r="FQX37" s="578"/>
      <c r="FQY37" s="578"/>
      <c r="FQZ37" s="578"/>
      <c r="FRA37" s="578"/>
      <c r="FRB37" s="578"/>
      <c r="FRC37" s="578"/>
      <c r="FRD37" s="578"/>
      <c r="FRE37" s="578"/>
      <c r="FRF37" s="578"/>
      <c r="FRG37" s="578"/>
      <c r="FRH37" s="578"/>
      <c r="FRI37" s="578"/>
      <c r="FRJ37" s="578"/>
      <c r="FRK37" s="578"/>
      <c r="FRL37" s="578"/>
      <c r="FRM37" s="578"/>
      <c r="FRN37" s="578"/>
      <c r="FRO37" s="578"/>
      <c r="FRP37" s="578"/>
      <c r="FRQ37" s="578"/>
      <c r="FRR37" s="578"/>
      <c r="FRS37" s="578"/>
      <c r="FRT37" s="578"/>
      <c r="FRU37" s="578"/>
      <c r="FRV37" s="578"/>
      <c r="FRW37" s="578"/>
      <c r="FRX37" s="578"/>
      <c r="FRY37" s="578"/>
      <c r="FRZ37" s="578"/>
      <c r="FSA37" s="578"/>
      <c r="FSB37" s="578"/>
      <c r="FSC37" s="578"/>
      <c r="FSD37" s="578"/>
      <c r="FSE37" s="578"/>
      <c r="FSF37" s="578"/>
      <c r="FSG37" s="578"/>
      <c r="FSH37" s="578"/>
      <c r="FSI37" s="578"/>
      <c r="FSJ37" s="578"/>
      <c r="FSK37" s="578"/>
      <c r="FSL37" s="578"/>
      <c r="FSM37" s="578"/>
      <c r="FSN37" s="578"/>
      <c r="FSO37" s="578"/>
      <c r="FSP37" s="578"/>
      <c r="FSQ37" s="578"/>
      <c r="FSR37" s="578"/>
      <c r="FSS37" s="578"/>
      <c r="FST37" s="578"/>
      <c r="FSU37" s="578"/>
      <c r="FSV37" s="578"/>
      <c r="FSW37" s="578"/>
      <c r="FSX37" s="578"/>
      <c r="FSY37" s="578"/>
      <c r="FSZ37" s="578"/>
      <c r="FTA37" s="578"/>
      <c r="FTB37" s="578"/>
      <c r="FTC37" s="578"/>
      <c r="FTD37" s="578"/>
      <c r="FTE37" s="578"/>
      <c r="FTF37" s="578"/>
      <c r="FTG37" s="578"/>
      <c r="FTH37" s="578"/>
      <c r="FTI37" s="578"/>
      <c r="FTJ37" s="578"/>
      <c r="FTK37" s="578"/>
      <c r="FTL37" s="578"/>
      <c r="FTM37" s="578"/>
      <c r="FTN37" s="578"/>
      <c r="FTO37" s="578"/>
      <c r="FTP37" s="578"/>
      <c r="FTQ37" s="578"/>
      <c r="FTR37" s="578"/>
      <c r="FTS37" s="578"/>
      <c r="FTT37" s="578"/>
      <c r="FTU37" s="578"/>
      <c r="FTV37" s="578"/>
      <c r="FTW37" s="578"/>
      <c r="FTX37" s="578"/>
      <c r="FTY37" s="578"/>
      <c r="FTZ37" s="578"/>
      <c r="FUA37" s="578"/>
      <c r="FUB37" s="578"/>
      <c r="FUC37" s="578"/>
      <c r="FUD37" s="578"/>
      <c r="FUE37" s="578"/>
      <c r="FUF37" s="578"/>
      <c r="FUG37" s="578"/>
      <c r="FUH37" s="578"/>
      <c r="FUI37" s="578"/>
      <c r="FUJ37" s="578"/>
      <c r="FUK37" s="578"/>
      <c r="FUL37" s="578"/>
      <c r="FUM37" s="578"/>
      <c r="FUN37" s="578"/>
      <c r="FUO37" s="578"/>
      <c r="FUP37" s="578"/>
      <c r="FUQ37" s="578"/>
      <c r="FUR37" s="578"/>
      <c r="FUS37" s="578"/>
      <c r="FUT37" s="578"/>
      <c r="FUU37" s="578"/>
      <c r="FUV37" s="578"/>
      <c r="FUW37" s="578"/>
      <c r="FUX37" s="578"/>
      <c r="FUY37" s="578"/>
      <c r="FUZ37" s="578"/>
      <c r="FVA37" s="578"/>
      <c r="FVB37" s="578"/>
      <c r="FVC37" s="578"/>
      <c r="FVD37" s="578"/>
      <c r="FVE37" s="578"/>
      <c r="FVF37" s="578"/>
      <c r="FVG37" s="578"/>
      <c r="FVH37" s="578"/>
      <c r="FVI37" s="578"/>
      <c r="FVJ37" s="578"/>
      <c r="FVK37" s="578"/>
      <c r="FVL37" s="578"/>
      <c r="FVM37" s="578"/>
      <c r="FVN37" s="578"/>
      <c r="FVO37" s="578"/>
      <c r="FVP37" s="578"/>
      <c r="FVQ37" s="578"/>
      <c r="FVR37" s="578"/>
      <c r="FVS37" s="578"/>
      <c r="FVT37" s="578"/>
      <c r="FVU37" s="578"/>
      <c r="FVV37" s="578"/>
      <c r="FVW37" s="578"/>
      <c r="FVX37" s="578"/>
      <c r="FVY37" s="578"/>
      <c r="FVZ37" s="578"/>
      <c r="FWA37" s="578"/>
      <c r="FWB37" s="578"/>
      <c r="FWC37" s="578"/>
      <c r="FWD37" s="578"/>
      <c r="FWE37" s="578"/>
      <c r="FWF37" s="578"/>
      <c r="FWG37" s="578"/>
      <c r="FWH37" s="578"/>
      <c r="FWI37" s="578"/>
      <c r="FWJ37" s="578"/>
      <c r="FWK37" s="578"/>
      <c r="FWL37" s="578"/>
      <c r="FWM37" s="578"/>
      <c r="FWN37" s="578"/>
      <c r="FWO37" s="578"/>
      <c r="FWP37" s="578"/>
      <c r="FWQ37" s="578"/>
      <c r="FWR37" s="578"/>
      <c r="FWS37" s="578"/>
      <c r="FWT37" s="578"/>
      <c r="FWU37" s="578"/>
      <c r="FWV37" s="578"/>
      <c r="FWW37" s="578"/>
      <c r="FWX37" s="578"/>
      <c r="FWY37" s="578"/>
      <c r="FWZ37" s="578"/>
      <c r="FXA37" s="578"/>
      <c r="FXB37" s="578"/>
      <c r="FXC37" s="578"/>
      <c r="FXD37" s="578"/>
      <c r="FXE37" s="578"/>
      <c r="FXF37" s="578"/>
      <c r="FXG37" s="578"/>
      <c r="FXH37" s="578"/>
      <c r="FXI37" s="578"/>
      <c r="FXJ37" s="578"/>
      <c r="FXK37" s="578"/>
      <c r="FXL37" s="578"/>
      <c r="FXM37" s="578"/>
      <c r="FXN37" s="578"/>
      <c r="FXO37" s="578"/>
      <c r="FXP37" s="578"/>
      <c r="FXQ37" s="578"/>
      <c r="FXR37" s="578"/>
      <c r="FXS37" s="578"/>
      <c r="FXT37" s="578"/>
      <c r="FXU37" s="578"/>
      <c r="FXV37" s="578"/>
      <c r="FXW37" s="578"/>
      <c r="FXX37" s="578"/>
      <c r="FXY37" s="578"/>
      <c r="FXZ37" s="578"/>
      <c r="FYA37" s="578"/>
      <c r="FYB37" s="578"/>
      <c r="FYC37" s="578"/>
      <c r="FYD37" s="578"/>
      <c r="FYE37" s="578"/>
      <c r="FYF37" s="578"/>
      <c r="FYG37" s="578"/>
      <c r="FYH37" s="578"/>
      <c r="FYI37" s="578"/>
      <c r="FYJ37" s="578"/>
      <c r="FYK37" s="578"/>
      <c r="FYL37" s="578"/>
      <c r="FYM37" s="578"/>
      <c r="FYN37" s="578"/>
      <c r="FYO37" s="578"/>
      <c r="FYP37" s="578"/>
      <c r="FYQ37" s="578"/>
      <c r="FYR37" s="578"/>
      <c r="FYS37" s="578"/>
      <c r="FYT37" s="578"/>
      <c r="FYU37" s="578"/>
      <c r="FYV37" s="578"/>
      <c r="FYW37" s="578"/>
      <c r="FYX37" s="578"/>
      <c r="FYY37" s="578"/>
      <c r="FYZ37" s="578"/>
      <c r="FZA37" s="578"/>
      <c r="FZB37" s="578"/>
      <c r="FZC37" s="578"/>
      <c r="FZD37" s="578"/>
      <c r="FZE37" s="578"/>
      <c r="FZF37" s="578"/>
      <c r="FZG37" s="578"/>
      <c r="FZH37" s="578"/>
      <c r="FZI37" s="578"/>
      <c r="FZJ37" s="578"/>
      <c r="FZK37" s="578"/>
      <c r="FZL37" s="578"/>
      <c r="FZM37" s="578"/>
      <c r="FZN37" s="578"/>
      <c r="FZO37" s="578"/>
      <c r="FZP37" s="578"/>
      <c r="FZQ37" s="578"/>
      <c r="FZR37" s="578"/>
      <c r="FZS37" s="578"/>
      <c r="FZT37" s="578"/>
      <c r="FZU37" s="578"/>
      <c r="FZV37" s="578"/>
      <c r="FZW37" s="578"/>
      <c r="FZX37" s="578"/>
      <c r="FZY37" s="578"/>
      <c r="FZZ37" s="578"/>
      <c r="GAA37" s="578"/>
      <c r="GAB37" s="578"/>
      <c r="GAC37" s="578"/>
      <c r="GAD37" s="578"/>
      <c r="GAE37" s="578"/>
      <c r="GAF37" s="578"/>
      <c r="GAG37" s="578"/>
      <c r="GAH37" s="578"/>
      <c r="GAI37" s="578"/>
      <c r="GAJ37" s="578"/>
      <c r="GAK37" s="578"/>
      <c r="GAL37" s="578"/>
      <c r="GAM37" s="578"/>
      <c r="GAN37" s="578"/>
      <c r="GAO37" s="578"/>
      <c r="GAP37" s="578"/>
      <c r="GAQ37" s="578"/>
      <c r="GAR37" s="578"/>
      <c r="GAS37" s="578"/>
      <c r="GAT37" s="578"/>
      <c r="GAU37" s="578"/>
      <c r="GAV37" s="578"/>
      <c r="GAW37" s="578"/>
      <c r="GAX37" s="578"/>
      <c r="GAY37" s="578"/>
      <c r="GAZ37" s="578"/>
      <c r="GBA37" s="578"/>
      <c r="GBB37" s="578"/>
      <c r="GBC37" s="578"/>
      <c r="GBD37" s="578"/>
      <c r="GBE37" s="578"/>
      <c r="GBF37" s="578"/>
      <c r="GBG37" s="578"/>
      <c r="GBH37" s="578"/>
      <c r="GBI37" s="578"/>
      <c r="GBJ37" s="578"/>
      <c r="GBK37" s="578"/>
      <c r="GBL37" s="578"/>
      <c r="GBM37" s="578"/>
      <c r="GBN37" s="578"/>
      <c r="GBO37" s="578"/>
      <c r="GBP37" s="578"/>
      <c r="GBQ37" s="578"/>
      <c r="GBR37" s="578"/>
      <c r="GBS37" s="578"/>
      <c r="GBT37" s="578"/>
      <c r="GBU37" s="578"/>
      <c r="GBV37" s="578"/>
      <c r="GBW37" s="578"/>
      <c r="GBX37" s="578"/>
      <c r="GBY37" s="578"/>
      <c r="GBZ37" s="578"/>
      <c r="GCA37" s="578"/>
      <c r="GCB37" s="578"/>
      <c r="GCC37" s="578"/>
      <c r="GCD37" s="578"/>
      <c r="GCE37" s="578"/>
      <c r="GCF37" s="578"/>
      <c r="GCG37" s="578"/>
      <c r="GCH37" s="578"/>
      <c r="GCI37" s="578"/>
      <c r="GCJ37" s="578"/>
      <c r="GCK37" s="578"/>
      <c r="GCL37" s="578"/>
      <c r="GCM37" s="578"/>
      <c r="GCN37" s="578"/>
      <c r="GCO37" s="578"/>
      <c r="GCP37" s="578"/>
      <c r="GCQ37" s="578"/>
      <c r="GCR37" s="578"/>
      <c r="GCS37" s="578"/>
      <c r="GCT37" s="578"/>
      <c r="GCU37" s="578"/>
      <c r="GCV37" s="578"/>
      <c r="GCW37" s="578"/>
      <c r="GCX37" s="578"/>
      <c r="GCY37" s="578"/>
      <c r="GCZ37" s="578"/>
      <c r="GDA37" s="578"/>
      <c r="GDB37" s="578"/>
      <c r="GDC37" s="578"/>
      <c r="GDD37" s="578"/>
      <c r="GDE37" s="578"/>
      <c r="GDF37" s="578"/>
      <c r="GDG37" s="578"/>
      <c r="GDH37" s="578"/>
      <c r="GDI37" s="578"/>
      <c r="GDJ37" s="578"/>
      <c r="GDK37" s="578"/>
      <c r="GDL37" s="578"/>
      <c r="GDM37" s="578"/>
      <c r="GDN37" s="578"/>
      <c r="GDO37" s="578"/>
      <c r="GDP37" s="578"/>
      <c r="GDQ37" s="578"/>
      <c r="GDR37" s="578"/>
      <c r="GDS37" s="578"/>
      <c r="GDT37" s="578"/>
      <c r="GDU37" s="578"/>
      <c r="GDV37" s="578"/>
      <c r="GDW37" s="578"/>
      <c r="GDX37" s="578"/>
      <c r="GDY37" s="578"/>
      <c r="GDZ37" s="578"/>
      <c r="GEA37" s="578"/>
      <c r="GEB37" s="578"/>
      <c r="GEC37" s="578"/>
      <c r="GED37" s="578"/>
      <c r="GEE37" s="578"/>
      <c r="GEF37" s="578"/>
      <c r="GEG37" s="578"/>
      <c r="GEH37" s="578"/>
      <c r="GEI37" s="578"/>
      <c r="GEJ37" s="578"/>
      <c r="GEK37" s="578"/>
      <c r="GEL37" s="578"/>
      <c r="GEM37" s="578"/>
      <c r="GEN37" s="578"/>
      <c r="GEO37" s="578"/>
      <c r="GEP37" s="578"/>
      <c r="GEQ37" s="578"/>
      <c r="GER37" s="578"/>
      <c r="GES37" s="578"/>
      <c r="GET37" s="578"/>
      <c r="GEU37" s="578"/>
      <c r="GEV37" s="578"/>
      <c r="GEW37" s="578"/>
      <c r="GEX37" s="578"/>
      <c r="GEY37" s="578"/>
      <c r="GEZ37" s="578"/>
      <c r="GFA37" s="578"/>
      <c r="GFB37" s="578"/>
      <c r="GFC37" s="578"/>
      <c r="GFD37" s="578"/>
      <c r="GFE37" s="578"/>
      <c r="GFF37" s="578"/>
      <c r="GFG37" s="578"/>
      <c r="GFH37" s="578"/>
      <c r="GFI37" s="578"/>
      <c r="GFJ37" s="578"/>
      <c r="GFK37" s="578"/>
      <c r="GFL37" s="578"/>
      <c r="GFM37" s="578"/>
      <c r="GFN37" s="578"/>
      <c r="GFO37" s="578"/>
      <c r="GFP37" s="578"/>
      <c r="GFQ37" s="578"/>
      <c r="GFR37" s="578"/>
      <c r="GFS37" s="578"/>
      <c r="GFT37" s="578"/>
      <c r="GFU37" s="578"/>
      <c r="GFV37" s="578"/>
      <c r="GFW37" s="578"/>
      <c r="GFX37" s="578"/>
      <c r="GFY37" s="578"/>
      <c r="GFZ37" s="578"/>
      <c r="GGA37" s="578"/>
      <c r="GGB37" s="578"/>
      <c r="GGC37" s="578"/>
      <c r="GGD37" s="578"/>
      <c r="GGE37" s="578"/>
      <c r="GGF37" s="578"/>
      <c r="GGG37" s="578"/>
      <c r="GGH37" s="578"/>
      <c r="GGI37" s="578"/>
      <c r="GGJ37" s="578"/>
      <c r="GGK37" s="578"/>
      <c r="GGL37" s="578"/>
      <c r="GGM37" s="578"/>
      <c r="GGN37" s="578"/>
      <c r="GGO37" s="578"/>
      <c r="GGP37" s="578"/>
      <c r="GGQ37" s="578"/>
      <c r="GGR37" s="578"/>
      <c r="GGS37" s="578"/>
      <c r="GGT37" s="578"/>
      <c r="GGU37" s="578"/>
      <c r="GGV37" s="578"/>
      <c r="GGW37" s="578"/>
      <c r="GGX37" s="578"/>
      <c r="GGY37" s="578"/>
      <c r="GGZ37" s="578"/>
      <c r="GHA37" s="578"/>
      <c r="GHB37" s="578"/>
      <c r="GHC37" s="578"/>
      <c r="GHD37" s="578"/>
      <c r="GHE37" s="578"/>
      <c r="GHF37" s="578"/>
      <c r="GHG37" s="578"/>
      <c r="GHH37" s="578"/>
      <c r="GHI37" s="578"/>
      <c r="GHJ37" s="578"/>
      <c r="GHK37" s="578"/>
      <c r="GHL37" s="578"/>
      <c r="GHM37" s="578"/>
      <c r="GHN37" s="578"/>
      <c r="GHO37" s="578"/>
      <c r="GHP37" s="578"/>
      <c r="GHQ37" s="578"/>
      <c r="GHR37" s="578"/>
      <c r="GHS37" s="578"/>
      <c r="GHT37" s="578"/>
      <c r="GHU37" s="578"/>
      <c r="GHV37" s="578"/>
      <c r="GHW37" s="578"/>
      <c r="GHX37" s="578"/>
      <c r="GHY37" s="578"/>
      <c r="GHZ37" s="578"/>
      <c r="GIA37" s="578"/>
      <c r="GIB37" s="578"/>
      <c r="GIC37" s="578"/>
      <c r="GID37" s="578"/>
      <c r="GIE37" s="578"/>
      <c r="GIF37" s="578"/>
      <c r="GIG37" s="578"/>
      <c r="GIH37" s="578"/>
      <c r="GII37" s="578"/>
      <c r="GIJ37" s="578"/>
      <c r="GIK37" s="578"/>
      <c r="GIL37" s="578"/>
      <c r="GIM37" s="578"/>
      <c r="GIN37" s="578"/>
      <c r="GIO37" s="578"/>
      <c r="GIP37" s="578"/>
      <c r="GIQ37" s="578"/>
      <c r="GIR37" s="578"/>
      <c r="GIS37" s="578"/>
      <c r="GIT37" s="578"/>
      <c r="GIU37" s="578"/>
      <c r="GIV37" s="578"/>
      <c r="GIW37" s="578"/>
      <c r="GIX37" s="578"/>
      <c r="GIY37" s="578"/>
      <c r="GIZ37" s="578"/>
      <c r="GJA37" s="578"/>
      <c r="GJB37" s="578"/>
      <c r="GJC37" s="578"/>
      <c r="GJD37" s="578"/>
      <c r="GJE37" s="578"/>
      <c r="GJF37" s="578"/>
      <c r="GJG37" s="578"/>
      <c r="GJH37" s="578"/>
      <c r="GJI37" s="578"/>
      <c r="GJJ37" s="578"/>
      <c r="GJK37" s="578"/>
      <c r="GJL37" s="578"/>
      <c r="GJM37" s="578"/>
      <c r="GJN37" s="578"/>
      <c r="GJO37" s="578"/>
      <c r="GJP37" s="578"/>
      <c r="GJQ37" s="578"/>
      <c r="GJR37" s="578"/>
      <c r="GJS37" s="578"/>
      <c r="GJT37" s="578"/>
      <c r="GJU37" s="578"/>
      <c r="GJV37" s="578"/>
      <c r="GJW37" s="578"/>
      <c r="GJX37" s="578"/>
      <c r="GJY37" s="578"/>
      <c r="GJZ37" s="578"/>
      <c r="GKA37" s="578"/>
      <c r="GKB37" s="578"/>
      <c r="GKC37" s="578"/>
      <c r="GKD37" s="578"/>
      <c r="GKE37" s="578"/>
      <c r="GKF37" s="578"/>
      <c r="GKG37" s="578"/>
      <c r="GKH37" s="578"/>
      <c r="GKI37" s="578"/>
      <c r="GKJ37" s="578"/>
      <c r="GKK37" s="578"/>
      <c r="GKL37" s="578"/>
      <c r="GKM37" s="578"/>
      <c r="GKN37" s="578"/>
      <c r="GKO37" s="578"/>
      <c r="GKP37" s="578"/>
      <c r="GKQ37" s="578"/>
      <c r="GKR37" s="578"/>
      <c r="GKS37" s="578"/>
      <c r="GKT37" s="578"/>
      <c r="GKU37" s="578"/>
      <c r="GKV37" s="578"/>
      <c r="GKW37" s="578"/>
      <c r="GKX37" s="578"/>
      <c r="GKY37" s="578"/>
      <c r="GKZ37" s="578"/>
      <c r="GLA37" s="578"/>
      <c r="GLB37" s="578"/>
      <c r="GLC37" s="578"/>
      <c r="GLD37" s="578"/>
      <c r="GLE37" s="578"/>
      <c r="GLF37" s="578"/>
      <c r="GLG37" s="578"/>
      <c r="GLH37" s="578"/>
      <c r="GLI37" s="578"/>
      <c r="GLJ37" s="578"/>
      <c r="GLK37" s="578"/>
      <c r="GLL37" s="578"/>
      <c r="GLM37" s="578"/>
      <c r="GLN37" s="578"/>
      <c r="GLO37" s="578"/>
      <c r="GLP37" s="578"/>
      <c r="GLQ37" s="578"/>
      <c r="GLR37" s="578"/>
      <c r="GLS37" s="578"/>
      <c r="GLT37" s="578"/>
      <c r="GLU37" s="578"/>
      <c r="GLV37" s="578"/>
      <c r="GLW37" s="578"/>
      <c r="GLX37" s="578"/>
      <c r="GLY37" s="578"/>
      <c r="GLZ37" s="578"/>
      <c r="GMA37" s="578"/>
      <c r="GMB37" s="578"/>
      <c r="GMC37" s="578"/>
      <c r="GMD37" s="578"/>
      <c r="GME37" s="578"/>
      <c r="GMF37" s="578"/>
      <c r="GMG37" s="578"/>
      <c r="GMH37" s="578"/>
      <c r="GMI37" s="578"/>
      <c r="GMJ37" s="578"/>
      <c r="GMK37" s="578"/>
      <c r="GML37" s="578"/>
      <c r="GMM37" s="578"/>
      <c r="GMN37" s="578"/>
      <c r="GMO37" s="578"/>
      <c r="GMP37" s="578"/>
      <c r="GMQ37" s="578"/>
      <c r="GMR37" s="578"/>
      <c r="GMS37" s="578"/>
      <c r="GMT37" s="578"/>
      <c r="GMU37" s="578"/>
      <c r="GMV37" s="578"/>
      <c r="GMW37" s="578"/>
      <c r="GMX37" s="578"/>
      <c r="GMY37" s="578"/>
      <c r="GMZ37" s="578"/>
      <c r="GNA37" s="578"/>
      <c r="GNB37" s="578"/>
      <c r="GNC37" s="578"/>
      <c r="GND37" s="578"/>
      <c r="GNE37" s="578"/>
      <c r="GNF37" s="578"/>
      <c r="GNG37" s="578"/>
      <c r="GNH37" s="578"/>
      <c r="GNI37" s="578"/>
      <c r="GNJ37" s="578"/>
      <c r="GNK37" s="578"/>
      <c r="GNL37" s="578"/>
      <c r="GNM37" s="578"/>
      <c r="GNN37" s="578"/>
      <c r="GNO37" s="578"/>
      <c r="GNP37" s="578"/>
      <c r="GNQ37" s="578"/>
      <c r="GNR37" s="578"/>
      <c r="GNS37" s="578"/>
      <c r="GNT37" s="578"/>
      <c r="GNU37" s="578"/>
      <c r="GNV37" s="578"/>
      <c r="GNW37" s="578"/>
      <c r="GNX37" s="578"/>
      <c r="GNY37" s="578"/>
      <c r="GNZ37" s="578"/>
      <c r="GOA37" s="578"/>
      <c r="GOB37" s="578"/>
      <c r="GOC37" s="578"/>
      <c r="GOD37" s="578"/>
      <c r="GOE37" s="578"/>
      <c r="GOF37" s="578"/>
      <c r="GOG37" s="578"/>
      <c r="GOH37" s="578"/>
      <c r="GOI37" s="578"/>
      <c r="GOJ37" s="578"/>
      <c r="GOK37" s="578"/>
      <c r="GOL37" s="578"/>
      <c r="GOM37" s="578"/>
      <c r="GON37" s="578"/>
      <c r="GOO37" s="578"/>
      <c r="GOP37" s="578"/>
      <c r="GOQ37" s="578"/>
      <c r="GOR37" s="578"/>
      <c r="GOS37" s="578"/>
      <c r="GOT37" s="578"/>
      <c r="GOU37" s="578"/>
      <c r="GOV37" s="578"/>
      <c r="GOW37" s="578"/>
      <c r="GOX37" s="578"/>
      <c r="GOY37" s="578"/>
      <c r="GOZ37" s="578"/>
      <c r="GPA37" s="578"/>
      <c r="GPB37" s="578"/>
      <c r="GPC37" s="578"/>
      <c r="GPD37" s="578"/>
      <c r="GPE37" s="578"/>
      <c r="GPF37" s="578"/>
      <c r="GPG37" s="578"/>
      <c r="GPH37" s="578"/>
      <c r="GPI37" s="578"/>
      <c r="GPJ37" s="578"/>
      <c r="GPK37" s="578"/>
      <c r="GPL37" s="578"/>
      <c r="GPM37" s="578"/>
      <c r="GPN37" s="578"/>
      <c r="GPO37" s="578"/>
      <c r="GPP37" s="578"/>
      <c r="GPQ37" s="578"/>
      <c r="GPR37" s="578"/>
      <c r="GPS37" s="578"/>
      <c r="GPT37" s="578"/>
      <c r="GPU37" s="578"/>
      <c r="GPV37" s="578"/>
      <c r="GPW37" s="578"/>
      <c r="GPX37" s="578"/>
      <c r="GPY37" s="578"/>
      <c r="GPZ37" s="578"/>
      <c r="GQA37" s="578"/>
      <c r="GQB37" s="578"/>
      <c r="GQC37" s="578"/>
      <c r="GQD37" s="578"/>
      <c r="GQE37" s="578"/>
      <c r="GQF37" s="578"/>
      <c r="GQG37" s="578"/>
      <c r="GQH37" s="578"/>
      <c r="GQI37" s="578"/>
      <c r="GQJ37" s="578"/>
      <c r="GQK37" s="578"/>
      <c r="GQL37" s="578"/>
      <c r="GQM37" s="578"/>
      <c r="GQN37" s="578"/>
      <c r="GQO37" s="578"/>
      <c r="GQP37" s="578"/>
      <c r="GQQ37" s="578"/>
      <c r="GQR37" s="578"/>
      <c r="GQS37" s="578"/>
      <c r="GQT37" s="578"/>
      <c r="GQU37" s="578"/>
      <c r="GQV37" s="578"/>
      <c r="GQW37" s="578"/>
      <c r="GQX37" s="578"/>
      <c r="GQY37" s="578"/>
      <c r="GQZ37" s="578"/>
      <c r="GRA37" s="578"/>
      <c r="GRB37" s="578"/>
      <c r="GRC37" s="578"/>
      <c r="GRD37" s="578"/>
      <c r="GRE37" s="578"/>
      <c r="GRF37" s="578"/>
      <c r="GRG37" s="578"/>
      <c r="GRH37" s="578"/>
      <c r="GRI37" s="578"/>
      <c r="GRJ37" s="578"/>
      <c r="GRK37" s="578"/>
      <c r="GRL37" s="578"/>
      <c r="GRM37" s="578"/>
      <c r="GRN37" s="578"/>
      <c r="GRO37" s="578"/>
      <c r="GRP37" s="578"/>
      <c r="GRQ37" s="578"/>
      <c r="GRR37" s="578"/>
      <c r="GRS37" s="578"/>
      <c r="GRT37" s="578"/>
      <c r="GRU37" s="578"/>
      <c r="GRV37" s="578"/>
      <c r="GRW37" s="578"/>
      <c r="GRX37" s="578"/>
      <c r="GRY37" s="578"/>
      <c r="GRZ37" s="578"/>
      <c r="GSA37" s="578"/>
      <c r="GSB37" s="578"/>
      <c r="GSC37" s="578"/>
      <c r="GSD37" s="578"/>
      <c r="GSE37" s="578"/>
      <c r="GSF37" s="578"/>
      <c r="GSG37" s="578"/>
      <c r="GSH37" s="578"/>
      <c r="GSI37" s="578"/>
      <c r="GSJ37" s="578"/>
      <c r="GSK37" s="578"/>
      <c r="GSL37" s="578"/>
      <c r="GSM37" s="578"/>
      <c r="GSN37" s="578"/>
      <c r="GSO37" s="578"/>
      <c r="GSP37" s="578"/>
      <c r="GSQ37" s="578"/>
      <c r="GSR37" s="578"/>
      <c r="GSS37" s="578"/>
      <c r="GST37" s="578"/>
      <c r="GSU37" s="578"/>
      <c r="GSV37" s="578"/>
      <c r="GSW37" s="578"/>
      <c r="GSX37" s="578"/>
      <c r="GSY37" s="578"/>
      <c r="GSZ37" s="578"/>
      <c r="GTA37" s="578"/>
      <c r="GTB37" s="578"/>
      <c r="GTC37" s="578"/>
      <c r="GTD37" s="578"/>
      <c r="GTE37" s="578"/>
      <c r="GTF37" s="578"/>
      <c r="GTG37" s="578"/>
      <c r="GTH37" s="578"/>
      <c r="GTI37" s="578"/>
      <c r="GTJ37" s="578"/>
      <c r="GTK37" s="578"/>
      <c r="GTL37" s="578"/>
      <c r="GTM37" s="578"/>
      <c r="GTN37" s="578"/>
      <c r="GTO37" s="578"/>
      <c r="GTP37" s="578"/>
      <c r="GTQ37" s="578"/>
      <c r="GTR37" s="578"/>
      <c r="GTS37" s="578"/>
      <c r="GTT37" s="578"/>
      <c r="GTU37" s="578"/>
      <c r="GTV37" s="578"/>
      <c r="GTW37" s="578"/>
      <c r="GTX37" s="578"/>
      <c r="GTY37" s="578"/>
      <c r="GTZ37" s="578"/>
      <c r="GUA37" s="578"/>
      <c r="GUB37" s="578"/>
      <c r="GUC37" s="578"/>
      <c r="GUD37" s="578"/>
      <c r="GUE37" s="578"/>
      <c r="GUF37" s="578"/>
      <c r="GUG37" s="578"/>
      <c r="GUH37" s="578"/>
      <c r="GUI37" s="578"/>
      <c r="GUJ37" s="578"/>
      <c r="GUK37" s="578"/>
      <c r="GUL37" s="578"/>
      <c r="GUM37" s="578"/>
      <c r="GUN37" s="578"/>
      <c r="GUO37" s="578"/>
      <c r="GUP37" s="578"/>
      <c r="GUQ37" s="578"/>
      <c r="GUR37" s="578"/>
      <c r="GUS37" s="578"/>
      <c r="GUT37" s="578"/>
      <c r="GUU37" s="578"/>
      <c r="GUV37" s="578"/>
      <c r="GUW37" s="578"/>
      <c r="GUX37" s="578"/>
      <c r="GUY37" s="578"/>
      <c r="GUZ37" s="578"/>
      <c r="GVA37" s="578"/>
      <c r="GVB37" s="578"/>
      <c r="GVC37" s="578"/>
      <c r="GVD37" s="578"/>
      <c r="GVE37" s="578"/>
      <c r="GVF37" s="578"/>
      <c r="GVG37" s="578"/>
      <c r="GVH37" s="578"/>
      <c r="GVI37" s="578"/>
      <c r="GVJ37" s="578"/>
      <c r="GVK37" s="578"/>
      <c r="GVL37" s="578"/>
      <c r="GVM37" s="578"/>
      <c r="GVN37" s="578"/>
      <c r="GVO37" s="578"/>
      <c r="GVP37" s="578"/>
      <c r="GVQ37" s="578"/>
      <c r="GVR37" s="578"/>
      <c r="GVS37" s="578"/>
      <c r="GVT37" s="578"/>
      <c r="GVU37" s="578"/>
      <c r="GVV37" s="578"/>
      <c r="GVW37" s="578"/>
      <c r="GVX37" s="578"/>
      <c r="GVY37" s="578"/>
      <c r="GVZ37" s="578"/>
      <c r="GWA37" s="578"/>
      <c r="GWB37" s="578"/>
      <c r="GWC37" s="578"/>
      <c r="GWD37" s="578"/>
      <c r="GWE37" s="578"/>
      <c r="GWF37" s="578"/>
      <c r="GWG37" s="578"/>
      <c r="GWH37" s="578"/>
      <c r="GWI37" s="578"/>
      <c r="GWJ37" s="578"/>
      <c r="GWK37" s="578"/>
      <c r="GWL37" s="578"/>
      <c r="GWM37" s="578"/>
      <c r="GWN37" s="578"/>
      <c r="GWO37" s="578"/>
      <c r="GWP37" s="578"/>
      <c r="GWQ37" s="578"/>
      <c r="GWR37" s="578"/>
      <c r="GWS37" s="578"/>
      <c r="GWT37" s="578"/>
      <c r="GWU37" s="578"/>
      <c r="GWV37" s="578"/>
      <c r="GWW37" s="578"/>
      <c r="GWX37" s="578"/>
      <c r="GWY37" s="578"/>
      <c r="GWZ37" s="578"/>
      <c r="GXA37" s="578"/>
      <c r="GXB37" s="578"/>
      <c r="GXC37" s="578"/>
      <c r="GXD37" s="578"/>
      <c r="GXE37" s="578"/>
      <c r="GXF37" s="578"/>
      <c r="GXG37" s="578"/>
      <c r="GXH37" s="578"/>
      <c r="GXI37" s="578"/>
      <c r="GXJ37" s="578"/>
      <c r="GXK37" s="578"/>
      <c r="GXL37" s="578"/>
      <c r="GXM37" s="578"/>
      <c r="GXN37" s="578"/>
      <c r="GXO37" s="578"/>
      <c r="GXP37" s="578"/>
      <c r="GXQ37" s="578"/>
      <c r="GXR37" s="578"/>
      <c r="GXS37" s="578"/>
      <c r="GXT37" s="578"/>
      <c r="GXU37" s="578"/>
      <c r="GXV37" s="578"/>
      <c r="GXW37" s="578"/>
      <c r="GXX37" s="578"/>
      <c r="GXY37" s="578"/>
      <c r="GXZ37" s="578"/>
      <c r="GYA37" s="578"/>
      <c r="GYB37" s="578"/>
      <c r="GYC37" s="578"/>
      <c r="GYD37" s="578"/>
      <c r="GYE37" s="578"/>
      <c r="GYF37" s="578"/>
      <c r="GYG37" s="578"/>
      <c r="GYH37" s="578"/>
      <c r="GYI37" s="578"/>
      <c r="GYJ37" s="578"/>
      <c r="GYK37" s="578"/>
      <c r="GYL37" s="578"/>
      <c r="GYM37" s="578"/>
      <c r="GYN37" s="578"/>
      <c r="GYO37" s="578"/>
      <c r="GYP37" s="578"/>
      <c r="GYQ37" s="578"/>
      <c r="GYR37" s="578"/>
      <c r="GYS37" s="578"/>
      <c r="GYT37" s="578"/>
      <c r="GYU37" s="578"/>
      <c r="GYV37" s="578"/>
      <c r="GYW37" s="578"/>
      <c r="GYX37" s="578"/>
      <c r="GYY37" s="578"/>
      <c r="GYZ37" s="578"/>
      <c r="GZA37" s="578"/>
      <c r="GZB37" s="578"/>
      <c r="GZC37" s="578"/>
      <c r="GZD37" s="578"/>
      <c r="GZE37" s="578"/>
      <c r="GZF37" s="578"/>
      <c r="GZG37" s="578"/>
      <c r="GZH37" s="578"/>
      <c r="GZI37" s="578"/>
      <c r="GZJ37" s="578"/>
      <c r="GZK37" s="578"/>
      <c r="GZL37" s="578"/>
      <c r="GZM37" s="578"/>
      <c r="GZN37" s="578"/>
      <c r="GZO37" s="578"/>
      <c r="GZP37" s="578"/>
      <c r="GZQ37" s="578"/>
      <c r="GZR37" s="578"/>
      <c r="GZS37" s="578"/>
      <c r="GZT37" s="578"/>
      <c r="GZU37" s="578"/>
      <c r="GZV37" s="578"/>
      <c r="GZW37" s="578"/>
      <c r="GZX37" s="578"/>
      <c r="GZY37" s="578"/>
      <c r="GZZ37" s="578"/>
      <c r="HAA37" s="578"/>
      <c r="HAB37" s="578"/>
      <c r="HAC37" s="578"/>
      <c r="HAD37" s="578"/>
      <c r="HAE37" s="578"/>
      <c r="HAF37" s="578"/>
      <c r="HAG37" s="578"/>
      <c r="HAH37" s="578"/>
      <c r="HAI37" s="578"/>
      <c r="HAJ37" s="578"/>
      <c r="HAK37" s="578"/>
      <c r="HAL37" s="578"/>
      <c r="HAM37" s="578"/>
      <c r="HAN37" s="578"/>
      <c r="HAO37" s="578"/>
      <c r="HAP37" s="578"/>
      <c r="HAQ37" s="578"/>
      <c r="HAR37" s="578"/>
      <c r="HAS37" s="578"/>
      <c r="HAT37" s="578"/>
      <c r="HAU37" s="578"/>
      <c r="HAV37" s="578"/>
      <c r="HAW37" s="578"/>
      <c r="HAX37" s="578"/>
      <c r="HAY37" s="578"/>
      <c r="HAZ37" s="578"/>
      <c r="HBA37" s="578"/>
      <c r="HBB37" s="578"/>
      <c r="HBC37" s="578"/>
      <c r="HBD37" s="578"/>
      <c r="HBE37" s="578"/>
      <c r="HBF37" s="578"/>
      <c r="HBG37" s="578"/>
      <c r="HBH37" s="578"/>
      <c r="HBI37" s="578"/>
      <c r="HBJ37" s="578"/>
      <c r="HBK37" s="578"/>
      <c r="HBL37" s="578"/>
      <c r="HBM37" s="578"/>
      <c r="HBN37" s="578"/>
      <c r="HBO37" s="578"/>
      <c r="HBP37" s="578"/>
      <c r="HBQ37" s="578"/>
      <c r="HBR37" s="578"/>
      <c r="HBS37" s="578"/>
      <c r="HBT37" s="578"/>
      <c r="HBU37" s="578"/>
      <c r="HBV37" s="578"/>
      <c r="HBW37" s="578"/>
      <c r="HBX37" s="578"/>
      <c r="HBY37" s="578"/>
      <c r="HBZ37" s="578"/>
      <c r="HCA37" s="578"/>
      <c r="HCB37" s="578"/>
      <c r="HCC37" s="578"/>
      <c r="HCD37" s="578"/>
      <c r="HCE37" s="578"/>
      <c r="HCF37" s="578"/>
      <c r="HCG37" s="578"/>
      <c r="HCH37" s="578"/>
      <c r="HCI37" s="578"/>
      <c r="HCJ37" s="578"/>
      <c r="HCK37" s="578"/>
      <c r="HCL37" s="578"/>
      <c r="HCM37" s="578"/>
      <c r="HCN37" s="578"/>
      <c r="HCO37" s="578"/>
      <c r="HCP37" s="578"/>
      <c r="HCQ37" s="578"/>
      <c r="HCR37" s="578"/>
      <c r="HCS37" s="578"/>
      <c r="HCT37" s="578"/>
      <c r="HCU37" s="578"/>
      <c r="HCV37" s="578"/>
      <c r="HCW37" s="578"/>
      <c r="HCX37" s="578"/>
      <c r="HCY37" s="578"/>
      <c r="HCZ37" s="578"/>
      <c r="HDA37" s="578"/>
      <c r="HDB37" s="578"/>
      <c r="HDC37" s="578"/>
      <c r="HDD37" s="578"/>
      <c r="HDE37" s="578"/>
      <c r="HDF37" s="578"/>
      <c r="HDG37" s="578"/>
      <c r="HDH37" s="578"/>
      <c r="HDI37" s="578"/>
      <c r="HDJ37" s="578"/>
      <c r="HDK37" s="578"/>
      <c r="HDL37" s="578"/>
      <c r="HDM37" s="578"/>
      <c r="HDN37" s="578"/>
      <c r="HDO37" s="578"/>
      <c r="HDP37" s="578"/>
      <c r="HDQ37" s="578"/>
      <c r="HDR37" s="578"/>
      <c r="HDS37" s="578"/>
      <c r="HDT37" s="578"/>
      <c r="HDU37" s="578"/>
      <c r="HDV37" s="578"/>
      <c r="HDW37" s="578"/>
      <c r="HDX37" s="578"/>
      <c r="HDY37" s="578"/>
      <c r="HDZ37" s="578"/>
      <c r="HEA37" s="578"/>
      <c r="HEB37" s="578"/>
      <c r="HEC37" s="578"/>
      <c r="HED37" s="578"/>
      <c r="HEE37" s="578"/>
      <c r="HEF37" s="578"/>
      <c r="HEG37" s="578"/>
      <c r="HEH37" s="578"/>
      <c r="HEI37" s="578"/>
      <c r="HEJ37" s="578"/>
      <c r="HEK37" s="578"/>
      <c r="HEL37" s="578"/>
      <c r="HEM37" s="578"/>
      <c r="HEN37" s="578"/>
      <c r="HEO37" s="578"/>
      <c r="HEP37" s="578"/>
      <c r="HEQ37" s="578"/>
      <c r="HER37" s="578"/>
      <c r="HES37" s="578"/>
      <c r="HET37" s="578"/>
      <c r="HEU37" s="578"/>
      <c r="HEV37" s="578"/>
      <c r="HEW37" s="578"/>
      <c r="HEX37" s="578"/>
      <c r="HEY37" s="578"/>
      <c r="HEZ37" s="578"/>
      <c r="HFA37" s="578"/>
      <c r="HFB37" s="578"/>
      <c r="HFC37" s="578"/>
      <c r="HFD37" s="578"/>
      <c r="HFE37" s="578"/>
      <c r="HFF37" s="578"/>
      <c r="HFG37" s="578"/>
      <c r="HFH37" s="578"/>
      <c r="HFI37" s="578"/>
      <c r="HFJ37" s="578"/>
      <c r="HFK37" s="578"/>
      <c r="HFL37" s="578"/>
      <c r="HFM37" s="578"/>
      <c r="HFN37" s="578"/>
      <c r="HFO37" s="578"/>
      <c r="HFP37" s="578"/>
      <c r="HFQ37" s="578"/>
      <c r="HFR37" s="578"/>
      <c r="HFS37" s="578"/>
      <c r="HFT37" s="578"/>
      <c r="HFU37" s="578"/>
      <c r="HFV37" s="578"/>
      <c r="HFW37" s="578"/>
      <c r="HFX37" s="578"/>
      <c r="HFY37" s="578"/>
      <c r="HFZ37" s="578"/>
      <c r="HGA37" s="578"/>
      <c r="HGB37" s="578"/>
      <c r="HGC37" s="578"/>
      <c r="HGD37" s="578"/>
      <c r="HGE37" s="578"/>
      <c r="HGF37" s="578"/>
      <c r="HGG37" s="578"/>
      <c r="HGH37" s="578"/>
      <c r="HGI37" s="578"/>
      <c r="HGJ37" s="578"/>
      <c r="HGK37" s="578"/>
      <c r="HGL37" s="578"/>
      <c r="HGM37" s="578"/>
      <c r="HGN37" s="578"/>
      <c r="HGO37" s="578"/>
      <c r="HGP37" s="578"/>
      <c r="HGQ37" s="578"/>
      <c r="HGR37" s="578"/>
      <c r="HGS37" s="578"/>
      <c r="HGT37" s="578"/>
      <c r="HGU37" s="578"/>
      <c r="HGV37" s="578"/>
      <c r="HGW37" s="578"/>
      <c r="HGX37" s="578"/>
      <c r="HGY37" s="578"/>
      <c r="HGZ37" s="578"/>
      <c r="HHA37" s="578"/>
      <c r="HHB37" s="578"/>
      <c r="HHC37" s="578"/>
      <c r="HHD37" s="578"/>
      <c r="HHE37" s="578"/>
      <c r="HHF37" s="578"/>
      <c r="HHG37" s="578"/>
      <c r="HHH37" s="578"/>
      <c r="HHI37" s="578"/>
      <c r="HHJ37" s="578"/>
      <c r="HHK37" s="578"/>
      <c r="HHL37" s="578"/>
      <c r="HHM37" s="578"/>
      <c r="HHN37" s="578"/>
      <c r="HHO37" s="578"/>
      <c r="HHP37" s="578"/>
      <c r="HHQ37" s="578"/>
      <c r="HHR37" s="578"/>
      <c r="HHS37" s="578"/>
      <c r="HHT37" s="578"/>
      <c r="HHU37" s="578"/>
      <c r="HHV37" s="578"/>
      <c r="HHW37" s="578"/>
      <c r="HHX37" s="578"/>
      <c r="HHY37" s="578"/>
      <c r="HHZ37" s="578"/>
      <c r="HIA37" s="578"/>
      <c r="HIB37" s="578"/>
      <c r="HIC37" s="578"/>
      <c r="HID37" s="578"/>
      <c r="HIE37" s="578"/>
      <c r="HIF37" s="578"/>
      <c r="HIG37" s="578"/>
      <c r="HIH37" s="578"/>
      <c r="HII37" s="578"/>
      <c r="HIJ37" s="578"/>
      <c r="HIK37" s="578"/>
      <c r="HIL37" s="578"/>
      <c r="HIM37" s="578"/>
      <c r="HIN37" s="578"/>
      <c r="HIO37" s="578"/>
      <c r="HIP37" s="578"/>
      <c r="HIQ37" s="578"/>
      <c r="HIR37" s="578"/>
      <c r="HIS37" s="578"/>
      <c r="HIT37" s="578"/>
      <c r="HIU37" s="578"/>
      <c r="HIV37" s="578"/>
      <c r="HIW37" s="578"/>
      <c r="HIX37" s="578"/>
      <c r="HIY37" s="578"/>
      <c r="HIZ37" s="578"/>
      <c r="HJA37" s="578"/>
      <c r="HJB37" s="578"/>
      <c r="HJC37" s="578"/>
      <c r="HJD37" s="578"/>
      <c r="HJE37" s="578"/>
      <c r="HJF37" s="578"/>
      <c r="HJG37" s="578"/>
      <c r="HJH37" s="578"/>
      <c r="HJI37" s="578"/>
      <c r="HJJ37" s="578"/>
      <c r="HJK37" s="578"/>
      <c r="HJL37" s="578"/>
      <c r="HJM37" s="578"/>
      <c r="HJN37" s="578"/>
      <c r="HJO37" s="578"/>
      <c r="HJP37" s="578"/>
      <c r="HJQ37" s="578"/>
      <c r="HJR37" s="578"/>
      <c r="HJS37" s="578"/>
      <c r="HJT37" s="578"/>
      <c r="HJU37" s="578"/>
      <c r="HJV37" s="578"/>
      <c r="HJW37" s="578"/>
      <c r="HJX37" s="578"/>
      <c r="HJY37" s="578"/>
      <c r="HJZ37" s="578"/>
      <c r="HKA37" s="578"/>
      <c r="HKB37" s="578"/>
      <c r="HKC37" s="578"/>
      <c r="HKD37" s="578"/>
      <c r="HKE37" s="578"/>
      <c r="HKF37" s="578"/>
      <c r="HKG37" s="578"/>
      <c r="HKH37" s="578"/>
      <c r="HKI37" s="578"/>
      <c r="HKJ37" s="578"/>
      <c r="HKK37" s="578"/>
      <c r="HKL37" s="578"/>
      <c r="HKM37" s="578"/>
      <c r="HKN37" s="578"/>
      <c r="HKO37" s="578"/>
      <c r="HKP37" s="578"/>
      <c r="HKQ37" s="578"/>
      <c r="HKR37" s="578"/>
      <c r="HKS37" s="578"/>
      <c r="HKT37" s="578"/>
      <c r="HKU37" s="578"/>
      <c r="HKV37" s="578"/>
      <c r="HKW37" s="578"/>
      <c r="HKX37" s="578"/>
      <c r="HKY37" s="578"/>
      <c r="HKZ37" s="578"/>
      <c r="HLA37" s="578"/>
      <c r="HLB37" s="578"/>
      <c r="HLC37" s="578"/>
      <c r="HLD37" s="578"/>
      <c r="HLE37" s="578"/>
      <c r="HLF37" s="578"/>
      <c r="HLG37" s="578"/>
      <c r="HLH37" s="578"/>
      <c r="HLI37" s="578"/>
      <c r="HLJ37" s="578"/>
      <c r="HLK37" s="578"/>
      <c r="HLL37" s="578"/>
      <c r="HLM37" s="578"/>
      <c r="HLN37" s="578"/>
      <c r="HLO37" s="578"/>
      <c r="HLP37" s="578"/>
      <c r="HLQ37" s="578"/>
      <c r="HLR37" s="578"/>
      <c r="HLS37" s="578"/>
      <c r="HLT37" s="578"/>
      <c r="HLU37" s="578"/>
      <c r="HLV37" s="578"/>
      <c r="HLW37" s="578"/>
      <c r="HLX37" s="578"/>
      <c r="HLY37" s="578"/>
      <c r="HLZ37" s="578"/>
      <c r="HMA37" s="578"/>
      <c r="HMB37" s="578"/>
      <c r="HMC37" s="578"/>
      <c r="HMD37" s="578"/>
      <c r="HME37" s="578"/>
      <c r="HMF37" s="578"/>
      <c r="HMG37" s="578"/>
      <c r="HMH37" s="578"/>
      <c r="HMI37" s="578"/>
      <c r="HMJ37" s="578"/>
      <c r="HMK37" s="578"/>
      <c r="HML37" s="578"/>
      <c r="HMM37" s="578"/>
      <c r="HMN37" s="578"/>
      <c r="HMO37" s="578"/>
      <c r="HMP37" s="578"/>
      <c r="HMQ37" s="578"/>
      <c r="HMR37" s="578"/>
      <c r="HMS37" s="578"/>
      <c r="HMT37" s="578"/>
      <c r="HMU37" s="578"/>
      <c r="HMV37" s="578"/>
      <c r="HMW37" s="578"/>
      <c r="HMX37" s="578"/>
      <c r="HMY37" s="578"/>
      <c r="HMZ37" s="578"/>
      <c r="HNA37" s="578"/>
      <c r="HNB37" s="578"/>
      <c r="HNC37" s="578"/>
      <c r="HND37" s="578"/>
      <c r="HNE37" s="578"/>
      <c r="HNF37" s="578"/>
      <c r="HNG37" s="578"/>
      <c r="HNH37" s="578"/>
      <c r="HNI37" s="578"/>
      <c r="HNJ37" s="578"/>
      <c r="HNK37" s="578"/>
      <c r="HNL37" s="578"/>
      <c r="HNM37" s="578"/>
      <c r="HNN37" s="578"/>
      <c r="HNO37" s="578"/>
      <c r="HNP37" s="578"/>
      <c r="HNQ37" s="578"/>
      <c r="HNR37" s="578"/>
      <c r="HNS37" s="578"/>
      <c r="HNT37" s="578"/>
      <c r="HNU37" s="578"/>
      <c r="HNV37" s="578"/>
      <c r="HNW37" s="578"/>
      <c r="HNX37" s="578"/>
      <c r="HNY37" s="578"/>
      <c r="HNZ37" s="578"/>
      <c r="HOA37" s="578"/>
      <c r="HOB37" s="578"/>
      <c r="HOC37" s="578"/>
      <c r="HOD37" s="578"/>
      <c r="HOE37" s="578"/>
      <c r="HOF37" s="578"/>
      <c r="HOG37" s="578"/>
      <c r="HOH37" s="578"/>
      <c r="HOI37" s="578"/>
      <c r="HOJ37" s="578"/>
      <c r="HOK37" s="578"/>
      <c r="HOL37" s="578"/>
      <c r="HOM37" s="578"/>
      <c r="HON37" s="578"/>
      <c r="HOO37" s="578"/>
      <c r="HOP37" s="578"/>
      <c r="HOQ37" s="578"/>
      <c r="HOR37" s="578"/>
      <c r="HOS37" s="578"/>
      <c r="HOT37" s="578"/>
      <c r="HOU37" s="578"/>
      <c r="HOV37" s="578"/>
      <c r="HOW37" s="578"/>
      <c r="HOX37" s="578"/>
      <c r="HOY37" s="578"/>
      <c r="HOZ37" s="578"/>
      <c r="HPA37" s="578"/>
      <c r="HPB37" s="578"/>
      <c r="HPC37" s="578"/>
      <c r="HPD37" s="578"/>
      <c r="HPE37" s="578"/>
      <c r="HPF37" s="578"/>
      <c r="HPG37" s="578"/>
      <c r="HPH37" s="578"/>
      <c r="HPI37" s="578"/>
      <c r="HPJ37" s="578"/>
      <c r="HPK37" s="578"/>
      <c r="HPL37" s="578"/>
      <c r="HPM37" s="578"/>
      <c r="HPN37" s="578"/>
      <c r="HPO37" s="578"/>
      <c r="HPP37" s="578"/>
      <c r="HPQ37" s="578"/>
      <c r="HPR37" s="578"/>
      <c r="HPS37" s="578"/>
      <c r="HPT37" s="578"/>
      <c r="HPU37" s="578"/>
      <c r="HPV37" s="578"/>
      <c r="HPW37" s="578"/>
      <c r="HPX37" s="578"/>
      <c r="HPY37" s="578"/>
      <c r="HPZ37" s="578"/>
      <c r="HQA37" s="578"/>
      <c r="HQB37" s="578"/>
      <c r="HQC37" s="578"/>
      <c r="HQD37" s="578"/>
      <c r="HQE37" s="578"/>
      <c r="HQF37" s="578"/>
      <c r="HQG37" s="578"/>
      <c r="HQH37" s="578"/>
      <c r="HQI37" s="578"/>
      <c r="HQJ37" s="578"/>
      <c r="HQK37" s="578"/>
      <c r="HQL37" s="578"/>
      <c r="HQM37" s="578"/>
      <c r="HQN37" s="578"/>
      <c r="HQO37" s="578"/>
      <c r="HQP37" s="578"/>
      <c r="HQQ37" s="578"/>
      <c r="HQR37" s="578"/>
      <c r="HQS37" s="578"/>
      <c r="HQT37" s="578"/>
      <c r="HQU37" s="578"/>
      <c r="HQV37" s="578"/>
      <c r="HQW37" s="578"/>
      <c r="HQX37" s="578"/>
      <c r="HQY37" s="578"/>
      <c r="HQZ37" s="578"/>
      <c r="HRA37" s="578"/>
      <c r="HRB37" s="578"/>
      <c r="HRC37" s="578"/>
      <c r="HRD37" s="578"/>
      <c r="HRE37" s="578"/>
      <c r="HRF37" s="578"/>
      <c r="HRG37" s="578"/>
      <c r="HRH37" s="578"/>
      <c r="HRI37" s="578"/>
      <c r="HRJ37" s="578"/>
      <c r="HRK37" s="578"/>
      <c r="HRL37" s="578"/>
      <c r="HRM37" s="578"/>
      <c r="HRN37" s="578"/>
      <c r="HRO37" s="578"/>
      <c r="HRP37" s="578"/>
      <c r="HRQ37" s="578"/>
      <c r="HRR37" s="578"/>
      <c r="HRS37" s="578"/>
      <c r="HRT37" s="578"/>
      <c r="HRU37" s="578"/>
      <c r="HRV37" s="578"/>
      <c r="HRW37" s="578"/>
      <c r="HRX37" s="578"/>
      <c r="HRY37" s="578"/>
      <c r="HRZ37" s="578"/>
      <c r="HSA37" s="578"/>
      <c r="HSB37" s="578"/>
      <c r="HSC37" s="578"/>
      <c r="HSD37" s="578"/>
      <c r="HSE37" s="578"/>
      <c r="HSF37" s="578"/>
      <c r="HSG37" s="578"/>
      <c r="HSH37" s="578"/>
      <c r="HSI37" s="578"/>
      <c r="HSJ37" s="578"/>
      <c r="HSK37" s="578"/>
      <c r="HSL37" s="578"/>
      <c r="HSM37" s="578"/>
      <c r="HSN37" s="578"/>
      <c r="HSO37" s="578"/>
      <c r="HSP37" s="578"/>
      <c r="HSQ37" s="578"/>
      <c r="HSR37" s="578"/>
      <c r="HSS37" s="578"/>
      <c r="HST37" s="578"/>
      <c r="HSU37" s="578"/>
      <c r="HSV37" s="578"/>
      <c r="HSW37" s="578"/>
      <c r="HSX37" s="578"/>
      <c r="HSY37" s="578"/>
      <c r="HSZ37" s="578"/>
      <c r="HTA37" s="578"/>
      <c r="HTB37" s="578"/>
      <c r="HTC37" s="578"/>
      <c r="HTD37" s="578"/>
      <c r="HTE37" s="578"/>
      <c r="HTF37" s="578"/>
      <c r="HTG37" s="578"/>
      <c r="HTH37" s="578"/>
      <c r="HTI37" s="578"/>
      <c r="HTJ37" s="578"/>
      <c r="HTK37" s="578"/>
      <c r="HTL37" s="578"/>
      <c r="HTM37" s="578"/>
      <c r="HTN37" s="578"/>
      <c r="HTO37" s="578"/>
      <c r="HTP37" s="578"/>
      <c r="HTQ37" s="578"/>
      <c r="HTR37" s="578"/>
      <c r="HTS37" s="578"/>
      <c r="HTT37" s="578"/>
      <c r="HTU37" s="578"/>
      <c r="HTV37" s="578"/>
      <c r="HTW37" s="578"/>
      <c r="HTX37" s="578"/>
      <c r="HTY37" s="578"/>
      <c r="HTZ37" s="578"/>
      <c r="HUA37" s="578"/>
      <c r="HUB37" s="578"/>
      <c r="HUC37" s="578"/>
      <c r="HUD37" s="578"/>
      <c r="HUE37" s="578"/>
      <c r="HUF37" s="578"/>
      <c r="HUG37" s="578"/>
      <c r="HUH37" s="578"/>
      <c r="HUI37" s="578"/>
      <c r="HUJ37" s="578"/>
      <c r="HUK37" s="578"/>
      <c r="HUL37" s="578"/>
      <c r="HUM37" s="578"/>
      <c r="HUN37" s="578"/>
      <c r="HUO37" s="578"/>
      <c r="HUP37" s="578"/>
      <c r="HUQ37" s="578"/>
      <c r="HUR37" s="578"/>
      <c r="HUS37" s="578"/>
      <c r="HUT37" s="578"/>
      <c r="HUU37" s="578"/>
      <c r="HUV37" s="578"/>
      <c r="HUW37" s="578"/>
      <c r="HUX37" s="578"/>
      <c r="HUY37" s="578"/>
      <c r="HUZ37" s="578"/>
      <c r="HVA37" s="578"/>
      <c r="HVB37" s="578"/>
      <c r="HVC37" s="578"/>
      <c r="HVD37" s="578"/>
      <c r="HVE37" s="578"/>
      <c r="HVF37" s="578"/>
      <c r="HVG37" s="578"/>
      <c r="HVH37" s="578"/>
      <c r="HVI37" s="578"/>
      <c r="HVJ37" s="578"/>
      <c r="HVK37" s="578"/>
      <c r="HVL37" s="578"/>
      <c r="HVM37" s="578"/>
      <c r="HVN37" s="578"/>
      <c r="HVO37" s="578"/>
      <c r="HVP37" s="578"/>
      <c r="HVQ37" s="578"/>
      <c r="HVR37" s="578"/>
      <c r="HVS37" s="578"/>
      <c r="HVT37" s="578"/>
      <c r="HVU37" s="578"/>
      <c r="HVV37" s="578"/>
      <c r="HVW37" s="578"/>
      <c r="HVX37" s="578"/>
      <c r="HVY37" s="578"/>
      <c r="HVZ37" s="578"/>
      <c r="HWA37" s="578"/>
      <c r="HWB37" s="578"/>
      <c r="HWC37" s="578"/>
      <c r="HWD37" s="578"/>
      <c r="HWE37" s="578"/>
      <c r="HWF37" s="578"/>
      <c r="HWG37" s="578"/>
      <c r="HWH37" s="578"/>
      <c r="HWI37" s="578"/>
      <c r="HWJ37" s="578"/>
      <c r="HWK37" s="578"/>
      <c r="HWL37" s="578"/>
      <c r="HWM37" s="578"/>
      <c r="HWN37" s="578"/>
      <c r="HWO37" s="578"/>
      <c r="HWP37" s="578"/>
      <c r="HWQ37" s="578"/>
      <c r="HWR37" s="578"/>
      <c r="HWS37" s="578"/>
      <c r="HWT37" s="578"/>
      <c r="HWU37" s="578"/>
      <c r="HWV37" s="578"/>
      <c r="HWW37" s="578"/>
      <c r="HWX37" s="578"/>
      <c r="HWY37" s="578"/>
      <c r="HWZ37" s="578"/>
      <c r="HXA37" s="578"/>
      <c r="HXB37" s="578"/>
      <c r="HXC37" s="578"/>
      <c r="HXD37" s="578"/>
      <c r="HXE37" s="578"/>
      <c r="HXF37" s="578"/>
      <c r="HXG37" s="578"/>
      <c r="HXH37" s="578"/>
      <c r="HXI37" s="578"/>
      <c r="HXJ37" s="578"/>
      <c r="HXK37" s="578"/>
      <c r="HXL37" s="578"/>
      <c r="HXM37" s="578"/>
      <c r="HXN37" s="578"/>
      <c r="HXO37" s="578"/>
      <c r="HXP37" s="578"/>
      <c r="HXQ37" s="578"/>
      <c r="HXR37" s="578"/>
      <c r="HXS37" s="578"/>
      <c r="HXT37" s="578"/>
      <c r="HXU37" s="578"/>
      <c r="HXV37" s="578"/>
      <c r="HXW37" s="578"/>
      <c r="HXX37" s="578"/>
      <c r="HXY37" s="578"/>
      <c r="HXZ37" s="578"/>
      <c r="HYA37" s="578"/>
      <c r="HYB37" s="578"/>
      <c r="HYC37" s="578"/>
      <c r="HYD37" s="578"/>
      <c r="HYE37" s="578"/>
      <c r="HYF37" s="578"/>
      <c r="HYG37" s="578"/>
      <c r="HYH37" s="578"/>
      <c r="HYI37" s="578"/>
      <c r="HYJ37" s="578"/>
      <c r="HYK37" s="578"/>
      <c r="HYL37" s="578"/>
      <c r="HYM37" s="578"/>
      <c r="HYN37" s="578"/>
      <c r="HYO37" s="578"/>
      <c r="HYP37" s="578"/>
      <c r="HYQ37" s="578"/>
      <c r="HYR37" s="578"/>
      <c r="HYS37" s="578"/>
      <c r="HYT37" s="578"/>
      <c r="HYU37" s="578"/>
      <c r="HYV37" s="578"/>
      <c r="HYW37" s="578"/>
      <c r="HYX37" s="578"/>
      <c r="HYY37" s="578"/>
      <c r="HYZ37" s="578"/>
      <c r="HZA37" s="578"/>
      <c r="HZB37" s="578"/>
      <c r="HZC37" s="578"/>
      <c r="HZD37" s="578"/>
      <c r="HZE37" s="578"/>
      <c r="HZF37" s="578"/>
      <c r="HZG37" s="578"/>
      <c r="HZH37" s="578"/>
      <c r="HZI37" s="578"/>
      <c r="HZJ37" s="578"/>
      <c r="HZK37" s="578"/>
      <c r="HZL37" s="578"/>
      <c r="HZM37" s="578"/>
      <c r="HZN37" s="578"/>
      <c r="HZO37" s="578"/>
      <c r="HZP37" s="578"/>
      <c r="HZQ37" s="578"/>
      <c r="HZR37" s="578"/>
      <c r="HZS37" s="578"/>
      <c r="HZT37" s="578"/>
      <c r="HZU37" s="578"/>
      <c r="HZV37" s="578"/>
      <c r="HZW37" s="578"/>
      <c r="HZX37" s="578"/>
      <c r="HZY37" s="578"/>
      <c r="HZZ37" s="578"/>
      <c r="IAA37" s="578"/>
      <c r="IAB37" s="578"/>
      <c r="IAC37" s="578"/>
      <c r="IAD37" s="578"/>
      <c r="IAE37" s="578"/>
      <c r="IAF37" s="578"/>
      <c r="IAG37" s="578"/>
      <c r="IAH37" s="578"/>
      <c r="IAI37" s="578"/>
      <c r="IAJ37" s="578"/>
      <c r="IAK37" s="578"/>
      <c r="IAL37" s="578"/>
      <c r="IAM37" s="578"/>
      <c r="IAN37" s="578"/>
      <c r="IAO37" s="578"/>
      <c r="IAP37" s="578"/>
      <c r="IAQ37" s="578"/>
      <c r="IAR37" s="578"/>
      <c r="IAS37" s="578"/>
      <c r="IAT37" s="578"/>
      <c r="IAU37" s="578"/>
      <c r="IAV37" s="578"/>
      <c r="IAW37" s="578"/>
      <c r="IAX37" s="578"/>
      <c r="IAY37" s="578"/>
      <c r="IAZ37" s="578"/>
      <c r="IBA37" s="578"/>
      <c r="IBB37" s="578"/>
      <c r="IBC37" s="578"/>
      <c r="IBD37" s="578"/>
      <c r="IBE37" s="578"/>
      <c r="IBF37" s="578"/>
      <c r="IBG37" s="578"/>
      <c r="IBH37" s="578"/>
      <c r="IBI37" s="578"/>
      <c r="IBJ37" s="578"/>
      <c r="IBK37" s="578"/>
      <c r="IBL37" s="578"/>
      <c r="IBM37" s="578"/>
      <c r="IBN37" s="578"/>
      <c r="IBO37" s="578"/>
      <c r="IBP37" s="578"/>
      <c r="IBQ37" s="578"/>
      <c r="IBR37" s="578"/>
      <c r="IBS37" s="578"/>
      <c r="IBT37" s="578"/>
      <c r="IBU37" s="578"/>
      <c r="IBV37" s="578"/>
      <c r="IBW37" s="578"/>
      <c r="IBX37" s="578"/>
      <c r="IBY37" s="578"/>
      <c r="IBZ37" s="578"/>
      <c r="ICA37" s="578"/>
      <c r="ICB37" s="578"/>
      <c r="ICC37" s="578"/>
      <c r="ICD37" s="578"/>
      <c r="ICE37" s="578"/>
      <c r="ICF37" s="578"/>
      <c r="ICG37" s="578"/>
      <c r="ICH37" s="578"/>
      <c r="ICI37" s="578"/>
      <c r="ICJ37" s="578"/>
      <c r="ICK37" s="578"/>
      <c r="ICL37" s="578"/>
      <c r="ICM37" s="578"/>
      <c r="ICN37" s="578"/>
      <c r="ICO37" s="578"/>
      <c r="ICP37" s="578"/>
      <c r="ICQ37" s="578"/>
      <c r="ICR37" s="578"/>
      <c r="ICS37" s="578"/>
      <c r="ICT37" s="578"/>
      <c r="ICU37" s="578"/>
      <c r="ICV37" s="578"/>
      <c r="ICW37" s="578"/>
      <c r="ICX37" s="578"/>
      <c r="ICY37" s="578"/>
      <c r="ICZ37" s="578"/>
      <c r="IDA37" s="578"/>
      <c r="IDB37" s="578"/>
      <c r="IDC37" s="578"/>
      <c r="IDD37" s="578"/>
      <c r="IDE37" s="578"/>
      <c r="IDF37" s="578"/>
      <c r="IDG37" s="578"/>
      <c r="IDH37" s="578"/>
      <c r="IDI37" s="578"/>
      <c r="IDJ37" s="578"/>
      <c r="IDK37" s="578"/>
      <c r="IDL37" s="578"/>
      <c r="IDM37" s="578"/>
      <c r="IDN37" s="578"/>
      <c r="IDO37" s="578"/>
      <c r="IDP37" s="578"/>
      <c r="IDQ37" s="578"/>
      <c r="IDR37" s="578"/>
      <c r="IDS37" s="578"/>
      <c r="IDT37" s="578"/>
      <c r="IDU37" s="578"/>
      <c r="IDV37" s="578"/>
      <c r="IDW37" s="578"/>
      <c r="IDX37" s="578"/>
      <c r="IDY37" s="578"/>
      <c r="IDZ37" s="578"/>
      <c r="IEA37" s="578"/>
      <c r="IEB37" s="578"/>
      <c r="IEC37" s="578"/>
      <c r="IED37" s="578"/>
      <c r="IEE37" s="578"/>
      <c r="IEF37" s="578"/>
      <c r="IEG37" s="578"/>
      <c r="IEH37" s="578"/>
      <c r="IEI37" s="578"/>
      <c r="IEJ37" s="578"/>
      <c r="IEK37" s="578"/>
      <c r="IEL37" s="578"/>
      <c r="IEM37" s="578"/>
      <c r="IEN37" s="578"/>
      <c r="IEO37" s="578"/>
      <c r="IEP37" s="578"/>
      <c r="IEQ37" s="578"/>
      <c r="IER37" s="578"/>
      <c r="IES37" s="578"/>
      <c r="IET37" s="578"/>
      <c r="IEU37" s="578"/>
      <c r="IEV37" s="578"/>
      <c r="IEW37" s="578"/>
      <c r="IEX37" s="578"/>
      <c r="IEY37" s="578"/>
      <c r="IEZ37" s="578"/>
      <c r="IFA37" s="578"/>
      <c r="IFB37" s="578"/>
      <c r="IFC37" s="578"/>
      <c r="IFD37" s="578"/>
      <c r="IFE37" s="578"/>
      <c r="IFF37" s="578"/>
      <c r="IFG37" s="578"/>
      <c r="IFH37" s="578"/>
      <c r="IFI37" s="578"/>
      <c r="IFJ37" s="578"/>
      <c r="IFK37" s="578"/>
      <c r="IFL37" s="578"/>
      <c r="IFM37" s="578"/>
      <c r="IFN37" s="578"/>
      <c r="IFO37" s="578"/>
      <c r="IFP37" s="578"/>
      <c r="IFQ37" s="578"/>
      <c r="IFR37" s="578"/>
      <c r="IFS37" s="578"/>
      <c r="IFT37" s="578"/>
      <c r="IFU37" s="578"/>
      <c r="IFV37" s="578"/>
      <c r="IFW37" s="578"/>
      <c r="IFX37" s="578"/>
      <c r="IFY37" s="578"/>
      <c r="IFZ37" s="578"/>
      <c r="IGA37" s="578"/>
      <c r="IGB37" s="578"/>
      <c r="IGC37" s="578"/>
      <c r="IGD37" s="578"/>
      <c r="IGE37" s="578"/>
      <c r="IGF37" s="578"/>
      <c r="IGG37" s="578"/>
      <c r="IGH37" s="578"/>
      <c r="IGI37" s="578"/>
      <c r="IGJ37" s="578"/>
      <c r="IGK37" s="578"/>
      <c r="IGL37" s="578"/>
      <c r="IGM37" s="578"/>
      <c r="IGN37" s="578"/>
      <c r="IGO37" s="578"/>
      <c r="IGP37" s="578"/>
      <c r="IGQ37" s="578"/>
      <c r="IGR37" s="578"/>
      <c r="IGS37" s="578"/>
      <c r="IGT37" s="578"/>
      <c r="IGU37" s="578"/>
      <c r="IGV37" s="578"/>
      <c r="IGW37" s="578"/>
      <c r="IGX37" s="578"/>
      <c r="IGY37" s="578"/>
      <c r="IGZ37" s="578"/>
      <c r="IHA37" s="578"/>
      <c r="IHB37" s="578"/>
      <c r="IHC37" s="578"/>
      <c r="IHD37" s="578"/>
      <c r="IHE37" s="578"/>
      <c r="IHF37" s="578"/>
      <c r="IHG37" s="578"/>
      <c r="IHH37" s="578"/>
      <c r="IHI37" s="578"/>
      <c r="IHJ37" s="578"/>
      <c r="IHK37" s="578"/>
      <c r="IHL37" s="578"/>
      <c r="IHM37" s="578"/>
      <c r="IHN37" s="578"/>
      <c r="IHO37" s="578"/>
      <c r="IHP37" s="578"/>
      <c r="IHQ37" s="578"/>
      <c r="IHR37" s="578"/>
      <c r="IHS37" s="578"/>
      <c r="IHT37" s="578"/>
      <c r="IHU37" s="578"/>
      <c r="IHV37" s="578"/>
      <c r="IHW37" s="578"/>
      <c r="IHX37" s="578"/>
      <c r="IHY37" s="578"/>
      <c r="IHZ37" s="578"/>
      <c r="IIA37" s="578"/>
      <c r="IIB37" s="578"/>
      <c r="IIC37" s="578"/>
      <c r="IID37" s="578"/>
      <c r="IIE37" s="578"/>
      <c r="IIF37" s="578"/>
      <c r="IIG37" s="578"/>
      <c r="IIH37" s="578"/>
      <c r="III37" s="578"/>
      <c r="IIJ37" s="578"/>
      <c r="IIK37" s="578"/>
      <c r="IIL37" s="578"/>
      <c r="IIM37" s="578"/>
      <c r="IIN37" s="578"/>
      <c r="IIO37" s="578"/>
      <c r="IIP37" s="578"/>
      <c r="IIQ37" s="578"/>
      <c r="IIR37" s="578"/>
      <c r="IIS37" s="578"/>
      <c r="IIT37" s="578"/>
      <c r="IIU37" s="578"/>
      <c r="IIV37" s="578"/>
      <c r="IIW37" s="578"/>
      <c r="IIX37" s="578"/>
      <c r="IIY37" s="578"/>
      <c r="IIZ37" s="578"/>
      <c r="IJA37" s="578"/>
      <c r="IJB37" s="578"/>
      <c r="IJC37" s="578"/>
      <c r="IJD37" s="578"/>
      <c r="IJE37" s="578"/>
      <c r="IJF37" s="578"/>
      <c r="IJG37" s="578"/>
      <c r="IJH37" s="578"/>
      <c r="IJI37" s="578"/>
      <c r="IJJ37" s="578"/>
      <c r="IJK37" s="578"/>
      <c r="IJL37" s="578"/>
      <c r="IJM37" s="578"/>
      <c r="IJN37" s="578"/>
      <c r="IJO37" s="578"/>
      <c r="IJP37" s="578"/>
      <c r="IJQ37" s="578"/>
      <c r="IJR37" s="578"/>
      <c r="IJS37" s="578"/>
      <c r="IJT37" s="578"/>
      <c r="IJU37" s="578"/>
      <c r="IJV37" s="578"/>
      <c r="IJW37" s="578"/>
      <c r="IJX37" s="578"/>
      <c r="IJY37" s="578"/>
      <c r="IJZ37" s="578"/>
      <c r="IKA37" s="578"/>
      <c r="IKB37" s="578"/>
      <c r="IKC37" s="578"/>
      <c r="IKD37" s="578"/>
      <c r="IKE37" s="578"/>
      <c r="IKF37" s="578"/>
      <c r="IKG37" s="578"/>
      <c r="IKH37" s="578"/>
      <c r="IKI37" s="578"/>
      <c r="IKJ37" s="578"/>
      <c r="IKK37" s="578"/>
      <c r="IKL37" s="578"/>
      <c r="IKM37" s="578"/>
      <c r="IKN37" s="578"/>
      <c r="IKO37" s="578"/>
      <c r="IKP37" s="578"/>
      <c r="IKQ37" s="578"/>
      <c r="IKR37" s="578"/>
      <c r="IKS37" s="578"/>
      <c r="IKT37" s="578"/>
      <c r="IKU37" s="578"/>
      <c r="IKV37" s="578"/>
      <c r="IKW37" s="578"/>
      <c r="IKX37" s="578"/>
      <c r="IKY37" s="578"/>
      <c r="IKZ37" s="578"/>
      <c r="ILA37" s="578"/>
      <c r="ILB37" s="578"/>
      <c r="ILC37" s="578"/>
      <c r="ILD37" s="578"/>
      <c r="ILE37" s="578"/>
      <c r="ILF37" s="578"/>
      <c r="ILG37" s="578"/>
      <c r="ILH37" s="578"/>
      <c r="ILI37" s="578"/>
      <c r="ILJ37" s="578"/>
      <c r="ILK37" s="578"/>
      <c r="ILL37" s="578"/>
      <c r="ILM37" s="578"/>
      <c r="ILN37" s="578"/>
      <c r="ILO37" s="578"/>
      <c r="ILP37" s="578"/>
      <c r="ILQ37" s="578"/>
      <c r="ILR37" s="578"/>
      <c r="ILS37" s="578"/>
      <c r="ILT37" s="578"/>
      <c r="ILU37" s="578"/>
      <c r="ILV37" s="578"/>
      <c r="ILW37" s="578"/>
      <c r="ILX37" s="578"/>
      <c r="ILY37" s="578"/>
      <c r="ILZ37" s="578"/>
      <c r="IMA37" s="578"/>
      <c r="IMB37" s="578"/>
      <c r="IMC37" s="578"/>
      <c r="IMD37" s="578"/>
      <c r="IME37" s="578"/>
      <c r="IMF37" s="578"/>
      <c r="IMG37" s="578"/>
      <c r="IMH37" s="578"/>
      <c r="IMI37" s="578"/>
      <c r="IMJ37" s="578"/>
      <c r="IMK37" s="578"/>
      <c r="IML37" s="578"/>
      <c r="IMM37" s="578"/>
      <c r="IMN37" s="578"/>
      <c r="IMO37" s="578"/>
      <c r="IMP37" s="578"/>
      <c r="IMQ37" s="578"/>
      <c r="IMR37" s="578"/>
      <c r="IMS37" s="578"/>
      <c r="IMT37" s="578"/>
      <c r="IMU37" s="578"/>
      <c r="IMV37" s="578"/>
      <c r="IMW37" s="578"/>
      <c r="IMX37" s="578"/>
      <c r="IMY37" s="578"/>
      <c r="IMZ37" s="578"/>
      <c r="INA37" s="578"/>
      <c r="INB37" s="578"/>
      <c r="INC37" s="578"/>
      <c r="IND37" s="578"/>
      <c r="INE37" s="578"/>
      <c r="INF37" s="578"/>
      <c r="ING37" s="578"/>
      <c r="INH37" s="578"/>
      <c r="INI37" s="578"/>
      <c r="INJ37" s="578"/>
      <c r="INK37" s="578"/>
      <c r="INL37" s="578"/>
      <c r="INM37" s="578"/>
      <c r="INN37" s="578"/>
      <c r="INO37" s="578"/>
      <c r="INP37" s="578"/>
      <c r="INQ37" s="578"/>
      <c r="INR37" s="578"/>
      <c r="INS37" s="578"/>
      <c r="INT37" s="578"/>
      <c r="INU37" s="578"/>
      <c r="INV37" s="578"/>
      <c r="INW37" s="578"/>
      <c r="INX37" s="578"/>
      <c r="INY37" s="578"/>
      <c r="INZ37" s="578"/>
      <c r="IOA37" s="578"/>
      <c r="IOB37" s="578"/>
      <c r="IOC37" s="578"/>
      <c r="IOD37" s="578"/>
      <c r="IOE37" s="578"/>
      <c r="IOF37" s="578"/>
      <c r="IOG37" s="578"/>
      <c r="IOH37" s="578"/>
      <c r="IOI37" s="578"/>
      <c r="IOJ37" s="578"/>
      <c r="IOK37" s="578"/>
      <c r="IOL37" s="578"/>
      <c r="IOM37" s="578"/>
      <c r="ION37" s="578"/>
      <c r="IOO37" s="578"/>
      <c r="IOP37" s="578"/>
      <c r="IOQ37" s="578"/>
      <c r="IOR37" s="578"/>
      <c r="IOS37" s="578"/>
      <c r="IOT37" s="578"/>
      <c r="IOU37" s="578"/>
      <c r="IOV37" s="578"/>
      <c r="IOW37" s="578"/>
      <c r="IOX37" s="578"/>
      <c r="IOY37" s="578"/>
      <c r="IOZ37" s="578"/>
      <c r="IPA37" s="578"/>
      <c r="IPB37" s="578"/>
      <c r="IPC37" s="578"/>
      <c r="IPD37" s="578"/>
      <c r="IPE37" s="578"/>
      <c r="IPF37" s="578"/>
      <c r="IPG37" s="578"/>
      <c r="IPH37" s="578"/>
      <c r="IPI37" s="578"/>
      <c r="IPJ37" s="578"/>
      <c r="IPK37" s="578"/>
      <c r="IPL37" s="578"/>
      <c r="IPM37" s="578"/>
      <c r="IPN37" s="578"/>
      <c r="IPO37" s="578"/>
      <c r="IPP37" s="578"/>
      <c r="IPQ37" s="578"/>
      <c r="IPR37" s="578"/>
      <c r="IPS37" s="578"/>
      <c r="IPT37" s="578"/>
      <c r="IPU37" s="578"/>
      <c r="IPV37" s="578"/>
      <c r="IPW37" s="578"/>
      <c r="IPX37" s="578"/>
      <c r="IPY37" s="578"/>
      <c r="IPZ37" s="578"/>
      <c r="IQA37" s="578"/>
      <c r="IQB37" s="578"/>
      <c r="IQC37" s="578"/>
      <c r="IQD37" s="578"/>
      <c r="IQE37" s="578"/>
      <c r="IQF37" s="578"/>
      <c r="IQG37" s="578"/>
      <c r="IQH37" s="578"/>
      <c r="IQI37" s="578"/>
      <c r="IQJ37" s="578"/>
      <c r="IQK37" s="578"/>
      <c r="IQL37" s="578"/>
      <c r="IQM37" s="578"/>
      <c r="IQN37" s="578"/>
      <c r="IQO37" s="578"/>
      <c r="IQP37" s="578"/>
      <c r="IQQ37" s="578"/>
      <c r="IQR37" s="578"/>
      <c r="IQS37" s="578"/>
      <c r="IQT37" s="578"/>
      <c r="IQU37" s="578"/>
      <c r="IQV37" s="578"/>
      <c r="IQW37" s="578"/>
      <c r="IQX37" s="578"/>
      <c r="IQY37" s="578"/>
      <c r="IQZ37" s="578"/>
      <c r="IRA37" s="578"/>
      <c r="IRB37" s="578"/>
      <c r="IRC37" s="578"/>
      <c r="IRD37" s="578"/>
      <c r="IRE37" s="578"/>
      <c r="IRF37" s="578"/>
      <c r="IRG37" s="578"/>
      <c r="IRH37" s="578"/>
      <c r="IRI37" s="578"/>
      <c r="IRJ37" s="578"/>
      <c r="IRK37" s="578"/>
      <c r="IRL37" s="578"/>
      <c r="IRM37" s="578"/>
      <c r="IRN37" s="578"/>
      <c r="IRO37" s="578"/>
      <c r="IRP37" s="578"/>
      <c r="IRQ37" s="578"/>
      <c r="IRR37" s="578"/>
      <c r="IRS37" s="578"/>
      <c r="IRT37" s="578"/>
      <c r="IRU37" s="578"/>
      <c r="IRV37" s="578"/>
      <c r="IRW37" s="578"/>
      <c r="IRX37" s="578"/>
      <c r="IRY37" s="578"/>
      <c r="IRZ37" s="578"/>
      <c r="ISA37" s="578"/>
      <c r="ISB37" s="578"/>
      <c r="ISC37" s="578"/>
      <c r="ISD37" s="578"/>
      <c r="ISE37" s="578"/>
      <c r="ISF37" s="578"/>
      <c r="ISG37" s="578"/>
      <c r="ISH37" s="578"/>
      <c r="ISI37" s="578"/>
      <c r="ISJ37" s="578"/>
      <c r="ISK37" s="578"/>
      <c r="ISL37" s="578"/>
      <c r="ISM37" s="578"/>
      <c r="ISN37" s="578"/>
      <c r="ISO37" s="578"/>
      <c r="ISP37" s="578"/>
      <c r="ISQ37" s="578"/>
      <c r="ISR37" s="578"/>
      <c r="ISS37" s="578"/>
      <c r="IST37" s="578"/>
      <c r="ISU37" s="578"/>
      <c r="ISV37" s="578"/>
      <c r="ISW37" s="578"/>
      <c r="ISX37" s="578"/>
      <c r="ISY37" s="578"/>
      <c r="ISZ37" s="578"/>
      <c r="ITA37" s="578"/>
      <c r="ITB37" s="578"/>
      <c r="ITC37" s="578"/>
      <c r="ITD37" s="578"/>
      <c r="ITE37" s="578"/>
      <c r="ITF37" s="578"/>
      <c r="ITG37" s="578"/>
      <c r="ITH37" s="578"/>
      <c r="ITI37" s="578"/>
      <c r="ITJ37" s="578"/>
      <c r="ITK37" s="578"/>
      <c r="ITL37" s="578"/>
      <c r="ITM37" s="578"/>
      <c r="ITN37" s="578"/>
      <c r="ITO37" s="578"/>
      <c r="ITP37" s="578"/>
      <c r="ITQ37" s="578"/>
      <c r="ITR37" s="578"/>
      <c r="ITS37" s="578"/>
      <c r="ITT37" s="578"/>
      <c r="ITU37" s="578"/>
      <c r="ITV37" s="578"/>
      <c r="ITW37" s="578"/>
      <c r="ITX37" s="578"/>
      <c r="ITY37" s="578"/>
      <c r="ITZ37" s="578"/>
      <c r="IUA37" s="578"/>
      <c r="IUB37" s="578"/>
      <c r="IUC37" s="578"/>
      <c r="IUD37" s="578"/>
      <c r="IUE37" s="578"/>
      <c r="IUF37" s="578"/>
      <c r="IUG37" s="578"/>
      <c r="IUH37" s="578"/>
      <c r="IUI37" s="578"/>
      <c r="IUJ37" s="578"/>
      <c r="IUK37" s="578"/>
      <c r="IUL37" s="578"/>
      <c r="IUM37" s="578"/>
      <c r="IUN37" s="578"/>
      <c r="IUO37" s="578"/>
      <c r="IUP37" s="578"/>
      <c r="IUQ37" s="578"/>
      <c r="IUR37" s="578"/>
      <c r="IUS37" s="578"/>
      <c r="IUT37" s="578"/>
      <c r="IUU37" s="578"/>
      <c r="IUV37" s="578"/>
      <c r="IUW37" s="578"/>
      <c r="IUX37" s="578"/>
      <c r="IUY37" s="578"/>
      <c r="IUZ37" s="578"/>
      <c r="IVA37" s="578"/>
      <c r="IVB37" s="578"/>
      <c r="IVC37" s="578"/>
      <c r="IVD37" s="578"/>
      <c r="IVE37" s="578"/>
      <c r="IVF37" s="578"/>
      <c r="IVG37" s="578"/>
      <c r="IVH37" s="578"/>
      <c r="IVI37" s="578"/>
      <c r="IVJ37" s="578"/>
      <c r="IVK37" s="578"/>
      <c r="IVL37" s="578"/>
      <c r="IVM37" s="578"/>
      <c r="IVN37" s="578"/>
      <c r="IVO37" s="578"/>
      <c r="IVP37" s="578"/>
      <c r="IVQ37" s="578"/>
      <c r="IVR37" s="578"/>
      <c r="IVS37" s="578"/>
      <c r="IVT37" s="578"/>
      <c r="IVU37" s="578"/>
      <c r="IVV37" s="578"/>
      <c r="IVW37" s="578"/>
      <c r="IVX37" s="578"/>
      <c r="IVY37" s="578"/>
      <c r="IVZ37" s="578"/>
      <c r="IWA37" s="578"/>
      <c r="IWB37" s="578"/>
      <c r="IWC37" s="578"/>
      <c r="IWD37" s="578"/>
      <c r="IWE37" s="578"/>
      <c r="IWF37" s="578"/>
      <c r="IWG37" s="578"/>
      <c r="IWH37" s="578"/>
      <c r="IWI37" s="578"/>
      <c r="IWJ37" s="578"/>
      <c r="IWK37" s="578"/>
      <c r="IWL37" s="578"/>
      <c r="IWM37" s="578"/>
      <c r="IWN37" s="578"/>
      <c r="IWO37" s="578"/>
      <c r="IWP37" s="578"/>
      <c r="IWQ37" s="578"/>
      <c r="IWR37" s="578"/>
      <c r="IWS37" s="578"/>
      <c r="IWT37" s="578"/>
      <c r="IWU37" s="578"/>
      <c r="IWV37" s="578"/>
      <c r="IWW37" s="578"/>
      <c r="IWX37" s="578"/>
      <c r="IWY37" s="578"/>
      <c r="IWZ37" s="578"/>
      <c r="IXA37" s="578"/>
      <c r="IXB37" s="578"/>
      <c r="IXC37" s="578"/>
      <c r="IXD37" s="578"/>
      <c r="IXE37" s="578"/>
      <c r="IXF37" s="578"/>
      <c r="IXG37" s="578"/>
      <c r="IXH37" s="578"/>
      <c r="IXI37" s="578"/>
      <c r="IXJ37" s="578"/>
      <c r="IXK37" s="578"/>
      <c r="IXL37" s="578"/>
      <c r="IXM37" s="578"/>
      <c r="IXN37" s="578"/>
      <c r="IXO37" s="578"/>
      <c r="IXP37" s="578"/>
      <c r="IXQ37" s="578"/>
      <c r="IXR37" s="578"/>
      <c r="IXS37" s="578"/>
      <c r="IXT37" s="578"/>
      <c r="IXU37" s="578"/>
      <c r="IXV37" s="578"/>
      <c r="IXW37" s="578"/>
      <c r="IXX37" s="578"/>
      <c r="IXY37" s="578"/>
      <c r="IXZ37" s="578"/>
      <c r="IYA37" s="578"/>
      <c r="IYB37" s="578"/>
      <c r="IYC37" s="578"/>
      <c r="IYD37" s="578"/>
      <c r="IYE37" s="578"/>
      <c r="IYF37" s="578"/>
      <c r="IYG37" s="578"/>
      <c r="IYH37" s="578"/>
      <c r="IYI37" s="578"/>
      <c r="IYJ37" s="578"/>
      <c r="IYK37" s="578"/>
      <c r="IYL37" s="578"/>
      <c r="IYM37" s="578"/>
      <c r="IYN37" s="578"/>
      <c r="IYO37" s="578"/>
      <c r="IYP37" s="578"/>
      <c r="IYQ37" s="578"/>
      <c r="IYR37" s="578"/>
      <c r="IYS37" s="578"/>
      <c r="IYT37" s="578"/>
      <c r="IYU37" s="578"/>
      <c r="IYV37" s="578"/>
      <c r="IYW37" s="578"/>
      <c r="IYX37" s="578"/>
      <c r="IYY37" s="578"/>
      <c r="IYZ37" s="578"/>
      <c r="IZA37" s="578"/>
      <c r="IZB37" s="578"/>
      <c r="IZC37" s="578"/>
      <c r="IZD37" s="578"/>
      <c r="IZE37" s="578"/>
      <c r="IZF37" s="578"/>
      <c r="IZG37" s="578"/>
      <c r="IZH37" s="578"/>
      <c r="IZI37" s="578"/>
      <c r="IZJ37" s="578"/>
      <c r="IZK37" s="578"/>
      <c r="IZL37" s="578"/>
      <c r="IZM37" s="578"/>
      <c r="IZN37" s="578"/>
      <c r="IZO37" s="578"/>
      <c r="IZP37" s="578"/>
      <c r="IZQ37" s="578"/>
      <c r="IZR37" s="578"/>
      <c r="IZS37" s="578"/>
      <c r="IZT37" s="578"/>
      <c r="IZU37" s="578"/>
      <c r="IZV37" s="578"/>
      <c r="IZW37" s="578"/>
      <c r="IZX37" s="578"/>
      <c r="IZY37" s="578"/>
      <c r="IZZ37" s="578"/>
      <c r="JAA37" s="578"/>
      <c r="JAB37" s="578"/>
      <c r="JAC37" s="578"/>
      <c r="JAD37" s="578"/>
      <c r="JAE37" s="578"/>
      <c r="JAF37" s="578"/>
      <c r="JAG37" s="578"/>
      <c r="JAH37" s="578"/>
      <c r="JAI37" s="578"/>
      <c r="JAJ37" s="578"/>
      <c r="JAK37" s="578"/>
      <c r="JAL37" s="578"/>
      <c r="JAM37" s="578"/>
      <c r="JAN37" s="578"/>
      <c r="JAO37" s="578"/>
      <c r="JAP37" s="578"/>
      <c r="JAQ37" s="578"/>
      <c r="JAR37" s="578"/>
      <c r="JAS37" s="578"/>
      <c r="JAT37" s="578"/>
      <c r="JAU37" s="578"/>
      <c r="JAV37" s="578"/>
      <c r="JAW37" s="578"/>
      <c r="JAX37" s="578"/>
      <c r="JAY37" s="578"/>
      <c r="JAZ37" s="578"/>
      <c r="JBA37" s="578"/>
      <c r="JBB37" s="578"/>
      <c r="JBC37" s="578"/>
      <c r="JBD37" s="578"/>
      <c r="JBE37" s="578"/>
      <c r="JBF37" s="578"/>
      <c r="JBG37" s="578"/>
      <c r="JBH37" s="578"/>
      <c r="JBI37" s="578"/>
      <c r="JBJ37" s="578"/>
      <c r="JBK37" s="578"/>
      <c r="JBL37" s="578"/>
      <c r="JBM37" s="578"/>
      <c r="JBN37" s="578"/>
      <c r="JBO37" s="578"/>
      <c r="JBP37" s="578"/>
      <c r="JBQ37" s="578"/>
      <c r="JBR37" s="578"/>
      <c r="JBS37" s="578"/>
      <c r="JBT37" s="578"/>
      <c r="JBU37" s="578"/>
      <c r="JBV37" s="578"/>
      <c r="JBW37" s="578"/>
      <c r="JBX37" s="578"/>
      <c r="JBY37" s="578"/>
      <c r="JBZ37" s="578"/>
      <c r="JCA37" s="578"/>
      <c r="JCB37" s="578"/>
      <c r="JCC37" s="578"/>
      <c r="JCD37" s="578"/>
      <c r="JCE37" s="578"/>
      <c r="JCF37" s="578"/>
      <c r="JCG37" s="578"/>
      <c r="JCH37" s="578"/>
      <c r="JCI37" s="578"/>
      <c r="JCJ37" s="578"/>
      <c r="JCK37" s="578"/>
      <c r="JCL37" s="578"/>
      <c r="JCM37" s="578"/>
      <c r="JCN37" s="578"/>
      <c r="JCO37" s="578"/>
      <c r="JCP37" s="578"/>
      <c r="JCQ37" s="578"/>
      <c r="JCR37" s="578"/>
      <c r="JCS37" s="578"/>
      <c r="JCT37" s="578"/>
      <c r="JCU37" s="578"/>
      <c r="JCV37" s="578"/>
      <c r="JCW37" s="578"/>
      <c r="JCX37" s="578"/>
      <c r="JCY37" s="578"/>
      <c r="JCZ37" s="578"/>
      <c r="JDA37" s="578"/>
      <c r="JDB37" s="578"/>
      <c r="JDC37" s="578"/>
      <c r="JDD37" s="578"/>
      <c r="JDE37" s="578"/>
      <c r="JDF37" s="578"/>
      <c r="JDG37" s="578"/>
      <c r="JDH37" s="578"/>
      <c r="JDI37" s="578"/>
      <c r="JDJ37" s="578"/>
      <c r="JDK37" s="578"/>
      <c r="JDL37" s="578"/>
      <c r="JDM37" s="578"/>
      <c r="JDN37" s="578"/>
      <c r="JDO37" s="578"/>
      <c r="JDP37" s="578"/>
      <c r="JDQ37" s="578"/>
      <c r="JDR37" s="578"/>
      <c r="JDS37" s="578"/>
      <c r="JDT37" s="578"/>
      <c r="JDU37" s="578"/>
      <c r="JDV37" s="578"/>
      <c r="JDW37" s="578"/>
      <c r="JDX37" s="578"/>
      <c r="JDY37" s="578"/>
      <c r="JDZ37" s="578"/>
      <c r="JEA37" s="578"/>
      <c r="JEB37" s="578"/>
      <c r="JEC37" s="578"/>
      <c r="JED37" s="578"/>
      <c r="JEE37" s="578"/>
      <c r="JEF37" s="578"/>
      <c r="JEG37" s="578"/>
      <c r="JEH37" s="578"/>
      <c r="JEI37" s="578"/>
      <c r="JEJ37" s="578"/>
      <c r="JEK37" s="578"/>
      <c r="JEL37" s="578"/>
      <c r="JEM37" s="578"/>
      <c r="JEN37" s="578"/>
      <c r="JEO37" s="578"/>
      <c r="JEP37" s="578"/>
      <c r="JEQ37" s="578"/>
      <c r="JER37" s="578"/>
      <c r="JES37" s="578"/>
      <c r="JET37" s="578"/>
      <c r="JEU37" s="578"/>
      <c r="JEV37" s="578"/>
      <c r="JEW37" s="578"/>
      <c r="JEX37" s="578"/>
      <c r="JEY37" s="578"/>
      <c r="JEZ37" s="578"/>
      <c r="JFA37" s="578"/>
      <c r="JFB37" s="578"/>
      <c r="JFC37" s="578"/>
      <c r="JFD37" s="578"/>
      <c r="JFE37" s="578"/>
      <c r="JFF37" s="578"/>
      <c r="JFG37" s="578"/>
      <c r="JFH37" s="578"/>
      <c r="JFI37" s="578"/>
      <c r="JFJ37" s="578"/>
      <c r="JFK37" s="578"/>
      <c r="JFL37" s="578"/>
      <c r="JFM37" s="578"/>
      <c r="JFN37" s="578"/>
      <c r="JFO37" s="578"/>
      <c r="JFP37" s="578"/>
      <c r="JFQ37" s="578"/>
      <c r="JFR37" s="578"/>
      <c r="JFS37" s="578"/>
      <c r="JFT37" s="578"/>
      <c r="JFU37" s="578"/>
      <c r="JFV37" s="578"/>
      <c r="JFW37" s="578"/>
      <c r="JFX37" s="578"/>
      <c r="JFY37" s="578"/>
      <c r="JFZ37" s="578"/>
      <c r="JGA37" s="578"/>
      <c r="JGB37" s="578"/>
      <c r="JGC37" s="578"/>
      <c r="JGD37" s="578"/>
      <c r="JGE37" s="578"/>
      <c r="JGF37" s="578"/>
      <c r="JGG37" s="578"/>
      <c r="JGH37" s="578"/>
      <c r="JGI37" s="578"/>
      <c r="JGJ37" s="578"/>
      <c r="JGK37" s="578"/>
      <c r="JGL37" s="578"/>
      <c r="JGM37" s="578"/>
      <c r="JGN37" s="578"/>
      <c r="JGO37" s="578"/>
      <c r="JGP37" s="578"/>
      <c r="JGQ37" s="578"/>
      <c r="JGR37" s="578"/>
      <c r="JGS37" s="578"/>
      <c r="JGT37" s="578"/>
      <c r="JGU37" s="578"/>
      <c r="JGV37" s="578"/>
      <c r="JGW37" s="578"/>
      <c r="JGX37" s="578"/>
      <c r="JGY37" s="578"/>
      <c r="JGZ37" s="578"/>
      <c r="JHA37" s="578"/>
      <c r="JHB37" s="578"/>
      <c r="JHC37" s="578"/>
      <c r="JHD37" s="578"/>
      <c r="JHE37" s="578"/>
      <c r="JHF37" s="578"/>
      <c r="JHG37" s="578"/>
      <c r="JHH37" s="578"/>
      <c r="JHI37" s="578"/>
      <c r="JHJ37" s="578"/>
      <c r="JHK37" s="578"/>
      <c r="JHL37" s="578"/>
      <c r="JHM37" s="578"/>
      <c r="JHN37" s="578"/>
      <c r="JHO37" s="578"/>
      <c r="JHP37" s="578"/>
      <c r="JHQ37" s="578"/>
      <c r="JHR37" s="578"/>
      <c r="JHS37" s="578"/>
      <c r="JHT37" s="578"/>
      <c r="JHU37" s="578"/>
      <c r="JHV37" s="578"/>
      <c r="JHW37" s="578"/>
      <c r="JHX37" s="578"/>
      <c r="JHY37" s="578"/>
      <c r="JHZ37" s="578"/>
      <c r="JIA37" s="578"/>
      <c r="JIB37" s="578"/>
      <c r="JIC37" s="578"/>
      <c r="JID37" s="578"/>
      <c r="JIE37" s="578"/>
      <c r="JIF37" s="578"/>
      <c r="JIG37" s="578"/>
      <c r="JIH37" s="578"/>
      <c r="JII37" s="578"/>
      <c r="JIJ37" s="578"/>
      <c r="JIK37" s="578"/>
      <c r="JIL37" s="578"/>
      <c r="JIM37" s="578"/>
      <c r="JIN37" s="578"/>
      <c r="JIO37" s="578"/>
      <c r="JIP37" s="578"/>
      <c r="JIQ37" s="578"/>
      <c r="JIR37" s="578"/>
      <c r="JIS37" s="578"/>
      <c r="JIT37" s="578"/>
      <c r="JIU37" s="578"/>
      <c r="JIV37" s="578"/>
      <c r="JIW37" s="578"/>
      <c r="JIX37" s="578"/>
      <c r="JIY37" s="578"/>
      <c r="JIZ37" s="578"/>
      <c r="JJA37" s="578"/>
      <c r="JJB37" s="578"/>
      <c r="JJC37" s="578"/>
      <c r="JJD37" s="578"/>
      <c r="JJE37" s="578"/>
      <c r="JJF37" s="578"/>
      <c r="JJG37" s="578"/>
      <c r="JJH37" s="578"/>
      <c r="JJI37" s="578"/>
      <c r="JJJ37" s="578"/>
      <c r="JJK37" s="578"/>
      <c r="JJL37" s="578"/>
      <c r="JJM37" s="578"/>
      <c r="JJN37" s="578"/>
      <c r="JJO37" s="578"/>
      <c r="JJP37" s="578"/>
      <c r="JJQ37" s="578"/>
      <c r="JJR37" s="578"/>
      <c r="JJS37" s="578"/>
      <c r="JJT37" s="578"/>
      <c r="JJU37" s="578"/>
      <c r="JJV37" s="578"/>
      <c r="JJW37" s="578"/>
      <c r="JJX37" s="578"/>
      <c r="JJY37" s="578"/>
      <c r="JJZ37" s="578"/>
      <c r="JKA37" s="578"/>
      <c r="JKB37" s="578"/>
      <c r="JKC37" s="578"/>
      <c r="JKD37" s="578"/>
      <c r="JKE37" s="578"/>
      <c r="JKF37" s="578"/>
      <c r="JKG37" s="578"/>
      <c r="JKH37" s="578"/>
      <c r="JKI37" s="578"/>
      <c r="JKJ37" s="578"/>
      <c r="JKK37" s="578"/>
      <c r="JKL37" s="578"/>
      <c r="JKM37" s="578"/>
      <c r="JKN37" s="578"/>
      <c r="JKO37" s="578"/>
      <c r="JKP37" s="578"/>
      <c r="JKQ37" s="578"/>
      <c r="JKR37" s="578"/>
      <c r="JKS37" s="578"/>
      <c r="JKT37" s="578"/>
      <c r="JKU37" s="578"/>
      <c r="JKV37" s="578"/>
      <c r="JKW37" s="578"/>
      <c r="JKX37" s="578"/>
      <c r="JKY37" s="578"/>
      <c r="JKZ37" s="578"/>
      <c r="JLA37" s="578"/>
      <c r="JLB37" s="578"/>
      <c r="JLC37" s="578"/>
      <c r="JLD37" s="578"/>
      <c r="JLE37" s="578"/>
      <c r="JLF37" s="578"/>
      <c r="JLG37" s="578"/>
      <c r="JLH37" s="578"/>
      <c r="JLI37" s="578"/>
      <c r="JLJ37" s="578"/>
      <c r="JLK37" s="578"/>
      <c r="JLL37" s="578"/>
      <c r="JLM37" s="578"/>
      <c r="JLN37" s="578"/>
      <c r="JLO37" s="578"/>
      <c r="JLP37" s="578"/>
      <c r="JLQ37" s="578"/>
      <c r="JLR37" s="578"/>
      <c r="JLS37" s="578"/>
      <c r="JLT37" s="578"/>
      <c r="JLU37" s="578"/>
      <c r="JLV37" s="578"/>
      <c r="JLW37" s="578"/>
      <c r="JLX37" s="578"/>
      <c r="JLY37" s="578"/>
      <c r="JLZ37" s="578"/>
      <c r="JMA37" s="578"/>
      <c r="JMB37" s="578"/>
      <c r="JMC37" s="578"/>
      <c r="JMD37" s="578"/>
      <c r="JME37" s="578"/>
      <c r="JMF37" s="578"/>
      <c r="JMG37" s="578"/>
      <c r="JMH37" s="578"/>
      <c r="JMI37" s="578"/>
      <c r="JMJ37" s="578"/>
      <c r="JMK37" s="578"/>
      <c r="JML37" s="578"/>
      <c r="JMM37" s="578"/>
      <c r="JMN37" s="578"/>
      <c r="JMO37" s="578"/>
      <c r="JMP37" s="578"/>
      <c r="JMQ37" s="578"/>
      <c r="JMR37" s="578"/>
      <c r="JMS37" s="578"/>
      <c r="JMT37" s="578"/>
      <c r="JMU37" s="578"/>
      <c r="JMV37" s="578"/>
      <c r="JMW37" s="578"/>
      <c r="JMX37" s="578"/>
      <c r="JMY37" s="578"/>
      <c r="JMZ37" s="578"/>
      <c r="JNA37" s="578"/>
      <c r="JNB37" s="578"/>
      <c r="JNC37" s="578"/>
      <c r="JND37" s="578"/>
      <c r="JNE37" s="578"/>
      <c r="JNF37" s="578"/>
      <c r="JNG37" s="578"/>
      <c r="JNH37" s="578"/>
      <c r="JNI37" s="578"/>
      <c r="JNJ37" s="578"/>
      <c r="JNK37" s="578"/>
      <c r="JNL37" s="578"/>
      <c r="JNM37" s="578"/>
      <c r="JNN37" s="578"/>
      <c r="JNO37" s="578"/>
      <c r="JNP37" s="578"/>
      <c r="JNQ37" s="578"/>
      <c r="JNR37" s="578"/>
      <c r="JNS37" s="578"/>
      <c r="JNT37" s="578"/>
      <c r="JNU37" s="578"/>
      <c r="JNV37" s="578"/>
      <c r="JNW37" s="578"/>
      <c r="JNX37" s="578"/>
      <c r="JNY37" s="578"/>
      <c r="JNZ37" s="578"/>
      <c r="JOA37" s="578"/>
      <c r="JOB37" s="578"/>
      <c r="JOC37" s="578"/>
      <c r="JOD37" s="578"/>
      <c r="JOE37" s="578"/>
      <c r="JOF37" s="578"/>
      <c r="JOG37" s="578"/>
      <c r="JOH37" s="578"/>
      <c r="JOI37" s="578"/>
      <c r="JOJ37" s="578"/>
      <c r="JOK37" s="578"/>
      <c r="JOL37" s="578"/>
      <c r="JOM37" s="578"/>
      <c r="JON37" s="578"/>
      <c r="JOO37" s="578"/>
      <c r="JOP37" s="578"/>
      <c r="JOQ37" s="578"/>
      <c r="JOR37" s="578"/>
      <c r="JOS37" s="578"/>
      <c r="JOT37" s="578"/>
      <c r="JOU37" s="578"/>
      <c r="JOV37" s="578"/>
      <c r="JOW37" s="578"/>
      <c r="JOX37" s="578"/>
      <c r="JOY37" s="578"/>
      <c r="JOZ37" s="578"/>
      <c r="JPA37" s="578"/>
      <c r="JPB37" s="578"/>
      <c r="JPC37" s="578"/>
      <c r="JPD37" s="578"/>
      <c r="JPE37" s="578"/>
      <c r="JPF37" s="578"/>
      <c r="JPG37" s="578"/>
      <c r="JPH37" s="578"/>
      <c r="JPI37" s="578"/>
      <c r="JPJ37" s="578"/>
      <c r="JPK37" s="578"/>
      <c r="JPL37" s="578"/>
      <c r="JPM37" s="578"/>
      <c r="JPN37" s="578"/>
      <c r="JPO37" s="578"/>
      <c r="JPP37" s="578"/>
      <c r="JPQ37" s="578"/>
      <c r="JPR37" s="578"/>
      <c r="JPS37" s="578"/>
      <c r="JPT37" s="578"/>
      <c r="JPU37" s="578"/>
      <c r="JPV37" s="578"/>
      <c r="JPW37" s="578"/>
      <c r="JPX37" s="578"/>
      <c r="JPY37" s="578"/>
      <c r="JPZ37" s="578"/>
      <c r="JQA37" s="578"/>
      <c r="JQB37" s="578"/>
      <c r="JQC37" s="578"/>
      <c r="JQD37" s="578"/>
      <c r="JQE37" s="578"/>
      <c r="JQF37" s="578"/>
      <c r="JQG37" s="578"/>
      <c r="JQH37" s="578"/>
      <c r="JQI37" s="578"/>
      <c r="JQJ37" s="578"/>
      <c r="JQK37" s="578"/>
      <c r="JQL37" s="578"/>
      <c r="JQM37" s="578"/>
      <c r="JQN37" s="578"/>
      <c r="JQO37" s="578"/>
      <c r="JQP37" s="578"/>
      <c r="JQQ37" s="578"/>
      <c r="JQR37" s="578"/>
      <c r="JQS37" s="578"/>
      <c r="JQT37" s="578"/>
      <c r="JQU37" s="578"/>
      <c r="JQV37" s="578"/>
      <c r="JQW37" s="578"/>
      <c r="JQX37" s="578"/>
      <c r="JQY37" s="578"/>
      <c r="JQZ37" s="578"/>
      <c r="JRA37" s="578"/>
      <c r="JRB37" s="578"/>
      <c r="JRC37" s="578"/>
      <c r="JRD37" s="578"/>
      <c r="JRE37" s="578"/>
      <c r="JRF37" s="578"/>
      <c r="JRG37" s="578"/>
      <c r="JRH37" s="578"/>
      <c r="JRI37" s="578"/>
      <c r="JRJ37" s="578"/>
      <c r="JRK37" s="578"/>
      <c r="JRL37" s="578"/>
      <c r="JRM37" s="578"/>
      <c r="JRN37" s="578"/>
      <c r="JRO37" s="578"/>
      <c r="JRP37" s="578"/>
      <c r="JRQ37" s="578"/>
      <c r="JRR37" s="578"/>
      <c r="JRS37" s="578"/>
      <c r="JRT37" s="578"/>
      <c r="JRU37" s="578"/>
      <c r="JRV37" s="578"/>
      <c r="JRW37" s="578"/>
      <c r="JRX37" s="578"/>
      <c r="JRY37" s="578"/>
      <c r="JRZ37" s="578"/>
      <c r="JSA37" s="578"/>
      <c r="JSB37" s="578"/>
      <c r="JSC37" s="578"/>
      <c r="JSD37" s="578"/>
      <c r="JSE37" s="578"/>
      <c r="JSF37" s="578"/>
      <c r="JSG37" s="578"/>
      <c r="JSH37" s="578"/>
      <c r="JSI37" s="578"/>
      <c r="JSJ37" s="578"/>
      <c r="JSK37" s="578"/>
      <c r="JSL37" s="578"/>
      <c r="JSM37" s="578"/>
      <c r="JSN37" s="578"/>
      <c r="JSO37" s="578"/>
      <c r="JSP37" s="578"/>
      <c r="JSQ37" s="578"/>
      <c r="JSR37" s="578"/>
      <c r="JSS37" s="578"/>
      <c r="JST37" s="578"/>
      <c r="JSU37" s="578"/>
      <c r="JSV37" s="578"/>
      <c r="JSW37" s="578"/>
      <c r="JSX37" s="578"/>
      <c r="JSY37" s="578"/>
      <c r="JSZ37" s="578"/>
      <c r="JTA37" s="578"/>
      <c r="JTB37" s="578"/>
      <c r="JTC37" s="578"/>
      <c r="JTD37" s="578"/>
      <c r="JTE37" s="578"/>
      <c r="JTF37" s="578"/>
      <c r="JTG37" s="578"/>
      <c r="JTH37" s="578"/>
      <c r="JTI37" s="578"/>
      <c r="JTJ37" s="578"/>
      <c r="JTK37" s="578"/>
      <c r="JTL37" s="578"/>
      <c r="JTM37" s="578"/>
      <c r="JTN37" s="578"/>
      <c r="JTO37" s="578"/>
      <c r="JTP37" s="578"/>
      <c r="JTQ37" s="578"/>
      <c r="JTR37" s="578"/>
      <c r="JTS37" s="578"/>
      <c r="JTT37" s="578"/>
      <c r="JTU37" s="578"/>
      <c r="JTV37" s="578"/>
      <c r="JTW37" s="578"/>
      <c r="JTX37" s="578"/>
      <c r="JTY37" s="578"/>
      <c r="JTZ37" s="578"/>
      <c r="JUA37" s="578"/>
      <c r="JUB37" s="578"/>
      <c r="JUC37" s="578"/>
      <c r="JUD37" s="578"/>
      <c r="JUE37" s="578"/>
      <c r="JUF37" s="578"/>
      <c r="JUG37" s="578"/>
      <c r="JUH37" s="578"/>
      <c r="JUI37" s="578"/>
      <c r="JUJ37" s="578"/>
      <c r="JUK37" s="578"/>
      <c r="JUL37" s="578"/>
      <c r="JUM37" s="578"/>
      <c r="JUN37" s="578"/>
      <c r="JUO37" s="578"/>
      <c r="JUP37" s="578"/>
      <c r="JUQ37" s="578"/>
      <c r="JUR37" s="578"/>
      <c r="JUS37" s="578"/>
      <c r="JUT37" s="578"/>
      <c r="JUU37" s="578"/>
      <c r="JUV37" s="578"/>
      <c r="JUW37" s="578"/>
      <c r="JUX37" s="578"/>
      <c r="JUY37" s="578"/>
      <c r="JUZ37" s="578"/>
      <c r="JVA37" s="578"/>
      <c r="JVB37" s="578"/>
      <c r="JVC37" s="578"/>
      <c r="JVD37" s="578"/>
      <c r="JVE37" s="578"/>
      <c r="JVF37" s="578"/>
      <c r="JVG37" s="578"/>
      <c r="JVH37" s="578"/>
      <c r="JVI37" s="578"/>
      <c r="JVJ37" s="578"/>
      <c r="JVK37" s="578"/>
      <c r="JVL37" s="578"/>
      <c r="JVM37" s="578"/>
      <c r="JVN37" s="578"/>
      <c r="JVO37" s="578"/>
      <c r="JVP37" s="578"/>
      <c r="JVQ37" s="578"/>
      <c r="JVR37" s="578"/>
      <c r="JVS37" s="578"/>
      <c r="JVT37" s="578"/>
      <c r="JVU37" s="578"/>
      <c r="JVV37" s="578"/>
      <c r="JVW37" s="578"/>
      <c r="JVX37" s="578"/>
      <c r="JVY37" s="578"/>
      <c r="JVZ37" s="578"/>
      <c r="JWA37" s="578"/>
      <c r="JWB37" s="578"/>
      <c r="JWC37" s="578"/>
      <c r="JWD37" s="578"/>
      <c r="JWE37" s="578"/>
      <c r="JWF37" s="578"/>
      <c r="JWG37" s="578"/>
      <c r="JWH37" s="578"/>
      <c r="JWI37" s="578"/>
      <c r="JWJ37" s="578"/>
      <c r="JWK37" s="578"/>
      <c r="JWL37" s="578"/>
      <c r="JWM37" s="578"/>
      <c r="JWN37" s="578"/>
      <c r="JWO37" s="578"/>
      <c r="JWP37" s="578"/>
      <c r="JWQ37" s="578"/>
      <c r="JWR37" s="578"/>
      <c r="JWS37" s="578"/>
      <c r="JWT37" s="578"/>
      <c r="JWU37" s="578"/>
      <c r="JWV37" s="578"/>
      <c r="JWW37" s="578"/>
      <c r="JWX37" s="578"/>
      <c r="JWY37" s="578"/>
      <c r="JWZ37" s="578"/>
      <c r="JXA37" s="578"/>
      <c r="JXB37" s="578"/>
      <c r="JXC37" s="578"/>
      <c r="JXD37" s="578"/>
      <c r="JXE37" s="578"/>
      <c r="JXF37" s="578"/>
      <c r="JXG37" s="578"/>
      <c r="JXH37" s="578"/>
      <c r="JXI37" s="578"/>
      <c r="JXJ37" s="578"/>
      <c r="JXK37" s="578"/>
      <c r="JXL37" s="578"/>
      <c r="JXM37" s="578"/>
      <c r="JXN37" s="578"/>
      <c r="JXO37" s="578"/>
      <c r="JXP37" s="578"/>
      <c r="JXQ37" s="578"/>
      <c r="JXR37" s="578"/>
      <c r="JXS37" s="578"/>
      <c r="JXT37" s="578"/>
      <c r="JXU37" s="578"/>
      <c r="JXV37" s="578"/>
      <c r="JXW37" s="578"/>
      <c r="JXX37" s="578"/>
      <c r="JXY37" s="578"/>
      <c r="JXZ37" s="578"/>
      <c r="JYA37" s="578"/>
      <c r="JYB37" s="578"/>
      <c r="JYC37" s="578"/>
      <c r="JYD37" s="578"/>
      <c r="JYE37" s="578"/>
      <c r="JYF37" s="578"/>
      <c r="JYG37" s="578"/>
      <c r="JYH37" s="578"/>
      <c r="JYI37" s="578"/>
      <c r="JYJ37" s="578"/>
      <c r="JYK37" s="578"/>
      <c r="JYL37" s="578"/>
      <c r="JYM37" s="578"/>
      <c r="JYN37" s="578"/>
      <c r="JYO37" s="578"/>
      <c r="JYP37" s="578"/>
      <c r="JYQ37" s="578"/>
      <c r="JYR37" s="578"/>
      <c r="JYS37" s="578"/>
      <c r="JYT37" s="578"/>
      <c r="JYU37" s="578"/>
      <c r="JYV37" s="578"/>
      <c r="JYW37" s="578"/>
      <c r="JYX37" s="578"/>
      <c r="JYY37" s="578"/>
      <c r="JYZ37" s="578"/>
      <c r="JZA37" s="578"/>
      <c r="JZB37" s="578"/>
      <c r="JZC37" s="578"/>
      <c r="JZD37" s="578"/>
      <c r="JZE37" s="578"/>
      <c r="JZF37" s="578"/>
      <c r="JZG37" s="578"/>
      <c r="JZH37" s="578"/>
      <c r="JZI37" s="578"/>
      <c r="JZJ37" s="578"/>
      <c r="JZK37" s="578"/>
      <c r="JZL37" s="578"/>
      <c r="JZM37" s="578"/>
      <c r="JZN37" s="578"/>
      <c r="JZO37" s="578"/>
      <c r="JZP37" s="578"/>
      <c r="JZQ37" s="578"/>
      <c r="JZR37" s="578"/>
      <c r="JZS37" s="578"/>
      <c r="JZT37" s="578"/>
      <c r="JZU37" s="578"/>
      <c r="JZV37" s="578"/>
      <c r="JZW37" s="578"/>
      <c r="JZX37" s="578"/>
      <c r="JZY37" s="578"/>
      <c r="JZZ37" s="578"/>
      <c r="KAA37" s="578"/>
      <c r="KAB37" s="578"/>
      <c r="KAC37" s="578"/>
      <c r="KAD37" s="578"/>
      <c r="KAE37" s="578"/>
      <c r="KAF37" s="578"/>
      <c r="KAG37" s="578"/>
      <c r="KAH37" s="578"/>
      <c r="KAI37" s="578"/>
      <c r="KAJ37" s="578"/>
      <c r="KAK37" s="578"/>
      <c r="KAL37" s="578"/>
      <c r="KAM37" s="578"/>
      <c r="KAN37" s="578"/>
      <c r="KAO37" s="578"/>
      <c r="KAP37" s="578"/>
      <c r="KAQ37" s="578"/>
      <c r="KAR37" s="578"/>
      <c r="KAS37" s="578"/>
      <c r="KAT37" s="578"/>
      <c r="KAU37" s="578"/>
      <c r="KAV37" s="578"/>
      <c r="KAW37" s="578"/>
      <c r="KAX37" s="578"/>
      <c r="KAY37" s="578"/>
      <c r="KAZ37" s="578"/>
      <c r="KBA37" s="578"/>
      <c r="KBB37" s="578"/>
      <c r="KBC37" s="578"/>
      <c r="KBD37" s="578"/>
      <c r="KBE37" s="578"/>
      <c r="KBF37" s="578"/>
      <c r="KBG37" s="578"/>
      <c r="KBH37" s="578"/>
      <c r="KBI37" s="578"/>
      <c r="KBJ37" s="578"/>
      <c r="KBK37" s="578"/>
      <c r="KBL37" s="578"/>
      <c r="KBM37" s="578"/>
      <c r="KBN37" s="578"/>
      <c r="KBO37" s="578"/>
      <c r="KBP37" s="578"/>
      <c r="KBQ37" s="578"/>
      <c r="KBR37" s="578"/>
      <c r="KBS37" s="578"/>
      <c r="KBT37" s="578"/>
      <c r="KBU37" s="578"/>
      <c r="KBV37" s="578"/>
      <c r="KBW37" s="578"/>
      <c r="KBX37" s="578"/>
      <c r="KBY37" s="578"/>
      <c r="KBZ37" s="578"/>
      <c r="KCA37" s="578"/>
      <c r="KCB37" s="578"/>
      <c r="KCC37" s="578"/>
      <c r="KCD37" s="578"/>
      <c r="KCE37" s="578"/>
      <c r="KCF37" s="578"/>
      <c r="KCG37" s="578"/>
      <c r="KCH37" s="578"/>
      <c r="KCI37" s="578"/>
      <c r="KCJ37" s="578"/>
      <c r="KCK37" s="578"/>
      <c r="KCL37" s="578"/>
      <c r="KCM37" s="578"/>
      <c r="KCN37" s="578"/>
      <c r="KCO37" s="578"/>
      <c r="KCP37" s="578"/>
      <c r="KCQ37" s="578"/>
      <c r="KCR37" s="578"/>
      <c r="KCS37" s="578"/>
      <c r="KCT37" s="578"/>
      <c r="KCU37" s="578"/>
      <c r="KCV37" s="578"/>
      <c r="KCW37" s="578"/>
      <c r="KCX37" s="578"/>
      <c r="KCY37" s="578"/>
      <c r="KCZ37" s="578"/>
      <c r="KDA37" s="578"/>
      <c r="KDB37" s="578"/>
      <c r="KDC37" s="578"/>
      <c r="KDD37" s="578"/>
      <c r="KDE37" s="578"/>
      <c r="KDF37" s="578"/>
      <c r="KDG37" s="578"/>
      <c r="KDH37" s="578"/>
      <c r="KDI37" s="578"/>
      <c r="KDJ37" s="578"/>
      <c r="KDK37" s="578"/>
      <c r="KDL37" s="578"/>
      <c r="KDM37" s="578"/>
      <c r="KDN37" s="578"/>
      <c r="KDO37" s="578"/>
      <c r="KDP37" s="578"/>
      <c r="KDQ37" s="578"/>
      <c r="KDR37" s="578"/>
      <c r="KDS37" s="578"/>
      <c r="KDT37" s="578"/>
      <c r="KDU37" s="578"/>
      <c r="KDV37" s="578"/>
      <c r="KDW37" s="578"/>
      <c r="KDX37" s="578"/>
      <c r="KDY37" s="578"/>
      <c r="KDZ37" s="578"/>
      <c r="KEA37" s="578"/>
      <c r="KEB37" s="578"/>
      <c r="KEC37" s="578"/>
      <c r="KED37" s="578"/>
      <c r="KEE37" s="578"/>
      <c r="KEF37" s="578"/>
      <c r="KEG37" s="578"/>
      <c r="KEH37" s="578"/>
      <c r="KEI37" s="578"/>
      <c r="KEJ37" s="578"/>
      <c r="KEK37" s="578"/>
      <c r="KEL37" s="578"/>
      <c r="KEM37" s="578"/>
      <c r="KEN37" s="578"/>
      <c r="KEO37" s="578"/>
      <c r="KEP37" s="578"/>
      <c r="KEQ37" s="578"/>
      <c r="KER37" s="578"/>
      <c r="KES37" s="578"/>
      <c r="KET37" s="578"/>
      <c r="KEU37" s="578"/>
      <c r="KEV37" s="578"/>
      <c r="KEW37" s="578"/>
      <c r="KEX37" s="578"/>
      <c r="KEY37" s="578"/>
      <c r="KEZ37" s="578"/>
      <c r="KFA37" s="578"/>
      <c r="KFB37" s="578"/>
      <c r="KFC37" s="578"/>
      <c r="KFD37" s="578"/>
      <c r="KFE37" s="578"/>
      <c r="KFF37" s="578"/>
      <c r="KFG37" s="578"/>
      <c r="KFH37" s="578"/>
      <c r="KFI37" s="578"/>
      <c r="KFJ37" s="578"/>
      <c r="KFK37" s="578"/>
      <c r="KFL37" s="578"/>
      <c r="KFM37" s="578"/>
      <c r="KFN37" s="578"/>
      <c r="KFO37" s="578"/>
      <c r="KFP37" s="578"/>
      <c r="KFQ37" s="578"/>
      <c r="KFR37" s="578"/>
      <c r="KFS37" s="578"/>
      <c r="KFT37" s="578"/>
      <c r="KFU37" s="578"/>
      <c r="KFV37" s="578"/>
      <c r="KFW37" s="578"/>
      <c r="KFX37" s="578"/>
      <c r="KFY37" s="578"/>
      <c r="KFZ37" s="578"/>
      <c r="KGA37" s="578"/>
      <c r="KGB37" s="578"/>
      <c r="KGC37" s="578"/>
      <c r="KGD37" s="578"/>
      <c r="KGE37" s="578"/>
      <c r="KGF37" s="578"/>
      <c r="KGG37" s="578"/>
      <c r="KGH37" s="578"/>
      <c r="KGI37" s="578"/>
      <c r="KGJ37" s="578"/>
      <c r="KGK37" s="578"/>
      <c r="KGL37" s="578"/>
      <c r="KGM37" s="578"/>
      <c r="KGN37" s="578"/>
      <c r="KGO37" s="578"/>
      <c r="KGP37" s="578"/>
      <c r="KGQ37" s="578"/>
      <c r="KGR37" s="578"/>
      <c r="KGS37" s="578"/>
      <c r="KGT37" s="578"/>
      <c r="KGU37" s="578"/>
      <c r="KGV37" s="578"/>
      <c r="KGW37" s="578"/>
      <c r="KGX37" s="578"/>
      <c r="KGY37" s="578"/>
      <c r="KGZ37" s="578"/>
      <c r="KHA37" s="578"/>
      <c r="KHB37" s="578"/>
      <c r="KHC37" s="578"/>
      <c r="KHD37" s="578"/>
      <c r="KHE37" s="578"/>
      <c r="KHF37" s="578"/>
      <c r="KHG37" s="578"/>
      <c r="KHH37" s="578"/>
      <c r="KHI37" s="578"/>
      <c r="KHJ37" s="578"/>
      <c r="KHK37" s="578"/>
      <c r="KHL37" s="578"/>
      <c r="KHM37" s="578"/>
      <c r="KHN37" s="578"/>
      <c r="KHO37" s="578"/>
      <c r="KHP37" s="578"/>
      <c r="KHQ37" s="578"/>
      <c r="KHR37" s="578"/>
      <c r="KHS37" s="578"/>
      <c r="KHT37" s="578"/>
      <c r="KHU37" s="578"/>
      <c r="KHV37" s="578"/>
      <c r="KHW37" s="578"/>
      <c r="KHX37" s="578"/>
      <c r="KHY37" s="578"/>
      <c r="KHZ37" s="578"/>
      <c r="KIA37" s="578"/>
      <c r="KIB37" s="578"/>
      <c r="KIC37" s="578"/>
      <c r="KID37" s="578"/>
      <c r="KIE37" s="578"/>
      <c r="KIF37" s="578"/>
      <c r="KIG37" s="578"/>
      <c r="KIH37" s="578"/>
      <c r="KII37" s="578"/>
      <c r="KIJ37" s="578"/>
      <c r="KIK37" s="578"/>
      <c r="KIL37" s="578"/>
      <c r="KIM37" s="578"/>
      <c r="KIN37" s="578"/>
      <c r="KIO37" s="578"/>
      <c r="KIP37" s="578"/>
      <c r="KIQ37" s="578"/>
      <c r="KIR37" s="578"/>
      <c r="KIS37" s="578"/>
      <c r="KIT37" s="578"/>
      <c r="KIU37" s="578"/>
      <c r="KIV37" s="578"/>
      <c r="KIW37" s="578"/>
      <c r="KIX37" s="578"/>
      <c r="KIY37" s="578"/>
      <c r="KIZ37" s="578"/>
      <c r="KJA37" s="578"/>
      <c r="KJB37" s="578"/>
      <c r="KJC37" s="578"/>
      <c r="KJD37" s="578"/>
      <c r="KJE37" s="578"/>
      <c r="KJF37" s="578"/>
      <c r="KJG37" s="578"/>
      <c r="KJH37" s="578"/>
      <c r="KJI37" s="578"/>
      <c r="KJJ37" s="578"/>
      <c r="KJK37" s="578"/>
      <c r="KJL37" s="578"/>
      <c r="KJM37" s="578"/>
      <c r="KJN37" s="578"/>
      <c r="KJO37" s="578"/>
      <c r="KJP37" s="578"/>
      <c r="KJQ37" s="578"/>
      <c r="KJR37" s="578"/>
      <c r="KJS37" s="578"/>
      <c r="KJT37" s="578"/>
      <c r="KJU37" s="578"/>
      <c r="KJV37" s="578"/>
      <c r="KJW37" s="578"/>
      <c r="KJX37" s="578"/>
      <c r="KJY37" s="578"/>
      <c r="KJZ37" s="578"/>
      <c r="KKA37" s="578"/>
      <c r="KKB37" s="578"/>
      <c r="KKC37" s="578"/>
      <c r="KKD37" s="578"/>
      <c r="KKE37" s="578"/>
      <c r="KKF37" s="578"/>
      <c r="KKG37" s="578"/>
      <c r="KKH37" s="578"/>
      <c r="KKI37" s="578"/>
      <c r="KKJ37" s="578"/>
      <c r="KKK37" s="578"/>
      <c r="KKL37" s="578"/>
      <c r="KKM37" s="578"/>
      <c r="KKN37" s="578"/>
      <c r="KKO37" s="578"/>
      <c r="KKP37" s="578"/>
      <c r="KKQ37" s="578"/>
      <c r="KKR37" s="578"/>
      <c r="KKS37" s="578"/>
      <c r="KKT37" s="578"/>
      <c r="KKU37" s="578"/>
      <c r="KKV37" s="578"/>
      <c r="KKW37" s="578"/>
      <c r="KKX37" s="578"/>
      <c r="KKY37" s="578"/>
      <c r="KKZ37" s="578"/>
      <c r="KLA37" s="578"/>
      <c r="KLB37" s="578"/>
      <c r="KLC37" s="578"/>
      <c r="KLD37" s="578"/>
      <c r="KLE37" s="578"/>
      <c r="KLF37" s="578"/>
      <c r="KLG37" s="578"/>
      <c r="KLH37" s="578"/>
      <c r="KLI37" s="578"/>
      <c r="KLJ37" s="578"/>
      <c r="KLK37" s="578"/>
      <c r="KLL37" s="578"/>
      <c r="KLM37" s="578"/>
      <c r="KLN37" s="578"/>
      <c r="KLO37" s="578"/>
      <c r="KLP37" s="578"/>
      <c r="KLQ37" s="578"/>
      <c r="KLR37" s="578"/>
      <c r="KLS37" s="578"/>
      <c r="KLT37" s="578"/>
      <c r="KLU37" s="578"/>
      <c r="KLV37" s="578"/>
      <c r="KLW37" s="578"/>
      <c r="KLX37" s="578"/>
      <c r="KLY37" s="578"/>
      <c r="KLZ37" s="578"/>
      <c r="KMA37" s="578"/>
      <c r="KMB37" s="578"/>
      <c r="KMC37" s="578"/>
      <c r="KMD37" s="578"/>
      <c r="KME37" s="578"/>
      <c r="KMF37" s="578"/>
      <c r="KMG37" s="578"/>
      <c r="KMH37" s="578"/>
      <c r="KMI37" s="578"/>
      <c r="KMJ37" s="578"/>
      <c r="KMK37" s="578"/>
      <c r="KML37" s="578"/>
      <c r="KMM37" s="578"/>
      <c r="KMN37" s="578"/>
      <c r="KMO37" s="578"/>
      <c r="KMP37" s="578"/>
      <c r="KMQ37" s="578"/>
      <c r="KMR37" s="578"/>
      <c r="KMS37" s="578"/>
      <c r="KMT37" s="578"/>
      <c r="KMU37" s="578"/>
      <c r="KMV37" s="578"/>
      <c r="KMW37" s="578"/>
      <c r="KMX37" s="578"/>
      <c r="KMY37" s="578"/>
      <c r="KMZ37" s="578"/>
      <c r="KNA37" s="578"/>
      <c r="KNB37" s="578"/>
      <c r="KNC37" s="578"/>
      <c r="KND37" s="578"/>
      <c r="KNE37" s="578"/>
      <c r="KNF37" s="578"/>
      <c r="KNG37" s="578"/>
      <c r="KNH37" s="578"/>
      <c r="KNI37" s="578"/>
      <c r="KNJ37" s="578"/>
      <c r="KNK37" s="578"/>
      <c r="KNL37" s="578"/>
      <c r="KNM37" s="578"/>
      <c r="KNN37" s="578"/>
      <c r="KNO37" s="578"/>
      <c r="KNP37" s="578"/>
      <c r="KNQ37" s="578"/>
      <c r="KNR37" s="578"/>
      <c r="KNS37" s="578"/>
      <c r="KNT37" s="578"/>
      <c r="KNU37" s="578"/>
      <c r="KNV37" s="578"/>
      <c r="KNW37" s="578"/>
      <c r="KNX37" s="578"/>
      <c r="KNY37" s="578"/>
      <c r="KNZ37" s="578"/>
      <c r="KOA37" s="578"/>
      <c r="KOB37" s="578"/>
      <c r="KOC37" s="578"/>
      <c r="KOD37" s="578"/>
      <c r="KOE37" s="578"/>
      <c r="KOF37" s="578"/>
      <c r="KOG37" s="578"/>
      <c r="KOH37" s="578"/>
      <c r="KOI37" s="578"/>
      <c r="KOJ37" s="578"/>
      <c r="KOK37" s="578"/>
      <c r="KOL37" s="578"/>
      <c r="KOM37" s="578"/>
      <c r="KON37" s="578"/>
      <c r="KOO37" s="578"/>
      <c r="KOP37" s="578"/>
      <c r="KOQ37" s="578"/>
      <c r="KOR37" s="578"/>
      <c r="KOS37" s="578"/>
      <c r="KOT37" s="578"/>
      <c r="KOU37" s="578"/>
      <c r="KOV37" s="578"/>
      <c r="KOW37" s="578"/>
      <c r="KOX37" s="578"/>
      <c r="KOY37" s="578"/>
      <c r="KOZ37" s="578"/>
      <c r="KPA37" s="578"/>
      <c r="KPB37" s="578"/>
      <c r="KPC37" s="578"/>
      <c r="KPD37" s="578"/>
      <c r="KPE37" s="578"/>
      <c r="KPF37" s="578"/>
      <c r="KPG37" s="578"/>
      <c r="KPH37" s="578"/>
      <c r="KPI37" s="578"/>
      <c r="KPJ37" s="578"/>
      <c r="KPK37" s="578"/>
      <c r="KPL37" s="578"/>
      <c r="KPM37" s="578"/>
      <c r="KPN37" s="578"/>
      <c r="KPO37" s="578"/>
      <c r="KPP37" s="578"/>
      <c r="KPQ37" s="578"/>
      <c r="KPR37" s="578"/>
      <c r="KPS37" s="578"/>
      <c r="KPT37" s="578"/>
      <c r="KPU37" s="578"/>
      <c r="KPV37" s="578"/>
      <c r="KPW37" s="578"/>
      <c r="KPX37" s="578"/>
      <c r="KPY37" s="578"/>
      <c r="KPZ37" s="578"/>
      <c r="KQA37" s="578"/>
      <c r="KQB37" s="578"/>
      <c r="KQC37" s="578"/>
      <c r="KQD37" s="578"/>
      <c r="KQE37" s="578"/>
      <c r="KQF37" s="578"/>
      <c r="KQG37" s="578"/>
      <c r="KQH37" s="578"/>
      <c r="KQI37" s="578"/>
      <c r="KQJ37" s="578"/>
      <c r="KQK37" s="578"/>
      <c r="KQL37" s="578"/>
      <c r="KQM37" s="578"/>
      <c r="KQN37" s="578"/>
      <c r="KQO37" s="578"/>
      <c r="KQP37" s="578"/>
      <c r="KQQ37" s="578"/>
      <c r="KQR37" s="578"/>
      <c r="KQS37" s="578"/>
      <c r="KQT37" s="578"/>
      <c r="KQU37" s="578"/>
      <c r="KQV37" s="578"/>
      <c r="KQW37" s="578"/>
      <c r="KQX37" s="578"/>
      <c r="KQY37" s="578"/>
      <c r="KQZ37" s="578"/>
      <c r="KRA37" s="578"/>
      <c r="KRB37" s="578"/>
      <c r="KRC37" s="578"/>
      <c r="KRD37" s="578"/>
      <c r="KRE37" s="578"/>
      <c r="KRF37" s="578"/>
      <c r="KRG37" s="578"/>
      <c r="KRH37" s="578"/>
      <c r="KRI37" s="578"/>
      <c r="KRJ37" s="578"/>
      <c r="KRK37" s="578"/>
      <c r="KRL37" s="578"/>
      <c r="KRM37" s="578"/>
      <c r="KRN37" s="578"/>
      <c r="KRO37" s="578"/>
      <c r="KRP37" s="578"/>
      <c r="KRQ37" s="578"/>
      <c r="KRR37" s="578"/>
      <c r="KRS37" s="578"/>
      <c r="KRT37" s="578"/>
      <c r="KRU37" s="578"/>
      <c r="KRV37" s="578"/>
      <c r="KRW37" s="578"/>
      <c r="KRX37" s="578"/>
      <c r="KRY37" s="578"/>
      <c r="KRZ37" s="578"/>
      <c r="KSA37" s="578"/>
      <c r="KSB37" s="578"/>
      <c r="KSC37" s="578"/>
      <c r="KSD37" s="578"/>
      <c r="KSE37" s="578"/>
      <c r="KSF37" s="578"/>
      <c r="KSG37" s="578"/>
      <c r="KSH37" s="578"/>
      <c r="KSI37" s="578"/>
      <c r="KSJ37" s="578"/>
      <c r="KSK37" s="578"/>
      <c r="KSL37" s="578"/>
      <c r="KSM37" s="578"/>
      <c r="KSN37" s="578"/>
      <c r="KSO37" s="578"/>
      <c r="KSP37" s="578"/>
      <c r="KSQ37" s="578"/>
      <c r="KSR37" s="578"/>
      <c r="KSS37" s="578"/>
      <c r="KST37" s="578"/>
      <c r="KSU37" s="578"/>
      <c r="KSV37" s="578"/>
      <c r="KSW37" s="578"/>
      <c r="KSX37" s="578"/>
      <c r="KSY37" s="578"/>
      <c r="KSZ37" s="578"/>
      <c r="KTA37" s="578"/>
      <c r="KTB37" s="578"/>
      <c r="KTC37" s="578"/>
      <c r="KTD37" s="578"/>
      <c r="KTE37" s="578"/>
      <c r="KTF37" s="578"/>
      <c r="KTG37" s="578"/>
      <c r="KTH37" s="578"/>
      <c r="KTI37" s="578"/>
      <c r="KTJ37" s="578"/>
      <c r="KTK37" s="578"/>
      <c r="KTL37" s="578"/>
      <c r="KTM37" s="578"/>
      <c r="KTN37" s="578"/>
      <c r="KTO37" s="578"/>
      <c r="KTP37" s="578"/>
      <c r="KTQ37" s="578"/>
      <c r="KTR37" s="578"/>
      <c r="KTS37" s="578"/>
      <c r="KTT37" s="578"/>
      <c r="KTU37" s="578"/>
      <c r="KTV37" s="578"/>
      <c r="KTW37" s="578"/>
      <c r="KTX37" s="578"/>
      <c r="KTY37" s="578"/>
      <c r="KTZ37" s="578"/>
      <c r="KUA37" s="578"/>
      <c r="KUB37" s="578"/>
      <c r="KUC37" s="578"/>
      <c r="KUD37" s="578"/>
      <c r="KUE37" s="578"/>
      <c r="KUF37" s="578"/>
      <c r="KUG37" s="578"/>
      <c r="KUH37" s="578"/>
      <c r="KUI37" s="578"/>
      <c r="KUJ37" s="578"/>
      <c r="KUK37" s="578"/>
      <c r="KUL37" s="578"/>
      <c r="KUM37" s="578"/>
      <c r="KUN37" s="578"/>
      <c r="KUO37" s="578"/>
      <c r="KUP37" s="578"/>
      <c r="KUQ37" s="578"/>
      <c r="KUR37" s="578"/>
      <c r="KUS37" s="578"/>
      <c r="KUT37" s="578"/>
      <c r="KUU37" s="578"/>
      <c r="KUV37" s="578"/>
      <c r="KUW37" s="578"/>
      <c r="KUX37" s="578"/>
      <c r="KUY37" s="578"/>
      <c r="KUZ37" s="578"/>
      <c r="KVA37" s="578"/>
      <c r="KVB37" s="578"/>
      <c r="KVC37" s="578"/>
      <c r="KVD37" s="578"/>
      <c r="KVE37" s="578"/>
      <c r="KVF37" s="578"/>
      <c r="KVG37" s="578"/>
      <c r="KVH37" s="578"/>
      <c r="KVI37" s="578"/>
      <c r="KVJ37" s="578"/>
      <c r="KVK37" s="578"/>
      <c r="KVL37" s="578"/>
      <c r="KVM37" s="578"/>
      <c r="KVN37" s="578"/>
      <c r="KVO37" s="578"/>
      <c r="KVP37" s="578"/>
      <c r="KVQ37" s="578"/>
      <c r="KVR37" s="578"/>
      <c r="KVS37" s="578"/>
      <c r="KVT37" s="578"/>
      <c r="KVU37" s="578"/>
      <c r="KVV37" s="578"/>
      <c r="KVW37" s="578"/>
      <c r="KVX37" s="578"/>
      <c r="KVY37" s="578"/>
      <c r="KVZ37" s="578"/>
      <c r="KWA37" s="578"/>
      <c r="KWB37" s="578"/>
      <c r="KWC37" s="578"/>
      <c r="KWD37" s="578"/>
      <c r="KWE37" s="578"/>
      <c r="KWF37" s="578"/>
      <c r="KWG37" s="578"/>
      <c r="KWH37" s="578"/>
      <c r="KWI37" s="578"/>
      <c r="KWJ37" s="578"/>
      <c r="KWK37" s="578"/>
      <c r="KWL37" s="578"/>
      <c r="KWM37" s="578"/>
      <c r="KWN37" s="578"/>
      <c r="KWO37" s="578"/>
      <c r="KWP37" s="578"/>
      <c r="KWQ37" s="578"/>
      <c r="KWR37" s="578"/>
      <c r="KWS37" s="578"/>
      <c r="KWT37" s="578"/>
      <c r="KWU37" s="578"/>
      <c r="KWV37" s="578"/>
      <c r="KWW37" s="578"/>
      <c r="KWX37" s="578"/>
      <c r="KWY37" s="578"/>
      <c r="KWZ37" s="578"/>
      <c r="KXA37" s="578"/>
      <c r="KXB37" s="578"/>
      <c r="KXC37" s="578"/>
      <c r="KXD37" s="578"/>
      <c r="KXE37" s="578"/>
      <c r="KXF37" s="578"/>
      <c r="KXG37" s="578"/>
      <c r="KXH37" s="578"/>
      <c r="KXI37" s="578"/>
      <c r="KXJ37" s="578"/>
      <c r="KXK37" s="578"/>
      <c r="KXL37" s="578"/>
      <c r="KXM37" s="578"/>
      <c r="KXN37" s="578"/>
      <c r="KXO37" s="578"/>
      <c r="KXP37" s="578"/>
      <c r="KXQ37" s="578"/>
      <c r="KXR37" s="578"/>
      <c r="KXS37" s="578"/>
      <c r="KXT37" s="578"/>
      <c r="KXU37" s="578"/>
      <c r="KXV37" s="578"/>
      <c r="KXW37" s="578"/>
      <c r="KXX37" s="578"/>
      <c r="KXY37" s="578"/>
      <c r="KXZ37" s="578"/>
      <c r="KYA37" s="578"/>
      <c r="KYB37" s="578"/>
      <c r="KYC37" s="578"/>
      <c r="KYD37" s="578"/>
      <c r="KYE37" s="578"/>
      <c r="KYF37" s="578"/>
      <c r="KYG37" s="578"/>
      <c r="KYH37" s="578"/>
      <c r="KYI37" s="578"/>
      <c r="KYJ37" s="578"/>
      <c r="KYK37" s="578"/>
      <c r="KYL37" s="578"/>
      <c r="KYM37" s="578"/>
      <c r="KYN37" s="578"/>
      <c r="KYO37" s="578"/>
      <c r="KYP37" s="578"/>
      <c r="KYQ37" s="578"/>
      <c r="KYR37" s="578"/>
      <c r="KYS37" s="578"/>
      <c r="KYT37" s="578"/>
      <c r="KYU37" s="578"/>
      <c r="KYV37" s="578"/>
      <c r="KYW37" s="578"/>
      <c r="KYX37" s="578"/>
      <c r="KYY37" s="578"/>
      <c r="KYZ37" s="578"/>
      <c r="KZA37" s="578"/>
      <c r="KZB37" s="578"/>
      <c r="KZC37" s="578"/>
      <c r="KZD37" s="578"/>
      <c r="KZE37" s="578"/>
      <c r="KZF37" s="578"/>
      <c r="KZG37" s="578"/>
      <c r="KZH37" s="578"/>
      <c r="KZI37" s="578"/>
      <c r="KZJ37" s="578"/>
      <c r="KZK37" s="578"/>
      <c r="KZL37" s="578"/>
      <c r="KZM37" s="578"/>
      <c r="KZN37" s="578"/>
      <c r="KZO37" s="578"/>
      <c r="KZP37" s="578"/>
      <c r="KZQ37" s="578"/>
      <c r="KZR37" s="578"/>
      <c r="KZS37" s="578"/>
      <c r="KZT37" s="578"/>
      <c r="KZU37" s="578"/>
      <c r="KZV37" s="578"/>
      <c r="KZW37" s="578"/>
      <c r="KZX37" s="578"/>
      <c r="KZY37" s="578"/>
      <c r="KZZ37" s="578"/>
      <c r="LAA37" s="578"/>
      <c r="LAB37" s="578"/>
      <c r="LAC37" s="578"/>
      <c r="LAD37" s="578"/>
      <c r="LAE37" s="578"/>
      <c r="LAF37" s="578"/>
      <c r="LAG37" s="578"/>
      <c r="LAH37" s="578"/>
      <c r="LAI37" s="578"/>
      <c r="LAJ37" s="578"/>
      <c r="LAK37" s="578"/>
      <c r="LAL37" s="578"/>
      <c r="LAM37" s="578"/>
      <c r="LAN37" s="578"/>
      <c r="LAO37" s="578"/>
      <c r="LAP37" s="578"/>
      <c r="LAQ37" s="578"/>
      <c r="LAR37" s="578"/>
      <c r="LAS37" s="578"/>
      <c r="LAT37" s="578"/>
      <c r="LAU37" s="578"/>
      <c r="LAV37" s="578"/>
      <c r="LAW37" s="578"/>
      <c r="LAX37" s="578"/>
      <c r="LAY37" s="578"/>
      <c r="LAZ37" s="578"/>
      <c r="LBA37" s="578"/>
      <c r="LBB37" s="578"/>
      <c r="LBC37" s="578"/>
      <c r="LBD37" s="578"/>
      <c r="LBE37" s="578"/>
      <c r="LBF37" s="578"/>
      <c r="LBG37" s="578"/>
      <c r="LBH37" s="578"/>
      <c r="LBI37" s="578"/>
      <c r="LBJ37" s="578"/>
      <c r="LBK37" s="578"/>
      <c r="LBL37" s="578"/>
      <c r="LBM37" s="578"/>
      <c r="LBN37" s="578"/>
      <c r="LBO37" s="578"/>
      <c r="LBP37" s="578"/>
      <c r="LBQ37" s="578"/>
      <c r="LBR37" s="578"/>
      <c r="LBS37" s="578"/>
      <c r="LBT37" s="578"/>
      <c r="LBU37" s="578"/>
      <c r="LBV37" s="578"/>
      <c r="LBW37" s="578"/>
      <c r="LBX37" s="578"/>
      <c r="LBY37" s="578"/>
      <c r="LBZ37" s="578"/>
      <c r="LCA37" s="578"/>
      <c r="LCB37" s="578"/>
      <c r="LCC37" s="578"/>
      <c r="LCD37" s="578"/>
      <c r="LCE37" s="578"/>
      <c r="LCF37" s="578"/>
      <c r="LCG37" s="578"/>
      <c r="LCH37" s="578"/>
      <c r="LCI37" s="578"/>
      <c r="LCJ37" s="578"/>
      <c r="LCK37" s="578"/>
      <c r="LCL37" s="578"/>
      <c r="LCM37" s="578"/>
      <c r="LCN37" s="578"/>
      <c r="LCO37" s="578"/>
      <c r="LCP37" s="578"/>
      <c r="LCQ37" s="578"/>
      <c r="LCR37" s="578"/>
      <c r="LCS37" s="578"/>
      <c r="LCT37" s="578"/>
      <c r="LCU37" s="578"/>
      <c r="LCV37" s="578"/>
      <c r="LCW37" s="578"/>
      <c r="LCX37" s="578"/>
      <c r="LCY37" s="578"/>
      <c r="LCZ37" s="578"/>
      <c r="LDA37" s="578"/>
      <c r="LDB37" s="578"/>
      <c r="LDC37" s="578"/>
      <c r="LDD37" s="578"/>
      <c r="LDE37" s="578"/>
      <c r="LDF37" s="578"/>
      <c r="LDG37" s="578"/>
      <c r="LDH37" s="578"/>
      <c r="LDI37" s="578"/>
      <c r="LDJ37" s="578"/>
      <c r="LDK37" s="578"/>
      <c r="LDL37" s="578"/>
      <c r="LDM37" s="578"/>
      <c r="LDN37" s="578"/>
      <c r="LDO37" s="578"/>
      <c r="LDP37" s="578"/>
      <c r="LDQ37" s="578"/>
      <c r="LDR37" s="578"/>
      <c r="LDS37" s="578"/>
      <c r="LDT37" s="578"/>
      <c r="LDU37" s="578"/>
      <c r="LDV37" s="578"/>
      <c r="LDW37" s="578"/>
      <c r="LDX37" s="578"/>
      <c r="LDY37" s="578"/>
      <c r="LDZ37" s="578"/>
      <c r="LEA37" s="578"/>
      <c r="LEB37" s="578"/>
      <c r="LEC37" s="578"/>
      <c r="LED37" s="578"/>
      <c r="LEE37" s="578"/>
      <c r="LEF37" s="578"/>
      <c r="LEG37" s="578"/>
      <c r="LEH37" s="578"/>
      <c r="LEI37" s="578"/>
      <c r="LEJ37" s="578"/>
      <c r="LEK37" s="578"/>
      <c r="LEL37" s="578"/>
      <c r="LEM37" s="578"/>
      <c r="LEN37" s="578"/>
      <c r="LEO37" s="578"/>
      <c r="LEP37" s="578"/>
      <c r="LEQ37" s="578"/>
      <c r="LER37" s="578"/>
      <c r="LES37" s="578"/>
      <c r="LET37" s="578"/>
      <c r="LEU37" s="578"/>
      <c r="LEV37" s="578"/>
      <c r="LEW37" s="578"/>
      <c r="LEX37" s="578"/>
      <c r="LEY37" s="578"/>
      <c r="LEZ37" s="578"/>
      <c r="LFA37" s="578"/>
      <c r="LFB37" s="578"/>
      <c r="LFC37" s="578"/>
      <c r="LFD37" s="578"/>
      <c r="LFE37" s="578"/>
      <c r="LFF37" s="578"/>
      <c r="LFG37" s="578"/>
      <c r="LFH37" s="578"/>
      <c r="LFI37" s="578"/>
      <c r="LFJ37" s="578"/>
      <c r="LFK37" s="578"/>
      <c r="LFL37" s="578"/>
      <c r="LFM37" s="578"/>
      <c r="LFN37" s="578"/>
      <c r="LFO37" s="578"/>
      <c r="LFP37" s="578"/>
      <c r="LFQ37" s="578"/>
      <c r="LFR37" s="578"/>
      <c r="LFS37" s="578"/>
      <c r="LFT37" s="578"/>
      <c r="LFU37" s="578"/>
      <c r="LFV37" s="578"/>
      <c r="LFW37" s="578"/>
      <c r="LFX37" s="578"/>
      <c r="LFY37" s="578"/>
      <c r="LFZ37" s="578"/>
      <c r="LGA37" s="578"/>
      <c r="LGB37" s="578"/>
      <c r="LGC37" s="578"/>
      <c r="LGD37" s="578"/>
      <c r="LGE37" s="578"/>
      <c r="LGF37" s="578"/>
      <c r="LGG37" s="578"/>
      <c r="LGH37" s="578"/>
      <c r="LGI37" s="578"/>
      <c r="LGJ37" s="578"/>
      <c r="LGK37" s="578"/>
      <c r="LGL37" s="578"/>
      <c r="LGM37" s="578"/>
      <c r="LGN37" s="578"/>
      <c r="LGO37" s="578"/>
      <c r="LGP37" s="578"/>
      <c r="LGQ37" s="578"/>
      <c r="LGR37" s="578"/>
      <c r="LGS37" s="578"/>
      <c r="LGT37" s="578"/>
      <c r="LGU37" s="578"/>
      <c r="LGV37" s="578"/>
      <c r="LGW37" s="578"/>
      <c r="LGX37" s="578"/>
      <c r="LGY37" s="578"/>
      <c r="LGZ37" s="578"/>
      <c r="LHA37" s="578"/>
      <c r="LHB37" s="578"/>
      <c r="LHC37" s="578"/>
      <c r="LHD37" s="578"/>
      <c r="LHE37" s="578"/>
      <c r="LHF37" s="578"/>
      <c r="LHG37" s="578"/>
      <c r="LHH37" s="578"/>
      <c r="LHI37" s="578"/>
      <c r="LHJ37" s="578"/>
      <c r="LHK37" s="578"/>
      <c r="LHL37" s="578"/>
      <c r="LHM37" s="578"/>
      <c r="LHN37" s="578"/>
      <c r="LHO37" s="578"/>
      <c r="LHP37" s="578"/>
      <c r="LHQ37" s="578"/>
      <c r="LHR37" s="578"/>
      <c r="LHS37" s="578"/>
      <c r="LHT37" s="578"/>
      <c r="LHU37" s="578"/>
      <c r="LHV37" s="578"/>
      <c r="LHW37" s="578"/>
      <c r="LHX37" s="578"/>
      <c r="LHY37" s="578"/>
      <c r="LHZ37" s="578"/>
      <c r="LIA37" s="578"/>
      <c r="LIB37" s="578"/>
      <c r="LIC37" s="578"/>
      <c r="LID37" s="578"/>
      <c r="LIE37" s="578"/>
      <c r="LIF37" s="578"/>
      <c r="LIG37" s="578"/>
      <c r="LIH37" s="578"/>
      <c r="LII37" s="578"/>
      <c r="LIJ37" s="578"/>
      <c r="LIK37" s="578"/>
      <c r="LIL37" s="578"/>
      <c r="LIM37" s="578"/>
      <c r="LIN37" s="578"/>
      <c r="LIO37" s="578"/>
      <c r="LIP37" s="578"/>
      <c r="LIQ37" s="578"/>
      <c r="LIR37" s="578"/>
      <c r="LIS37" s="578"/>
      <c r="LIT37" s="578"/>
      <c r="LIU37" s="578"/>
      <c r="LIV37" s="578"/>
      <c r="LIW37" s="578"/>
      <c r="LIX37" s="578"/>
      <c r="LIY37" s="578"/>
      <c r="LIZ37" s="578"/>
      <c r="LJA37" s="578"/>
      <c r="LJB37" s="578"/>
      <c r="LJC37" s="578"/>
      <c r="LJD37" s="578"/>
      <c r="LJE37" s="578"/>
      <c r="LJF37" s="578"/>
      <c r="LJG37" s="578"/>
      <c r="LJH37" s="578"/>
      <c r="LJI37" s="578"/>
      <c r="LJJ37" s="578"/>
      <c r="LJK37" s="578"/>
      <c r="LJL37" s="578"/>
      <c r="LJM37" s="578"/>
      <c r="LJN37" s="578"/>
      <c r="LJO37" s="578"/>
      <c r="LJP37" s="578"/>
      <c r="LJQ37" s="578"/>
      <c r="LJR37" s="578"/>
      <c r="LJS37" s="578"/>
      <c r="LJT37" s="578"/>
      <c r="LJU37" s="578"/>
      <c r="LJV37" s="578"/>
      <c r="LJW37" s="578"/>
      <c r="LJX37" s="578"/>
      <c r="LJY37" s="578"/>
      <c r="LJZ37" s="578"/>
      <c r="LKA37" s="578"/>
      <c r="LKB37" s="578"/>
      <c r="LKC37" s="578"/>
      <c r="LKD37" s="578"/>
      <c r="LKE37" s="578"/>
      <c r="LKF37" s="578"/>
      <c r="LKG37" s="578"/>
      <c r="LKH37" s="578"/>
      <c r="LKI37" s="578"/>
      <c r="LKJ37" s="578"/>
      <c r="LKK37" s="578"/>
      <c r="LKL37" s="578"/>
      <c r="LKM37" s="578"/>
      <c r="LKN37" s="578"/>
      <c r="LKO37" s="578"/>
      <c r="LKP37" s="578"/>
      <c r="LKQ37" s="578"/>
      <c r="LKR37" s="578"/>
      <c r="LKS37" s="578"/>
      <c r="LKT37" s="578"/>
      <c r="LKU37" s="578"/>
      <c r="LKV37" s="578"/>
      <c r="LKW37" s="578"/>
      <c r="LKX37" s="578"/>
      <c r="LKY37" s="578"/>
      <c r="LKZ37" s="578"/>
      <c r="LLA37" s="578"/>
      <c r="LLB37" s="578"/>
      <c r="LLC37" s="578"/>
      <c r="LLD37" s="578"/>
      <c r="LLE37" s="578"/>
      <c r="LLF37" s="578"/>
      <c r="LLG37" s="578"/>
      <c r="LLH37" s="578"/>
      <c r="LLI37" s="578"/>
      <c r="LLJ37" s="578"/>
      <c r="LLK37" s="578"/>
      <c r="LLL37" s="578"/>
      <c r="LLM37" s="578"/>
      <c r="LLN37" s="578"/>
      <c r="LLO37" s="578"/>
      <c r="LLP37" s="578"/>
      <c r="LLQ37" s="578"/>
      <c r="LLR37" s="578"/>
      <c r="LLS37" s="578"/>
      <c r="LLT37" s="578"/>
      <c r="LLU37" s="578"/>
      <c r="LLV37" s="578"/>
      <c r="LLW37" s="578"/>
      <c r="LLX37" s="578"/>
      <c r="LLY37" s="578"/>
      <c r="LLZ37" s="578"/>
      <c r="LMA37" s="578"/>
      <c r="LMB37" s="578"/>
      <c r="LMC37" s="578"/>
      <c r="LMD37" s="578"/>
      <c r="LME37" s="578"/>
      <c r="LMF37" s="578"/>
      <c r="LMG37" s="578"/>
      <c r="LMH37" s="578"/>
      <c r="LMI37" s="578"/>
      <c r="LMJ37" s="578"/>
      <c r="LMK37" s="578"/>
      <c r="LML37" s="578"/>
      <c r="LMM37" s="578"/>
      <c r="LMN37" s="578"/>
      <c r="LMO37" s="578"/>
      <c r="LMP37" s="578"/>
      <c r="LMQ37" s="578"/>
      <c r="LMR37" s="578"/>
      <c r="LMS37" s="578"/>
      <c r="LMT37" s="578"/>
      <c r="LMU37" s="578"/>
      <c r="LMV37" s="578"/>
      <c r="LMW37" s="578"/>
      <c r="LMX37" s="578"/>
      <c r="LMY37" s="578"/>
      <c r="LMZ37" s="578"/>
      <c r="LNA37" s="578"/>
      <c r="LNB37" s="578"/>
      <c r="LNC37" s="578"/>
      <c r="LND37" s="578"/>
      <c r="LNE37" s="578"/>
      <c r="LNF37" s="578"/>
      <c r="LNG37" s="578"/>
      <c r="LNH37" s="578"/>
      <c r="LNI37" s="578"/>
      <c r="LNJ37" s="578"/>
      <c r="LNK37" s="578"/>
      <c r="LNL37" s="578"/>
      <c r="LNM37" s="578"/>
      <c r="LNN37" s="578"/>
      <c r="LNO37" s="578"/>
      <c r="LNP37" s="578"/>
      <c r="LNQ37" s="578"/>
      <c r="LNR37" s="578"/>
      <c r="LNS37" s="578"/>
      <c r="LNT37" s="578"/>
      <c r="LNU37" s="578"/>
      <c r="LNV37" s="578"/>
      <c r="LNW37" s="578"/>
      <c r="LNX37" s="578"/>
      <c r="LNY37" s="578"/>
      <c r="LNZ37" s="578"/>
      <c r="LOA37" s="578"/>
      <c r="LOB37" s="578"/>
      <c r="LOC37" s="578"/>
      <c r="LOD37" s="578"/>
      <c r="LOE37" s="578"/>
      <c r="LOF37" s="578"/>
      <c r="LOG37" s="578"/>
      <c r="LOH37" s="578"/>
      <c r="LOI37" s="578"/>
      <c r="LOJ37" s="578"/>
      <c r="LOK37" s="578"/>
      <c r="LOL37" s="578"/>
      <c r="LOM37" s="578"/>
      <c r="LON37" s="578"/>
      <c r="LOO37" s="578"/>
      <c r="LOP37" s="578"/>
      <c r="LOQ37" s="578"/>
      <c r="LOR37" s="578"/>
      <c r="LOS37" s="578"/>
      <c r="LOT37" s="578"/>
      <c r="LOU37" s="578"/>
      <c r="LOV37" s="578"/>
      <c r="LOW37" s="578"/>
      <c r="LOX37" s="578"/>
      <c r="LOY37" s="578"/>
      <c r="LOZ37" s="578"/>
      <c r="LPA37" s="578"/>
      <c r="LPB37" s="578"/>
      <c r="LPC37" s="578"/>
      <c r="LPD37" s="578"/>
      <c r="LPE37" s="578"/>
      <c r="LPF37" s="578"/>
      <c r="LPG37" s="578"/>
      <c r="LPH37" s="578"/>
      <c r="LPI37" s="578"/>
      <c r="LPJ37" s="578"/>
      <c r="LPK37" s="578"/>
      <c r="LPL37" s="578"/>
      <c r="LPM37" s="578"/>
      <c r="LPN37" s="578"/>
      <c r="LPO37" s="578"/>
      <c r="LPP37" s="578"/>
      <c r="LPQ37" s="578"/>
      <c r="LPR37" s="578"/>
      <c r="LPS37" s="578"/>
      <c r="LPT37" s="578"/>
      <c r="LPU37" s="578"/>
      <c r="LPV37" s="578"/>
      <c r="LPW37" s="578"/>
      <c r="LPX37" s="578"/>
      <c r="LPY37" s="578"/>
      <c r="LPZ37" s="578"/>
      <c r="LQA37" s="578"/>
      <c r="LQB37" s="578"/>
      <c r="LQC37" s="578"/>
      <c r="LQD37" s="578"/>
      <c r="LQE37" s="578"/>
      <c r="LQF37" s="578"/>
      <c r="LQG37" s="578"/>
      <c r="LQH37" s="578"/>
      <c r="LQI37" s="578"/>
      <c r="LQJ37" s="578"/>
      <c r="LQK37" s="578"/>
      <c r="LQL37" s="578"/>
      <c r="LQM37" s="578"/>
      <c r="LQN37" s="578"/>
      <c r="LQO37" s="578"/>
      <c r="LQP37" s="578"/>
      <c r="LQQ37" s="578"/>
      <c r="LQR37" s="578"/>
      <c r="LQS37" s="578"/>
      <c r="LQT37" s="578"/>
      <c r="LQU37" s="578"/>
      <c r="LQV37" s="578"/>
      <c r="LQW37" s="578"/>
      <c r="LQX37" s="578"/>
      <c r="LQY37" s="578"/>
      <c r="LQZ37" s="578"/>
      <c r="LRA37" s="578"/>
      <c r="LRB37" s="578"/>
      <c r="LRC37" s="578"/>
      <c r="LRD37" s="578"/>
      <c r="LRE37" s="578"/>
      <c r="LRF37" s="578"/>
      <c r="LRG37" s="578"/>
      <c r="LRH37" s="578"/>
      <c r="LRI37" s="578"/>
      <c r="LRJ37" s="578"/>
      <c r="LRK37" s="578"/>
      <c r="LRL37" s="578"/>
      <c r="LRM37" s="578"/>
      <c r="LRN37" s="578"/>
      <c r="LRO37" s="578"/>
      <c r="LRP37" s="578"/>
      <c r="LRQ37" s="578"/>
      <c r="LRR37" s="578"/>
      <c r="LRS37" s="578"/>
      <c r="LRT37" s="578"/>
      <c r="LRU37" s="578"/>
      <c r="LRV37" s="578"/>
      <c r="LRW37" s="578"/>
      <c r="LRX37" s="578"/>
      <c r="LRY37" s="578"/>
      <c r="LRZ37" s="578"/>
      <c r="LSA37" s="578"/>
      <c r="LSB37" s="578"/>
      <c r="LSC37" s="578"/>
      <c r="LSD37" s="578"/>
      <c r="LSE37" s="578"/>
      <c r="LSF37" s="578"/>
      <c r="LSG37" s="578"/>
      <c r="LSH37" s="578"/>
      <c r="LSI37" s="578"/>
      <c r="LSJ37" s="578"/>
      <c r="LSK37" s="578"/>
      <c r="LSL37" s="578"/>
      <c r="LSM37" s="578"/>
      <c r="LSN37" s="578"/>
      <c r="LSO37" s="578"/>
      <c r="LSP37" s="578"/>
      <c r="LSQ37" s="578"/>
      <c r="LSR37" s="578"/>
      <c r="LSS37" s="578"/>
      <c r="LST37" s="578"/>
      <c r="LSU37" s="578"/>
      <c r="LSV37" s="578"/>
      <c r="LSW37" s="578"/>
      <c r="LSX37" s="578"/>
      <c r="LSY37" s="578"/>
      <c r="LSZ37" s="578"/>
      <c r="LTA37" s="578"/>
      <c r="LTB37" s="578"/>
      <c r="LTC37" s="578"/>
      <c r="LTD37" s="578"/>
      <c r="LTE37" s="578"/>
      <c r="LTF37" s="578"/>
      <c r="LTG37" s="578"/>
      <c r="LTH37" s="578"/>
      <c r="LTI37" s="578"/>
      <c r="LTJ37" s="578"/>
      <c r="LTK37" s="578"/>
      <c r="LTL37" s="578"/>
      <c r="LTM37" s="578"/>
      <c r="LTN37" s="578"/>
      <c r="LTO37" s="578"/>
      <c r="LTP37" s="578"/>
      <c r="LTQ37" s="578"/>
      <c r="LTR37" s="578"/>
      <c r="LTS37" s="578"/>
      <c r="LTT37" s="578"/>
      <c r="LTU37" s="578"/>
      <c r="LTV37" s="578"/>
      <c r="LTW37" s="578"/>
      <c r="LTX37" s="578"/>
      <c r="LTY37" s="578"/>
      <c r="LTZ37" s="578"/>
      <c r="LUA37" s="578"/>
      <c r="LUB37" s="578"/>
      <c r="LUC37" s="578"/>
      <c r="LUD37" s="578"/>
      <c r="LUE37" s="578"/>
      <c r="LUF37" s="578"/>
      <c r="LUG37" s="578"/>
      <c r="LUH37" s="578"/>
      <c r="LUI37" s="578"/>
      <c r="LUJ37" s="578"/>
      <c r="LUK37" s="578"/>
      <c r="LUL37" s="578"/>
      <c r="LUM37" s="578"/>
      <c r="LUN37" s="578"/>
      <c r="LUO37" s="578"/>
      <c r="LUP37" s="578"/>
      <c r="LUQ37" s="578"/>
      <c r="LUR37" s="578"/>
      <c r="LUS37" s="578"/>
      <c r="LUT37" s="578"/>
      <c r="LUU37" s="578"/>
      <c r="LUV37" s="578"/>
      <c r="LUW37" s="578"/>
      <c r="LUX37" s="578"/>
      <c r="LUY37" s="578"/>
      <c r="LUZ37" s="578"/>
      <c r="LVA37" s="578"/>
      <c r="LVB37" s="578"/>
      <c r="LVC37" s="578"/>
      <c r="LVD37" s="578"/>
      <c r="LVE37" s="578"/>
      <c r="LVF37" s="578"/>
      <c r="LVG37" s="578"/>
      <c r="LVH37" s="578"/>
      <c r="LVI37" s="578"/>
      <c r="LVJ37" s="578"/>
      <c r="LVK37" s="578"/>
      <c r="LVL37" s="578"/>
      <c r="LVM37" s="578"/>
      <c r="LVN37" s="578"/>
      <c r="LVO37" s="578"/>
      <c r="LVP37" s="578"/>
      <c r="LVQ37" s="578"/>
      <c r="LVR37" s="578"/>
      <c r="LVS37" s="578"/>
      <c r="LVT37" s="578"/>
      <c r="LVU37" s="578"/>
      <c r="LVV37" s="578"/>
      <c r="LVW37" s="578"/>
      <c r="LVX37" s="578"/>
      <c r="LVY37" s="578"/>
      <c r="LVZ37" s="578"/>
      <c r="LWA37" s="578"/>
      <c r="LWB37" s="578"/>
      <c r="LWC37" s="578"/>
      <c r="LWD37" s="578"/>
      <c r="LWE37" s="578"/>
      <c r="LWF37" s="578"/>
      <c r="LWG37" s="578"/>
      <c r="LWH37" s="578"/>
      <c r="LWI37" s="578"/>
      <c r="LWJ37" s="578"/>
      <c r="LWK37" s="578"/>
      <c r="LWL37" s="578"/>
      <c r="LWM37" s="578"/>
      <c r="LWN37" s="578"/>
      <c r="LWO37" s="578"/>
      <c r="LWP37" s="578"/>
      <c r="LWQ37" s="578"/>
      <c r="LWR37" s="578"/>
      <c r="LWS37" s="578"/>
      <c r="LWT37" s="578"/>
      <c r="LWU37" s="578"/>
      <c r="LWV37" s="578"/>
      <c r="LWW37" s="578"/>
      <c r="LWX37" s="578"/>
      <c r="LWY37" s="578"/>
      <c r="LWZ37" s="578"/>
      <c r="LXA37" s="578"/>
      <c r="LXB37" s="578"/>
      <c r="LXC37" s="578"/>
      <c r="LXD37" s="578"/>
      <c r="LXE37" s="578"/>
      <c r="LXF37" s="578"/>
      <c r="LXG37" s="578"/>
      <c r="LXH37" s="578"/>
      <c r="LXI37" s="578"/>
      <c r="LXJ37" s="578"/>
      <c r="LXK37" s="578"/>
      <c r="LXL37" s="578"/>
      <c r="LXM37" s="578"/>
      <c r="LXN37" s="578"/>
      <c r="LXO37" s="578"/>
      <c r="LXP37" s="578"/>
      <c r="LXQ37" s="578"/>
      <c r="LXR37" s="578"/>
      <c r="LXS37" s="578"/>
      <c r="LXT37" s="578"/>
      <c r="LXU37" s="578"/>
      <c r="LXV37" s="578"/>
      <c r="LXW37" s="578"/>
      <c r="LXX37" s="578"/>
      <c r="LXY37" s="578"/>
      <c r="LXZ37" s="578"/>
      <c r="LYA37" s="578"/>
      <c r="LYB37" s="578"/>
      <c r="LYC37" s="578"/>
      <c r="LYD37" s="578"/>
      <c r="LYE37" s="578"/>
      <c r="LYF37" s="578"/>
      <c r="LYG37" s="578"/>
      <c r="LYH37" s="578"/>
      <c r="LYI37" s="578"/>
      <c r="LYJ37" s="578"/>
      <c r="LYK37" s="578"/>
      <c r="LYL37" s="578"/>
      <c r="LYM37" s="578"/>
      <c r="LYN37" s="578"/>
      <c r="LYO37" s="578"/>
      <c r="LYP37" s="578"/>
      <c r="LYQ37" s="578"/>
      <c r="LYR37" s="578"/>
      <c r="LYS37" s="578"/>
      <c r="LYT37" s="578"/>
      <c r="LYU37" s="578"/>
      <c r="LYV37" s="578"/>
      <c r="LYW37" s="578"/>
      <c r="LYX37" s="578"/>
      <c r="LYY37" s="578"/>
      <c r="LYZ37" s="578"/>
      <c r="LZA37" s="578"/>
      <c r="LZB37" s="578"/>
      <c r="LZC37" s="578"/>
      <c r="LZD37" s="578"/>
      <c r="LZE37" s="578"/>
      <c r="LZF37" s="578"/>
      <c r="LZG37" s="578"/>
      <c r="LZH37" s="578"/>
      <c r="LZI37" s="578"/>
      <c r="LZJ37" s="578"/>
      <c r="LZK37" s="578"/>
      <c r="LZL37" s="578"/>
      <c r="LZM37" s="578"/>
      <c r="LZN37" s="578"/>
      <c r="LZO37" s="578"/>
      <c r="LZP37" s="578"/>
      <c r="LZQ37" s="578"/>
      <c r="LZR37" s="578"/>
      <c r="LZS37" s="578"/>
      <c r="LZT37" s="578"/>
      <c r="LZU37" s="578"/>
      <c r="LZV37" s="578"/>
      <c r="LZW37" s="578"/>
      <c r="LZX37" s="578"/>
      <c r="LZY37" s="578"/>
      <c r="LZZ37" s="578"/>
      <c r="MAA37" s="578"/>
      <c r="MAB37" s="578"/>
      <c r="MAC37" s="578"/>
      <c r="MAD37" s="578"/>
      <c r="MAE37" s="578"/>
      <c r="MAF37" s="578"/>
      <c r="MAG37" s="578"/>
      <c r="MAH37" s="578"/>
      <c r="MAI37" s="578"/>
      <c r="MAJ37" s="578"/>
      <c r="MAK37" s="578"/>
      <c r="MAL37" s="578"/>
      <c r="MAM37" s="578"/>
      <c r="MAN37" s="578"/>
      <c r="MAO37" s="578"/>
      <c r="MAP37" s="578"/>
      <c r="MAQ37" s="578"/>
      <c r="MAR37" s="578"/>
      <c r="MAS37" s="578"/>
      <c r="MAT37" s="578"/>
      <c r="MAU37" s="578"/>
      <c r="MAV37" s="578"/>
      <c r="MAW37" s="578"/>
      <c r="MAX37" s="578"/>
      <c r="MAY37" s="578"/>
      <c r="MAZ37" s="578"/>
      <c r="MBA37" s="578"/>
      <c r="MBB37" s="578"/>
      <c r="MBC37" s="578"/>
      <c r="MBD37" s="578"/>
      <c r="MBE37" s="578"/>
      <c r="MBF37" s="578"/>
      <c r="MBG37" s="578"/>
      <c r="MBH37" s="578"/>
      <c r="MBI37" s="578"/>
      <c r="MBJ37" s="578"/>
      <c r="MBK37" s="578"/>
      <c r="MBL37" s="578"/>
      <c r="MBM37" s="578"/>
      <c r="MBN37" s="578"/>
      <c r="MBO37" s="578"/>
      <c r="MBP37" s="578"/>
      <c r="MBQ37" s="578"/>
      <c r="MBR37" s="578"/>
      <c r="MBS37" s="578"/>
      <c r="MBT37" s="578"/>
      <c r="MBU37" s="578"/>
      <c r="MBV37" s="578"/>
      <c r="MBW37" s="578"/>
      <c r="MBX37" s="578"/>
      <c r="MBY37" s="578"/>
      <c r="MBZ37" s="578"/>
      <c r="MCA37" s="578"/>
      <c r="MCB37" s="578"/>
      <c r="MCC37" s="578"/>
      <c r="MCD37" s="578"/>
      <c r="MCE37" s="578"/>
      <c r="MCF37" s="578"/>
      <c r="MCG37" s="578"/>
      <c r="MCH37" s="578"/>
      <c r="MCI37" s="578"/>
      <c r="MCJ37" s="578"/>
      <c r="MCK37" s="578"/>
      <c r="MCL37" s="578"/>
      <c r="MCM37" s="578"/>
      <c r="MCN37" s="578"/>
      <c r="MCO37" s="578"/>
      <c r="MCP37" s="578"/>
      <c r="MCQ37" s="578"/>
      <c r="MCR37" s="578"/>
      <c r="MCS37" s="578"/>
      <c r="MCT37" s="578"/>
      <c r="MCU37" s="578"/>
      <c r="MCV37" s="578"/>
      <c r="MCW37" s="578"/>
      <c r="MCX37" s="578"/>
      <c r="MCY37" s="578"/>
      <c r="MCZ37" s="578"/>
      <c r="MDA37" s="578"/>
      <c r="MDB37" s="578"/>
      <c r="MDC37" s="578"/>
      <c r="MDD37" s="578"/>
      <c r="MDE37" s="578"/>
      <c r="MDF37" s="578"/>
      <c r="MDG37" s="578"/>
      <c r="MDH37" s="578"/>
      <c r="MDI37" s="578"/>
      <c r="MDJ37" s="578"/>
      <c r="MDK37" s="578"/>
      <c r="MDL37" s="578"/>
      <c r="MDM37" s="578"/>
      <c r="MDN37" s="578"/>
      <c r="MDO37" s="578"/>
      <c r="MDP37" s="578"/>
      <c r="MDQ37" s="578"/>
      <c r="MDR37" s="578"/>
      <c r="MDS37" s="578"/>
      <c r="MDT37" s="578"/>
      <c r="MDU37" s="578"/>
      <c r="MDV37" s="578"/>
      <c r="MDW37" s="578"/>
      <c r="MDX37" s="578"/>
      <c r="MDY37" s="578"/>
      <c r="MDZ37" s="578"/>
      <c r="MEA37" s="578"/>
      <c r="MEB37" s="578"/>
      <c r="MEC37" s="578"/>
      <c r="MED37" s="578"/>
      <c r="MEE37" s="578"/>
      <c r="MEF37" s="578"/>
      <c r="MEG37" s="578"/>
      <c r="MEH37" s="578"/>
      <c r="MEI37" s="578"/>
      <c r="MEJ37" s="578"/>
      <c r="MEK37" s="578"/>
      <c r="MEL37" s="578"/>
      <c r="MEM37" s="578"/>
      <c r="MEN37" s="578"/>
      <c r="MEO37" s="578"/>
      <c r="MEP37" s="578"/>
      <c r="MEQ37" s="578"/>
      <c r="MER37" s="578"/>
      <c r="MES37" s="578"/>
      <c r="MET37" s="578"/>
      <c r="MEU37" s="578"/>
      <c r="MEV37" s="578"/>
      <c r="MEW37" s="578"/>
      <c r="MEX37" s="578"/>
      <c r="MEY37" s="578"/>
      <c r="MEZ37" s="578"/>
      <c r="MFA37" s="578"/>
      <c r="MFB37" s="578"/>
      <c r="MFC37" s="578"/>
      <c r="MFD37" s="578"/>
      <c r="MFE37" s="578"/>
      <c r="MFF37" s="578"/>
      <c r="MFG37" s="578"/>
      <c r="MFH37" s="578"/>
      <c r="MFI37" s="578"/>
      <c r="MFJ37" s="578"/>
      <c r="MFK37" s="578"/>
      <c r="MFL37" s="578"/>
      <c r="MFM37" s="578"/>
      <c r="MFN37" s="578"/>
      <c r="MFO37" s="578"/>
      <c r="MFP37" s="578"/>
      <c r="MFQ37" s="578"/>
      <c r="MFR37" s="578"/>
      <c r="MFS37" s="578"/>
      <c r="MFT37" s="578"/>
      <c r="MFU37" s="578"/>
      <c r="MFV37" s="578"/>
      <c r="MFW37" s="578"/>
      <c r="MFX37" s="578"/>
      <c r="MFY37" s="578"/>
      <c r="MFZ37" s="578"/>
      <c r="MGA37" s="578"/>
      <c r="MGB37" s="578"/>
      <c r="MGC37" s="578"/>
      <c r="MGD37" s="578"/>
      <c r="MGE37" s="578"/>
      <c r="MGF37" s="578"/>
      <c r="MGG37" s="578"/>
      <c r="MGH37" s="578"/>
      <c r="MGI37" s="578"/>
      <c r="MGJ37" s="578"/>
      <c r="MGK37" s="578"/>
      <c r="MGL37" s="578"/>
      <c r="MGM37" s="578"/>
      <c r="MGN37" s="578"/>
      <c r="MGO37" s="578"/>
      <c r="MGP37" s="578"/>
      <c r="MGQ37" s="578"/>
      <c r="MGR37" s="578"/>
      <c r="MGS37" s="578"/>
      <c r="MGT37" s="578"/>
      <c r="MGU37" s="578"/>
      <c r="MGV37" s="578"/>
      <c r="MGW37" s="578"/>
      <c r="MGX37" s="578"/>
      <c r="MGY37" s="578"/>
      <c r="MGZ37" s="578"/>
      <c r="MHA37" s="578"/>
      <c r="MHB37" s="578"/>
      <c r="MHC37" s="578"/>
      <c r="MHD37" s="578"/>
      <c r="MHE37" s="578"/>
      <c r="MHF37" s="578"/>
      <c r="MHG37" s="578"/>
      <c r="MHH37" s="578"/>
      <c r="MHI37" s="578"/>
      <c r="MHJ37" s="578"/>
      <c r="MHK37" s="578"/>
      <c r="MHL37" s="578"/>
      <c r="MHM37" s="578"/>
      <c r="MHN37" s="578"/>
      <c r="MHO37" s="578"/>
      <c r="MHP37" s="578"/>
      <c r="MHQ37" s="578"/>
      <c r="MHR37" s="578"/>
      <c r="MHS37" s="578"/>
      <c r="MHT37" s="578"/>
      <c r="MHU37" s="578"/>
      <c r="MHV37" s="578"/>
      <c r="MHW37" s="578"/>
      <c r="MHX37" s="578"/>
      <c r="MHY37" s="578"/>
      <c r="MHZ37" s="578"/>
      <c r="MIA37" s="578"/>
      <c r="MIB37" s="578"/>
      <c r="MIC37" s="578"/>
      <c r="MID37" s="578"/>
      <c r="MIE37" s="578"/>
      <c r="MIF37" s="578"/>
      <c r="MIG37" s="578"/>
      <c r="MIH37" s="578"/>
      <c r="MII37" s="578"/>
      <c r="MIJ37" s="578"/>
      <c r="MIK37" s="578"/>
      <c r="MIL37" s="578"/>
      <c r="MIM37" s="578"/>
      <c r="MIN37" s="578"/>
      <c r="MIO37" s="578"/>
      <c r="MIP37" s="578"/>
      <c r="MIQ37" s="578"/>
      <c r="MIR37" s="578"/>
      <c r="MIS37" s="578"/>
      <c r="MIT37" s="578"/>
      <c r="MIU37" s="578"/>
      <c r="MIV37" s="578"/>
      <c r="MIW37" s="578"/>
      <c r="MIX37" s="578"/>
      <c r="MIY37" s="578"/>
      <c r="MIZ37" s="578"/>
      <c r="MJA37" s="578"/>
      <c r="MJB37" s="578"/>
      <c r="MJC37" s="578"/>
      <c r="MJD37" s="578"/>
      <c r="MJE37" s="578"/>
      <c r="MJF37" s="578"/>
      <c r="MJG37" s="578"/>
      <c r="MJH37" s="578"/>
      <c r="MJI37" s="578"/>
      <c r="MJJ37" s="578"/>
      <c r="MJK37" s="578"/>
      <c r="MJL37" s="578"/>
      <c r="MJM37" s="578"/>
      <c r="MJN37" s="578"/>
      <c r="MJO37" s="578"/>
      <c r="MJP37" s="578"/>
      <c r="MJQ37" s="578"/>
      <c r="MJR37" s="578"/>
      <c r="MJS37" s="578"/>
      <c r="MJT37" s="578"/>
      <c r="MJU37" s="578"/>
      <c r="MJV37" s="578"/>
      <c r="MJW37" s="578"/>
      <c r="MJX37" s="578"/>
      <c r="MJY37" s="578"/>
      <c r="MJZ37" s="578"/>
      <c r="MKA37" s="578"/>
      <c r="MKB37" s="578"/>
      <c r="MKC37" s="578"/>
      <c r="MKD37" s="578"/>
      <c r="MKE37" s="578"/>
      <c r="MKF37" s="578"/>
      <c r="MKG37" s="578"/>
      <c r="MKH37" s="578"/>
      <c r="MKI37" s="578"/>
      <c r="MKJ37" s="578"/>
      <c r="MKK37" s="578"/>
      <c r="MKL37" s="578"/>
      <c r="MKM37" s="578"/>
      <c r="MKN37" s="578"/>
      <c r="MKO37" s="578"/>
      <c r="MKP37" s="578"/>
      <c r="MKQ37" s="578"/>
      <c r="MKR37" s="578"/>
      <c r="MKS37" s="578"/>
      <c r="MKT37" s="578"/>
      <c r="MKU37" s="578"/>
      <c r="MKV37" s="578"/>
      <c r="MKW37" s="578"/>
      <c r="MKX37" s="578"/>
      <c r="MKY37" s="578"/>
      <c r="MKZ37" s="578"/>
      <c r="MLA37" s="578"/>
      <c r="MLB37" s="578"/>
      <c r="MLC37" s="578"/>
      <c r="MLD37" s="578"/>
      <c r="MLE37" s="578"/>
      <c r="MLF37" s="578"/>
      <c r="MLG37" s="578"/>
      <c r="MLH37" s="578"/>
      <c r="MLI37" s="578"/>
      <c r="MLJ37" s="578"/>
      <c r="MLK37" s="578"/>
      <c r="MLL37" s="578"/>
      <c r="MLM37" s="578"/>
      <c r="MLN37" s="578"/>
      <c r="MLO37" s="578"/>
      <c r="MLP37" s="578"/>
      <c r="MLQ37" s="578"/>
      <c r="MLR37" s="578"/>
      <c r="MLS37" s="578"/>
      <c r="MLT37" s="578"/>
      <c r="MLU37" s="578"/>
      <c r="MLV37" s="578"/>
      <c r="MLW37" s="578"/>
      <c r="MLX37" s="578"/>
      <c r="MLY37" s="578"/>
      <c r="MLZ37" s="578"/>
      <c r="MMA37" s="578"/>
      <c r="MMB37" s="578"/>
      <c r="MMC37" s="578"/>
      <c r="MMD37" s="578"/>
      <c r="MME37" s="578"/>
      <c r="MMF37" s="578"/>
      <c r="MMG37" s="578"/>
      <c r="MMH37" s="578"/>
      <c r="MMI37" s="578"/>
      <c r="MMJ37" s="578"/>
      <c r="MMK37" s="578"/>
      <c r="MML37" s="578"/>
      <c r="MMM37" s="578"/>
      <c r="MMN37" s="578"/>
      <c r="MMO37" s="578"/>
      <c r="MMP37" s="578"/>
      <c r="MMQ37" s="578"/>
      <c r="MMR37" s="578"/>
      <c r="MMS37" s="578"/>
      <c r="MMT37" s="578"/>
      <c r="MMU37" s="578"/>
      <c r="MMV37" s="578"/>
      <c r="MMW37" s="578"/>
      <c r="MMX37" s="578"/>
      <c r="MMY37" s="578"/>
      <c r="MMZ37" s="578"/>
      <c r="MNA37" s="578"/>
      <c r="MNB37" s="578"/>
      <c r="MNC37" s="578"/>
      <c r="MND37" s="578"/>
      <c r="MNE37" s="578"/>
      <c r="MNF37" s="578"/>
      <c r="MNG37" s="578"/>
      <c r="MNH37" s="578"/>
      <c r="MNI37" s="578"/>
      <c r="MNJ37" s="578"/>
      <c r="MNK37" s="578"/>
      <c r="MNL37" s="578"/>
      <c r="MNM37" s="578"/>
      <c r="MNN37" s="578"/>
      <c r="MNO37" s="578"/>
      <c r="MNP37" s="578"/>
      <c r="MNQ37" s="578"/>
      <c r="MNR37" s="578"/>
      <c r="MNS37" s="578"/>
      <c r="MNT37" s="578"/>
      <c r="MNU37" s="578"/>
      <c r="MNV37" s="578"/>
      <c r="MNW37" s="578"/>
      <c r="MNX37" s="578"/>
      <c r="MNY37" s="578"/>
      <c r="MNZ37" s="578"/>
      <c r="MOA37" s="578"/>
      <c r="MOB37" s="578"/>
      <c r="MOC37" s="578"/>
      <c r="MOD37" s="578"/>
      <c r="MOE37" s="578"/>
      <c r="MOF37" s="578"/>
      <c r="MOG37" s="578"/>
      <c r="MOH37" s="578"/>
      <c r="MOI37" s="578"/>
      <c r="MOJ37" s="578"/>
      <c r="MOK37" s="578"/>
      <c r="MOL37" s="578"/>
      <c r="MOM37" s="578"/>
      <c r="MON37" s="578"/>
      <c r="MOO37" s="578"/>
      <c r="MOP37" s="578"/>
      <c r="MOQ37" s="578"/>
      <c r="MOR37" s="578"/>
      <c r="MOS37" s="578"/>
      <c r="MOT37" s="578"/>
      <c r="MOU37" s="578"/>
      <c r="MOV37" s="578"/>
      <c r="MOW37" s="578"/>
      <c r="MOX37" s="578"/>
      <c r="MOY37" s="578"/>
      <c r="MOZ37" s="578"/>
      <c r="MPA37" s="578"/>
      <c r="MPB37" s="578"/>
      <c r="MPC37" s="578"/>
      <c r="MPD37" s="578"/>
      <c r="MPE37" s="578"/>
      <c r="MPF37" s="578"/>
      <c r="MPG37" s="578"/>
      <c r="MPH37" s="578"/>
      <c r="MPI37" s="578"/>
      <c r="MPJ37" s="578"/>
      <c r="MPK37" s="578"/>
      <c r="MPL37" s="578"/>
      <c r="MPM37" s="578"/>
      <c r="MPN37" s="578"/>
      <c r="MPO37" s="578"/>
      <c r="MPP37" s="578"/>
      <c r="MPQ37" s="578"/>
      <c r="MPR37" s="578"/>
      <c r="MPS37" s="578"/>
      <c r="MPT37" s="578"/>
      <c r="MPU37" s="578"/>
      <c r="MPV37" s="578"/>
      <c r="MPW37" s="578"/>
      <c r="MPX37" s="578"/>
      <c r="MPY37" s="578"/>
      <c r="MPZ37" s="578"/>
      <c r="MQA37" s="578"/>
      <c r="MQB37" s="578"/>
      <c r="MQC37" s="578"/>
      <c r="MQD37" s="578"/>
      <c r="MQE37" s="578"/>
      <c r="MQF37" s="578"/>
      <c r="MQG37" s="578"/>
      <c r="MQH37" s="578"/>
      <c r="MQI37" s="578"/>
      <c r="MQJ37" s="578"/>
      <c r="MQK37" s="578"/>
      <c r="MQL37" s="578"/>
      <c r="MQM37" s="578"/>
      <c r="MQN37" s="578"/>
      <c r="MQO37" s="578"/>
      <c r="MQP37" s="578"/>
      <c r="MQQ37" s="578"/>
      <c r="MQR37" s="578"/>
      <c r="MQS37" s="578"/>
      <c r="MQT37" s="578"/>
      <c r="MQU37" s="578"/>
      <c r="MQV37" s="578"/>
      <c r="MQW37" s="578"/>
      <c r="MQX37" s="578"/>
      <c r="MQY37" s="578"/>
      <c r="MQZ37" s="578"/>
      <c r="MRA37" s="578"/>
      <c r="MRB37" s="578"/>
      <c r="MRC37" s="578"/>
      <c r="MRD37" s="578"/>
      <c r="MRE37" s="578"/>
      <c r="MRF37" s="578"/>
      <c r="MRG37" s="578"/>
      <c r="MRH37" s="578"/>
      <c r="MRI37" s="578"/>
      <c r="MRJ37" s="578"/>
      <c r="MRK37" s="578"/>
      <c r="MRL37" s="578"/>
      <c r="MRM37" s="578"/>
      <c r="MRN37" s="578"/>
      <c r="MRO37" s="578"/>
      <c r="MRP37" s="578"/>
      <c r="MRQ37" s="578"/>
      <c r="MRR37" s="578"/>
      <c r="MRS37" s="578"/>
      <c r="MRT37" s="578"/>
      <c r="MRU37" s="578"/>
      <c r="MRV37" s="578"/>
      <c r="MRW37" s="578"/>
      <c r="MRX37" s="578"/>
      <c r="MRY37" s="578"/>
      <c r="MRZ37" s="578"/>
      <c r="MSA37" s="578"/>
      <c r="MSB37" s="578"/>
      <c r="MSC37" s="578"/>
      <c r="MSD37" s="578"/>
      <c r="MSE37" s="578"/>
      <c r="MSF37" s="578"/>
      <c r="MSG37" s="578"/>
      <c r="MSH37" s="578"/>
      <c r="MSI37" s="578"/>
      <c r="MSJ37" s="578"/>
      <c r="MSK37" s="578"/>
      <c r="MSL37" s="578"/>
      <c r="MSM37" s="578"/>
      <c r="MSN37" s="578"/>
      <c r="MSO37" s="578"/>
      <c r="MSP37" s="578"/>
      <c r="MSQ37" s="578"/>
      <c r="MSR37" s="578"/>
      <c r="MSS37" s="578"/>
      <c r="MST37" s="578"/>
      <c r="MSU37" s="578"/>
      <c r="MSV37" s="578"/>
      <c r="MSW37" s="578"/>
      <c r="MSX37" s="578"/>
      <c r="MSY37" s="578"/>
      <c r="MSZ37" s="578"/>
      <c r="MTA37" s="578"/>
      <c r="MTB37" s="578"/>
      <c r="MTC37" s="578"/>
      <c r="MTD37" s="578"/>
      <c r="MTE37" s="578"/>
      <c r="MTF37" s="578"/>
      <c r="MTG37" s="578"/>
      <c r="MTH37" s="578"/>
      <c r="MTI37" s="578"/>
      <c r="MTJ37" s="578"/>
      <c r="MTK37" s="578"/>
      <c r="MTL37" s="578"/>
      <c r="MTM37" s="578"/>
      <c r="MTN37" s="578"/>
      <c r="MTO37" s="578"/>
      <c r="MTP37" s="578"/>
      <c r="MTQ37" s="578"/>
      <c r="MTR37" s="578"/>
      <c r="MTS37" s="578"/>
      <c r="MTT37" s="578"/>
      <c r="MTU37" s="578"/>
      <c r="MTV37" s="578"/>
      <c r="MTW37" s="578"/>
      <c r="MTX37" s="578"/>
      <c r="MTY37" s="578"/>
      <c r="MTZ37" s="578"/>
      <c r="MUA37" s="578"/>
      <c r="MUB37" s="578"/>
      <c r="MUC37" s="578"/>
      <c r="MUD37" s="578"/>
      <c r="MUE37" s="578"/>
      <c r="MUF37" s="578"/>
      <c r="MUG37" s="578"/>
      <c r="MUH37" s="578"/>
      <c r="MUI37" s="578"/>
      <c r="MUJ37" s="578"/>
      <c r="MUK37" s="578"/>
      <c r="MUL37" s="578"/>
      <c r="MUM37" s="578"/>
      <c r="MUN37" s="578"/>
      <c r="MUO37" s="578"/>
      <c r="MUP37" s="578"/>
      <c r="MUQ37" s="578"/>
      <c r="MUR37" s="578"/>
      <c r="MUS37" s="578"/>
      <c r="MUT37" s="578"/>
      <c r="MUU37" s="578"/>
      <c r="MUV37" s="578"/>
      <c r="MUW37" s="578"/>
      <c r="MUX37" s="578"/>
      <c r="MUY37" s="578"/>
      <c r="MUZ37" s="578"/>
      <c r="MVA37" s="578"/>
      <c r="MVB37" s="578"/>
      <c r="MVC37" s="578"/>
      <c r="MVD37" s="578"/>
      <c r="MVE37" s="578"/>
      <c r="MVF37" s="578"/>
      <c r="MVG37" s="578"/>
      <c r="MVH37" s="578"/>
      <c r="MVI37" s="578"/>
      <c r="MVJ37" s="578"/>
      <c r="MVK37" s="578"/>
      <c r="MVL37" s="578"/>
      <c r="MVM37" s="578"/>
      <c r="MVN37" s="578"/>
      <c r="MVO37" s="578"/>
      <c r="MVP37" s="578"/>
      <c r="MVQ37" s="578"/>
      <c r="MVR37" s="578"/>
      <c r="MVS37" s="578"/>
      <c r="MVT37" s="578"/>
      <c r="MVU37" s="578"/>
      <c r="MVV37" s="578"/>
      <c r="MVW37" s="578"/>
      <c r="MVX37" s="578"/>
      <c r="MVY37" s="578"/>
      <c r="MVZ37" s="578"/>
      <c r="MWA37" s="578"/>
      <c r="MWB37" s="578"/>
      <c r="MWC37" s="578"/>
      <c r="MWD37" s="578"/>
      <c r="MWE37" s="578"/>
      <c r="MWF37" s="578"/>
      <c r="MWG37" s="578"/>
      <c r="MWH37" s="578"/>
      <c r="MWI37" s="578"/>
      <c r="MWJ37" s="578"/>
      <c r="MWK37" s="578"/>
      <c r="MWL37" s="578"/>
      <c r="MWM37" s="578"/>
      <c r="MWN37" s="578"/>
      <c r="MWO37" s="578"/>
      <c r="MWP37" s="578"/>
      <c r="MWQ37" s="578"/>
      <c r="MWR37" s="578"/>
      <c r="MWS37" s="578"/>
      <c r="MWT37" s="578"/>
      <c r="MWU37" s="578"/>
      <c r="MWV37" s="578"/>
      <c r="MWW37" s="578"/>
      <c r="MWX37" s="578"/>
      <c r="MWY37" s="578"/>
      <c r="MWZ37" s="578"/>
      <c r="MXA37" s="578"/>
      <c r="MXB37" s="578"/>
      <c r="MXC37" s="578"/>
      <c r="MXD37" s="578"/>
      <c r="MXE37" s="578"/>
      <c r="MXF37" s="578"/>
      <c r="MXG37" s="578"/>
      <c r="MXH37" s="578"/>
      <c r="MXI37" s="578"/>
      <c r="MXJ37" s="578"/>
      <c r="MXK37" s="578"/>
      <c r="MXL37" s="578"/>
      <c r="MXM37" s="578"/>
      <c r="MXN37" s="578"/>
      <c r="MXO37" s="578"/>
      <c r="MXP37" s="578"/>
      <c r="MXQ37" s="578"/>
      <c r="MXR37" s="578"/>
      <c r="MXS37" s="578"/>
      <c r="MXT37" s="578"/>
      <c r="MXU37" s="578"/>
      <c r="MXV37" s="578"/>
      <c r="MXW37" s="578"/>
      <c r="MXX37" s="578"/>
      <c r="MXY37" s="578"/>
      <c r="MXZ37" s="578"/>
      <c r="MYA37" s="578"/>
      <c r="MYB37" s="578"/>
      <c r="MYC37" s="578"/>
      <c r="MYD37" s="578"/>
      <c r="MYE37" s="578"/>
      <c r="MYF37" s="578"/>
      <c r="MYG37" s="578"/>
      <c r="MYH37" s="578"/>
      <c r="MYI37" s="578"/>
      <c r="MYJ37" s="578"/>
      <c r="MYK37" s="578"/>
      <c r="MYL37" s="578"/>
      <c r="MYM37" s="578"/>
      <c r="MYN37" s="578"/>
      <c r="MYO37" s="578"/>
      <c r="MYP37" s="578"/>
      <c r="MYQ37" s="578"/>
      <c r="MYR37" s="578"/>
      <c r="MYS37" s="578"/>
      <c r="MYT37" s="578"/>
      <c r="MYU37" s="578"/>
      <c r="MYV37" s="578"/>
      <c r="MYW37" s="578"/>
      <c r="MYX37" s="578"/>
      <c r="MYY37" s="578"/>
      <c r="MYZ37" s="578"/>
      <c r="MZA37" s="578"/>
      <c r="MZB37" s="578"/>
      <c r="MZC37" s="578"/>
      <c r="MZD37" s="578"/>
      <c r="MZE37" s="578"/>
      <c r="MZF37" s="578"/>
      <c r="MZG37" s="578"/>
      <c r="MZH37" s="578"/>
      <c r="MZI37" s="578"/>
      <c r="MZJ37" s="578"/>
      <c r="MZK37" s="578"/>
      <c r="MZL37" s="578"/>
      <c r="MZM37" s="578"/>
      <c r="MZN37" s="578"/>
      <c r="MZO37" s="578"/>
      <c r="MZP37" s="578"/>
      <c r="MZQ37" s="578"/>
      <c r="MZR37" s="578"/>
      <c r="MZS37" s="578"/>
      <c r="MZT37" s="578"/>
      <c r="MZU37" s="578"/>
      <c r="MZV37" s="578"/>
      <c r="MZW37" s="578"/>
      <c r="MZX37" s="578"/>
      <c r="MZY37" s="578"/>
      <c r="MZZ37" s="578"/>
      <c r="NAA37" s="578"/>
      <c r="NAB37" s="578"/>
      <c r="NAC37" s="578"/>
      <c r="NAD37" s="578"/>
      <c r="NAE37" s="578"/>
      <c r="NAF37" s="578"/>
      <c r="NAG37" s="578"/>
      <c r="NAH37" s="578"/>
      <c r="NAI37" s="578"/>
      <c r="NAJ37" s="578"/>
      <c r="NAK37" s="578"/>
      <c r="NAL37" s="578"/>
      <c r="NAM37" s="578"/>
      <c r="NAN37" s="578"/>
      <c r="NAO37" s="578"/>
      <c r="NAP37" s="578"/>
      <c r="NAQ37" s="578"/>
      <c r="NAR37" s="578"/>
      <c r="NAS37" s="578"/>
      <c r="NAT37" s="578"/>
      <c r="NAU37" s="578"/>
      <c r="NAV37" s="578"/>
      <c r="NAW37" s="578"/>
      <c r="NAX37" s="578"/>
      <c r="NAY37" s="578"/>
      <c r="NAZ37" s="578"/>
      <c r="NBA37" s="578"/>
      <c r="NBB37" s="578"/>
      <c r="NBC37" s="578"/>
      <c r="NBD37" s="578"/>
      <c r="NBE37" s="578"/>
      <c r="NBF37" s="578"/>
      <c r="NBG37" s="578"/>
      <c r="NBH37" s="578"/>
      <c r="NBI37" s="578"/>
      <c r="NBJ37" s="578"/>
      <c r="NBK37" s="578"/>
      <c r="NBL37" s="578"/>
      <c r="NBM37" s="578"/>
      <c r="NBN37" s="578"/>
      <c r="NBO37" s="578"/>
      <c r="NBP37" s="578"/>
      <c r="NBQ37" s="578"/>
      <c r="NBR37" s="578"/>
      <c r="NBS37" s="578"/>
      <c r="NBT37" s="578"/>
      <c r="NBU37" s="578"/>
      <c r="NBV37" s="578"/>
      <c r="NBW37" s="578"/>
      <c r="NBX37" s="578"/>
      <c r="NBY37" s="578"/>
      <c r="NBZ37" s="578"/>
      <c r="NCA37" s="578"/>
      <c r="NCB37" s="578"/>
      <c r="NCC37" s="578"/>
      <c r="NCD37" s="578"/>
      <c r="NCE37" s="578"/>
      <c r="NCF37" s="578"/>
      <c r="NCG37" s="578"/>
      <c r="NCH37" s="578"/>
      <c r="NCI37" s="578"/>
      <c r="NCJ37" s="578"/>
      <c r="NCK37" s="578"/>
      <c r="NCL37" s="578"/>
      <c r="NCM37" s="578"/>
      <c r="NCN37" s="578"/>
      <c r="NCO37" s="578"/>
      <c r="NCP37" s="578"/>
      <c r="NCQ37" s="578"/>
      <c r="NCR37" s="578"/>
      <c r="NCS37" s="578"/>
      <c r="NCT37" s="578"/>
      <c r="NCU37" s="578"/>
      <c r="NCV37" s="578"/>
      <c r="NCW37" s="578"/>
      <c r="NCX37" s="578"/>
      <c r="NCY37" s="578"/>
      <c r="NCZ37" s="578"/>
      <c r="NDA37" s="578"/>
      <c r="NDB37" s="578"/>
      <c r="NDC37" s="578"/>
      <c r="NDD37" s="578"/>
      <c r="NDE37" s="578"/>
      <c r="NDF37" s="578"/>
      <c r="NDG37" s="578"/>
      <c r="NDH37" s="578"/>
      <c r="NDI37" s="578"/>
      <c r="NDJ37" s="578"/>
      <c r="NDK37" s="578"/>
      <c r="NDL37" s="578"/>
      <c r="NDM37" s="578"/>
      <c r="NDN37" s="578"/>
      <c r="NDO37" s="578"/>
      <c r="NDP37" s="578"/>
      <c r="NDQ37" s="578"/>
      <c r="NDR37" s="578"/>
      <c r="NDS37" s="578"/>
      <c r="NDT37" s="578"/>
      <c r="NDU37" s="578"/>
      <c r="NDV37" s="578"/>
      <c r="NDW37" s="578"/>
      <c r="NDX37" s="578"/>
      <c r="NDY37" s="578"/>
      <c r="NDZ37" s="578"/>
      <c r="NEA37" s="578"/>
      <c r="NEB37" s="578"/>
      <c r="NEC37" s="578"/>
      <c r="NED37" s="578"/>
      <c r="NEE37" s="578"/>
      <c r="NEF37" s="578"/>
      <c r="NEG37" s="578"/>
      <c r="NEH37" s="578"/>
      <c r="NEI37" s="578"/>
      <c r="NEJ37" s="578"/>
      <c r="NEK37" s="578"/>
      <c r="NEL37" s="578"/>
      <c r="NEM37" s="578"/>
      <c r="NEN37" s="578"/>
      <c r="NEO37" s="578"/>
      <c r="NEP37" s="578"/>
      <c r="NEQ37" s="578"/>
      <c r="NER37" s="578"/>
      <c r="NES37" s="578"/>
      <c r="NET37" s="578"/>
      <c r="NEU37" s="578"/>
      <c r="NEV37" s="578"/>
      <c r="NEW37" s="578"/>
      <c r="NEX37" s="578"/>
      <c r="NEY37" s="578"/>
      <c r="NEZ37" s="578"/>
      <c r="NFA37" s="578"/>
      <c r="NFB37" s="578"/>
      <c r="NFC37" s="578"/>
      <c r="NFD37" s="578"/>
      <c r="NFE37" s="578"/>
      <c r="NFF37" s="578"/>
      <c r="NFG37" s="578"/>
      <c r="NFH37" s="578"/>
      <c r="NFI37" s="578"/>
      <c r="NFJ37" s="578"/>
      <c r="NFK37" s="578"/>
      <c r="NFL37" s="578"/>
      <c r="NFM37" s="578"/>
      <c r="NFN37" s="578"/>
      <c r="NFO37" s="578"/>
      <c r="NFP37" s="578"/>
      <c r="NFQ37" s="578"/>
      <c r="NFR37" s="578"/>
      <c r="NFS37" s="578"/>
      <c r="NFT37" s="578"/>
      <c r="NFU37" s="578"/>
      <c r="NFV37" s="578"/>
      <c r="NFW37" s="578"/>
      <c r="NFX37" s="578"/>
      <c r="NFY37" s="578"/>
      <c r="NFZ37" s="578"/>
      <c r="NGA37" s="578"/>
      <c r="NGB37" s="578"/>
      <c r="NGC37" s="578"/>
      <c r="NGD37" s="578"/>
      <c r="NGE37" s="578"/>
      <c r="NGF37" s="578"/>
      <c r="NGG37" s="578"/>
      <c r="NGH37" s="578"/>
      <c r="NGI37" s="578"/>
      <c r="NGJ37" s="578"/>
      <c r="NGK37" s="578"/>
      <c r="NGL37" s="578"/>
      <c r="NGM37" s="578"/>
      <c r="NGN37" s="578"/>
      <c r="NGO37" s="578"/>
      <c r="NGP37" s="578"/>
      <c r="NGQ37" s="578"/>
      <c r="NGR37" s="578"/>
      <c r="NGS37" s="578"/>
      <c r="NGT37" s="578"/>
      <c r="NGU37" s="578"/>
      <c r="NGV37" s="578"/>
      <c r="NGW37" s="578"/>
      <c r="NGX37" s="578"/>
      <c r="NGY37" s="578"/>
      <c r="NGZ37" s="578"/>
      <c r="NHA37" s="578"/>
      <c r="NHB37" s="578"/>
      <c r="NHC37" s="578"/>
      <c r="NHD37" s="578"/>
      <c r="NHE37" s="578"/>
      <c r="NHF37" s="578"/>
      <c r="NHG37" s="578"/>
      <c r="NHH37" s="578"/>
      <c r="NHI37" s="578"/>
      <c r="NHJ37" s="578"/>
      <c r="NHK37" s="578"/>
      <c r="NHL37" s="578"/>
      <c r="NHM37" s="578"/>
      <c r="NHN37" s="578"/>
      <c r="NHO37" s="578"/>
      <c r="NHP37" s="578"/>
      <c r="NHQ37" s="578"/>
      <c r="NHR37" s="578"/>
      <c r="NHS37" s="578"/>
      <c r="NHT37" s="578"/>
      <c r="NHU37" s="578"/>
      <c r="NHV37" s="578"/>
      <c r="NHW37" s="578"/>
      <c r="NHX37" s="578"/>
      <c r="NHY37" s="578"/>
      <c r="NHZ37" s="578"/>
      <c r="NIA37" s="578"/>
      <c r="NIB37" s="578"/>
      <c r="NIC37" s="578"/>
      <c r="NID37" s="578"/>
      <c r="NIE37" s="578"/>
      <c r="NIF37" s="578"/>
      <c r="NIG37" s="578"/>
      <c r="NIH37" s="578"/>
      <c r="NII37" s="578"/>
      <c r="NIJ37" s="578"/>
      <c r="NIK37" s="578"/>
      <c r="NIL37" s="578"/>
      <c r="NIM37" s="578"/>
      <c r="NIN37" s="578"/>
      <c r="NIO37" s="578"/>
      <c r="NIP37" s="578"/>
      <c r="NIQ37" s="578"/>
      <c r="NIR37" s="578"/>
      <c r="NIS37" s="578"/>
      <c r="NIT37" s="578"/>
      <c r="NIU37" s="578"/>
      <c r="NIV37" s="578"/>
      <c r="NIW37" s="578"/>
      <c r="NIX37" s="578"/>
      <c r="NIY37" s="578"/>
      <c r="NIZ37" s="578"/>
      <c r="NJA37" s="578"/>
      <c r="NJB37" s="578"/>
      <c r="NJC37" s="578"/>
      <c r="NJD37" s="578"/>
      <c r="NJE37" s="578"/>
      <c r="NJF37" s="578"/>
      <c r="NJG37" s="578"/>
      <c r="NJH37" s="578"/>
      <c r="NJI37" s="578"/>
      <c r="NJJ37" s="578"/>
      <c r="NJK37" s="578"/>
      <c r="NJL37" s="578"/>
      <c r="NJM37" s="578"/>
      <c r="NJN37" s="578"/>
      <c r="NJO37" s="578"/>
      <c r="NJP37" s="578"/>
      <c r="NJQ37" s="578"/>
      <c r="NJR37" s="578"/>
      <c r="NJS37" s="578"/>
      <c r="NJT37" s="578"/>
      <c r="NJU37" s="578"/>
      <c r="NJV37" s="578"/>
      <c r="NJW37" s="578"/>
      <c r="NJX37" s="578"/>
      <c r="NJY37" s="578"/>
      <c r="NJZ37" s="578"/>
      <c r="NKA37" s="578"/>
      <c r="NKB37" s="578"/>
      <c r="NKC37" s="578"/>
      <c r="NKD37" s="578"/>
      <c r="NKE37" s="578"/>
      <c r="NKF37" s="578"/>
      <c r="NKG37" s="578"/>
      <c r="NKH37" s="578"/>
      <c r="NKI37" s="578"/>
      <c r="NKJ37" s="578"/>
      <c r="NKK37" s="578"/>
      <c r="NKL37" s="578"/>
      <c r="NKM37" s="578"/>
      <c r="NKN37" s="578"/>
      <c r="NKO37" s="578"/>
      <c r="NKP37" s="578"/>
      <c r="NKQ37" s="578"/>
      <c r="NKR37" s="578"/>
      <c r="NKS37" s="578"/>
      <c r="NKT37" s="578"/>
      <c r="NKU37" s="578"/>
      <c r="NKV37" s="578"/>
      <c r="NKW37" s="578"/>
      <c r="NKX37" s="578"/>
      <c r="NKY37" s="578"/>
      <c r="NKZ37" s="578"/>
      <c r="NLA37" s="578"/>
      <c r="NLB37" s="578"/>
      <c r="NLC37" s="578"/>
      <c r="NLD37" s="578"/>
      <c r="NLE37" s="578"/>
      <c r="NLF37" s="578"/>
      <c r="NLG37" s="578"/>
      <c r="NLH37" s="578"/>
      <c r="NLI37" s="578"/>
      <c r="NLJ37" s="578"/>
      <c r="NLK37" s="578"/>
      <c r="NLL37" s="578"/>
      <c r="NLM37" s="578"/>
      <c r="NLN37" s="578"/>
      <c r="NLO37" s="578"/>
      <c r="NLP37" s="578"/>
      <c r="NLQ37" s="578"/>
      <c r="NLR37" s="578"/>
      <c r="NLS37" s="578"/>
      <c r="NLT37" s="578"/>
      <c r="NLU37" s="578"/>
      <c r="NLV37" s="578"/>
      <c r="NLW37" s="578"/>
      <c r="NLX37" s="578"/>
      <c r="NLY37" s="578"/>
      <c r="NLZ37" s="578"/>
      <c r="NMA37" s="578"/>
      <c r="NMB37" s="578"/>
      <c r="NMC37" s="578"/>
      <c r="NMD37" s="578"/>
      <c r="NME37" s="578"/>
      <c r="NMF37" s="578"/>
      <c r="NMG37" s="578"/>
      <c r="NMH37" s="578"/>
      <c r="NMI37" s="578"/>
      <c r="NMJ37" s="578"/>
      <c r="NMK37" s="578"/>
      <c r="NML37" s="578"/>
      <c r="NMM37" s="578"/>
      <c r="NMN37" s="578"/>
      <c r="NMO37" s="578"/>
      <c r="NMP37" s="578"/>
      <c r="NMQ37" s="578"/>
      <c r="NMR37" s="578"/>
      <c r="NMS37" s="578"/>
      <c r="NMT37" s="578"/>
      <c r="NMU37" s="578"/>
      <c r="NMV37" s="578"/>
      <c r="NMW37" s="578"/>
      <c r="NMX37" s="578"/>
      <c r="NMY37" s="578"/>
      <c r="NMZ37" s="578"/>
      <c r="NNA37" s="578"/>
      <c r="NNB37" s="578"/>
      <c r="NNC37" s="578"/>
      <c r="NND37" s="578"/>
      <c r="NNE37" s="578"/>
      <c r="NNF37" s="578"/>
      <c r="NNG37" s="578"/>
      <c r="NNH37" s="578"/>
      <c r="NNI37" s="578"/>
      <c r="NNJ37" s="578"/>
      <c r="NNK37" s="578"/>
      <c r="NNL37" s="578"/>
      <c r="NNM37" s="578"/>
      <c r="NNN37" s="578"/>
      <c r="NNO37" s="578"/>
      <c r="NNP37" s="578"/>
      <c r="NNQ37" s="578"/>
      <c r="NNR37" s="578"/>
      <c r="NNS37" s="578"/>
      <c r="NNT37" s="578"/>
      <c r="NNU37" s="578"/>
      <c r="NNV37" s="578"/>
      <c r="NNW37" s="578"/>
      <c r="NNX37" s="578"/>
      <c r="NNY37" s="578"/>
      <c r="NNZ37" s="578"/>
      <c r="NOA37" s="578"/>
      <c r="NOB37" s="578"/>
      <c r="NOC37" s="578"/>
      <c r="NOD37" s="578"/>
      <c r="NOE37" s="578"/>
      <c r="NOF37" s="578"/>
      <c r="NOG37" s="578"/>
      <c r="NOH37" s="578"/>
      <c r="NOI37" s="578"/>
      <c r="NOJ37" s="578"/>
      <c r="NOK37" s="578"/>
      <c r="NOL37" s="578"/>
      <c r="NOM37" s="578"/>
      <c r="NON37" s="578"/>
      <c r="NOO37" s="578"/>
      <c r="NOP37" s="578"/>
      <c r="NOQ37" s="578"/>
      <c r="NOR37" s="578"/>
      <c r="NOS37" s="578"/>
      <c r="NOT37" s="578"/>
      <c r="NOU37" s="578"/>
      <c r="NOV37" s="578"/>
      <c r="NOW37" s="578"/>
      <c r="NOX37" s="578"/>
      <c r="NOY37" s="578"/>
      <c r="NOZ37" s="578"/>
      <c r="NPA37" s="578"/>
      <c r="NPB37" s="578"/>
      <c r="NPC37" s="578"/>
      <c r="NPD37" s="578"/>
      <c r="NPE37" s="578"/>
      <c r="NPF37" s="578"/>
      <c r="NPG37" s="578"/>
      <c r="NPH37" s="578"/>
      <c r="NPI37" s="578"/>
      <c r="NPJ37" s="578"/>
      <c r="NPK37" s="578"/>
      <c r="NPL37" s="578"/>
      <c r="NPM37" s="578"/>
      <c r="NPN37" s="578"/>
      <c r="NPO37" s="578"/>
      <c r="NPP37" s="578"/>
      <c r="NPQ37" s="578"/>
      <c r="NPR37" s="578"/>
      <c r="NPS37" s="578"/>
      <c r="NPT37" s="578"/>
      <c r="NPU37" s="578"/>
      <c r="NPV37" s="578"/>
      <c r="NPW37" s="578"/>
      <c r="NPX37" s="578"/>
      <c r="NPY37" s="578"/>
      <c r="NPZ37" s="578"/>
      <c r="NQA37" s="578"/>
      <c r="NQB37" s="578"/>
      <c r="NQC37" s="578"/>
      <c r="NQD37" s="578"/>
      <c r="NQE37" s="578"/>
      <c r="NQF37" s="578"/>
      <c r="NQG37" s="578"/>
      <c r="NQH37" s="578"/>
      <c r="NQI37" s="578"/>
      <c r="NQJ37" s="578"/>
      <c r="NQK37" s="578"/>
      <c r="NQL37" s="578"/>
      <c r="NQM37" s="578"/>
      <c r="NQN37" s="578"/>
      <c r="NQO37" s="578"/>
      <c r="NQP37" s="578"/>
      <c r="NQQ37" s="578"/>
      <c r="NQR37" s="578"/>
      <c r="NQS37" s="578"/>
      <c r="NQT37" s="578"/>
      <c r="NQU37" s="578"/>
      <c r="NQV37" s="578"/>
      <c r="NQW37" s="578"/>
      <c r="NQX37" s="578"/>
      <c r="NQY37" s="578"/>
      <c r="NQZ37" s="578"/>
      <c r="NRA37" s="578"/>
      <c r="NRB37" s="578"/>
      <c r="NRC37" s="578"/>
      <c r="NRD37" s="578"/>
      <c r="NRE37" s="578"/>
      <c r="NRF37" s="578"/>
      <c r="NRG37" s="578"/>
      <c r="NRH37" s="578"/>
      <c r="NRI37" s="578"/>
      <c r="NRJ37" s="578"/>
      <c r="NRK37" s="578"/>
      <c r="NRL37" s="578"/>
      <c r="NRM37" s="578"/>
      <c r="NRN37" s="578"/>
      <c r="NRO37" s="578"/>
      <c r="NRP37" s="578"/>
      <c r="NRQ37" s="578"/>
      <c r="NRR37" s="578"/>
      <c r="NRS37" s="578"/>
      <c r="NRT37" s="578"/>
      <c r="NRU37" s="578"/>
      <c r="NRV37" s="578"/>
      <c r="NRW37" s="578"/>
      <c r="NRX37" s="578"/>
      <c r="NRY37" s="578"/>
      <c r="NRZ37" s="578"/>
      <c r="NSA37" s="578"/>
      <c r="NSB37" s="578"/>
      <c r="NSC37" s="578"/>
      <c r="NSD37" s="578"/>
      <c r="NSE37" s="578"/>
      <c r="NSF37" s="578"/>
      <c r="NSG37" s="578"/>
      <c r="NSH37" s="578"/>
      <c r="NSI37" s="578"/>
      <c r="NSJ37" s="578"/>
      <c r="NSK37" s="578"/>
      <c r="NSL37" s="578"/>
      <c r="NSM37" s="578"/>
      <c r="NSN37" s="578"/>
      <c r="NSO37" s="578"/>
      <c r="NSP37" s="578"/>
      <c r="NSQ37" s="578"/>
      <c r="NSR37" s="578"/>
      <c r="NSS37" s="578"/>
      <c r="NST37" s="578"/>
      <c r="NSU37" s="578"/>
      <c r="NSV37" s="578"/>
      <c r="NSW37" s="578"/>
      <c r="NSX37" s="578"/>
      <c r="NSY37" s="578"/>
      <c r="NSZ37" s="578"/>
      <c r="NTA37" s="578"/>
      <c r="NTB37" s="578"/>
      <c r="NTC37" s="578"/>
      <c r="NTD37" s="578"/>
      <c r="NTE37" s="578"/>
      <c r="NTF37" s="578"/>
      <c r="NTG37" s="578"/>
      <c r="NTH37" s="578"/>
      <c r="NTI37" s="578"/>
      <c r="NTJ37" s="578"/>
      <c r="NTK37" s="578"/>
      <c r="NTL37" s="578"/>
      <c r="NTM37" s="578"/>
      <c r="NTN37" s="578"/>
      <c r="NTO37" s="578"/>
      <c r="NTP37" s="578"/>
      <c r="NTQ37" s="578"/>
      <c r="NTR37" s="578"/>
      <c r="NTS37" s="578"/>
      <c r="NTT37" s="578"/>
      <c r="NTU37" s="578"/>
      <c r="NTV37" s="578"/>
      <c r="NTW37" s="578"/>
      <c r="NTX37" s="578"/>
      <c r="NTY37" s="578"/>
      <c r="NTZ37" s="578"/>
      <c r="NUA37" s="578"/>
      <c r="NUB37" s="578"/>
      <c r="NUC37" s="578"/>
      <c r="NUD37" s="578"/>
      <c r="NUE37" s="578"/>
      <c r="NUF37" s="578"/>
      <c r="NUG37" s="578"/>
      <c r="NUH37" s="578"/>
      <c r="NUI37" s="578"/>
      <c r="NUJ37" s="578"/>
      <c r="NUK37" s="578"/>
      <c r="NUL37" s="578"/>
      <c r="NUM37" s="578"/>
      <c r="NUN37" s="578"/>
      <c r="NUO37" s="578"/>
      <c r="NUP37" s="578"/>
      <c r="NUQ37" s="578"/>
      <c r="NUR37" s="578"/>
      <c r="NUS37" s="578"/>
      <c r="NUT37" s="578"/>
      <c r="NUU37" s="578"/>
      <c r="NUV37" s="578"/>
      <c r="NUW37" s="578"/>
      <c r="NUX37" s="578"/>
      <c r="NUY37" s="578"/>
      <c r="NUZ37" s="578"/>
      <c r="NVA37" s="578"/>
      <c r="NVB37" s="578"/>
      <c r="NVC37" s="578"/>
      <c r="NVD37" s="578"/>
      <c r="NVE37" s="578"/>
      <c r="NVF37" s="578"/>
      <c r="NVG37" s="578"/>
      <c r="NVH37" s="578"/>
      <c r="NVI37" s="578"/>
      <c r="NVJ37" s="578"/>
      <c r="NVK37" s="578"/>
      <c r="NVL37" s="578"/>
      <c r="NVM37" s="578"/>
      <c r="NVN37" s="578"/>
      <c r="NVO37" s="578"/>
      <c r="NVP37" s="578"/>
      <c r="NVQ37" s="578"/>
      <c r="NVR37" s="578"/>
      <c r="NVS37" s="578"/>
      <c r="NVT37" s="578"/>
      <c r="NVU37" s="578"/>
      <c r="NVV37" s="578"/>
      <c r="NVW37" s="578"/>
      <c r="NVX37" s="578"/>
      <c r="NVY37" s="578"/>
      <c r="NVZ37" s="578"/>
      <c r="NWA37" s="578"/>
      <c r="NWB37" s="578"/>
      <c r="NWC37" s="578"/>
      <c r="NWD37" s="578"/>
      <c r="NWE37" s="578"/>
      <c r="NWF37" s="578"/>
      <c r="NWG37" s="578"/>
      <c r="NWH37" s="578"/>
      <c r="NWI37" s="578"/>
      <c r="NWJ37" s="578"/>
      <c r="NWK37" s="578"/>
      <c r="NWL37" s="578"/>
      <c r="NWM37" s="578"/>
      <c r="NWN37" s="578"/>
      <c r="NWO37" s="578"/>
      <c r="NWP37" s="578"/>
      <c r="NWQ37" s="578"/>
      <c r="NWR37" s="578"/>
      <c r="NWS37" s="578"/>
      <c r="NWT37" s="578"/>
      <c r="NWU37" s="578"/>
      <c r="NWV37" s="578"/>
      <c r="NWW37" s="578"/>
      <c r="NWX37" s="578"/>
      <c r="NWY37" s="578"/>
      <c r="NWZ37" s="578"/>
      <c r="NXA37" s="578"/>
      <c r="NXB37" s="578"/>
      <c r="NXC37" s="578"/>
      <c r="NXD37" s="578"/>
      <c r="NXE37" s="578"/>
      <c r="NXF37" s="578"/>
      <c r="NXG37" s="578"/>
      <c r="NXH37" s="578"/>
      <c r="NXI37" s="578"/>
      <c r="NXJ37" s="578"/>
      <c r="NXK37" s="578"/>
      <c r="NXL37" s="578"/>
      <c r="NXM37" s="578"/>
      <c r="NXN37" s="578"/>
      <c r="NXO37" s="578"/>
      <c r="NXP37" s="578"/>
      <c r="NXQ37" s="578"/>
      <c r="NXR37" s="578"/>
      <c r="NXS37" s="578"/>
      <c r="NXT37" s="578"/>
      <c r="NXU37" s="578"/>
      <c r="NXV37" s="578"/>
      <c r="NXW37" s="578"/>
      <c r="NXX37" s="578"/>
      <c r="NXY37" s="578"/>
      <c r="NXZ37" s="578"/>
      <c r="NYA37" s="578"/>
      <c r="NYB37" s="578"/>
      <c r="NYC37" s="578"/>
      <c r="NYD37" s="578"/>
      <c r="NYE37" s="578"/>
      <c r="NYF37" s="578"/>
      <c r="NYG37" s="578"/>
      <c r="NYH37" s="578"/>
      <c r="NYI37" s="578"/>
      <c r="NYJ37" s="578"/>
      <c r="NYK37" s="578"/>
      <c r="NYL37" s="578"/>
      <c r="NYM37" s="578"/>
      <c r="NYN37" s="578"/>
      <c r="NYO37" s="578"/>
      <c r="NYP37" s="578"/>
      <c r="NYQ37" s="578"/>
      <c r="NYR37" s="578"/>
      <c r="NYS37" s="578"/>
      <c r="NYT37" s="578"/>
      <c r="NYU37" s="578"/>
      <c r="NYV37" s="578"/>
      <c r="NYW37" s="578"/>
      <c r="NYX37" s="578"/>
      <c r="NYY37" s="578"/>
      <c r="NYZ37" s="578"/>
      <c r="NZA37" s="578"/>
      <c r="NZB37" s="578"/>
      <c r="NZC37" s="578"/>
      <c r="NZD37" s="578"/>
      <c r="NZE37" s="578"/>
      <c r="NZF37" s="578"/>
      <c r="NZG37" s="578"/>
      <c r="NZH37" s="578"/>
      <c r="NZI37" s="578"/>
      <c r="NZJ37" s="578"/>
      <c r="NZK37" s="578"/>
      <c r="NZL37" s="578"/>
      <c r="NZM37" s="578"/>
      <c r="NZN37" s="578"/>
      <c r="NZO37" s="578"/>
      <c r="NZP37" s="578"/>
      <c r="NZQ37" s="578"/>
      <c r="NZR37" s="578"/>
      <c r="NZS37" s="578"/>
      <c r="NZT37" s="578"/>
      <c r="NZU37" s="578"/>
      <c r="NZV37" s="578"/>
      <c r="NZW37" s="578"/>
      <c r="NZX37" s="578"/>
      <c r="NZY37" s="578"/>
      <c r="NZZ37" s="578"/>
      <c r="OAA37" s="578"/>
      <c r="OAB37" s="578"/>
      <c r="OAC37" s="578"/>
      <c r="OAD37" s="578"/>
      <c r="OAE37" s="578"/>
      <c r="OAF37" s="578"/>
      <c r="OAG37" s="578"/>
      <c r="OAH37" s="578"/>
      <c r="OAI37" s="578"/>
      <c r="OAJ37" s="578"/>
      <c r="OAK37" s="578"/>
      <c r="OAL37" s="578"/>
      <c r="OAM37" s="578"/>
      <c r="OAN37" s="578"/>
      <c r="OAO37" s="578"/>
      <c r="OAP37" s="578"/>
      <c r="OAQ37" s="578"/>
      <c r="OAR37" s="578"/>
      <c r="OAS37" s="578"/>
      <c r="OAT37" s="578"/>
      <c r="OAU37" s="578"/>
      <c r="OAV37" s="578"/>
      <c r="OAW37" s="578"/>
      <c r="OAX37" s="578"/>
      <c r="OAY37" s="578"/>
      <c r="OAZ37" s="578"/>
      <c r="OBA37" s="578"/>
      <c r="OBB37" s="578"/>
      <c r="OBC37" s="578"/>
      <c r="OBD37" s="578"/>
      <c r="OBE37" s="578"/>
      <c r="OBF37" s="578"/>
      <c r="OBG37" s="578"/>
      <c r="OBH37" s="578"/>
      <c r="OBI37" s="578"/>
      <c r="OBJ37" s="578"/>
      <c r="OBK37" s="578"/>
      <c r="OBL37" s="578"/>
      <c r="OBM37" s="578"/>
      <c r="OBN37" s="578"/>
      <c r="OBO37" s="578"/>
      <c r="OBP37" s="578"/>
      <c r="OBQ37" s="578"/>
      <c r="OBR37" s="578"/>
      <c r="OBS37" s="578"/>
      <c r="OBT37" s="578"/>
      <c r="OBU37" s="578"/>
      <c r="OBV37" s="578"/>
      <c r="OBW37" s="578"/>
      <c r="OBX37" s="578"/>
      <c r="OBY37" s="578"/>
      <c r="OBZ37" s="578"/>
      <c r="OCA37" s="578"/>
      <c r="OCB37" s="578"/>
      <c r="OCC37" s="578"/>
      <c r="OCD37" s="578"/>
      <c r="OCE37" s="578"/>
      <c r="OCF37" s="578"/>
      <c r="OCG37" s="578"/>
      <c r="OCH37" s="578"/>
      <c r="OCI37" s="578"/>
      <c r="OCJ37" s="578"/>
      <c r="OCK37" s="578"/>
      <c r="OCL37" s="578"/>
      <c r="OCM37" s="578"/>
      <c r="OCN37" s="578"/>
      <c r="OCO37" s="578"/>
      <c r="OCP37" s="578"/>
      <c r="OCQ37" s="578"/>
      <c r="OCR37" s="578"/>
      <c r="OCS37" s="578"/>
      <c r="OCT37" s="578"/>
      <c r="OCU37" s="578"/>
      <c r="OCV37" s="578"/>
      <c r="OCW37" s="578"/>
      <c r="OCX37" s="578"/>
      <c r="OCY37" s="578"/>
      <c r="OCZ37" s="578"/>
      <c r="ODA37" s="578"/>
      <c r="ODB37" s="578"/>
      <c r="ODC37" s="578"/>
      <c r="ODD37" s="578"/>
      <c r="ODE37" s="578"/>
      <c r="ODF37" s="578"/>
      <c r="ODG37" s="578"/>
      <c r="ODH37" s="578"/>
      <c r="ODI37" s="578"/>
      <c r="ODJ37" s="578"/>
      <c r="ODK37" s="578"/>
      <c r="ODL37" s="578"/>
      <c r="ODM37" s="578"/>
      <c r="ODN37" s="578"/>
      <c r="ODO37" s="578"/>
      <c r="ODP37" s="578"/>
      <c r="ODQ37" s="578"/>
      <c r="ODR37" s="578"/>
      <c r="ODS37" s="578"/>
      <c r="ODT37" s="578"/>
      <c r="ODU37" s="578"/>
      <c r="ODV37" s="578"/>
      <c r="ODW37" s="578"/>
      <c r="ODX37" s="578"/>
      <c r="ODY37" s="578"/>
      <c r="ODZ37" s="578"/>
      <c r="OEA37" s="578"/>
      <c r="OEB37" s="578"/>
      <c r="OEC37" s="578"/>
      <c r="OED37" s="578"/>
      <c r="OEE37" s="578"/>
      <c r="OEF37" s="578"/>
      <c r="OEG37" s="578"/>
      <c r="OEH37" s="578"/>
      <c r="OEI37" s="578"/>
      <c r="OEJ37" s="578"/>
      <c r="OEK37" s="578"/>
      <c r="OEL37" s="578"/>
      <c r="OEM37" s="578"/>
      <c r="OEN37" s="578"/>
      <c r="OEO37" s="578"/>
      <c r="OEP37" s="578"/>
      <c r="OEQ37" s="578"/>
      <c r="OER37" s="578"/>
      <c r="OES37" s="578"/>
      <c r="OET37" s="578"/>
      <c r="OEU37" s="578"/>
      <c r="OEV37" s="578"/>
      <c r="OEW37" s="578"/>
      <c r="OEX37" s="578"/>
      <c r="OEY37" s="578"/>
      <c r="OEZ37" s="578"/>
      <c r="OFA37" s="578"/>
      <c r="OFB37" s="578"/>
      <c r="OFC37" s="578"/>
      <c r="OFD37" s="578"/>
      <c r="OFE37" s="578"/>
      <c r="OFF37" s="578"/>
      <c r="OFG37" s="578"/>
      <c r="OFH37" s="578"/>
      <c r="OFI37" s="578"/>
      <c r="OFJ37" s="578"/>
      <c r="OFK37" s="578"/>
      <c r="OFL37" s="578"/>
      <c r="OFM37" s="578"/>
      <c r="OFN37" s="578"/>
      <c r="OFO37" s="578"/>
      <c r="OFP37" s="578"/>
      <c r="OFQ37" s="578"/>
      <c r="OFR37" s="578"/>
      <c r="OFS37" s="578"/>
      <c r="OFT37" s="578"/>
      <c r="OFU37" s="578"/>
      <c r="OFV37" s="578"/>
      <c r="OFW37" s="578"/>
      <c r="OFX37" s="578"/>
      <c r="OFY37" s="578"/>
      <c r="OFZ37" s="578"/>
      <c r="OGA37" s="578"/>
      <c r="OGB37" s="578"/>
      <c r="OGC37" s="578"/>
      <c r="OGD37" s="578"/>
      <c r="OGE37" s="578"/>
      <c r="OGF37" s="578"/>
      <c r="OGG37" s="578"/>
      <c r="OGH37" s="578"/>
      <c r="OGI37" s="578"/>
      <c r="OGJ37" s="578"/>
      <c r="OGK37" s="578"/>
      <c r="OGL37" s="578"/>
      <c r="OGM37" s="578"/>
      <c r="OGN37" s="578"/>
      <c r="OGO37" s="578"/>
      <c r="OGP37" s="578"/>
      <c r="OGQ37" s="578"/>
      <c r="OGR37" s="578"/>
      <c r="OGS37" s="578"/>
      <c r="OGT37" s="578"/>
      <c r="OGU37" s="578"/>
      <c r="OGV37" s="578"/>
      <c r="OGW37" s="578"/>
      <c r="OGX37" s="578"/>
      <c r="OGY37" s="578"/>
      <c r="OGZ37" s="578"/>
      <c r="OHA37" s="578"/>
      <c r="OHB37" s="578"/>
      <c r="OHC37" s="578"/>
      <c r="OHD37" s="578"/>
      <c r="OHE37" s="578"/>
      <c r="OHF37" s="578"/>
      <c r="OHG37" s="578"/>
      <c r="OHH37" s="578"/>
      <c r="OHI37" s="578"/>
      <c r="OHJ37" s="578"/>
      <c r="OHK37" s="578"/>
      <c r="OHL37" s="578"/>
      <c r="OHM37" s="578"/>
      <c r="OHN37" s="578"/>
      <c r="OHO37" s="578"/>
      <c r="OHP37" s="578"/>
      <c r="OHQ37" s="578"/>
      <c r="OHR37" s="578"/>
      <c r="OHS37" s="578"/>
      <c r="OHT37" s="578"/>
      <c r="OHU37" s="578"/>
      <c r="OHV37" s="578"/>
      <c r="OHW37" s="578"/>
      <c r="OHX37" s="578"/>
      <c r="OHY37" s="578"/>
      <c r="OHZ37" s="578"/>
      <c r="OIA37" s="578"/>
      <c r="OIB37" s="578"/>
      <c r="OIC37" s="578"/>
      <c r="OID37" s="578"/>
      <c r="OIE37" s="578"/>
      <c r="OIF37" s="578"/>
      <c r="OIG37" s="578"/>
      <c r="OIH37" s="578"/>
      <c r="OII37" s="578"/>
      <c r="OIJ37" s="578"/>
      <c r="OIK37" s="578"/>
      <c r="OIL37" s="578"/>
      <c r="OIM37" s="578"/>
      <c r="OIN37" s="578"/>
      <c r="OIO37" s="578"/>
      <c r="OIP37" s="578"/>
      <c r="OIQ37" s="578"/>
      <c r="OIR37" s="578"/>
      <c r="OIS37" s="578"/>
      <c r="OIT37" s="578"/>
      <c r="OIU37" s="578"/>
      <c r="OIV37" s="578"/>
      <c r="OIW37" s="578"/>
      <c r="OIX37" s="578"/>
      <c r="OIY37" s="578"/>
      <c r="OIZ37" s="578"/>
      <c r="OJA37" s="578"/>
      <c r="OJB37" s="578"/>
      <c r="OJC37" s="578"/>
      <c r="OJD37" s="578"/>
      <c r="OJE37" s="578"/>
      <c r="OJF37" s="578"/>
      <c r="OJG37" s="578"/>
      <c r="OJH37" s="578"/>
      <c r="OJI37" s="578"/>
      <c r="OJJ37" s="578"/>
      <c r="OJK37" s="578"/>
      <c r="OJL37" s="578"/>
      <c r="OJM37" s="578"/>
      <c r="OJN37" s="578"/>
      <c r="OJO37" s="578"/>
      <c r="OJP37" s="578"/>
      <c r="OJQ37" s="578"/>
      <c r="OJR37" s="578"/>
      <c r="OJS37" s="578"/>
      <c r="OJT37" s="578"/>
      <c r="OJU37" s="578"/>
      <c r="OJV37" s="578"/>
      <c r="OJW37" s="578"/>
      <c r="OJX37" s="578"/>
      <c r="OJY37" s="578"/>
      <c r="OJZ37" s="578"/>
      <c r="OKA37" s="578"/>
      <c r="OKB37" s="578"/>
      <c r="OKC37" s="578"/>
      <c r="OKD37" s="578"/>
      <c r="OKE37" s="578"/>
      <c r="OKF37" s="578"/>
      <c r="OKG37" s="578"/>
      <c r="OKH37" s="578"/>
      <c r="OKI37" s="578"/>
      <c r="OKJ37" s="578"/>
      <c r="OKK37" s="578"/>
      <c r="OKL37" s="578"/>
      <c r="OKM37" s="578"/>
      <c r="OKN37" s="578"/>
      <c r="OKO37" s="578"/>
      <c r="OKP37" s="578"/>
      <c r="OKQ37" s="578"/>
      <c r="OKR37" s="578"/>
      <c r="OKS37" s="578"/>
      <c r="OKT37" s="578"/>
      <c r="OKU37" s="578"/>
      <c r="OKV37" s="578"/>
      <c r="OKW37" s="578"/>
      <c r="OKX37" s="578"/>
      <c r="OKY37" s="578"/>
      <c r="OKZ37" s="578"/>
      <c r="OLA37" s="578"/>
      <c r="OLB37" s="578"/>
      <c r="OLC37" s="578"/>
      <c r="OLD37" s="578"/>
      <c r="OLE37" s="578"/>
      <c r="OLF37" s="578"/>
      <c r="OLG37" s="578"/>
      <c r="OLH37" s="578"/>
      <c r="OLI37" s="578"/>
      <c r="OLJ37" s="578"/>
      <c r="OLK37" s="578"/>
      <c r="OLL37" s="578"/>
      <c r="OLM37" s="578"/>
      <c r="OLN37" s="578"/>
      <c r="OLO37" s="578"/>
      <c r="OLP37" s="578"/>
      <c r="OLQ37" s="578"/>
      <c r="OLR37" s="578"/>
      <c r="OLS37" s="578"/>
      <c r="OLT37" s="578"/>
      <c r="OLU37" s="578"/>
      <c r="OLV37" s="578"/>
      <c r="OLW37" s="578"/>
      <c r="OLX37" s="578"/>
      <c r="OLY37" s="578"/>
      <c r="OLZ37" s="578"/>
      <c r="OMA37" s="578"/>
      <c r="OMB37" s="578"/>
      <c r="OMC37" s="578"/>
      <c r="OMD37" s="578"/>
      <c r="OME37" s="578"/>
      <c r="OMF37" s="578"/>
      <c r="OMG37" s="578"/>
      <c r="OMH37" s="578"/>
      <c r="OMI37" s="578"/>
      <c r="OMJ37" s="578"/>
      <c r="OMK37" s="578"/>
      <c r="OML37" s="578"/>
      <c r="OMM37" s="578"/>
      <c r="OMN37" s="578"/>
      <c r="OMO37" s="578"/>
      <c r="OMP37" s="578"/>
      <c r="OMQ37" s="578"/>
      <c r="OMR37" s="578"/>
      <c r="OMS37" s="578"/>
      <c r="OMT37" s="578"/>
      <c r="OMU37" s="578"/>
      <c r="OMV37" s="578"/>
      <c r="OMW37" s="578"/>
      <c r="OMX37" s="578"/>
      <c r="OMY37" s="578"/>
      <c r="OMZ37" s="578"/>
      <c r="ONA37" s="578"/>
      <c r="ONB37" s="578"/>
      <c r="ONC37" s="578"/>
      <c r="OND37" s="578"/>
      <c r="ONE37" s="578"/>
      <c r="ONF37" s="578"/>
      <c r="ONG37" s="578"/>
      <c r="ONH37" s="578"/>
      <c r="ONI37" s="578"/>
      <c r="ONJ37" s="578"/>
      <c r="ONK37" s="578"/>
      <c r="ONL37" s="578"/>
      <c r="ONM37" s="578"/>
      <c r="ONN37" s="578"/>
      <c r="ONO37" s="578"/>
      <c r="ONP37" s="578"/>
      <c r="ONQ37" s="578"/>
      <c r="ONR37" s="578"/>
      <c r="ONS37" s="578"/>
      <c r="ONT37" s="578"/>
      <c r="ONU37" s="578"/>
      <c r="ONV37" s="578"/>
      <c r="ONW37" s="578"/>
      <c r="ONX37" s="578"/>
      <c r="ONY37" s="578"/>
      <c r="ONZ37" s="578"/>
      <c r="OOA37" s="578"/>
      <c r="OOB37" s="578"/>
      <c r="OOC37" s="578"/>
      <c r="OOD37" s="578"/>
      <c r="OOE37" s="578"/>
      <c r="OOF37" s="578"/>
      <c r="OOG37" s="578"/>
      <c r="OOH37" s="578"/>
      <c r="OOI37" s="578"/>
      <c r="OOJ37" s="578"/>
      <c r="OOK37" s="578"/>
      <c r="OOL37" s="578"/>
      <c r="OOM37" s="578"/>
      <c r="OON37" s="578"/>
      <c r="OOO37" s="578"/>
      <c r="OOP37" s="578"/>
      <c r="OOQ37" s="578"/>
      <c r="OOR37" s="578"/>
      <c r="OOS37" s="578"/>
      <c r="OOT37" s="578"/>
      <c r="OOU37" s="578"/>
      <c r="OOV37" s="578"/>
      <c r="OOW37" s="578"/>
      <c r="OOX37" s="578"/>
      <c r="OOY37" s="578"/>
      <c r="OOZ37" s="578"/>
      <c r="OPA37" s="578"/>
      <c r="OPB37" s="578"/>
      <c r="OPC37" s="578"/>
      <c r="OPD37" s="578"/>
      <c r="OPE37" s="578"/>
      <c r="OPF37" s="578"/>
      <c r="OPG37" s="578"/>
      <c r="OPH37" s="578"/>
      <c r="OPI37" s="578"/>
      <c r="OPJ37" s="578"/>
      <c r="OPK37" s="578"/>
      <c r="OPL37" s="578"/>
      <c r="OPM37" s="578"/>
      <c r="OPN37" s="578"/>
      <c r="OPO37" s="578"/>
      <c r="OPP37" s="578"/>
      <c r="OPQ37" s="578"/>
      <c r="OPR37" s="578"/>
      <c r="OPS37" s="578"/>
      <c r="OPT37" s="578"/>
      <c r="OPU37" s="578"/>
      <c r="OPV37" s="578"/>
      <c r="OPW37" s="578"/>
      <c r="OPX37" s="578"/>
      <c r="OPY37" s="578"/>
      <c r="OPZ37" s="578"/>
      <c r="OQA37" s="578"/>
      <c r="OQB37" s="578"/>
      <c r="OQC37" s="578"/>
      <c r="OQD37" s="578"/>
      <c r="OQE37" s="578"/>
      <c r="OQF37" s="578"/>
      <c r="OQG37" s="578"/>
      <c r="OQH37" s="578"/>
      <c r="OQI37" s="578"/>
      <c r="OQJ37" s="578"/>
      <c r="OQK37" s="578"/>
      <c r="OQL37" s="578"/>
      <c r="OQM37" s="578"/>
      <c r="OQN37" s="578"/>
      <c r="OQO37" s="578"/>
      <c r="OQP37" s="578"/>
      <c r="OQQ37" s="578"/>
      <c r="OQR37" s="578"/>
      <c r="OQS37" s="578"/>
      <c r="OQT37" s="578"/>
      <c r="OQU37" s="578"/>
      <c r="OQV37" s="578"/>
      <c r="OQW37" s="578"/>
      <c r="OQX37" s="578"/>
      <c r="OQY37" s="578"/>
      <c r="OQZ37" s="578"/>
      <c r="ORA37" s="578"/>
      <c r="ORB37" s="578"/>
      <c r="ORC37" s="578"/>
      <c r="ORD37" s="578"/>
      <c r="ORE37" s="578"/>
      <c r="ORF37" s="578"/>
      <c r="ORG37" s="578"/>
      <c r="ORH37" s="578"/>
      <c r="ORI37" s="578"/>
      <c r="ORJ37" s="578"/>
      <c r="ORK37" s="578"/>
      <c r="ORL37" s="578"/>
      <c r="ORM37" s="578"/>
      <c r="ORN37" s="578"/>
      <c r="ORO37" s="578"/>
      <c r="ORP37" s="578"/>
      <c r="ORQ37" s="578"/>
      <c r="ORR37" s="578"/>
      <c r="ORS37" s="578"/>
      <c r="ORT37" s="578"/>
      <c r="ORU37" s="578"/>
      <c r="ORV37" s="578"/>
      <c r="ORW37" s="578"/>
      <c r="ORX37" s="578"/>
      <c r="ORY37" s="578"/>
      <c r="ORZ37" s="578"/>
      <c r="OSA37" s="578"/>
      <c r="OSB37" s="578"/>
      <c r="OSC37" s="578"/>
      <c r="OSD37" s="578"/>
      <c r="OSE37" s="578"/>
      <c r="OSF37" s="578"/>
      <c r="OSG37" s="578"/>
      <c r="OSH37" s="578"/>
      <c r="OSI37" s="578"/>
      <c r="OSJ37" s="578"/>
      <c r="OSK37" s="578"/>
      <c r="OSL37" s="578"/>
      <c r="OSM37" s="578"/>
      <c r="OSN37" s="578"/>
      <c r="OSO37" s="578"/>
      <c r="OSP37" s="578"/>
      <c r="OSQ37" s="578"/>
      <c r="OSR37" s="578"/>
      <c r="OSS37" s="578"/>
      <c r="OST37" s="578"/>
      <c r="OSU37" s="578"/>
      <c r="OSV37" s="578"/>
      <c r="OSW37" s="578"/>
      <c r="OSX37" s="578"/>
      <c r="OSY37" s="578"/>
      <c r="OSZ37" s="578"/>
      <c r="OTA37" s="578"/>
      <c r="OTB37" s="578"/>
      <c r="OTC37" s="578"/>
      <c r="OTD37" s="578"/>
      <c r="OTE37" s="578"/>
      <c r="OTF37" s="578"/>
      <c r="OTG37" s="578"/>
      <c r="OTH37" s="578"/>
      <c r="OTI37" s="578"/>
      <c r="OTJ37" s="578"/>
      <c r="OTK37" s="578"/>
      <c r="OTL37" s="578"/>
      <c r="OTM37" s="578"/>
      <c r="OTN37" s="578"/>
      <c r="OTO37" s="578"/>
      <c r="OTP37" s="578"/>
      <c r="OTQ37" s="578"/>
      <c r="OTR37" s="578"/>
      <c r="OTS37" s="578"/>
      <c r="OTT37" s="578"/>
      <c r="OTU37" s="578"/>
      <c r="OTV37" s="578"/>
      <c r="OTW37" s="578"/>
      <c r="OTX37" s="578"/>
      <c r="OTY37" s="578"/>
      <c r="OTZ37" s="578"/>
      <c r="OUA37" s="578"/>
      <c r="OUB37" s="578"/>
      <c r="OUC37" s="578"/>
      <c r="OUD37" s="578"/>
      <c r="OUE37" s="578"/>
      <c r="OUF37" s="578"/>
      <c r="OUG37" s="578"/>
      <c r="OUH37" s="578"/>
      <c r="OUI37" s="578"/>
      <c r="OUJ37" s="578"/>
      <c r="OUK37" s="578"/>
      <c r="OUL37" s="578"/>
      <c r="OUM37" s="578"/>
      <c r="OUN37" s="578"/>
      <c r="OUO37" s="578"/>
      <c r="OUP37" s="578"/>
      <c r="OUQ37" s="578"/>
      <c r="OUR37" s="578"/>
      <c r="OUS37" s="578"/>
      <c r="OUT37" s="578"/>
      <c r="OUU37" s="578"/>
      <c r="OUV37" s="578"/>
      <c r="OUW37" s="578"/>
      <c r="OUX37" s="578"/>
      <c r="OUY37" s="578"/>
      <c r="OUZ37" s="578"/>
      <c r="OVA37" s="578"/>
      <c r="OVB37" s="578"/>
      <c r="OVC37" s="578"/>
      <c r="OVD37" s="578"/>
      <c r="OVE37" s="578"/>
      <c r="OVF37" s="578"/>
      <c r="OVG37" s="578"/>
      <c r="OVH37" s="578"/>
      <c r="OVI37" s="578"/>
      <c r="OVJ37" s="578"/>
      <c r="OVK37" s="578"/>
      <c r="OVL37" s="578"/>
      <c r="OVM37" s="578"/>
      <c r="OVN37" s="578"/>
      <c r="OVO37" s="578"/>
      <c r="OVP37" s="578"/>
      <c r="OVQ37" s="578"/>
      <c r="OVR37" s="578"/>
      <c r="OVS37" s="578"/>
      <c r="OVT37" s="578"/>
      <c r="OVU37" s="578"/>
      <c r="OVV37" s="578"/>
      <c r="OVW37" s="578"/>
      <c r="OVX37" s="578"/>
      <c r="OVY37" s="578"/>
      <c r="OVZ37" s="578"/>
      <c r="OWA37" s="578"/>
      <c r="OWB37" s="578"/>
      <c r="OWC37" s="578"/>
      <c r="OWD37" s="578"/>
      <c r="OWE37" s="578"/>
      <c r="OWF37" s="578"/>
      <c r="OWG37" s="578"/>
      <c r="OWH37" s="578"/>
      <c r="OWI37" s="578"/>
      <c r="OWJ37" s="578"/>
      <c r="OWK37" s="578"/>
      <c r="OWL37" s="578"/>
      <c r="OWM37" s="578"/>
      <c r="OWN37" s="578"/>
      <c r="OWO37" s="578"/>
      <c r="OWP37" s="578"/>
      <c r="OWQ37" s="578"/>
      <c r="OWR37" s="578"/>
      <c r="OWS37" s="578"/>
      <c r="OWT37" s="578"/>
      <c r="OWU37" s="578"/>
      <c r="OWV37" s="578"/>
      <c r="OWW37" s="578"/>
      <c r="OWX37" s="578"/>
      <c r="OWY37" s="578"/>
      <c r="OWZ37" s="578"/>
      <c r="OXA37" s="578"/>
      <c r="OXB37" s="578"/>
      <c r="OXC37" s="578"/>
      <c r="OXD37" s="578"/>
      <c r="OXE37" s="578"/>
      <c r="OXF37" s="578"/>
      <c r="OXG37" s="578"/>
      <c r="OXH37" s="578"/>
      <c r="OXI37" s="578"/>
      <c r="OXJ37" s="578"/>
      <c r="OXK37" s="578"/>
      <c r="OXL37" s="578"/>
      <c r="OXM37" s="578"/>
      <c r="OXN37" s="578"/>
      <c r="OXO37" s="578"/>
      <c r="OXP37" s="578"/>
      <c r="OXQ37" s="578"/>
      <c r="OXR37" s="578"/>
      <c r="OXS37" s="578"/>
      <c r="OXT37" s="578"/>
      <c r="OXU37" s="578"/>
      <c r="OXV37" s="578"/>
      <c r="OXW37" s="578"/>
      <c r="OXX37" s="578"/>
      <c r="OXY37" s="578"/>
      <c r="OXZ37" s="578"/>
      <c r="OYA37" s="578"/>
      <c r="OYB37" s="578"/>
      <c r="OYC37" s="578"/>
      <c r="OYD37" s="578"/>
      <c r="OYE37" s="578"/>
      <c r="OYF37" s="578"/>
      <c r="OYG37" s="578"/>
      <c r="OYH37" s="578"/>
      <c r="OYI37" s="578"/>
      <c r="OYJ37" s="578"/>
      <c r="OYK37" s="578"/>
      <c r="OYL37" s="578"/>
      <c r="OYM37" s="578"/>
      <c r="OYN37" s="578"/>
      <c r="OYO37" s="578"/>
      <c r="OYP37" s="578"/>
      <c r="OYQ37" s="578"/>
      <c r="OYR37" s="578"/>
      <c r="OYS37" s="578"/>
      <c r="OYT37" s="578"/>
      <c r="OYU37" s="578"/>
      <c r="OYV37" s="578"/>
      <c r="OYW37" s="578"/>
      <c r="OYX37" s="578"/>
      <c r="OYY37" s="578"/>
      <c r="OYZ37" s="578"/>
      <c r="OZA37" s="578"/>
      <c r="OZB37" s="578"/>
      <c r="OZC37" s="578"/>
      <c r="OZD37" s="578"/>
      <c r="OZE37" s="578"/>
      <c r="OZF37" s="578"/>
      <c r="OZG37" s="578"/>
      <c r="OZH37" s="578"/>
      <c r="OZI37" s="578"/>
      <c r="OZJ37" s="578"/>
      <c r="OZK37" s="578"/>
      <c r="OZL37" s="578"/>
      <c r="OZM37" s="578"/>
      <c r="OZN37" s="578"/>
      <c r="OZO37" s="578"/>
      <c r="OZP37" s="578"/>
      <c r="OZQ37" s="578"/>
      <c r="OZR37" s="578"/>
      <c r="OZS37" s="578"/>
      <c r="OZT37" s="578"/>
      <c r="OZU37" s="578"/>
      <c r="OZV37" s="578"/>
      <c r="OZW37" s="578"/>
      <c r="OZX37" s="578"/>
      <c r="OZY37" s="578"/>
      <c r="OZZ37" s="578"/>
      <c r="PAA37" s="578"/>
      <c r="PAB37" s="578"/>
      <c r="PAC37" s="578"/>
      <c r="PAD37" s="578"/>
      <c r="PAE37" s="578"/>
      <c r="PAF37" s="578"/>
      <c r="PAG37" s="578"/>
      <c r="PAH37" s="578"/>
      <c r="PAI37" s="578"/>
      <c r="PAJ37" s="578"/>
      <c r="PAK37" s="578"/>
      <c r="PAL37" s="578"/>
      <c r="PAM37" s="578"/>
      <c r="PAN37" s="578"/>
      <c r="PAO37" s="578"/>
      <c r="PAP37" s="578"/>
      <c r="PAQ37" s="578"/>
      <c r="PAR37" s="578"/>
      <c r="PAS37" s="578"/>
      <c r="PAT37" s="578"/>
      <c r="PAU37" s="578"/>
      <c r="PAV37" s="578"/>
      <c r="PAW37" s="578"/>
      <c r="PAX37" s="578"/>
      <c r="PAY37" s="578"/>
      <c r="PAZ37" s="578"/>
      <c r="PBA37" s="578"/>
      <c r="PBB37" s="578"/>
      <c r="PBC37" s="578"/>
      <c r="PBD37" s="578"/>
      <c r="PBE37" s="578"/>
      <c r="PBF37" s="578"/>
      <c r="PBG37" s="578"/>
      <c r="PBH37" s="578"/>
      <c r="PBI37" s="578"/>
      <c r="PBJ37" s="578"/>
      <c r="PBK37" s="578"/>
      <c r="PBL37" s="578"/>
      <c r="PBM37" s="578"/>
      <c r="PBN37" s="578"/>
      <c r="PBO37" s="578"/>
      <c r="PBP37" s="578"/>
      <c r="PBQ37" s="578"/>
      <c r="PBR37" s="578"/>
      <c r="PBS37" s="578"/>
      <c r="PBT37" s="578"/>
      <c r="PBU37" s="578"/>
      <c r="PBV37" s="578"/>
      <c r="PBW37" s="578"/>
      <c r="PBX37" s="578"/>
      <c r="PBY37" s="578"/>
      <c r="PBZ37" s="578"/>
      <c r="PCA37" s="578"/>
      <c r="PCB37" s="578"/>
      <c r="PCC37" s="578"/>
      <c r="PCD37" s="578"/>
      <c r="PCE37" s="578"/>
      <c r="PCF37" s="578"/>
      <c r="PCG37" s="578"/>
      <c r="PCH37" s="578"/>
      <c r="PCI37" s="578"/>
      <c r="PCJ37" s="578"/>
      <c r="PCK37" s="578"/>
      <c r="PCL37" s="578"/>
      <c r="PCM37" s="578"/>
      <c r="PCN37" s="578"/>
      <c r="PCO37" s="578"/>
      <c r="PCP37" s="578"/>
      <c r="PCQ37" s="578"/>
      <c r="PCR37" s="578"/>
      <c r="PCS37" s="578"/>
      <c r="PCT37" s="578"/>
      <c r="PCU37" s="578"/>
      <c r="PCV37" s="578"/>
      <c r="PCW37" s="578"/>
      <c r="PCX37" s="578"/>
      <c r="PCY37" s="578"/>
      <c r="PCZ37" s="578"/>
      <c r="PDA37" s="578"/>
      <c r="PDB37" s="578"/>
      <c r="PDC37" s="578"/>
      <c r="PDD37" s="578"/>
      <c r="PDE37" s="578"/>
      <c r="PDF37" s="578"/>
      <c r="PDG37" s="578"/>
      <c r="PDH37" s="578"/>
      <c r="PDI37" s="578"/>
      <c r="PDJ37" s="578"/>
      <c r="PDK37" s="578"/>
      <c r="PDL37" s="578"/>
      <c r="PDM37" s="578"/>
      <c r="PDN37" s="578"/>
      <c r="PDO37" s="578"/>
      <c r="PDP37" s="578"/>
      <c r="PDQ37" s="578"/>
      <c r="PDR37" s="578"/>
      <c r="PDS37" s="578"/>
      <c r="PDT37" s="578"/>
      <c r="PDU37" s="578"/>
      <c r="PDV37" s="578"/>
      <c r="PDW37" s="578"/>
      <c r="PDX37" s="578"/>
      <c r="PDY37" s="578"/>
      <c r="PDZ37" s="578"/>
      <c r="PEA37" s="578"/>
      <c r="PEB37" s="578"/>
      <c r="PEC37" s="578"/>
      <c r="PED37" s="578"/>
      <c r="PEE37" s="578"/>
      <c r="PEF37" s="578"/>
      <c r="PEG37" s="578"/>
      <c r="PEH37" s="578"/>
      <c r="PEI37" s="578"/>
      <c r="PEJ37" s="578"/>
      <c r="PEK37" s="578"/>
      <c r="PEL37" s="578"/>
      <c r="PEM37" s="578"/>
      <c r="PEN37" s="578"/>
      <c r="PEO37" s="578"/>
      <c r="PEP37" s="578"/>
      <c r="PEQ37" s="578"/>
      <c r="PER37" s="578"/>
      <c r="PES37" s="578"/>
      <c r="PET37" s="578"/>
      <c r="PEU37" s="578"/>
      <c r="PEV37" s="578"/>
      <c r="PEW37" s="578"/>
      <c r="PEX37" s="578"/>
      <c r="PEY37" s="578"/>
      <c r="PEZ37" s="578"/>
      <c r="PFA37" s="578"/>
      <c r="PFB37" s="578"/>
      <c r="PFC37" s="578"/>
      <c r="PFD37" s="578"/>
      <c r="PFE37" s="578"/>
      <c r="PFF37" s="578"/>
      <c r="PFG37" s="578"/>
      <c r="PFH37" s="578"/>
      <c r="PFI37" s="578"/>
      <c r="PFJ37" s="578"/>
      <c r="PFK37" s="578"/>
      <c r="PFL37" s="578"/>
      <c r="PFM37" s="578"/>
      <c r="PFN37" s="578"/>
      <c r="PFO37" s="578"/>
      <c r="PFP37" s="578"/>
      <c r="PFQ37" s="578"/>
      <c r="PFR37" s="578"/>
      <c r="PFS37" s="578"/>
      <c r="PFT37" s="578"/>
      <c r="PFU37" s="578"/>
      <c r="PFV37" s="578"/>
      <c r="PFW37" s="578"/>
      <c r="PFX37" s="578"/>
      <c r="PFY37" s="578"/>
      <c r="PFZ37" s="578"/>
      <c r="PGA37" s="578"/>
      <c r="PGB37" s="578"/>
      <c r="PGC37" s="578"/>
      <c r="PGD37" s="578"/>
      <c r="PGE37" s="578"/>
      <c r="PGF37" s="578"/>
      <c r="PGG37" s="578"/>
      <c r="PGH37" s="578"/>
      <c r="PGI37" s="578"/>
      <c r="PGJ37" s="578"/>
      <c r="PGK37" s="578"/>
      <c r="PGL37" s="578"/>
      <c r="PGM37" s="578"/>
      <c r="PGN37" s="578"/>
      <c r="PGO37" s="578"/>
      <c r="PGP37" s="578"/>
      <c r="PGQ37" s="578"/>
      <c r="PGR37" s="578"/>
      <c r="PGS37" s="578"/>
      <c r="PGT37" s="578"/>
      <c r="PGU37" s="578"/>
      <c r="PGV37" s="578"/>
      <c r="PGW37" s="578"/>
      <c r="PGX37" s="578"/>
      <c r="PGY37" s="578"/>
      <c r="PGZ37" s="578"/>
      <c r="PHA37" s="578"/>
      <c r="PHB37" s="578"/>
      <c r="PHC37" s="578"/>
      <c r="PHD37" s="578"/>
      <c r="PHE37" s="578"/>
      <c r="PHF37" s="578"/>
      <c r="PHG37" s="578"/>
      <c r="PHH37" s="578"/>
      <c r="PHI37" s="578"/>
      <c r="PHJ37" s="578"/>
      <c r="PHK37" s="578"/>
      <c r="PHL37" s="578"/>
      <c r="PHM37" s="578"/>
      <c r="PHN37" s="578"/>
      <c r="PHO37" s="578"/>
      <c r="PHP37" s="578"/>
      <c r="PHQ37" s="578"/>
      <c r="PHR37" s="578"/>
      <c r="PHS37" s="578"/>
      <c r="PHT37" s="578"/>
      <c r="PHU37" s="578"/>
      <c r="PHV37" s="578"/>
      <c r="PHW37" s="578"/>
      <c r="PHX37" s="578"/>
      <c r="PHY37" s="578"/>
      <c r="PHZ37" s="578"/>
      <c r="PIA37" s="578"/>
      <c r="PIB37" s="578"/>
      <c r="PIC37" s="578"/>
      <c r="PID37" s="578"/>
      <c r="PIE37" s="578"/>
      <c r="PIF37" s="578"/>
      <c r="PIG37" s="578"/>
      <c r="PIH37" s="578"/>
      <c r="PII37" s="578"/>
      <c r="PIJ37" s="578"/>
      <c r="PIK37" s="578"/>
      <c r="PIL37" s="578"/>
      <c r="PIM37" s="578"/>
      <c r="PIN37" s="578"/>
      <c r="PIO37" s="578"/>
      <c r="PIP37" s="578"/>
      <c r="PIQ37" s="578"/>
      <c r="PIR37" s="578"/>
      <c r="PIS37" s="578"/>
      <c r="PIT37" s="578"/>
      <c r="PIU37" s="578"/>
      <c r="PIV37" s="578"/>
      <c r="PIW37" s="578"/>
      <c r="PIX37" s="578"/>
      <c r="PIY37" s="578"/>
      <c r="PIZ37" s="578"/>
      <c r="PJA37" s="578"/>
      <c r="PJB37" s="578"/>
      <c r="PJC37" s="578"/>
      <c r="PJD37" s="578"/>
      <c r="PJE37" s="578"/>
      <c r="PJF37" s="578"/>
      <c r="PJG37" s="578"/>
      <c r="PJH37" s="578"/>
      <c r="PJI37" s="578"/>
      <c r="PJJ37" s="578"/>
      <c r="PJK37" s="578"/>
      <c r="PJL37" s="578"/>
      <c r="PJM37" s="578"/>
      <c r="PJN37" s="578"/>
      <c r="PJO37" s="578"/>
      <c r="PJP37" s="578"/>
      <c r="PJQ37" s="578"/>
      <c r="PJR37" s="578"/>
      <c r="PJS37" s="578"/>
      <c r="PJT37" s="578"/>
      <c r="PJU37" s="578"/>
      <c r="PJV37" s="578"/>
      <c r="PJW37" s="578"/>
      <c r="PJX37" s="578"/>
      <c r="PJY37" s="578"/>
      <c r="PJZ37" s="578"/>
      <c r="PKA37" s="578"/>
      <c r="PKB37" s="578"/>
      <c r="PKC37" s="578"/>
      <c r="PKD37" s="578"/>
      <c r="PKE37" s="578"/>
      <c r="PKF37" s="578"/>
      <c r="PKG37" s="578"/>
      <c r="PKH37" s="578"/>
      <c r="PKI37" s="578"/>
      <c r="PKJ37" s="578"/>
      <c r="PKK37" s="578"/>
      <c r="PKL37" s="578"/>
      <c r="PKM37" s="578"/>
      <c r="PKN37" s="578"/>
      <c r="PKO37" s="578"/>
      <c r="PKP37" s="578"/>
      <c r="PKQ37" s="578"/>
      <c r="PKR37" s="578"/>
      <c r="PKS37" s="578"/>
      <c r="PKT37" s="578"/>
      <c r="PKU37" s="578"/>
      <c r="PKV37" s="578"/>
      <c r="PKW37" s="578"/>
      <c r="PKX37" s="578"/>
      <c r="PKY37" s="578"/>
      <c r="PKZ37" s="578"/>
      <c r="PLA37" s="578"/>
      <c r="PLB37" s="578"/>
      <c r="PLC37" s="578"/>
      <c r="PLD37" s="578"/>
      <c r="PLE37" s="578"/>
      <c r="PLF37" s="578"/>
      <c r="PLG37" s="578"/>
      <c r="PLH37" s="578"/>
      <c r="PLI37" s="578"/>
      <c r="PLJ37" s="578"/>
      <c r="PLK37" s="578"/>
      <c r="PLL37" s="578"/>
      <c r="PLM37" s="578"/>
      <c r="PLN37" s="578"/>
      <c r="PLO37" s="578"/>
      <c r="PLP37" s="578"/>
      <c r="PLQ37" s="578"/>
      <c r="PLR37" s="578"/>
      <c r="PLS37" s="578"/>
      <c r="PLT37" s="578"/>
      <c r="PLU37" s="578"/>
      <c r="PLV37" s="578"/>
      <c r="PLW37" s="578"/>
      <c r="PLX37" s="578"/>
      <c r="PLY37" s="578"/>
      <c r="PLZ37" s="578"/>
      <c r="PMA37" s="578"/>
      <c r="PMB37" s="578"/>
      <c r="PMC37" s="578"/>
      <c r="PMD37" s="578"/>
      <c r="PME37" s="578"/>
      <c r="PMF37" s="578"/>
      <c r="PMG37" s="578"/>
      <c r="PMH37" s="578"/>
      <c r="PMI37" s="578"/>
      <c r="PMJ37" s="578"/>
      <c r="PMK37" s="578"/>
      <c r="PML37" s="578"/>
      <c r="PMM37" s="578"/>
      <c r="PMN37" s="578"/>
      <c r="PMO37" s="578"/>
      <c r="PMP37" s="578"/>
      <c r="PMQ37" s="578"/>
      <c r="PMR37" s="578"/>
      <c r="PMS37" s="578"/>
      <c r="PMT37" s="578"/>
      <c r="PMU37" s="578"/>
      <c r="PMV37" s="578"/>
      <c r="PMW37" s="578"/>
      <c r="PMX37" s="578"/>
      <c r="PMY37" s="578"/>
      <c r="PMZ37" s="578"/>
      <c r="PNA37" s="578"/>
      <c r="PNB37" s="578"/>
      <c r="PNC37" s="578"/>
      <c r="PND37" s="578"/>
      <c r="PNE37" s="578"/>
      <c r="PNF37" s="578"/>
      <c r="PNG37" s="578"/>
      <c r="PNH37" s="578"/>
      <c r="PNI37" s="578"/>
      <c r="PNJ37" s="578"/>
      <c r="PNK37" s="578"/>
      <c r="PNL37" s="578"/>
      <c r="PNM37" s="578"/>
      <c r="PNN37" s="578"/>
      <c r="PNO37" s="578"/>
      <c r="PNP37" s="578"/>
      <c r="PNQ37" s="578"/>
      <c r="PNR37" s="578"/>
      <c r="PNS37" s="578"/>
      <c r="PNT37" s="578"/>
      <c r="PNU37" s="578"/>
      <c r="PNV37" s="578"/>
      <c r="PNW37" s="578"/>
      <c r="PNX37" s="578"/>
      <c r="PNY37" s="578"/>
      <c r="PNZ37" s="578"/>
      <c r="POA37" s="578"/>
      <c r="POB37" s="578"/>
      <c r="POC37" s="578"/>
      <c r="POD37" s="578"/>
      <c r="POE37" s="578"/>
      <c r="POF37" s="578"/>
      <c r="POG37" s="578"/>
      <c r="POH37" s="578"/>
      <c r="POI37" s="578"/>
      <c r="POJ37" s="578"/>
      <c r="POK37" s="578"/>
      <c r="POL37" s="578"/>
      <c r="POM37" s="578"/>
      <c r="PON37" s="578"/>
      <c r="POO37" s="578"/>
      <c r="POP37" s="578"/>
      <c r="POQ37" s="578"/>
      <c r="POR37" s="578"/>
      <c r="POS37" s="578"/>
      <c r="POT37" s="578"/>
      <c r="POU37" s="578"/>
      <c r="POV37" s="578"/>
      <c r="POW37" s="578"/>
      <c r="POX37" s="578"/>
      <c r="POY37" s="578"/>
      <c r="POZ37" s="578"/>
      <c r="PPA37" s="578"/>
      <c r="PPB37" s="578"/>
      <c r="PPC37" s="578"/>
      <c r="PPD37" s="578"/>
      <c r="PPE37" s="578"/>
      <c r="PPF37" s="578"/>
      <c r="PPG37" s="578"/>
      <c r="PPH37" s="578"/>
      <c r="PPI37" s="578"/>
      <c r="PPJ37" s="578"/>
      <c r="PPK37" s="578"/>
      <c r="PPL37" s="578"/>
      <c r="PPM37" s="578"/>
      <c r="PPN37" s="578"/>
      <c r="PPO37" s="578"/>
      <c r="PPP37" s="578"/>
      <c r="PPQ37" s="578"/>
      <c r="PPR37" s="578"/>
      <c r="PPS37" s="578"/>
      <c r="PPT37" s="578"/>
      <c r="PPU37" s="578"/>
      <c r="PPV37" s="578"/>
      <c r="PPW37" s="578"/>
      <c r="PPX37" s="578"/>
      <c r="PPY37" s="578"/>
      <c r="PPZ37" s="578"/>
      <c r="PQA37" s="578"/>
      <c r="PQB37" s="578"/>
      <c r="PQC37" s="578"/>
      <c r="PQD37" s="578"/>
      <c r="PQE37" s="578"/>
      <c r="PQF37" s="578"/>
      <c r="PQG37" s="578"/>
      <c r="PQH37" s="578"/>
      <c r="PQI37" s="578"/>
      <c r="PQJ37" s="578"/>
      <c r="PQK37" s="578"/>
      <c r="PQL37" s="578"/>
      <c r="PQM37" s="578"/>
      <c r="PQN37" s="578"/>
      <c r="PQO37" s="578"/>
      <c r="PQP37" s="578"/>
      <c r="PQQ37" s="578"/>
      <c r="PQR37" s="578"/>
      <c r="PQS37" s="578"/>
      <c r="PQT37" s="578"/>
      <c r="PQU37" s="578"/>
      <c r="PQV37" s="578"/>
      <c r="PQW37" s="578"/>
      <c r="PQX37" s="578"/>
      <c r="PQY37" s="578"/>
      <c r="PQZ37" s="578"/>
      <c r="PRA37" s="578"/>
      <c r="PRB37" s="578"/>
      <c r="PRC37" s="578"/>
      <c r="PRD37" s="578"/>
      <c r="PRE37" s="578"/>
      <c r="PRF37" s="578"/>
      <c r="PRG37" s="578"/>
      <c r="PRH37" s="578"/>
      <c r="PRI37" s="578"/>
      <c r="PRJ37" s="578"/>
      <c r="PRK37" s="578"/>
      <c r="PRL37" s="578"/>
      <c r="PRM37" s="578"/>
      <c r="PRN37" s="578"/>
      <c r="PRO37" s="578"/>
      <c r="PRP37" s="578"/>
      <c r="PRQ37" s="578"/>
      <c r="PRR37" s="578"/>
      <c r="PRS37" s="578"/>
      <c r="PRT37" s="578"/>
      <c r="PRU37" s="578"/>
      <c r="PRV37" s="578"/>
      <c r="PRW37" s="578"/>
      <c r="PRX37" s="578"/>
      <c r="PRY37" s="578"/>
      <c r="PRZ37" s="578"/>
      <c r="PSA37" s="578"/>
      <c r="PSB37" s="578"/>
      <c r="PSC37" s="578"/>
      <c r="PSD37" s="578"/>
      <c r="PSE37" s="578"/>
      <c r="PSF37" s="578"/>
      <c r="PSG37" s="578"/>
      <c r="PSH37" s="578"/>
      <c r="PSI37" s="578"/>
      <c r="PSJ37" s="578"/>
      <c r="PSK37" s="578"/>
      <c r="PSL37" s="578"/>
      <c r="PSM37" s="578"/>
      <c r="PSN37" s="578"/>
      <c r="PSO37" s="578"/>
      <c r="PSP37" s="578"/>
      <c r="PSQ37" s="578"/>
      <c r="PSR37" s="578"/>
      <c r="PSS37" s="578"/>
      <c r="PST37" s="578"/>
      <c r="PSU37" s="578"/>
      <c r="PSV37" s="578"/>
      <c r="PSW37" s="578"/>
      <c r="PSX37" s="578"/>
      <c r="PSY37" s="578"/>
      <c r="PSZ37" s="578"/>
      <c r="PTA37" s="578"/>
      <c r="PTB37" s="578"/>
      <c r="PTC37" s="578"/>
      <c r="PTD37" s="578"/>
      <c r="PTE37" s="578"/>
      <c r="PTF37" s="578"/>
      <c r="PTG37" s="578"/>
      <c r="PTH37" s="578"/>
      <c r="PTI37" s="578"/>
      <c r="PTJ37" s="578"/>
      <c r="PTK37" s="578"/>
      <c r="PTL37" s="578"/>
      <c r="PTM37" s="578"/>
      <c r="PTN37" s="578"/>
      <c r="PTO37" s="578"/>
      <c r="PTP37" s="578"/>
      <c r="PTQ37" s="578"/>
      <c r="PTR37" s="578"/>
      <c r="PTS37" s="578"/>
      <c r="PTT37" s="578"/>
      <c r="PTU37" s="578"/>
      <c r="PTV37" s="578"/>
      <c r="PTW37" s="578"/>
      <c r="PTX37" s="578"/>
      <c r="PTY37" s="578"/>
      <c r="PTZ37" s="578"/>
      <c r="PUA37" s="578"/>
      <c r="PUB37" s="578"/>
      <c r="PUC37" s="578"/>
      <c r="PUD37" s="578"/>
      <c r="PUE37" s="578"/>
      <c r="PUF37" s="578"/>
      <c r="PUG37" s="578"/>
      <c r="PUH37" s="578"/>
      <c r="PUI37" s="578"/>
      <c r="PUJ37" s="578"/>
      <c r="PUK37" s="578"/>
      <c r="PUL37" s="578"/>
      <c r="PUM37" s="578"/>
      <c r="PUN37" s="578"/>
      <c r="PUO37" s="578"/>
      <c r="PUP37" s="578"/>
      <c r="PUQ37" s="578"/>
      <c r="PUR37" s="578"/>
      <c r="PUS37" s="578"/>
      <c r="PUT37" s="578"/>
      <c r="PUU37" s="578"/>
      <c r="PUV37" s="578"/>
      <c r="PUW37" s="578"/>
      <c r="PUX37" s="578"/>
      <c r="PUY37" s="578"/>
      <c r="PUZ37" s="578"/>
      <c r="PVA37" s="578"/>
      <c r="PVB37" s="578"/>
      <c r="PVC37" s="578"/>
      <c r="PVD37" s="578"/>
      <c r="PVE37" s="578"/>
      <c r="PVF37" s="578"/>
      <c r="PVG37" s="578"/>
      <c r="PVH37" s="578"/>
      <c r="PVI37" s="578"/>
      <c r="PVJ37" s="578"/>
      <c r="PVK37" s="578"/>
      <c r="PVL37" s="578"/>
      <c r="PVM37" s="578"/>
      <c r="PVN37" s="578"/>
      <c r="PVO37" s="578"/>
      <c r="PVP37" s="578"/>
      <c r="PVQ37" s="578"/>
      <c r="PVR37" s="578"/>
      <c r="PVS37" s="578"/>
      <c r="PVT37" s="578"/>
      <c r="PVU37" s="578"/>
      <c r="PVV37" s="578"/>
      <c r="PVW37" s="578"/>
      <c r="PVX37" s="578"/>
      <c r="PVY37" s="578"/>
      <c r="PVZ37" s="578"/>
      <c r="PWA37" s="578"/>
      <c r="PWB37" s="578"/>
      <c r="PWC37" s="578"/>
      <c r="PWD37" s="578"/>
      <c r="PWE37" s="578"/>
      <c r="PWF37" s="578"/>
      <c r="PWG37" s="578"/>
      <c r="PWH37" s="578"/>
      <c r="PWI37" s="578"/>
      <c r="PWJ37" s="578"/>
      <c r="PWK37" s="578"/>
      <c r="PWL37" s="578"/>
      <c r="PWM37" s="578"/>
      <c r="PWN37" s="578"/>
      <c r="PWO37" s="578"/>
      <c r="PWP37" s="578"/>
      <c r="PWQ37" s="578"/>
      <c r="PWR37" s="578"/>
      <c r="PWS37" s="578"/>
      <c r="PWT37" s="578"/>
      <c r="PWU37" s="578"/>
      <c r="PWV37" s="578"/>
      <c r="PWW37" s="578"/>
      <c r="PWX37" s="578"/>
      <c r="PWY37" s="578"/>
      <c r="PWZ37" s="578"/>
      <c r="PXA37" s="578"/>
      <c r="PXB37" s="578"/>
      <c r="PXC37" s="578"/>
      <c r="PXD37" s="578"/>
      <c r="PXE37" s="578"/>
      <c r="PXF37" s="578"/>
      <c r="PXG37" s="578"/>
      <c r="PXH37" s="578"/>
      <c r="PXI37" s="578"/>
      <c r="PXJ37" s="578"/>
      <c r="PXK37" s="578"/>
      <c r="PXL37" s="578"/>
      <c r="PXM37" s="578"/>
      <c r="PXN37" s="578"/>
      <c r="PXO37" s="578"/>
      <c r="PXP37" s="578"/>
      <c r="PXQ37" s="578"/>
      <c r="PXR37" s="578"/>
      <c r="PXS37" s="578"/>
      <c r="PXT37" s="578"/>
      <c r="PXU37" s="578"/>
      <c r="PXV37" s="578"/>
      <c r="PXW37" s="578"/>
      <c r="PXX37" s="578"/>
      <c r="PXY37" s="578"/>
      <c r="PXZ37" s="578"/>
      <c r="PYA37" s="578"/>
      <c r="PYB37" s="578"/>
      <c r="PYC37" s="578"/>
      <c r="PYD37" s="578"/>
      <c r="PYE37" s="578"/>
      <c r="PYF37" s="578"/>
      <c r="PYG37" s="578"/>
      <c r="PYH37" s="578"/>
      <c r="PYI37" s="578"/>
      <c r="PYJ37" s="578"/>
      <c r="PYK37" s="578"/>
      <c r="PYL37" s="578"/>
      <c r="PYM37" s="578"/>
      <c r="PYN37" s="578"/>
      <c r="PYO37" s="578"/>
      <c r="PYP37" s="578"/>
      <c r="PYQ37" s="578"/>
      <c r="PYR37" s="578"/>
      <c r="PYS37" s="578"/>
      <c r="PYT37" s="578"/>
      <c r="PYU37" s="578"/>
      <c r="PYV37" s="578"/>
      <c r="PYW37" s="578"/>
      <c r="PYX37" s="578"/>
      <c r="PYY37" s="578"/>
      <c r="PYZ37" s="578"/>
      <c r="PZA37" s="578"/>
      <c r="PZB37" s="578"/>
      <c r="PZC37" s="578"/>
      <c r="PZD37" s="578"/>
      <c r="PZE37" s="578"/>
      <c r="PZF37" s="578"/>
      <c r="PZG37" s="578"/>
      <c r="PZH37" s="578"/>
      <c r="PZI37" s="578"/>
      <c r="PZJ37" s="578"/>
      <c r="PZK37" s="578"/>
      <c r="PZL37" s="578"/>
      <c r="PZM37" s="578"/>
      <c r="PZN37" s="578"/>
      <c r="PZO37" s="578"/>
      <c r="PZP37" s="578"/>
      <c r="PZQ37" s="578"/>
      <c r="PZR37" s="578"/>
      <c r="PZS37" s="578"/>
      <c r="PZT37" s="578"/>
      <c r="PZU37" s="578"/>
      <c r="PZV37" s="578"/>
      <c r="PZW37" s="578"/>
      <c r="PZX37" s="578"/>
      <c r="PZY37" s="578"/>
      <c r="PZZ37" s="578"/>
      <c r="QAA37" s="578"/>
      <c r="QAB37" s="578"/>
      <c r="QAC37" s="578"/>
      <c r="QAD37" s="578"/>
      <c r="QAE37" s="578"/>
      <c r="QAF37" s="578"/>
      <c r="QAG37" s="578"/>
      <c r="QAH37" s="578"/>
      <c r="QAI37" s="578"/>
      <c r="QAJ37" s="578"/>
      <c r="QAK37" s="578"/>
      <c r="QAL37" s="578"/>
      <c r="QAM37" s="578"/>
      <c r="QAN37" s="578"/>
      <c r="QAO37" s="578"/>
      <c r="QAP37" s="578"/>
      <c r="QAQ37" s="578"/>
      <c r="QAR37" s="578"/>
      <c r="QAS37" s="578"/>
      <c r="QAT37" s="578"/>
      <c r="QAU37" s="578"/>
      <c r="QAV37" s="578"/>
      <c r="QAW37" s="578"/>
      <c r="QAX37" s="578"/>
      <c r="QAY37" s="578"/>
      <c r="QAZ37" s="578"/>
      <c r="QBA37" s="578"/>
      <c r="QBB37" s="578"/>
      <c r="QBC37" s="578"/>
      <c r="QBD37" s="578"/>
      <c r="QBE37" s="578"/>
      <c r="QBF37" s="578"/>
      <c r="QBG37" s="578"/>
      <c r="QBH37" s="578"/>
      <c r="QBI37" s="578"/>
      <c r="QBJ37" s="578"/>
      <c r="QBK37" s="578"/>
      <c r="QBL37" s="578"/>
      <c r="QBM37" s="578"/>
      <c r="QBN37" s="578"/>
      <c r="QBO37" s="578"/>
      <c r="QBP37" s="578"/>
      <c r="QBQ37" s="578"/>
      <c r="QBR37" s="578"/>
      <c r="QBS37" s="578"/>
      <c r="QBT37" s="578"/>
      <c r="QBU37" s="578"/>
      <c r="QBV37" s="578"/>
      <c r="QBW37" s="578"/>
      <c r="QBX37" s="578"/>
      <c r="QBY37" s="578"/>
      <c r="QBZ37" s="578"/>
      <c r="QCA37" s="578"/>
      <c r="QCB37" s="578"/>
      <c r="QCC37" s="578"/>
      <c r="QCD37" s="578"/>
      <c r="QCE37" s="578"/>
      <c r="QCF37" s="578"/>
      <c r="QCG37" s="578"/>
      <c r="QCH37" s="578"/>
      <c r="QCI37" s="578"/>
      <c r="QCJ37" s="578"/>
      <c r="QCK37" s="578"/>
      <c r="QCL37" s="578"/>
      <c r="QCM37" s="578"/>
      <c r="QCN37" s="578"/>
      <c r="QCO37" s="578"/>
      <c r="QCP37" s="578"/>
      <c r="QCQ37" s="578"/>
      <c r="QCR37" s="578"/>
      <c r="QCS37" s="578"/>
      <c r="QCT37" s="578"/>
      <c r="QCU37" s="578"/>
      <c r="QCV37" s="578"/>
      <c r="QCW37" s="578"/>
      <c r="QCX37" s="578"/>
      <c r="QCY37" s="578"/>
      <c r="QCZ37" s="578"/>
      <c r="QDA37" s="578"/>
      <c r="QDB37" s="578"/>
      <c r="QDC37" s="578"/>
      <c r="QDD37" s="578"/>
      <c r="QDE37" s="578"/>
      <c r="QDF37" s="578"/>
      <c r="QDG37" s="578"/>
      <c r="QDH37" s="578"/>
      <c r="QDI37" s="578"/>
      <c r="QDJ37" s="578"/>
      <c r="QDK37" s="578"/>
      <c r="QDL37" s="578"/>
      <c r="QDM37" s="578"/>
      <c r="QDN37" s="578"/>
      <c r="QDO37" s="578"/>
      <c r="QDP37" s="578"/>
      <c r="QDQ37" s="578"/>
      <c r="QDR37" s="578"/>
      <c r="QDS37" s="578"/>
      <c r="QDT37" s="578"/>
      <c r="QDU37" s="578"/>
      <c r="QDV37" s="578"/>
      <c r="QDW37" s="578"/>
      <c r="QDX37" s="578"/>
      <c r="QDY37" s="578"/>
      <c r="QDZ37" s="578"/>
      <c r="QEA37" s="578"/>
      <c r="QEB37" s="578"/>
      <c r="QEC37" s="578"/>
      <c r="QED37" s="578"/>
      <c r="QEE37" s="578"/>
      <c r="QEF37" s="578"/>
      <c r="QEG37" s="578"/>
      <c r="QEH37" s="578"/>
      <c r="QEI37" s="578"/>
      <c r="QEJ37" s="578"/>
      <c r="QEK37" s="578"/>
      <c r="QEL37" s="578"/>
      <c r="QEM37" s="578"/>
      <c r="QEN37" s="578"/>
      <c r="QEO37" s="578"/>
      <c r="QEP37" s="578"/>
      <c r="QEQ37" s="578"/>
      <c r="QER37" s="578"/>
      <c r="QES37" s="578"/>
      <c r="QET37" s="578"/>
      <c r="QEU37" s="578"/>
      <c r="QEV37" s="578"/>
      <c r="QEW37" s="578"/>
      <c r="QEX37" s="578"/>
      <c r="QEY37" s="578"/>
      <c r="QEZ37" s="578"/>
      <c r="QFA37" s="578"/>
      <c r="QFB37" s="578"/>
      <c r="QFC37" s="578"/>
      <c r="QFD37" s="578"/>
      <c r="QFE37" s="578"/>
      <c r="QFF37" s="578"/>
      <c r="QFG37" s="578"/>
      <c r="QFH37" s="578"/>
      <c r="QFI37" s="578"/>
      <c r="QFJ37" s="578"/>
      <c r="QFK37" s="578"/>
      <c r="QFL37" s="578"/>
      <c r="QFM37" s="578"/>
      <c r="QFN37" s="578"/>
      <c r="QFO37" s="578"/>
      <c r="QFP37" s="578"/>
      <c r="QFQ37" s="578"/>
      <c r="QFR37" s="578"/>
      <c r="QFS37" s="578"/>
      <c r="QFT37" s="578"/>
      <c r="QFU37" s="578"/>
      <c r="QFV37" s="578"/>
      <c r="QFW37" s="578"/>
      <c r="QFX37" s="578"/>
      <c r="QFY37" s="578"/>
      <c r="QFZ37" s="578"/>
      <c r="QGA37" s="578"/>
      <c r="QGB37" s="578"/>
      <c r="QGC37" s="578"/>
      <c r="QGD37" s="578"/>
      <c r="QGE37" s="578"/>
      <c r="QGF37" s="578"/>
      <c r="QGG37" s="578"/>
      <c r="QGH37" s="578"/>
      <c r="QGI37" s="578"/>
      <c r="QGJ37" s="578"/>
      <c r="QGK37" s="578"/>
      <c r="QGL37" s="578"/>
      <c r="QGM37" s="578"/>
      <c r="QGN37" s="578"/>
      <c r="QGO37" s="578"/>
      <c r="QGP37" s="578"/>
      <c r="QGQ37" s="578"/>
      <c r="QGR37" s="578"/>
      <c r="QGS37" s="578"/>
      <c r="QGT37" s="578"/>
      <c r="QGU37" s="578"/>
      <c r="QGV37" s="578"/>
      <c r="QGW37" s="578"/>
      <c r="QGX37" s="578"/>
      <c r="QGY37" s="578"/>
      <c r="QGZ37" s="578"/>
      <c r="QHA37" s="578"/>
      <c r="QHB37" s="578"/>
      <c r="QHC37" s="578"/>
      <c r="QHD37" s="578"/>
      <c r="QHE37" s="578"/>
      <c r="QHF37" s="578"/>
      <c r="QHG37" s="578"/>
      <c r="QHH37" s="578"/>
      <c r="QHI37" s="578"/>
      <c r="QHJ37" s="578"/>
      <c r="QHK37" s="578"/>
      <c r="QHL37" s="578"/>
      <c r="QHM37" s="578"/>
      <c r="QHN37" s="578"/>
      <c r="QHO37" s="578"/>
      <c r="QHP37" s="578"/>
      <c r="QHQ37" s="578"/>
      <c r="QHR37" s="578"/>
      <c r="QHS37" s="578"/>
      <c r="QHT37" s="578"/>
      <c r="QHU37" s="578"/>
      <c r="QHV37" s="578"/>
      <c r="QHW37" s="578"/>
      <c r="QHX37" s="578"/>
      <c r="QHY37" s="578"/>
      <c r="QHZ37" s="578"/>
      <c r="QIA37" s="578"/>
      <c r="QIB37" s="578"/>
      <c r="QIC37" s="578"/>
      <c r="QID37" s="578"/>
      <c r="QIE37" s="578"/>
      <c r="QIF37" s="578"/>
      <c r="QIG37" s="578"/>
      <c r="QIH37" s="578"/>
      <c r="QII37" s="578"/>
      <c r="QIJ37" s="578"/>
      <c r="QIK37" s="578"/>
      <c r="QIL37" s="578"/>
      <c r="QIM37" s="578"/>
      <c r="QIN37" s="578"/>
      <c r="QIO37" s="578"/>
      <c r="QIP37" s="578"/>
      <c r="QIQ37" s="578"/>
      <c r="QIR37" s="578"/>
      <c r="QIS37" s="578"/>
      <c r="QIT37" s="578"/>
      <c r="QIU37" s="578"/>
      <c r="QIV37" s="578"/>
      <c r="QIW37" s="578"/>
      <c r="QIX37" s="578"/>
      <c r="QIY37" s="578"/>
      <c r="QIZ37" s="578"/>
      <c r="QJA37" s="578"/>
      <c r="QJB37" s="578"/>
      <c r="QJC37" s="578"/>
      <c r="QJD37" s="578"/>
      <c r="QJE37" s="578"/>
      <c r="QJF37" s="578"/>
      <c r="QJG37" s="578"/>
      <c r="QJH37" s="578"/>
      <c r="QJI37" s="578"/>
      <c r="QJJ37" s="578"/>
      <c r="QJK37" s="578"/>
      <c r="QJL37" s="578"/>
      <c r="QJM37" s="578"/>
      <c r="QJN37" s="578"/>
      <c r="QJO37" s="578"/>
      <c r="QJP37" s="578"/>
      <c r="QJQ37" s="578"/>
      <c r="QJR37" s="578"/>
      <c r="QJS37" s="578"/>
      <c r="QJT37" s="578"/>
      <c r="QJU37" s="578"/>
      <c r="QJV37" s="578"/>
      <c r="QJW37" s="578"/>
      <c r="QJX37" s="578"/>
      <c r="QJY37" s="578"/>
      <c r="QJZ37" s="578"/>
      <c r="QKA37" s="578"/>
      <c r="QKB37" s="578"/>
      <c r="QKC37" s="578"/>
      <c r="QKD37" s="578"/>
      <c r="QKE37" s="578"/>
      <c r="QKF37" s="578"/>
      <c r="QKG37" s="578"/>
      <c r="QKH37" s="578"/>
      <c r="QKI37" s="578"/>
      <c r="QKJ37" s="578"/>
      <c r="QKK37" s="578"/>
      <c r="QKL37" s="578"/>
      <c r="QKM37" s="578"/>
      <c r="QKN37" s="578"/>
      <c r="QKO37" s="578"/>
      <c r="QKP37" s="578"/>
      <c r="QKQ37" s="578"/>
      <c r="QKR37" s="578"/>
      <c r="QKS37" s="578"/>
      <c r="QKT37" s="578"/>
      <c r="QKU37" s="578"/>
      <c r="QKV37" s="578"/>
      <c r="QKW37" s="578"/>
      <c r="QKX37" s="578"/>
      <c r="QKY37" s="578"/>
      <c r="QKZ37" s="578"/>
      <c r="QLA37" s="578"/>
      <c r="QLB37" s="578"/>
      <c r="QLC37" s="578"/>
      <c r="QLD37" s="578"/>
      <c r="QLE37" s="578"/>
      <c r="QLF37" s="578"/>
      <c r="QLG37" s="578"/>
      <c r="QLH37" s="578"/>
      <c r="QLI37" s="578"/>
      <c r="QLJ37" s="578"/>
      <c r="QLK37" s="578"/>
      <c r="QLL37" s="578"/>
      <c r="QLM37" s="578"/>
      <c r="QLN37" s="578"/>
      <c r="QLO37" s="578"/>
      <c r="QLP37" s="578"/>
      <c r="QLQ37" s="578"/>
      <c r="QLR37" s="578"/>
      <c r="QLS37" s="578"/>
      <c r="QLT37" s="578"/>
      <c r="QLU37" s="578"/>
      <c r="QLV37" s="578"/>
      <c r="QLW37" s="578"/>
      <c r="QLX37" s="578"/>
      <c r="QLY37" s="578"/>
      <c r="QLZ37" s="578"/>
      <c r="QMA37" s="578"/>
      <c r="QMB37" s="578"/>
      <c r="QMC37" s="578"/>
      <c r="QMD37" s="578"/>
      <c r="QME37" s="578"/>
      <c r="QMF37" s="578"/>
      <c r="QMG37" s="578"/>
      <c r="QMH37" s="578"/>
      <c r="QMI37" s="578"/>
      <c r="QMJ37" s="578"/>
      <c r="QMK37" s="578"/>
      <c r="QML37" s="578"/>
      <c r="QMM37" s="578"/>
      <c r="QMN37" s="578"/>
      <c r="QMO37" s="578"/>
      <c r="QMP37" s="578"/>
      <c r="QMQ37" s="578"/>
      <c r="QMR37" s="578"/>
      <c r="QMS37" s="578"/>
      <c r="QMT37" s="578"/>
      <c r="QMU37" s="578"/>
      <c r="QMV37" s="578"/>
      <c r="QMW37" s="578"/>
      <c r="QMX37" s="578"/>
      <c r="QMY37" s="578"/>
      <c r="QMZ37" s="578"/>
      <c r="QNA37" s="578"/>
      <c r="QNB37" s="578"/>
      <c r="QNC37" s="578"/>
      <c r="QND37" s="578"/>
      <c r="QNE37" s="578"/>
      <c r="QNF37" s="578"/>
      <c r="QNG37" s="578"/>
      <c r="QNH37" s="578"/>
      <c r="QNI37" s="578"/>
      <c r="QNJ37" s="578"/>
      <c r="QNK37" s="578"/>
      <c r="QNL37" s="578"/>
      <c r="QNM37" s="578"/>
      <c r="QNN37" s="578"/>
      <c r="QNO37" s="578"/>
      <c r="QNP37" s="578"/>
      <c r="QNQ37" s="578"/>
      <c r="QNR37" s="578"/>
      <c r="QNS37" s="578"/>
      <c r="QNT37" s="578"/>
      <c r="QNU37" s="578"/>
      <c r="QNV37" s="578"/>
      <c r="QNW37" s="578"/>
      <c r="QNX37" s="578"/>
      <c r="QNY37" s="578"/>
      <c r="QNZ37" s="578"/>
      <c r="QOA37" s="578"/>
      <c r="QOB37" s="578"/>
      <c r="QOC37" s="578"/>
      <c r="QOD37" s="578"/>
      <c r="QOE37" s="578"/>
      <c r="QOF37" s="578"/>
      <c r="QOG37" s="578"/>
      <c r="QOH37" s="578"/>
      <c r="QOI37" s="578"/>
      <c r="QOJ37" s="578"/>
      <c r="QOK37" s="578"/>
      <c r="QOL37" s="578"/>
      <c r="QOM37" s="578"/>
      <c r="QON37" s="578"/>
      <c r="QOO37" s="578"/>
      <c r="QOP37" s="578"/>
      <c r="QOQ37" s="578"/>
      <c r="QOR37" s="578"/>
      <c r="QOS37" s="578"/>
      <c r="QOT37" s="578"/>
      <c r="QOU37" s="578"/>
      <c r="QOV37" s="578"/>
      <c r="QOW37" s="578"/>
      <c r="QOX37" s="578"/>
      <c r="QOY37" s="578"/>
      <c r="QOZ37" s="578"/>
      <c r="QPA37" s="578"/>
      <c r="QPB37" s="578"/>
      <c r="QPC37" s="578"/>
      <c r="QPD37" s="578"/>
      <c r="QPE37" s="578"/>
      <c r="QPF37" s="578"/>
      <c r="QPG37" s="578"/>
      <c r="QPH37" s="578"/>
      <c r="QPI37" s="578"/>
      <c r="QPJ37" s="578"/>
      <c r="QPK37" s="578"/>
      <c r="QPL37" s="578"/>
      <c r="QPM37" s="578"/>
      <c r="QPN37" s="578"/>
      <c r="QPO37" s="578"/>
      <c r="QPP37" s="578"/>
      <c r="QPQ37" s="578"/>
      <c r="QPR37" s="578"/>
      <c r="QPS37" s="578"/>
      <c r="QPT37" s="578"/>
      <c r="QPU37" s="578"/>
      <c r="QPV37" s="578"/>
      <c r="QPW37" s="578"/>
      <c r="QPX37" s="578"/>
      <c r="QPY37" s="578"/>
      <c r="QPZ37" s="578"/>
      <c r="QQA37" s="578"/>
      <c r="QQB37" s="578"/>
      <c r="QQC37" s="578"/>
      <c r="QQD37" s="578"/>
      <c r="QQE37" s="578"/>
      <c r="QQF37" s="578"/>
      <c r="QQG37" s="578"/>
      <c r="QQH37" s="578"/>
      <c r="QQI37" s="578"/>
      <c r="QQJ37" s="578"/>
      <c r="QQK37" s="578"/>
      <c r="QQL37" s="578"/>
      <c r="QQM37" s="578"/>
      <c r="QQN37" s="578"/>
      <c r="QQO37" s="578"/>
      <c r="QQP37" s="578"/>
      <c r="QQQ37" s="578"/>
      <c r="QQR37" s="578"/>
      <c r="QQS37" s="578"/>
      <c r="QQT37" s="578"/>
      <c r="QQU37" s="578"/>
      <c r="QQV37" s="578"/>
      <c r="QQW37" s="578"/>
      <c r="QQX37" s="578"/>
      <c r="QQY37" s="578"/>
      <c r="QQZ37" s="578"/>
      <c r="QRA37" s="578"/>
      <c r="QRB37" s="578"/>
      <c r="QRC37" s="578"/>
      <c r="QRD37" s="578"/>
      <c r="QRE37" s="578"/>
      <c r="QRF37" s="578"/>
      <c r="QRG37" s="578"/>
      <c r="QRH37" s="578"/>
      <c r="QRI37" s="578"/>
      <c r="QRJ37" s="578"/>
      <c r="QRK37" s="578"/>
      <c r="QRL37" s="578"/>
      <c r="QRM37" s="578"/>
      <c r="QRN37" s="578"/>
      <c r="QRO37" s="578"/>
      <c r="QRP37" s="578"/>
      <c r="QRQ37" s="578"/>
      <c r="QRR37" s="578"/>
      <c r="QRS37" s="578"/>
      <c r="QRT37" s="578"/>
      <c r="QRU37" s="578"/>
      <c r="QRV37" s="578"/>
      <c r="QRW37" s="578"/>
      <c r="QRX37" s="578"/>
      <c r="QRY37" s="578"/>
      <c r="QRZ37" s="578"/>
      <c r="QSA37" s="578"/>
      <c r="QSB37" s="578"/>
      <c r="QSC37" s="578"/>
      <c r="QSD37" s="578"/>
      <c r="QSE37" s="578"/>
      <c r="QSF37" s="578"/>
      <c r="QSG37" s="578"/>
      <c r="QSH37" s="578"/>
      <c r="QSI37" s="578"/>
      <c r="QSJ37" s="578"/>
      <c r="QSK37" s="578"/>
      <c r="QSL37" s="578"/>
      <c r="QSM37" s="578"/>
      <c r="QSN37" s="578"/>
      <c r="QSO37" s="578"/>
      <c r="QSP37" s="578"/>
      <c r="QSQ37" s="578"/>
      <c r="QSR37" s="578"/>
      <c r="QSS37" s="578"/>
      <c r="QST37" s="578"/>
      <c r="QSU37" s="578"/>
      <c r="QSV37" s="578"/>
      <c r="QSW37" s="578"/>
      <c r="QSX37" s="578"/>
      <c r="QSY37" s="578"/>
      <c r="QSZ37" s="578"/>
      <c r="QTA37" s="578"/>
      <c r="QTB37" s="578"/>
      <c r="QTC37" s="578"/>
      <c r="QTD37" s="578"/>
      <c r="QTE37" s="578"/>
      <c r="QTF37" s="578"/>
      <c r="QTG37" s="578"/>
      <c r="QTH37" s="578"/>
      <c r="QTI37" s="578"/>
      <c r="QTJ37" s="578"/>
      <c r="QTK37" s="578"/>
      <c r="QTL37" s="578"/>
      <c r="QTM37" s="578"/>
      <c r="QTN37" s="578"/>
      <c r="QTO37" s="578"/>
      <c r="QTP37" s="578"/>
      <c r="QTQ37" s="578"/>
      <c r="QTR37" s="578"/>
      <c r="QTS37" s="578"/>
      <c r="QTT37" s="578"/>
      <c r="QTU37" s="578"/>
      <c r="QTV37" s="578"/>
      <c r="QTW37" s="578"/>
      <c r="QTX37" s="578"/>
      <c r="QTY37" s="578"/>
      <c r="QTZ37" s="578"/>
      <c r="QUA37" s="578"/>
      <c r="QUB37" s="578"/>
      <c r="QUC37" s="578"/>
      <c r="QUD37" s="578"/>
      <c r="QUE37" s="578"/>
      <c r="QUF37" s="578"/>
      <c r="QUG37" s="578"/>
      <c r="QUH37" s="578"/>
      <c r="QUI37" s="578"/>
      <c r="QUJ37" s="578"/>
      <c r="QUK37" s="578"/>
      <c r="QUL37" s="578"/>
      <c r="QUM37" s="578"/>
      <c r="QUN37" s="578"/>
      <c r="QUO37" s="578"/>
      <c r="QUP37" s="578"/>
      <c r="QUQ37" s="578"/>
      <c r="QUR37" s="578"/>
      <c r="QUS37" s="578"/>
      <c r="QUT37" s="578"/>
      <c r="QUU37" s="578"/>
      <c r="QUV37" s="578"/>
      <c r="QUW37" s="578"/>
      <c r="QUX37" s="578"/>
      <c r="QUY37" s="578"/>
      <c r="QUZ37" s="578"/>
      <c r="QVA37" s="578"/>
      <c r="QVB37" s="578"/>
      <c r="QVC37" s="578"/>
      <c r="QVD37" s="578"/>
      <c r="QVE37" s="578"/>
      <c r="QVF37" s="578"/>
      <c r="QVG37" s="578"/>
      <c r="QVH37" s="578"/>
      <c r="QVI37" s="578"/>
      <c r="QVJ37" s="578"/>
      <c r="QVK37" s="578"/>
      <c r="QVL37" s="578"/>
      <c r="QVM37" s="578"/>
      <c r="QVN37" s="578"/>
      <c r="QVO37" s="578"/>
      <c r="QVP37" s="578"/>
      <c r="QVQ37" s="578"/>
      <c r="QVR37" s="578"/>
      <c r="QVS37" s="578"/>
      <c r="QVT37" s="578"/>
      <c r="QVU37" s="578"/>
      <c r="QVV37" s="578"/>
      <c r="QVW37" s="578"/>
      <c r="QVX37" s="578"/>
      <c r="QVY37" s="578"/>
      <c r="QVZ37" s="578"/>
      <c r="QWA37" s="578"/>
      <c r="QWB37" s="578"/>
      <c r="QWC37" s="578"/>
      <c r="QWD37" s="578"/>
      <c r="QWE37" s="578"/>
      <c r="QWF37" s="578"/>
      <c r="QWG37" s="578"/>
      <c r="QWH37" s="578"/>
      <c r="QWI37" s="578"/>
      <c r="QWJ37" s="578"/>
      <c r="QWK37" s="578"/>
      <c r="QWL37" s="578"/>
      <c r="QWM37" s="578"/>
      <c r="QWN37" s="578"/>
      <c r="QWO37" s="578"/>
      <c r="QWP37" s="578"/>
      <c r="QWQ37" s="578"/>
      <c r="QWR37" s="578"/>
      <c r="QWS37" s="578"/>
      <c r="QWT37" s="578"/>
      <c r="QWU37" s="578"/>
      <c r="QWV37" s="578"/>
      <c r="QWW37" s="578"/>
      <c r="QWX37" s="578"/>
      <c r="QWY37" s="578"/>
      <c r="QWZ37" s="578"/>
      <c r="QXA37" s="578"/>
      <c r="QXB37" s="578"/>
      <c r="QXC37" s="578"/>
      <c r="QXD37" s="578"/>
      <c r="QXE37" s="578"/>
      <c r="QXF37" s="578"/>
      <c r="QXG37" s="578"/>
      <c r="QXH37" s="578"/>
      <c r="QXI37" s="578"/>
      <c r="QXJ37" s="578"/>
      <c r="QXK37" s="578"/>
      <c r="QXL37" s="578"/>
      <c r="QXM37" s="578"/>
      <c r="QXN37" s="578"/>
      <c r="QXO37" s="578"/>
      <c r="QXP37" s="578"/>
      <c r="QXQ37" s="578"/>
      <c r="QXR37" s="578"/>
      <c r="QXS37" s="578"/>
      <c r="QXT37" s="578"/>
      <c r="QXU37" s="578"/>
      <c r="QXV37" s="578"/>
      <c r="QXW37" s="578"/>
      <c r="QXX37" s="578"/>
      <c r="QXY37" s="578"/>
      <c r="QXZ37" s="578"/>
      <c r="QYA37" s="578"/>
      <c r="QYB37" s="578"/>
      <c r="QYC37" s="578"/>
      <c r="QYD37" s="578"/>
      <c r="QYE37" s="578"/>
      <c r="QYF37" s="578"/>
      <c r="QYG37" s="578"/>
      <c r="QYH37" s="578"/>
      <c r="QYI37" s="578"/>
      <c r="QYJ37" s="578"/>
      <c r="QYK37" s="578"/>
      <c r="QYL37" s="578"/>
      <c r="QYM37" s="578"/>
      <c r="QYN37" s="578"/>
      <c r="QYO37" s="578"/>
      <c r="QYP37" s="578"/>
      <c r="QYQ37" s="578"/>
      <c r="QYR37" s="578"/>
      <c r="QYS37" s="578"/>
      <c r="QYT37" s="578"/>
      <c r="QYU37" s="578"/>
      <c r="QYV37" s="578"/>
      <c r="QYW37" s="578"/>
      <c r="QYX37" s="578"/>
      <c r="QYY37" s="578"/>
      <c r="QYZ37" s="578"/>
      <c r="QZA37" s="578"/>
      <c r="QZB37" s="578"/>
      <c r="QZC37" s="578"/>
      <c r="QZD37" s="578"/>
      <c r="QZE37" s="578"/>
      <c r="QZF37" s="578"/>
      <c r="QZG37" s="578"/>
      <c r="QZH37" s="578"/>
      <c r="QZI37" s="578"/>
      <c r="QZJ37" s="578"/>
      <c r="QZK37" s="578"/>
      <c r="QZL37" s="578"/>
      <c r="QZM37" s="578"/>
      <c r="QZN37" s="578"/>
      <c r="QZO37" s="578"/>
      <c r="QZP37" s="578"/>
      <c r="QZQ37" s="578"/>
      <c r="QZR37" s="578"/>
      <c r="QZS37" s="578"/>
      <c r="QZT37" s="578"/>
      <c r="QZU37" s="578"/>
      <c r="QZV37" s="578"/>
      <c r="QZW37" s="578"/>
      <c r="QZX37" s="578"/>
      <c r="QZY37" s="578"/>
      <c r="QZZ37" s="578"/>
      <c r="RAA37" s="578"/>
      <c r="RAB37" s="578"/>
      <c r="RAC37" s="578"/>
      <c r="RAD37" s="578"/>
      <c r="RAE37" s="578"/>
      <c r="RAF37" s="578"/>
      <c r="RAG37" s="578"/>
      <c r="RAH37" s="578"/>
      <c r="RAI37" s="578"/>
      <c r="RAJ37" s="578"/>
      <c r="RAK37" s="578"/>
      <c r="RAL37" s="578"/>
      <c r="RAM37" s="578"/>
      <c r="RAN37" s="578"/>
      <c r="RAO37" s="578"/>
      <c r="RAP37" s="578"/>
      <c r="RAQ37" s="578"/>
      <c r="RAR37" s="578"/>
      <c r="RAS37" s="578"/>
      <c r="RAT37" s="578"/>
      <c r="RAU37" s="578"/>
      <c r="RAV37" s="578"/>
      <c r="RAW37" s="578"/>
      <c r="RAX37" s="578"/>
      <c r="RAY37" s="578"/>
      <c r="RAZ37" s="578"/>
      <c r="RBA37" s="578"/>
      <c r="RBB37" s="578"/>
      <c r="RBC37" s="578"/>
      <c r="RBD37" s="578"/>
      <c r="RBE37" s="578"/>
      <c r="RBF37" s="578"/>
      <c r="RBG37" s="578"/>
      <c r="RBH37" s="578"/>
      <c r="RBI37" s="578"/>
      <c r="RBJ37" s="578"/>
      <c r="RBK37" s="578"/>
      <c r="RBL37" s="578"/>
      <c r="RBM37" s="578"/>
      <c r="RBN37" s="578"/>
      <c r="RBO37" s="578"/>
      <c r="RBP37" s="578"/>
      <c r="RBQ37" s="578"/>
      <c r="RBR37" s="578"/>
      <c r="RBS37" s="578"/>
      <c r="RBT37" s="578"/>
      <c r="RBU37" s="578"/>
      <c r="RBV37" s="578"/>
      <c r="RBW37" s="578"/>
      <c r="RBX37" s="578"/>
      <c r="RBY37" s="578"/>
      <c r="RBZ37" s="578"/>
      <c r="RCA37" s="578"/>
      <c r="RCB37" s="578"/>
      <c r="RCC37" s="578"/>
      <c r="RCD37" s="578"/>
      <c r="RCE37" s="578"/>
      <c r="RCF37" s="578"/>
      <c r="RCG37" s="578"/>
      <c r="RCH37" s="578"/>
      <c r="RCI37" s="578"/>
      <c r="RCJ37" s="578"/>
      <c r="RCK37" s="578"/>
      <c r="RCL37" s="578"/>
      <c r="RCM37" s="578"/>
      <c r="RCN37" s="578"/>
      <c r="RCO37" s="578"/>
      <c r="RCP37" s="578"/>
      <c r="RCQ37" s="578"/>
      <c r="RCR37" s="578"/>
      <c r="RCS37" s="578"/>
      <c r="RCT37" s="578"/>
      <c r="RCU37" s="578"/>
      <c r="RCV37" s="578"/>
      <c r="RCW37" s="578"/>
      <c r="RCX37" s="578"/>
      <c r="RCY37" s="578"/>
      <c r="RCZ37" s="578"/>
      <c r="RDA37" s="578"/>
      <c r="RDB37" s="578"/>
      <c r="RDC37" s="578"/>
      <c r="RDD37" s="578"/>
      <c r="RDE37" s="578"/>
      <c r="RDF37" s="578"/>
      <c r="RDG37" s="578"/>
      <c r="RDH37" s="578"/>
      <c r="RDI37" s="578"/>
      <c r="RDJ37" s="578"/>
      <c r="RDK37" s="578"/>
      <c r="RDL37" s="578"/>
      <c r="RDM37" s="578"/>
      <c r="RDN37" s="578"/>
      <c r="RDO37" s="578"/>
      <c r="RDP37" s="578"/>
      <c r="RDQ37" s="578"/>
      <c r="RDR37" s="578"/>
      <c r="RDS37" s="578"/>
      <c r="RDT37" s="578"/>
      <c r="RDU37" s="578"/>
      <c r="RDV37" s="578"/>
      <c r="RDW37" s="578"/>
      <c r="RDX37" s="578"/>
      <c r="RDY37" s="578"/>
      <c r="RDZ37" s="578"/>
      <c r="REA37" s="578"/>
      <c r="REB37" s="578"/>
      <c r="REC37" s="578"/>
      <c r="RED37" s="578"/>
      <c r="REE37" s="578"/>
      <c r="REF37" s="578"/>
      <c r="REG37" s="578"/>
      <c r="REH37" s="578"/>
      <c r="REI37" s="578"/>
      <c r="REJ37" s="578"/>
      <c r="REK37" s="578"/>
      <c r="REL37" s="578"/>
      <c r="REM37" s="578"/>
      <c r="REN37" s="578"/>
      <c r="REO37" s="578"/>
      <c r="REP37" s="578"/>
      <c r="REQ37" s="578"/>
      <c r="RER37" s="578"/>
      <c r="RES37" s="578"/>
      <c r="RET37" s="578"/>
      <c r="REU37" s="578"/>
      <c r="REV37" s="578"/>
      <c r="REW37" s="578"/>
      <c r="REX37" s="578"/>
      <c r="REY37" s="578"/>
      <c r="REZ37" s="578"/>
      <c r="RFA37" s="578"/>
      <c r="RFB37" s="578"/>
      <c r="RFC37" s="578"/>
      <c r="RFD37" s="578"/>
      <c r="RFE37" s="578"/>
      <c r="RFF37" s="578"/>
      <c r="RFG37" s="578"/>
      <c r="RFH37" s="578"/>
      <c r="RFI37" s="578"/>
      <c r="RFJ37" s="578"/>
      <c r="RFK37" s="578"/>
      <c r="RFL37" s="578"/>
      <c r="RFM37" s="578"/>
      <c r="RFN37" s="578"/>
      <c r="RFO37" s="578"/>
      <c r="RFP37" s="578"/>
      <c r="RFQ37" s="578"/>
      <c r="RFR37" s="578"/>
      <c r="RFS37" s="578"/>
      <c r="RFT37" s="578"/>
      <c r="RFU37" s="578"/>
      <c r="RFV37" s="578"/>
      <c r="RFW37" s="578"/>
      <c r="RFX37" s="578"/>
      <c r="RFY37" s="578"/>
      <c r="RFZ37" s="578"/>
      <c r="RGA37" s="578"/>
      <c r="RGB37" s="578"/>
      <c r="RGC37" s="578"/>
      <c r="RGD37" s="578"/>
      <c r="RGE37" s="578"/>
      <c r="RGF37" s="578"/>
      <c r="RGG37" s="578"/>
      <c r="RGH37" s="578"/>
      <c r="RGI37" s="578"/>
      <c r="RGJ37" s="578"/>
      <c r="RGK37" s="578"/>
      <c r="RGL37" s="578"/>
      <c r="RGM37" s="578"/>
      <c r="RGN37" s="578"/>
      <c r="RGO37" s="578"/>
      <c r="RGP37" s="578"/>
      <c r="RGQ37" s="578"/>
      <c r="RGR37" s="578"/>
      <c r="RGS37" s="578"/>
      <c r="RGT37" s="578"/>
      <c r="RGU37" s="578"/>
      <c r="RGV37" s="578"/>
      <c r="RGW37" s="578"/>
      <c r="RGX37" s="578"/>
      <c r="RGY37" s="578"/>
      <c r="RGZ37" s="578"/>
      <c r="RHA37" s="578"/>
      <c r="RHB37" s="578"/>
      <c r="RHC37" s="578"/>
      <c r="RHD37" s="578"/>
      <c r="RHE37" s="578"/>
      <c r="RHF37" s="578"/>
      <c r="RHG37" s="578"/>
      <c r="RHH37" s="578"/>
      <c r="RHI37" s="578"/>
      <c r="RHJ37" s="578"/>
      <c r="RHK37" s="578"/>
      <c r="RHL37" s="578"/>
      <c r="RHM37" s="578"/>
      <c r="RHN37" s="578"/>
      <c r="RHO37" s="578"/>
      <c r="RHP37" s="578"/>
      <c r="RHQ37" s="578"/>
      <c r="RHR37" s="578"/>
      <c r="RHS37" s="578"/>
      <c r="RHT37" s="578"/>
      <c r="RHU37" s="578"/>
      <c r="RHV37" s="578"/>
      <c r="RHW37" s="578"/>
      <c r="RHX37" s="578"/>
      <c r="RHY37" s="578"/>
      <c r="RHZ37" s="578"/>
      <c r="RIA37" s="578"/>
      <c r="RIB37" s="578"/>
      <c r="RIC37" s="578"/>
      <c r="RID37" s="578"/>
      <c r="RIE37" s="578"/>
      <c r="RIF37" s="578"/>
      <c r="RIG37" s="578"/>
      <c r="RIH37" s="578"/>
      <c r="RII37" s="578"/>
      <c r="RIJ37" s="578"/>
      <c r="RIK37" s="578"/>
      <c r="RIL37" s="578"/>
      <c r="RIM37" s="578"/>
      <c r="RIN37" s="578"/>
      <c r="RIO37" s="578"/>
      <c r="RIP37" s="578"/>
      <c r="RIQ37" s="578"/>
      <c r="RIR37" s="578"/>
      <c r="RIS37" s="578"/>
      <c r="RIT37" s="578"/>
      <c r="RIU37" s="578"/>
      <c r="RIV37" s="578"/>
      <c r="RIW37" s="578"/>
      <c r="RIX37" s="578"/>
      <c r="RIY37" s="578"/>
      <c r="RIZ37" s="578"/>
      <c r="RJA37" s="578"/>
      <c r="RJB37" s="578"/>
      <c r="RJC37" s="578"/>
      <c r="RJD37" s="578"/>
      <c r="RJE37" s="578"/>
      <c r="RJF37" s="578"/>
      <c r="RJG37" s="578"/>
      <c r="RJH37" s="578"/>
      <c r="RJI37" s="578"/>
      <c r="RJJ37" s="578"/>
      <c r="RJK37" s="578"/>
      <c r="RJL37" s="578"/>
      <c r="RJM37" s="578"/>
      <c r="RJN37" s="578"/>
      <c r="RJO37" s="578"/>
      <c r="RJP37" s="578"/>
      <c r="RJQ37" s="578"/>
      <c r="RJR37" s="578"/>
      <c r="RJS37" s="578"/>
      <c r="RJT37" s="578"/>
      <c r="RJU37" s="578"/>
      <c r="RJV37" s="578"/>
      <c r="RJW37" s="578"/>
      <c r="RJX37" s="578"/>
      <c r="RJY37" s="578"/>
      <c r="RJZ37" s="578"/>
      <c r="RKA37" s="578"/>
      <c r="RKB37" s="578"/>
      <c r="RKC37" s="578"/>
      <c r="RKD37" s="578"/>
      <c r="RKE37" s="578"/>
      <c r="RKF37" s="578"/>
      <c r="RKG37" s="578"/>
      <c r="RKH37" s="578"/>
      <c r="RKI37" s="578"/>
      <c r="RKJ37" s="578"/>
      <c r="RKK37" s="578"/>
      <c r="RKL37" s="578"/>
      <c r="RKM37" s="578"/>
      <c r="RKN37" s="578"/>
      <c r="RKO37" s="578"/>
      <c r="RKP37" s="578"/>
      <c r="RKQ37" s="578"/>
      <c r="RKR37" s="578"/>
      <c r="RKS37" s="578"/>
      <c r="RKT37" s="578"/>
      <c r="RKU37" s="578"/>
      <c r="RKV37" s="578"/>
      <c r="RKW37" s="578"/>
      <c r="RKX37" s="578"/>
      <c r="RKY37" s="578"/>
      <c r="RKZ37" s="578"/>
      <c r="RLA37" s="578"/>
      <c r="RLB37" s="578"/>
      <c r="RLC37" s="578"/>
      <c r="RLD37" s="578"/>
      <c r="RLE37" s="578"/>
      <c r="RLF37" s="578"/>
      <c r="RLG37" s="578"/>
      <c r="RLH37" s="578"/>
      <c r="RLI37" s="578"/>
      <c r="RLJ37" s="578"/>
      <c r="RLK37" s="578"/>
      <c r="RLL37" s="578"/>
      <c r="RLM37" s="578"/>
      <c r="RLN37" s="578"/>
      <c r="RLO37" s="578"/>
      <c r="RLP37" s="578"/>
      <c r="RLQ37" s="578"/>
      <c r="RLR37" s="578"/>
      <c r="RLS37" s="578"/>
      <c r="RLT37" s="578"/>
      <c r="RLU37" s="578"/>
      <c r="RLV37" s="578"/>
      <c r="RLW37" s="578"/>
      <c r="RLX37" s="578"/>
      <c r="RLY37" s="578"/>
      <c r="RLZ37" s="578"/>
      <c r="RMA37" s="578"/>
      <c r="RMB37" s="578"/>
      <c r="RMC37" s="578"/>
      <c r="RMD37" s="578"/>
      <c r="RME37" s="578"/>
      <c r="RMF37" s="578"/>
      <c r="RMG37" s="578"/>
      <c r="RMH37" s="578"/>
      <c r="RMI37" s="578"/>
      <c r="RMJ37" s="578"/>
      <c r="RMK37" s="578"/>
      <c r="RML37" s="578"/>
      <c r="RMM37" s="578"/>
      <c r="RMN37" s="578"/>
      <c r="RMO37" s="578"/>
      <c r="RMP37" s="578"/>
      <c r="RMQ37" s="578"/>
      <c r="RMR37" s="578"/>
      <c r="RMS37" s="578"/>
      <c r="RMT37" s="578"/>
      <c r="RMU37" s="578"/>
      <c r="RMV37" s="578"/>
      <c r="RMW37" s="578"/>
      <c r="RMX37" s="578"/>
      <c r="RMY37" s="578"/>
      <c r="RMZ37" s="578"/>
      <c r="RNA37" s="578"/>
      <c r="RNB37" s="578"/>
      <c r="RNC37" s="578"/>
      <c r="RND37" s="578"/>
      <c r="RNE37" s="578"/>
      <c r="RNF37" s="578"/>
      <c r="RNG37" s="578"/>
      <c r="RNH37" s="578"/>
      <c r="RNI37" s="578"/>
      <c r="RNJ37" s="578"/>
      <c r="RNK37" s="578"/>
      <c r="RNL37" s="578"/>
      <c r="RNM37" s="578"/>
      <c r="RNN37" s="578"/>
      <c r="RNO37" s="578"/>
      <c r="RNP37" s="578"/>
      <c r="RNQ37" s="578"/>
      <c r="RNR37" s="578"/>
      <c r="RNS37" s="578"/>
      <c r="RNT37" s="578"/>
      <c r="RNU37" s="578"/>
      <c r="RNV37" s="578"/>
      <c r="RNW37" s="578"/>
      <c r="RNX37" s="578"/>
      <c r="RNY37" s="578"/>
      <c r="RNZ37" s="578"/>
      <c r="ROA37" s="578"/>
      <c r="ROB37" s="578"/>
      <c r="ROC37" s="578"/>
      <c r="ROD37" s="578"/>
      <c r="ROE37" s="578"/>
      <c r="ROF37" s="578"/>
      <c r="ROG37" s="578"/>
      <c r="ROH37" s="578"/>
      <c r="ROI37" s="578"/>
      <c r="ROJ37" s="578"/>
      <c r="ROK37" s="578"/>
      <c r="ROL37" s="578"/>
      <c r="ROM37" s="578"/>
      <c r="RON37" s="578"/>
      <c r="ROO37" s="578"/>
      <c r="ROP37" s="578"/>
      <c r="ROQ37" s="578"/>
      <c r="ROR37" s="578"/>
      <c r="ROS37" s="578"/>
      <c r="ROT37" s="578"/>
      <c r="ROU37" s="578"/>
      <c r="ROV37" s="578"/>
      <c r="ROW37" s="578"/>
      <c r="ROX37" s="578"/>
      <c r="ROY37" s="578"/>
      <c r="ROZ37" s="578"/>
      <c r="RPA37" s="578"/>
      <c r="RPB37" s="578"/>
      <c r="RPC37" s="578"/>
      <c r="RPD37" s="578"/>
      <c r="RPE37" s="578"/>
      <c r="RPF37" s="578"/>
      <c r="RPG37" s="578"/>
      <c r="RPH37" s="578"/>
      <c r="RPI37" s="578"/>
      <c r="RPJ37" s="578"/>
      <c r="RPK37" s="578"/>
      <c r="RPL37" s="578"/>
      <c r="RPM37" s="578"/>
      <c r="RPN37" s="578"/>
      <c r="RPO37" s="578"/>
      <c r="RPP37" s="578"/>
      <c r="RPQ37" s="578"/>
      <c r="RPR37" s="578"/>
      <c r="RPS37" s="578"/>
      <c r="RPT37" s="578"/>
      <c r="RPU37" s="578"/>
      <c r="RPV37" s="578"/>
      <c r="RPW37" s="578"/>
      <c r="RPX37" s="578"/>
      <c r="RPY37" s="578"/>
      <c r="RPZ37" s="578"/>
      <c r="RQA37" s="578"/>
      <c r="RQB37" s="578"/>
      <c r="RQC37" s="578"/>
      <c r="RQD37" s="578"/>
      <c r="RQE37" s="578"/>
      <c r="RQF37" s="578"/>
      <c r="RQG37" s="578"/>
      <c r="RQH37" s="578"/>
      <c r="RQI37" s="578"/>
      <c r="RQJ37" s="578"/>
      <c r="RQK37" s="578"/>
      <c r="RQL37" s="578"/>
      <c r="RQM37" s="578"/>
      <c r="RQN37" s="578"/>
      <c r="RQO37" s="578"/>
      <c r="RQP37" s="578"/>
      <c r="RQQ37" s="578"/>
      <c r="RQR37" s="578"/>
      <c r="RQS37" s="578"/>
      <c r="RQT37" s="578"/>
      <c r="RQU37" s="578"/>
      <c r="RQV37" s="578"/>
      <c r="RQW37" s="578"/>
      <c r="RQX37" s="578"/>
      <c r="RQY37" s="578"/>
      <c r="RQZ37" s="578"/>
      <c r="RRA37" s="578"/>
      <c r="RRB37" s="578"/>
      <c r="RRC37" s="578"/>
      <c r="RRD37" s="578"/>
      <c r="RRE37" s="578"/>
      <c r="RRF37" s="578"/>
      <c r="RRG37" s="578"/>
      <c r="RRH37" s="578"/>
      <c r="RRI37" s="578"/>
      <c r="RRJ37" s="578"/>
      <c r="RRK37" s="578"/>
      <c r="RRL37" s="578"/>
      <c r="RRM37" s="578"/>
      <c r="RRN37" s="578"/>
      <c r="RRO37" s="578"/>
      <c r="RRP37" s="578"/>
      <c r="RRQ37" s="578"/>
      <c r="RRR37" s="578"/>
      <c r="RRS37" s="578"/>
      <c r="RRT37" s="578"/>
      <c r="RRU37" s="578"/>
      <c r="RRV37" s="578"/>
      <c r="RRW37" s="578"/>
      <c r="RRX37" s="578"/>
      <c r="RRY37" s="578"/>
      <c r="RRZ37" s="578"/>
      <c r="RSA37" s="578"/>
      <c r="RSB37" s="578"/>
      <c r="RSC37" s="578"/>
      <c r="RSD37" s="578"/>
      <c r="RSE37" s="578"/>
      <c r="RSF37" s="578"/>
      <c r="RSG37" s="578"/>
      <c r="RSH37" s="578"/>
      <c r="RSI37" s="578"/>
      <c r="RSJ37" s="578"/>
      <c r="RSK37" s="578"/>
      <c r="RSL37" s="578"/>
      <c r="RSM37" s="578"/>
      <c r="RSN37" s="578"/>
      <c r="RSO37" s="578"/>
      <c r="RSP37" s="578"/>
      <c r="RSQ37" s="578"/>
      <c r="RSR37" s="578"/>
      <c r="RSS37" s="578"/>
      <c r="RST37" s="578"/>
      <c r="RSU37" s="578"/>
      <c r="RSV37" s="578"/>
      <c r="RSW37" s="578"/>
      <c r="RSX37" s="578"/>
      <c r="RSY37" s="578"/>
      <c r="RSZ37" s="578"/>
      <c r="RTA37" s="578"/>
      <c r="RTB37" s="578"/>
      <c r="RTC37" s="578"/>
      <c r="RTD37" s="578"/>
      <c r="RTE37" s="578"/>
      <c r="RTF37" s="578"/>
      <c r="RTG37" s="578"/>
      <c r="RTH37" s="578"/>
      <c r="RTI37" s="578"/>
      <c r="RTJ37" s="578"/>
      <c r="RTK37" s="578"/>
      <c r="RTL37" s="578"/>
      <c r="RTM37" s="578"/>
      <c r="RTN37" s="578"/>
      <c r="RTO37" s="578"/>
      <c r="RTP37" s="578"/>
      <c r="RTQ37" s="578"/>
      <c r="RTR37" s="578"/>
      <c r="RTS37" s="578"/>
      <c r="RTT37" s="578"/>
      <c r="RTU37" s="578"/>
      <c r="RTV37" s="578"/>
      <c r="RTW37" s="578"/>
      <c r="RTX37" s="578"/>
      <c r="RTY37" s="578"/>
      <c r="RTZ37" s="578"/>
      <c r="RUA37" s="578"/>
      <c r="RUB37" s="578"/>
      <c r="RUC37" s="578"/>
      <c r="RUD37" s="578"/>
      <c r="RUE37" s="578"/>
      <c r="RUF37" s="578"/>
      <c r="RUG37" s="578"/>
      <c r="RUH37" s="578"/>
      <c r="RUI37" s="578"/>
      <c r="RUJ37" s="578"/>
      <c r="RUK37" s="578"/>
      <c r="RUL37" s="578"/>
      <c r="RUM37" s="578"/>
      <c r="RUN37" s="578"/>
      <c r="RUO37" s="578"/>
      <c r="RUP37" s="578"/>
      <c r="RUQ37" s="578"/>
      <c r="RUR37" s="578"/>
      <c r="RUS37" s="578"/>
      <c r="RUT37" s="578"/>
      <c r="RUU37" s="578"/>
      <c r="RUV37" s="578"/>
      <c r="RUW37" s="578"/>
      <c r="RUX37" s="578"/>
      <c r="RUY37" s="578"/>
      <c r="RUZ37" s="578"/>
      <c r="RVA37" s="578"/>
      <c r="RVB37" s="578"/>
      <c r="RVC37" s="578"/>
      <c r="RVD37" s="578"/>
      <c r="RVE37" s="578"/>
      <c r="RVF37" s="578"/>
      <c r="RVG37" s="578"/>
      <c r="RVH37" s="578"/>
      <c r="RVI37" s="578"/>
      <c r="RVJ37" s="578"/>
      <c r="RVK37" s="578"/>
      <c r="RVL37" s="578"/>
      <c r="RVM37" s="578"/>
      <c r="RVN37" s="578"/>
      <c r="RVO37" s="578"/>
      <c r="RVP37" s="578"/>
      <c r="RVQ37" s="578"/>
      <c r="RVR37" s="578"/>
      <c r="RVS37" s="578"/>
      <c r="RVT37" s="578"/>
      <c r="RVU37" s="578"/>
      <c r="RVV37" s="578"/>
      <c r="RVW37" s="578"/>
      <c r="RVX37" s="578"/>
      <c r="RVY37" s="578"/>
      <c r="RVZ37" s="578"/>
      <c r="RWA37" s="578"/>
      <c r="RWB37" s="578"/>
      <c r="RWC37" s="578"/>
      <c r="RWD37" s="578"/>
      <c r="RWE37" s="578"/>
      <c r="RWF37" s="578"/>
      <c r="RWG37" s="578"/>
      <c r="RWH37" s="578"/>
      <c r="RWI37" s="578"/>
      <c r="RWJ37" s="578"/>
      <c r="RWK37" s="578"/>
      <c r="RWL37" s="578"/>
      <c r="RWM37" s="578"/>
      <c r="RWN37" s="578"/>
      <c r="RWO37" s="578"/>
      <c r="RWP37" s="578"/>
      <c r="RWQ37" s="578"/>
      <c r="RWR37" s="578"/>
      <c r="RWS37" s="578"/>
      <c r="RWT37" s="578"/>
      <c r="RWU37" s="578"/>
      <c r="RWV37" s="578"/>
      <c r="RWW37" s="578"/>
      <c r="RWX37" s="578"/>
      <c r="RWY37" s="578"/>
      <c r="RWZ37" s="578"/>
      <c r="RXA37" s="578"/>
      <c r="RXB37" s="578"/>
      <c r="RXC37" s="578"/>
      <c r="RXD37" s="578"/>
      <c r="RXE37" s="578"/>
      <c r="RXF37" s="578"/>
      <c r="RXG37" s="578"/>
      <c r="RXH37" s="578"/>
      <c r="RXI37" s="578"/>
      <c r="RXJ37" s="578"/>
      <c r="RXK37" s="578"/>
      <c r="RXL37" s="578"/>
      <c r="RXM37" s="578"/>
      <c r="RXN37" s="578"/>
      <c r="RXO37" s="578"/>
      <c r="RXP37" s="578"/>
      <c r="RXQ37" s="578"/>
      <c r="RXR37" s="578"/>
      <c r="RXS37" s="578"/>
      <c r="RXT37" s="578"/>
      <c r="RXU37" s="578"/>
      <c r="RXV37" s="578"/>
      <c r="RXW37" s="578"/>
      <c r="RXX37" s="578"/>
      <c r="RXY37" s="578"/>
      <c r="RXZ37" s="578"/>
      <c r="RYA37" s="578"/>
      <c r="RYB37" s="578"/>
      <c r="RYC37" s="578"/>
      <c r="RYD37" s="578"/>
      <c r="RYE37" s="578"/>
      <c r="RYF37" s="578"/>
      <c r="RYG37" s="578"/>
      <c r="RYH37" s="578"/>
      <c r="RYI37" s="578"/>
      <c r="RYJ37" s="578"/>
      <c r="RYK37" s="578"/>
      <c r="RYL37" s="578"/>
      <c r="RYM37" s="578"/>
      <c r="RYN37" s="578"/>
      <c r="RYO37" s="578"/>
      <c r="RYP37" s="578"/>
      <c r="RYQ37" s="578"/>
      <c r="RYR37" s="578"/>
      <c r="RYS37" s="578"/>
      <c r="RYT37" s="578"/>
      <c r="RYU37" s="578"/>
      <c r="RYV37" s="578"/>
      <c r="RYW37" s="578"/>
      <c r="RYX37" s="578"/>
      <c r="RYY37" s="578"/>
      <c r="RYZ37" s="578"/>
      <c r="RZA37" s="578"/>
      <c r="RZB37" s="578"/>
      <c r="RZC37" s="578"/>
      <c r="RZD37" s="578"/>
      <c r="RZE37" s="578"/>
      <c r="RZF37" s="578"/>
      <c r="RZG37" s="578"/>
      <c r="RZH37" s="578"/>
      <c r="RZI37" s="578"/>
      <c r="RZJ37" s="578"/>
      <c r="RZK37" s="578"/>
      <c r="RZL37" s="578"/>
      <c r="RZM37" s="578"/>
      <c r="RZN37" s="578"/>
      <c r="RZO37" s="578"/>
      <c r="RZP37" s="578"/>
      <c r="RZQ37" s="578"/>
      <c r="RZR37" s="578"/>
      <c r="RZS37" s="578"/>
      <c r="RZT37" s="578"/>
      <c r="RZU37" s="578"/>
      <c r="RZV37" s="578"/>
      <c r="RZW37" s="578"/>
      <c r="RZX37" s="578"/>
      <c r="RZY37" s="578"/>
      <c r="RZZ37" s="578"/>
      <c r="SAA37" s="578"/>
      <c r="SAB37" s="578"/>
      <c r="SAC37" s="578"/>
      <c r="SAD37" s="578"/>
      <c r="SAE37" s="578"/>
      <c r="SAF37" s="578"/>
      <c r="SAG37" s="578"/>
      <c r="SAH37" s="578"/>
      <c r="SAI37" s="578"/>
      <c r="SAJ37" s="578"/>
      <c r="SAK37" s="578"/>
      <c r="SAL37" s="578"/>
      <c r="SAM37" s="578"/>
      <c r="SAN37" s="578"/>
      <c r="SAO37" s="578"/>
      <c r="SAP37" s="578"/>
      <c r="SAQ37" s="578"/>
      <c r="SAR37" s="578"/>
      <c r="SAS37" s="578"/>
      <c r="SAT37" s="578"/>
      <c r="SAU37" s="578"/>
      <c r="SAV37" s="578"/>
      <c r="SAW37" s="578"/>
      <c r="SAX37" s="578"/>
      <c r="SAY37" s="578"/>
      <c r="SAZ37" s="578"/>
      <c r="SBA37" s="578"/>
      <c r="SBB37" s="578"/>
      <c r="SBC37" s="578"/>
      <c r="SBD37" s="578"/>
      <c r="SBE37" s="578"/>
      <c r="SBF37" s="578"/>
      <c r="SBG37" s="578"/>
      <c r="SBH37" s="578"/>
      <c r="SBI37" s="578"/>
      <c r="SBJ37" s="578"/>
      <c r="SBK37" s="578"/>
      <c r="SBL37" s="578"/>
      <c r="SBM37" s="578"/>
      <c r="SBN37" s="578"/>
      <c r="SBO37" s="578"/>
      <c r="SBP37" s="578"/>
      <c r="SBQ37" s="578"/>
      <c r="SBR37" s="578"/>
      <c r="SBS37" s="578"/>
      <c r="SBT37" s="578"/>
      <c r="SBU37" s="578"/>
      <c r="SBV37" s="578"/>
      <c r="SBW37" s="578"/>
      <c r="SBX37" s="578"/>
      <c r="SBY37" s="578"/>
      <c r="SBZ37" s="578"/>
      <c r="SCA37" s="578"/>
      <c r="SCB37" s="578"/>
      <c r="SCC37" s="578"/>
      <c r="SCD37" s="578"/>
      <c r="SCE37" s="578"/>
      <c r="SCF37" s="578"/>
      <c r="SCG37" s="578"/>
      <c r="SCH37" s="578"/>
      <c r="SCI37" s="578"/>
      <c r="SCJ37" s="578"/>
      <c r="SCK37" s="578"/>
      <c r="SCL37" s="578"/>
      <c r="SCM37" s="578"/>
      <c r="SCN37" s="578"/>
      <c r="SCO37" s="578"/>
      <c r="SCP37" s="578"/>
      <c r="SCQ37" s="578"/>
      <c r="SCR37" s="578"/>
      <c r="SCS37" s="578"/>
      <c r="SCT37" s="578"/>
      <c r="SCU37" s="578"/>
      <c r="SCV37" s="578"/>
      <c r="SCW37" s="578"/>
      <c r="SCX37" s="578"/>
      <c r="SCY37" s="578"/>
      <c r="SCZ37" s="578"/>
      <c r="SDA37" s="578"/>
      <c r="SDB37" s="578"/>
      <c r="SDC37" s="578"/>
      <c r="SDD37" s="578"/>
      <c r="SDE37" s="578"/>
      <c r="SDF37" s="578"/>
      <c r="SDG37" s="578"/>
      <c r="SDH37" s="578"/>
      <c r="SDI37" s="578"/>
      <c r="SDJ37" s="578"/>
      <c r="SDK37" s="578"/>
      <c r="SDL37" s="578"/>
      <c r="SDM37" s="578"/>
      <c r="SDN37" s="578"/>
      <c r="SDO37" s="578"/>
      <c r="SDP37" s="578"/>
      <c r="SDQ37" s="578"/>
      <c r="SDR37" s="578"/>
      <c r="SDS37" s="578"/>
      <c r="SDT37" s="578"/>
      <c r="SDU37" s="578"/>
      <c r="SDV37" s="578"/>
      <c r="SDW37" s="578"/>
      <c r="SDX37" s="578"/>
      <c r="SDY37" s="578"/>
      <c r="SDZ37" s="578"/>
      <c r="SEA37" s="578"/>
      <c r="SEB37" s="578"/>
      <c r="SEC37" s="578"/>
      <c r="SED37" s="578"/>
      <c r="SEE37" s="578"/>
      <c r="SEF37" s="578"/>
      <c r="SEG37" s="578"/>
      <c r="SEH37" s="578"/>
      <c r="SEI37" s="578"/>
      <c r="SEJ37" s="578"/>
      <c r="SEK37" s="578"/>
      <c r="SEL37" s="578"/>
      <c r="SEM37" s="578"/>
      <c r="SEN37" s="578"/>
      <c r="SEO37" s="578"/>
      <c r="SEP37" s="578"/>
      <c r="SEQ37" s="578"/>
      <c r="SER37" s="578"/>
      <c r="SES37" s="578"/>
      <c r="SET37" s="578"/>
      <c r="SEU37" s="578"/>
      <c r="SEV37" s="578"/>
      <c r="SEW37" s="578"/>
      <c r="SEX37" s="578"/>
      <c r="SEY37" s="578"/>
      <c r="SEZ37" s="578"/>
      <c r="SFA37" s="578"/>
      <c r="SFB37" s="578"/>
      <c r="SFC37" s="578"/>
      <c r="SFD37" s="578"/>
      <c r="SFE37" s="578"/>
      <c r="SFF37" s="578"/>
      <c r="SFG37" s="578"/>
      <c r="SFH37" s="578"/>
      <c r="SFI37" s="578"/>
      <c r="SFJ37" s="578"/>
      <c r="SFK37" s="578"/>
      <c r="SFL37" s="578"/>
      <c r="SFM37" s="578"/>
      <c r="SFN37" s="578"/>
      <c r="SFO37" s="578"/>
      <c r="SFP37" s="578"/>
      <c r="SFQ37" s="578"/>
      <c r="SFR37" s="578"/>
      <c r="SFS37" s="578"/>
      <c r="SFT37" s="578"/>
      <c r="SFU37" s="578"/>
      <c r="SFV37" s="578"/>
      <c r="SFW37" s="578"/>
      <c r="SFX37" s="578"/>
      <c r="SFY37" s="578"/>
      <c r="SFZ37" s="578"/>
      <c r="SGA37" s="578"/>
      <c r="SGB37" s="578"/>
      <c r="SGC37" s="578"/>
      <c r="SGD37" s="578"/>
      <c r="SGE37" s="578"/>
      <c r="SGF37" s="578"/>
      <c r="SGG37" s="578"/>
      <c r="SGH37" s="578"/>
      <c r="SGI37" s="578"/>
      <c r="SGJ37" s="578"/>
      <c r="SGK37" s="578"/>
      <c r="SGL37" s="578"/>
      <c r="SGM37" s="578"/>
      <c r="SGN37" s="578"/>
      <c r="SGO37" s="578"/>
      <c r="SGP37" s="578"/>
      <c r="SGQ37" s="578"/>
      <c r="SGR37" s="578"/>
      <c r="SGS37" s="578"/>
      <c r="SGT37" s="578"/>
      <c r="SGU37" s="578"/>
      <c r="SGV37" s="578"/>
      <c r="SGW37" s="578"/>
      <c r="SGX37" s="578"/>
      <c r="SGY37" s="578"/>
      <c r="SGZ37" s="578"/>
      <c r="SHA37" s="578"/>
      <c r="SHB37" s="578"/>
      <c r="SHC37" s="578"/>
      <c r="SHD37" s="578"/>
      <c r="SHE37" s="578"/>
      <c r="SHF37" s="578"/>
      <c r="SHG37" s="578"/>
      <c r="SHH37" s="578"/>
      <c r="SHI37" s="578"/>
      <c r="SHJ37" s="578"/>
      <c r="SHK37" s="578"/>
      <c r="SHL37" s="578"/>
      <c r="SHM37" s="578"/>
      <c r="SHN37" s="578"/>
      <c r="SHO37" s="578"/>
      <c r="SHP37" s="578"/>
      <c r="SHQ37" s="578"/>
      <c r="SHR37" s="578"/>
      <c r="SHS37" s="578"/>
      <c r="SHT37" s="578"/>
      <c r="SHU37" s="578"/>
      <c r="SHV37" s="578"/>
      <c r="SHW37" s="578"/>
      <c r="SHX37" s="578"/>
      <c r="SHY37" s="578"/>
      <c r="SHZ37" s="578"/>
      <c r="SIA37" s="578"/>
      <c r="SIB37" s="578"/>
      <c r="SIC37" s="578"/>
      <c r="SID37" s="578"/>
      <c r="SIE37" s="578"/>
      <c r="SIF37" s="578"/>
      <c r="SIG37" s="578"/>
      <c r="SIH37" s="578"/>
      <c r="SII37" s="578"/>
      <c r="SIJ37" s="578"/>
      <c r="SIK37" s="578"/>
      <c r="SIL37" s="578"/>
      <c r="SIM37" s="578"/>
      <c r="SIN37" s="578"/>
      <c r="SIO37" s="578"/>
      <c r="SIP37" s="578"/>
      <c r="SIQ37" s="578"/>
      <c r="SIR37" s="578"/>
      <c r="SIS37" s="578"/>
      <c r="SIT37" s="578"/>
      <c r="SIU37" s="578"/>
      <c r="SIV37" s="578"/>
      <c r="SIW37" s="578"/>
      <c r="SIX37" s="578"/>
      <c r="SIY37" s="578"/>
      <c r="SIZ37" s="578"/>
      <c r="SJA37" s="578"/>
      <c r="SJB37" s="578"/>
      <c r="SJC37" s="578"/>
      <c r="SJD37" s="578"/>
      <c r="SJE37" s="578"/>
      <c r="SJF37" s="578"/>
      <c r="SJG37" s="578"/>
      <c r="SJH37" s="578"/>
      <c r="SJI37" s="578"/>
      <c r="SJJ37" s="578"/>
      <c r="SJK37" s="578"/>
      <c r="SJL37" s="578"/>
      <c r="SJM37" s="578"/>
      <c r="SJN37" s="578"/>
      <c r="SJO37" s="578"/>
      <c r="SJP37" s="578"/>
      <c r="SJQ37" s="578"/>
      <c r="SJR37" s="578"/>
      <c r="SJS37" s="578"/>
      <c r="SJT37" s="578"/>
      <c r="SJU37" s="578"/>
      <c r="SJV37" s="578"/>
      <c r="SJW37" s="578"/>
      <c r="SJX37" s="578"/>
      <c r="SJY37" s="578"/>
      <c r="SJZ37" s="578"/>
      <c r="SKA37" s="578"/>
      <c r="SKB37" s="578"/>
      <c r="SKC37" s="578"/>
      <c r="SKD37" s="578"/>
      <c r="SKE37" s="578"/>
      <c r="SKF37" s="578"/>
      <c r="SKG37" s="578"/>
      <c r="SKH37" s="578"/>
      <c r="SKI37" s="578"/>
      <c r="SKJ37" s="578"/>
      <c r="SKK37" s="578"/>
      <c r="SKL37" s="578"/>
      <c r="SKM37" s="578"/>
      <c r="SKN37" s="578"/>
      <c r="SKO37" s="578"/>
      <c r="SKP37" s="578"/>
      <c r="SKQ37" s="578"/>
      <c r="SKR37" s="578"/>
      <c r="SKS37" s="578"/>
      <c r="SKT37" s="578"/>
      <c r="SKU37" s="578"/>
      <c r="SKV37" s="578"/>
      <c r="SKW37" s="578"/>
      <c r="SKX37" s="578"/>
      <c r="SKY37" s="578"/>
      <c r="SKZ37" s="578"/>
      <c r="SLA37" s="578"/>
      <c r="SLB37" s="578"/>
      <c r="SLC37" s="578"/>
      <c r="SLD37" s="578"/>
      <c r="SLE37" s="578"/>
      <c r="SLF37" s="578"/>
      <c r="SLG37" s="578"/>
      <c r="SLH37" s="578"/>
      <c r="SLI37" s="578"/>
      <c r="SLJ37" s="578"/>
      <c r="SLK37" s="578"/>
      <c r="SLL37" s="578"/>
      <c r="SLM37" s="578"/>
      <c r="SLN37" s="578"/>
      <c r="SLO37" s="578"/>
      <c r="SLP37" s="578"/>
      <c r="SLQ37" s="578"/>
      <c r="SLR37" s="578"/>
      <c r="SLS37" s="578"/>
      <c r="SLT37" s="578"/>
      <c r="SLU37" s="578"/>
      <c r="SLV37" s="578"/>
      <c r="SLW37" s="578"/>
      <c r="SLX37" s="578"/>
      <c r="SLY37" s="578"/>
      <c r="SLZ37" s="578"/>
      <c r="SMA37" s="578"/>
      <c r="SMB37" s="578"/>
      <c r="SMC37" s="578"/>
      <c r="SMD37" s="578"/>
      <c r="SME37" s="578"/>
      <c r="SMF37" s="578"/>
      <c r="SMG37" s="578"/>
      <c r="SMH37" s="578"/>
      <c r="SMI37" s="578"/>
      <c r="SMJ37" s="578"/>
      <c r="SMK37" s="578"/>
      <c r="SML37" s="578"/>
      <c r="SMM37" s="578"/>
      <c r="SMN37" s="578"/>
      <c r="SMO37" s="578"/>
      <c r="SMP37" s="578"/>
      <c r="SMQ37" s="578"/>
      <c r="SMR37" s="578"/>
      <c r="SMS37" s="578"/>
      <c r="SMT37" s="578"/>
      <c r="SMU37" s="578"/>
      <c r="SMV37" s="578"/>
      <c r="SMW37" s="578"/>
      <c r="SMX37" s="578"/>
      <c r="SMY37" s="578"/>
      <c r="SMZ37" s="578"/>
      <c r="SNA37" s="578"/>
      <c r="SNB37" s="578"/>
      <c r="SNC37" s="578"/>
      <c r="SND37" s="578"/>
      <c r="SNE37" s="578"/>
      <c r="SNF37" s="578"/>
      <c r="SNG37" s="578"/>
      <c r="SNH37" s="578"/>
      <c r="SNI37" s="578"/>
      <c r="SNJ37" s="578"/>
      <c r="SNK37" s="578"/>
      <c r="SNL37" s="578"/>
      <c r="SNM37" s="578"/>
      <c r="SNN37" s="578"/>
      <c r="SNO37" s="578"/>
      <c r="SNP37" s="578"/>
      <c r="SNQ37" s="578"/>
      <c r="SNR37" s="578"/>
      <c r="SNS37" s="578"/>
      <c r="SNT37" s="578"/>
      <c r="SNU37" s="578"/>
      <c r="SNV37" s="578"/>
      <c r="SNW37" s="578"/>
      <c r="SNX37" s="578"/>
      <c r="SNY37" s="578"/>
      <c r="SNZ37" s="578"/>
      <c r="SOA37" s="578"/>
      <c r="SOB37" s="578"/>
      <c r="SOC37" s="578"/>
      <c r="SOD37" s="578"/>
      <c r="SOE37" s="578"/>
      <c r="SOF37" s="578"/>
      <c r="SOG37" s="578"/>
      <c r="SOH37" s="578"/>
      <c r="SOI37" s="578"/>
      <c r="SOJ37" s="578"/>
      <c r="SOK37" s="578"/>
      <c r="SOL37" s="578"/>
      <c r="SOM37" s="578"/>
      <c r="SON37" s="578"/>
      <c r="SOO37" s="578"/>
      <c r="SOP37" s="578"/>
      <c r="SOQ37" s="578"/>
      <c r="SOR37" s="578"/>
      <c r="SOS37" s="578"/>
      <c r="SOT37" s="578"/>
      <c r="SOU37" s="578"/>
      <c r="SOV37" s="578"/>
      <c r="SOW37" s="578"/>
      <c r="SOX37" s="578"/>
      <c r="SOY37" s="578"/>
      <c r="SOZ37" s="578"/>
      <c r="SPA37" s="578"/>
      <c r="SPB37" s="578"/>
      <c r="SPC37" s="578"/>
      <c r="SPD37" s="578"/>
      <c r="SPE37" s="578"/>
      <c r="SPF37" s="578"/>
      <c r="SPG37" s="578"/>
      <c r="SPH37" s="578"/>
      <c r="SPI37" s="578"/>
      <c r="SPJ37" s="578"/>
      <c r="SPK37" s="578"/>
      <c r="SPL37" s="578"/>
      <c r="SPM37" s="578"/>
      <c r="SPN37" s="578"/>
      <c r="SPO37" s="578"/>
      <c r="SPP37" s="578"/>
      <c r="SPQ37" s="578"/>
      <c r="SPR37" s="578"/>
      <c r="SPS37" s="578"/>
      <c r="SPT37" s="578"/>
      <c r="SPU37" s="578"/>
      <c r="SPV37" s="578"/>
      <c r="SPW37" s="578"/>
      <c r="SPX37" s="578"/>
      <c r="SPY37" s="578"/>
      <c r="SPZ37" s="578"/>
      <c r="SQA37" s="578"/>
      <c r="SQB37" s="578"/>
      <c r="SQC37" s="578"/>
      <c r="SQD37" s="578"/>
      <c r="SQE37" s="578"/>
      <c r="SQF37" s="578"/>
      <c r="SQG37" s="578"/>
      <c r="SQH37" s="578"/>
      <c r="SQI37" s="578"/>
      <c r="SQJ37" s="578"/>
      <c r="SQK37" s="578"/>
      <c r="SQL37" s="578"/>
      <c r="SQM37" s="578"/>
      <c r="SQN37" s="578"/>
      <c r="SQO37" s="578"/>
      <c r="SQP37" s="578"/>
      <c r="SQQ37" s="578"/>
      <c r="SQR37" s="578"/>
      <c r="SQS37" s="578"/>
      <c r="SQT37" s="578"/>
      <c r="SQU37" s="578"/>
      <c r="SQV37" s="578"/>
      <c r="SQW37" s="578"/>
      <c r="SQX37" s="578"/>
      <c r="SQY37" s="578"/>
      <c r="SQZ37" s="578"/>
      <c r="SRA37" s="578"/>
      <c r="SRB37" s="578"/>
      <c r="SRC37" s="578"/>
      <c r="SRD37" s="578"/>
      <c r="SRE37" s="578"/>
      <c r="SRF37" s="578"/>
      <c r="SRG37" s="578"/>
      <c r="SRH37" s="578"/>
      <c r="SRI37" s="578"/>
      <c r="SRJ37" s="578"/>
      <c r="SRK37" s="578"/>
      <c r="SRL37" s="578"/>
      <c r="SRM37" s="578"/>
      <c r="SRN37" s="578"/>
      <c r="SRO37" s="578"/>
      <c r="SRP37" s="578"/>
      <c r="SRQ37" s="578"/>
      <c r="SRR37" s="578"/>
      <c r="SRS37" s="578"/>
      <c r="SRT37" s="578"/>
      <c r="SRU37" s="578"/>
      <c r="SRV37" s="578"/>
      <c r="SRW37" s="578"/>
      <c r="SRX37" s="578"/>
      <c r="SRY37" s="578"/>
      <c r="SRZ37" s="578"/>
      <c r="SSA37" s="578"/>
      <c r="SSB37" s="578"/>
      <c r="SSC37" s="578"/>
      <c r="SSD37" s="578"/>
      <c r="SSE37" s="578"/>
      <c r="SSF37" s="578"/>
      <c r="SSG37" s="578"/>
      <c r="SSH37" s="578"/>
      <c r="SSI37" s="578"/>
      <c r="SSJ37" s="578"/>
      <c r="SSK37" s="578"/>
      <c r="SSL37" s="578"/>
      <c r="SSM37" s="578"/>
      <c r="SSN37" s="578"/>
      <c r="SSO37" s="578"/>
      <c r="SSP37" s="578"/>
      <c r="SSQ37" s="578"/>
      <c r="SSR37" s="578"/>
      <c r="SSS37" s="578"/>
      <c r="SST37" s="578"/>
      <c r="SSU37" s="578"/>
      <c r="SSV37" s="578"/>
      <c r="SSW37" s="578"/>
      <c r="SSX37" s="578"/>
      <c r="SSY37" s="578"/>
      <c r="SSZ37" s="578"/>
      <c r="STA37" s="578"/>
      <c r="STB37" s="578"/>
      <c r="STC37" s="578"/>
      <c r="STD37" s="578"/>
      <c r="STE37" s="578"/>
      <c r="STF37" s="578"/>
      <c r="STG37" s="578"/>
      <c r="STH37" s="578"/>
      <c r="STI37" s="578"/>
      <c r="STJ37" s="578"/>
      <c r="STK37" s="578"/>
      <c r="STL37" s="578"/>
      <c r="STM37" s="578"/>
      <c r="STN37" s="578"/>
      <c r="STO37" s="578"/>
      <c r="STP37" s="578"/>
      <c r="STQ37" s="578"/>
      <c r="STR37" s="578"/>
      <c r="STS37" s="578"/>
      <c r="STT37" s="578"/>
      <c r="STU37" s="578"/>
      <c r="STV37" s="578"/>
      <c r="STW37" s="578"/>
      <c r="STX37" s="578"/>
      <c r="STY37" s="578"/>
      <c r="STZ37" s="578"/>
      <c r="SUA37" s="578"/>
      <c r="SUB37" s="578"/>
      <c r="SUC37" s="578"/>
      <c r="SUD37" s="578"/>
      <c r="SUE37" s="578"/>
      <c r="SUF37" s="578"/>
      <c r="SUG37" s="578"/>
      <c r="SUH37" s="578"/>
      <c r="SUI37" s="578"/>
      <c r="SUJ37" s="578"/>
      <c r="SUK37" s="578"/>
      <c r="SUL37" s="578"/>
      <c r="SUM37" s="578"/>
      <c r="SUN37" s="578"/>
      <c r="SUO37" s="578"/>
      <c r="SUP37" s="578"/>
      <c r="SUQ37" s="578"/>
      <c r="SUR37" s="578"/>
      <c r="SUS37" s="578"/>
      <c r="SUT37" s="578"/>
      <c r="SUU37" s="578"/>
      <c r="SUV37" s="578"/>
      <c r="SUW37" s="578"/>
      <c r="SUX37" s="578"/>
      <c r="SUY37" s="578"/>
      <c r="SUZ37" s="578"/>
      <c r="SVA37" s="578"/>
      <c r="SVB37" s="578"/>
      <c r="SVC37" s="578"/>
      <c r="SVD37" s="578"/>
      <c r="SVE37" s="578"/>
      <c r="SVF37" s="578"/>
      <c r="SVG37" s="578"/>
      <c r="SVH37" s="578"/>
      <c r="SVI37" s="578"/>
      <c r="SVJ37" s="578"/>
      <c r="SVK37" s="578"/>
      <c r="SVL37" s="578"/>
      <c r="SVM37" s="578"/>
      <c r="SVN37" s="578"/>
      <c r="SVO37" s="578"/>
      <c r="SVP37" s="578"/>
      <c r="SVQ37" s="578"/>
      <c r="SVR37" s="578"/>
      <c r="SVS37" s="578"/>
      <c r="SVT37" s="578"/>
      <c r="SVU37" s="578"/>
      <c r="SVV37" s="578"/>
      <c r="SVW37" s="578"/>
      <c r="SVX37" s="578"/>
      <c r="SVY37" s="578"/>
      <c r="SVZ37" s="578"/>
      <c r="SWA37" s="578"/>
      <c r="SWB37" s="578"/>
      <c r="SWC37" s="578"/>
      <c r="SWD37" s="578"/>
      <c r="SWE37" s="578"/>
      <c r="SWF37" s="578"/>
      <c r="SWG37" s="578"/>
      <c r="SWH37" s="578"/>
      <c r="SWI37" s="578"/>
      <c r="SWJ37" s="578"/>
      <c r="SWK37" s="578"/>
      <c r="SWL37" s="578"/>
      <c r="SWM37" s="578"/>
      <c r="SWN37" s="578"/>
      <c r="SWO37" s="578"/>
      <c r="SWP37" s="578"/>
      <c r="SWQ37" s="578"/>
      <c r="SWR37" s="578"/>
      <c r="SWS37" s="578"/>
      <c r="SWT37" s="578"/>
      <c r="SWU37" s="578"/>
      <c r="SWV37" s="578"/>
      <c r="SWW37" s="578"/>
      <c r="SWX37" s="578"/>
      <c r="SWY37" s="578"/>
      <c r="SWZ37" s="578"/>
      <c r="SXA37" s="578"/>
      <c r="SXB37" s="578"/>
      <c r="SXC37" s="578"/>
      <c r="SXD37" s="578"/>
      <c r="SXE37" s="578"/>
      <c r="SXF37" s="578"/>
      <c r="SXG37" s="578"/>
      <c r="SXH37" s="578"/>
      <c r="SXI37" s="578"/>
      <c r="SXJ37" s="578"/>
      <c r="SXK37" s="578"/>
      <c r="SXL37" s="578"/>
      <c r="SXM37" s="578"/>
      <c r="SXN37" s="578"/>
      <c r="SXO37" s="578"/>
      <c r="SXP37" s="578"/>
      <c r="SXQ37" s="578"/>
      <c r="SXR37" s="578"/>
      <c r="SXS37" s="578"/>
      <c r="SXT37" s="578"/>
      <c r="SXU37" s="578"/>
      <c r="SXV37" s="578"/>
      <c r="SXW37" s="578"/>
      <c r="SXX37" s="578"/>
      <c r="SXY37" s="578"/>
      <c r="SXZ37" s="578"/>
      <c r="SYA37" s="578"/>
      <c r="SYB37" s="578"/>
      <c r="SYC37" s="578"/>
      <c r="SYD37" s="578"/>
      <c r="SYE37" s="578"/>
      <c r="SYF37" s="578"/>
      <c r="SYG37" s="578"/>
      <c r="SYH37" s="578"/>
      <c r="SYI37" s="578"/>
      <c r="SYJ37" s="578"/>
      <c r="SYK37" s="578"/>
      <c r="SYL37" s="578"/>
      <c r="SYM37" s="578"/>
      <c r="SYN37" s="578"/>
      <c r="SYO37" s="578"/>
      <c r="SYP37" s="578"/>
      <c r="SYQ37" s="578"/>
      <c r="SYR37" s="578"/>
      <c r="SYS37" s="578"/>
      <c r="SYT37" s="578"/>
      <c r="SYU37" s="578"/>
      <c r="SYV37" s="578"/>
      <c r="SYW37" s="578"/>
      <c r="SYX37" s="578"/>
      <c r="SYY37" s="578"/>
      <c r="SYZ37" s="578"/>
      <c r="SZA37" s="578"/>
      <c r="SZB37" s="578"/>
      <c r="SZC37" s="578"/>
      <c r="SZD37" s="578"/>
      <c r="SZE37" s="578"/>
      <c r="SZF37" s="578"/>
      <c r="SZG37" s="578"/>
      <c r="SZH37" s="578"/>
      <c r="SZI37" s="578"/>
      <c r="SZJ37" s="578"/>
      <c r="SZK37" s="578"/>
      <c r="SZL37" s="578"/>
      <c r="SZM37" s="578"/>
      <c r="SZN37" s="578"/>
      <c r="SZO37" s="578"/>
      <c r="SZP37" s="578"/>
      <c r="SZQ37" s="578"/>
      <c r="SZR37" s="578"/>
      <c r="SZS37" s="578"/>
      <c r="SZT37" s="578"/>
      <c r="SZU37" s="578"/>
      <c r="SZV37" s="578"/>
      <c r="SZW37" s="578"/>
      <c r="SZX37" s="578"/>
      <c r="SZY37" s="578"/>
      <c r="SZZ37" s="578"/>
      <c r="TAA37" s="578"/>
      <c r="TAB37" s="578"/>
      <c r="TAC37" s="578"/>
      <c r="TAD37" s="578"/>
      <c r="TAE37" s="578"/>
      <c r="TAF37" s="578"/>
      <c r="TAG37" s="578"/>
      <c r="TAH37" s="578"/>
      <c r="TAI37" s="578"/>
      <c r="TAJ37" s="578"/>
      <c r="TAK37" s="578"/>
      <c r="TAL37" s="578"/>
      <c r="TAM37" s="578"/>
      <c r="TAN37" s="578"/>
      <c r="TAO37" s="578"/>
      <c r="TAP37" s="578"/>
      <c r="TAQ37" s="578"/>
      <c r="TAR37" s="578"/>
      <c r="TAS37" s="578"/>
      <c r="TAT37" s="578"/>
      <c r="TAU37" s="578"/>
      <c r="TAV37" s="578"/>
      <c r="TAW37" s="578"/>
      <c r="TAX37" s="578"/>
      <c r="TAY37" s="578"/>
      <c r="TAZ37" s="578"/>
      <c r="TBA37" s="578"/>
      <c r="TBB37" s="578"/>
      <c r="TBC37" s="578"/>
      <c r="TBD37" s="578"/>
      <c r="TBE37" s="578"/>
      <c r="TBF37" s="578"/>
      <c r="TBG37" s="578"/>
      <c r="TBH37" s="578"/>
      <c r="TBI37" s="578"/>
      <c r="TBJ37" s="578"/>
      <c r="TBK37" s="578"/>
      <c r="TBL37" s="578"/>
      <c r="TBM37" s="578"/>
      <c r="TBN37" s="578"/>
      <c r="TBO37" s="578"/>
      <c r="TBP37" s="578"/>
      <c r="TBQ37" s="578"/>
      <c r="TBR37" s="578"/>
      <c r="TBS37" s="578"/>
      <c r="TBT37" s="578"/>
      <c r="TBU37" s="578"/>
      <c r="TBV37" s="578"/>
      <c r="TBW37" s="578"/>
      <c r="TBX37" s="578"/>
      <c r="TBY37" s="578"/>
      <c r="TBZ37" s="578"/>
      <c r="TCA37" s="578"/>
      <c r="TCB37" s="578"/>
      <c r="TCC37" s="578"/>
      <c r="TCD37" s="578"/>
      <c r="TCE37" s="578"/>
      <c r="TCF37" s="578"/>
      <c r="TCG37" s="578"/>
      <c r="TCH37" s="578"/>
      <c r="TCI37" s="578"/>
      <c r="TCJ37" s="578"/>
      <c r="TCK37" s="578"/>
      <c r="TCL37" s="578"/>
      <c r="TCM37" s="578"/>
      <c r="TCN37" s="578"/>
      <c r="TCO37" s="578"/>
      <c r="TCP37" s="578"/>
      <c r="TCQ37" s="578"/>
      <c r="TCR37" s="578"/>
      <c r="TCS37" s="578"/>
      <c r="TCT37" s="578"/>
      <c r="TCU37" s="578"/>
      <c r="TCV37" s="578"/>
      <c r="TCW37" s="578"/>
      <c r="TCX37" s="578"/>
      <c r="TCY37" s="578"/>
      <c r="TCZ37" s="578"/>
      <c r="TDA37" s="578"/>
      <c r="TDB37" s="578"/>
      <c r="TDC37" s="578"/>
      <c r="TDD37" s="578"/>
      <c r="TDE37" s="578"/>
      <c r="TDF37" s="578"/>
      <c r="TDG37" s="578"/>
      <c r="TDH37" s="578"/>
      <c r="TDI37" s="578"/>
      <c r="TDJ37" s="578"/>
      <c r="TDK37" s="578"/>
      <c r="TDL37" s="578"/>
      <c r="TDM37" s="578"/>
      <c r="TDN37" s="578"/>
      <c r="TDO37" s="578"/>
      <c r="TDP37" s="578"/>
      <c r="TDQ37" s="578"/>
      <c r="TDR37" s="578"/>
      <c r="TDS37" s="578"/>
      <c r="TDT37" s="578"/>
      <c r="TDU37" s="578"/>
      <c r="TDV37" s="578"/>
      <c r="TDW37" s="578"/>
      <c r="TDX37" s="578"/>
      <c r="TDY37" s="578"/>
      <c r="TDZ37" s="578"/>
      <c r="TEA37" s="578"/>
      <c r="TEB37" s="578"/>
      <c r="TEC37" s="578"/>
      <c r="TED37" s="578"/>
      <c r="TEE37" s="578"/>
      <c r="TEF37" s="578"/>
      <c r="TEG37" s="578"/>
      <c r="TEH37" s="578"/>
      <c r="TEI37" s="578"/>
      <c r="TEJ37" s="578"/>
      <c r="TEK37" s="578"/>
      <c r="TEL37" s="578"/>
      <c r="TEM37" s="578"/>
      <c r="TEN37" s="578"/>
      <c r="TEO37" s="578"/>
      <c r="TEP37" s="578"/>
      <c r="TEQ37" s="578"/>
      <c r="TER37" s="578"/>
      <c r="TES37" s="578"/>
      <c r="TET37" s="578"/>
      <c r="TEU37" s="578"/>
      <c r="TEV37" s="578"/>
      <c r="TEW37" s="578"/>
      <c r="TEX37" s="578"/>
      <c r="TEY37" s="578"/>
      <c r="TEZ37" s="578"/>
      <c r="TFA37" s="578"/>
      <c r="TFB37" s="578"/>
      <c r="TFC37" s="578"/>
      <c r="TFD37" s="578"/>
      <c r="TFE37" s="578"/>
      <c r="TFF37" s="578"/>
      <c r="TFG37" s="578"/>
      <c r="TFH37" s="578"/>
      <c r="TFI37" s="578"/>
      <c r="TFJ37" s="578"/>
      <c r="TFK37" s="578"/>
      <c r="TFL37" s="578"/>
      <c r="TFM37" s="578"/>
      <c r="TFN37" s="578"/>
      <c r="TFO37" s="578"/>
      <c r="TFP37" s="578"/>
      <c r="TFQ37" s="578"/>
      <c r="TFR37" s="578"/>
      <c r="TFS37" s="578"/>
      <c r="TFT37" s="578"/>
      <c r="TFU37" s="578"/>
      <c r="TFV37" s="578"/>
      <c r="TFW37" s="578"/>
      <c r="TFX37" s="578"/>
      <c r="TFY37" s="578"/>
      <c r="TFZ37" s="578"/>
      <c r="TGA37" s="578"/>
      <c r="TGB37" s="578"/>
      <c r="TGC37" s="578"/>
      <c r="TGD37" s="578"/>
      <c r="TGE37" s="578"/>
      <c r="TGF37" s="578"/>
      <c r="TGG37" s="578"/>
      <c r="TGH37" s="578"/>
      <c r="TGI37" s="578"/>
      <c r="TGJ37" s="578"/>
      <c r="TGK37" s="578"/>
      <c r="TGL37" s="578"/>
      <c r="TGM37" s="578"/>
      <c r="TGN37" s="578"/>
      <c r="TGO37" s="578"/>
      <c r="TGP37" s="578"/>
      <c r="TGQ37" s="578"/>
      <c r="TGR37" s="578"/>
      <c r="TGS37" s="578"/>
      <c r="TGT37" s="578"/>
      <c r="TGU37" s="578"/>
      <c r="TGV37" s="578"/>
      <c r="TGW37" s="578"/>
      <c r="TGX37" s="578"/>
      <c r="TGY37" s="578"/>
      <c r="TGZ37" s="578"/>
      <c r="THA37" s="578"/>
      <c r="THB37" s="578"/>
      <c r="THC37" s="578"/>
      <c r="THD37" s="578"/>
      <c r="THE37" s="578"/>
      <c r="THF37" s="578"/>
      <c r="THG37" s="578"/>
      <c r="THH37" s="578"/>
      <c r="THI37" s="578"/>
      <c r="THJ37" s="578"/>
      <c r="THK37" s="578"/>
      <c r="THL37" s="578"/>
      <c r="THM37" s="578"/>
      <c r="THN37" s="578"/>
      <c r="THO37" s="578"/>
      <c r="THP37" s="578"/>
      <c r="THQ37" s="578"/>
      <c r="THR37" s="578"/>
      <c r="THS37" s="578"/>
      <c r="THT37" s="578"/>
      <c r="THU37" s="578"/>
      <c r="THV37" s="578"/>
      <c r="THW37" s="578"/>
      <c r="THX37" s="578"/>
      <c r="THY37" s="578"/>
      <c r="THZ37" s="578"/>
      <c r="TIA37" s="578"/>
      <c r="TIB37" s="578"/>
      <c r="TIC37" s="578"/>
      <c r="TID37" s="578"/>
      <c r="TIE37" s="578"/>
      <c r="TIF37" s="578"/>
      <c r="TIG37" s="578"/>
      <c r="TIH37" s="578"/>
      <c r="TII37" s="578"/>
      <c r="TIJ37" s="578"/>
      <c r="TIK37" s="578"/>
      <c r="TIL37" s="578"/>
      <c r="TIM37" s="578"/>
      <c r="TIN37" s="578"/>
      <c r="TIO37" s="578"/>
      <c r="TIP37" s="578"/>
      <c r="TIQ37" s="578"/>
      <c r="TIR37" s="578"/>
      <c r="TIS37" s="578"/>
      <c r="TIT37" s="578"/>
      <c r="TIU37" s="578"/>
      <c r="TIV37" s="578"/>
      <c r="TIW37" s="578"/>
      <c r="TIX37" s="578"/>
      <c r="TIY37" s="578"/>
      <c r="TIZ37" s="578"/>
      <c r="TJA37" s="578"/>
      <c r="TJB37" s="578"/>
      <c r="TJC37" s="578"/>
      <c r="TJD37" s="578"/>
      <c r="TJE37" s="578"/>
      <c r="TJF37" s="578"/>
      <c r="TJG37" s="578"/>
      <c r="TJH37" s="578"/>
      <c r="TJI37" s="578"/>
      <c r="TJJ37" s="578"/>
      <c r="TJK37" s="578"/>
      <c r="TJL37" s="578"/>
      <c r="TJM37" s="578"/>
      <c r="TJN37" s="578"/>
      <c r="TJO37" s="578"/>
      <c r="TJP37" s="578"/>
      <c r="TJQ37" s="578"/>
      <c r="TJR37" s="578"/>
      <c r="TJS37" s="578"/>
      <c r="TJT37" s="578"/>
      <c r="TJU37" s="578"/>
      <c r="TJV37" s="578"/>
      <c r="TJW37" s="578"/>
      <c r="TJX37" s="578"/>
      <c r="TJY37" s="578"/>
      <c r="TJZ37" s="578"/>
      <c r="TKA37" s="578"/>
      <c r="TKB37" s="578"/>
      <c r="TKC37" s="578"/>
      <c r="TKD37" s="578"/>
      <c r="TKE37" s="578"/>
      <c r="TKF37" s="578"/>
      <c r="TKG37" s="578"/>
      <c r="TKH37" s="578"/>
      <c r="TKI37" s="578"/>
      <c r="TKJ37" s="578"/>
      <c r="TKK37" s="578"/>
      <c r="TKL37" s="578"/>
      <c r="TKM37" s="578"/>
      <c r="TKN37" s="578"/>
      <c r="TKO37" s="578"/>
      <c r="TKP37" s="578"/>
      <c r="TKQ37" s="578"/>
      <c r="TKR37" s="578"/>
      <c r="TKS37" s="578"/>
      <c r="TKT37" s="578"/>
      <c r="TKU37" s="578"/>
      <c r="TKV37" s="578"/>
      <c r="TKW37" s="578"/>
      <c r="TKX37" s="578"/>
      <c r="TKY37" s="578"/>
      <c r="TKZ37" s="578"/>
      <c r="TLA37" s="578"/>
      <c r="TLB37" s="578"/>
      <c r="TLC37" s="578"/>
      <c r="TLD37" s="578"/>
      <c r="TLE37" s="578"/>
      <c r="TLF37" s="578"/>
      <c r="TLG37" s="578"/>
      <c r="TLH37" s="578"/>
      <c r="TLI37" s="578"/>
      <c r="TLJ37" s="578"/>
      <c r="TLK37" s="578"/>
      <c r="TLL37" s="578"/>
      <c r="TLM37" s="578"/>
      <c r="TLN37" s="578"/>
      <c r="TLO37" s="578"/>
      <c r="TLP37" s="578"/>
      <c r="TLQ37" s="578"/>
      <c r="TLR37" s="578"/>
      <c r="TLS37" s="578"/>
      <c r="TLT37" s="578"/>
      <c r="TLU37" s="578"/>
      <c r="TLV37" s="578"/>
      <c r="TLW37" s="578"/>
      <c r="TLX37" s="578"/>
      <c r="TLY37" s="578"/>
      <c r="TLZ37" s="578"/>
      <c r="TMA37" s="578"/>
      <c r="TMB37" s="578"/>
      <c r="TMC37" s="578"/>
      <c r="TMD37" s="578"/>
      <c r="TME37" s="578"/>
      <c r="TMF37" s="578"/>
      <c r="TMG37" s="578"/>
      <c r="TMH37" s="578"/>
      <c r="TMI37" s="578"/>
      <c r="TMJ37" s="578"/>
      <c r="TMK37" s="578"/>
      <c r="TML37" s="578"/>
      <c r="TMM37" s="578"/>
      <c r="TMN37" s="578"/>
      <c r="TMO37" s="578"/>
      <c r="TMP37" s="578"/>
      <c r="TMQ37" s="578"/>
      <c r="TMR37" s="578"/>
      <c r="TMS37" s="578"/>
      <c r="TMT37" s="578"/>
      <c r="TMU37" s="578"/>
      <c r="TMV37" s="578"/>
      <c r="TMW37" s="578"/>
      <c r="TMX37" s="578"/>
      <c r="TMY37" s="578"/>
      <c r="TMZ37" s="578"/>
      <c r="TNA37" s="578"/>
      <c r="TNB37" s="578"/>
      <c r="TNC37" s="578"/>
      <c r="TND37" s="578"/>
      <c r="TNE37" s="578"/>
      <c r="TNF37" s="578"/>
      <c r="TNG37" s="578"/>
      <c r="TNH37" s="578"/>
      <c r="TNI37" s="578"/>
      <c r="TNJ37" s="578"/>
      <c r="TNK37" s="578"/>
      <c r="TNL37" s="578"/>
      <c r="TNM37" s="578"/>
      <c r="TNN37" s="578"/>
      <c r="TNO37" s="578"/>
      <c r="TNP37" s="578"/>
      <c r="TNQ37" s="578"/>
      <c r="TNR37" s="578"/>
      <c r="TNS37" s="578"/>
      <c r="TNT37" s="578"/>
      <c r="TNU37" s="578"/>
      <c r="TNV37" s="578"/>
      <c r="TNW37" s="578"/>
      <c r="TNX37" s="578"/>
      <c r="TNY37" s="578"/>
      <c r="TNZ37" s="578"/>
      <c r="TOA37" s="578"/>
      <c r="TOB37" s="578"/>
      <c r="TOC37" s="578"/>
      <c r="TOD37" s="578"/>
      <c r="TOE37" s="578"/>
      <c r="TOF37" s="578"/>
      <c r="TOG37" s="578"/>
      <c r="TOH37" s="578"/>
      <c r="TOI37" s="578"/>
      <c r="TOJ37" s="578"/>
      <c r="TOK37" s="578"/>
      <c r="TOL37" s="578"/>
      <c r="TOM37" s="578"/>
      <c r="TON37" s="578"/>
      <c r="TOO37" s="578"/>
      <c r="TOP37" s="578"/>
      <c r="TOQ37" s="578"/>
      <c r="TOR37" s="578"/>
      <c r="TOS37" s="578"/>
      <c r="TOT37" s="578"/>
      <c r="TOU37" s="578"/>
      <c r="TOV37" s="578"/>
      <c r="TOW37" s="578"/>
      <c r="TOX37" s="578"/>
      <c r="TOY37" s="578"/>
      <c r="TOZ37" s="578"/>
      <c r="TPA37" s="578"/>
      <c r="TPB37" s="578"/>
      <c r="TPC37" s="578"/>
      <c r="TPD37" s="578"/>
      <c r="TPE37" s="578"/>
      <c r="TPF37" s="578"/>
      <c r="TPG37" s="578"/>
      <c r="TPH37" s="578"/>
      <c r="TPI37" s="578"/>
      <c r="TPJ37" s="578"/>
      <c r="TPK37" s="578"/>
      <c r="TPL37" s="578"/>
      <c r="TPM37" s="578"/>
      <c r="TPN37" s="578"/>
      <c r="TPO37" s="578"/>
      <c r="TPP37" s="578"/>
      <c r="TPQ37" s="578"/>
      <c r="TPR37" s="578"/>
      <c r="TPS37" s="578"/>
      <c r="TPT37" s="578"/>
      <c r="TPU37" s="578"/>
      <c r="TPV37" s="578"/>
      <c r="TPW37" s="578"/>
      <c r="TPX37" s="578"/>
      <c r="TPY37" s="578"/>
      <c r="TPZ37" s="578"/>
      <c r="TQA37" s="578"/>
      <c r="TQB37" s="578"/>
      <c r="TQC37" s="578"/>
      <c r="TQD37" s="578"/>
      <c r="TQE37" s="578"/>
      <c r="TQF37" s="578"/>
      <c r="TQG37" s="578"/>
      <c r="TQH37" s="578"/>
      <c r="TQI37" s="578"/>
      <c r="TQJ37" s="578"/>
      <c r="TQK37" s="578"/>
      <c r="TQL37" s="578"/>
      <c r="TQM37" s="578"/>
      <c r="TQN37" s="578"/>
      <c r="TQO37" s="578"/>
      <c r="TQP37" s="578"/>
      <c r="TQQ37" s="578"/>
      <c r="TQR37" s="578"/>
      <c r="TQS37" s="578"/>
      <c r="TQT37" s="578"/>
      <c r="TQU37" s="578"/>
      <c r="TQV37" s="578"/>
      <c r="TQW37" s="578"/>
      <c r="TQX37" s="578"/>
      <c r="TQY37" s="578"/>
      <c r="TQZ37" s="578"/>
      <c r="TRA37" s="578"/>
      <c r="TRB37" s="578"/>
      <c r="TRC37" s="578"/>
      <c r="TRD37" s="578"/>
      <c r="TRE37" s="578"/>
      <c r="TRF37" s="578"/>
      <c r="TRG37" s="578"/>
      <c r="TRH37" s="578"/>
      <c r="TRI37" s="578"/>
      <c r="TRJ37" s="578"/>
      <c r="TRK37" s="578"/>
      <c r="TRL37" s="578"/>
      <c r="TRM37" s="578"/>
      <c r="TRN37" s="578"/>
      <c r="TRO37" s="578"/>
      <c r="TRP37" s="578"/>
      <c r="TRQ37" s="578"/>
      <c r="TRR37" s="578"/>
      <c r="TRS37" s="578"/>
      <c r="TRT37" s="578"/>
      <c r="TRU37" s="578"/>
      <c r="TRV37" s="578"/>
      <c r="TRW37" s="578"/>
      <c r="TRX37" s="578"/>
      <c r="TRY37" s="578"/>
      <c r="TRZ37" s="578"/>
      <c r="TSA37" s="578"/>
      <c r="TSB37" s="578"/>
      <c r="TSC37" s="578"/>
      <c r="TSD37" s="578"/>
      <c r="TSE37" s="578"/>
      <c r="TSF37" s="578"/>
      <c r="TSG37" s="578"/>
      <c r="TSH37" s="578"/>
      <c r="TSI37" s="578"/>
      <c r="TSJ37" s="578"/>
      <c r="TSK37" s="578"/>
      <c r="TSL37" s="578"/>
      <c r="TSM37" s="578"/>
      <c r="TSN37" s="578"/>
      <c r="TSO37" s="578"/>
      <c r="TSP37" s="578"/>
      <c r="TSQ37" s="578"/>
      <c r="TSR37" s="578"/>
      <c r="TSS37" s="578"/>
      <c r="TST37" s="578"/>
      <c r="TSU37" s="578"/>
      <c r="TSV37" s="578"/>
      <c r="TSW37" s="578"/>
      <c r="TSX37" s="578"/>
      <c r="TSY37" s="578"/>
      <c r="TSZ37" s="578"/>
      <c r="TTA37" s="578"/>
      <c r="TTB37" s="578"/>
      <c r="TTC37" s="578"/>
      <c r="TTD37" s="578"/>
      <c r="TTE37" s="578"/>
      <c r="TTF37" s="578"/>
      <c r="TTG37" s="578"/>
      <c r="TTH37" s="578"/>
      <c r="TTI37" s="578"/>
      <c r="TTJ37" s="578"/>
      <c r="TTK37" s="578"/>
      <c r="TTL37" s="578"/>
      <c r="TTM37" s="578"/>
      <c r="TTN37" s="578"/>
      <c r="TTO37" s="578"/>
      <c r="TTP37" s="578"/>
      <c r="TTQ37" s="578"/>
      <c r="TTR37" s="578"/>
      <c r="TTS37" s="578"/>
      <c r="TTT37" s="578"/>
      <c r="TTU37" s="578"/>
      <c r="TTV37" s="578"/>
      <c r="TTW37" s="578"/>
      <c r="TTX37" s="578"/>
      <c r="TTY37" s="578"/>
      <c r="TTZ37" s="578"/>
      <c r="TUA37" s="578"/>
      <c r="TUB37" s="578"/>
      <c r="TUC37" s="578"/>
      <c r="TUD37" s="578"/>
      <c r="TUE37" s="578"/>
      <c r="TUF37" s="578"/>
      <c r="TUG37" s="578"/>
      <c r="TUH37" s="578"/>
      <c r="TUI37" s="578"/>
      <c r="TUJ37" s="578"/>
      <c r="TUK37" s="578"/>
      <c r="TUL37" s="578"/>
      <c r="TUM37" s="578"/>
      <c r="TUN37" s="578"/>
      <c r="TUO37" s="578"/>
      <c r="TUP37" s="578"/>
      <c r="TUQ37" s="578"/>
      <c r="TUR37" s="578"/>
      <c r="TUS37" s="578"/>
      <c r="TUT37" s="578"/>
      <c r="TUU37" s="578"/>
      <c r="TUV37" s="578"/>
      <c r="TUW37" s="578"/>
      <c r="TUX37" s="578"/>
      <c r="TUY37" s="578"/>
      <c r="TUZ37" s="578"/>
      <c r="TVA37" s="578"/>
      <c r="TVB37" s="578"/>
      <c r="TVC37" s="578"/>
      <c r="TVD37" s="578"/>
      <c r="TVE37" s="578"/>
      <c r="TVF37" s="578"/>
      <c r="TVG37" s="578"/>
      <c r="TVH37" s="578"/>
      <c r="TVI37" s="578"/>
      <c r="TVJ37" s="578"/>
      <c r="TVK37" s="578"/>
      <c r="TVL37" s="578"/>
      <c r="TVM37" s="578"/>
      <c r="TVN37" s="578"/>
      <c r="TVO37" s="578"/>
      <c r="TVP37" s="578"/>
      <c r="TVQ37" s="578"/>
      <c r="TVR37" s="578"/>
      <c r="TVS37" s="578"/>
      <c r="TVT37" s="578"/>
      <c r="TVU37" s="578"/>
      <c r="TVV37" s="578"/>
      <c r="TVW37" s="578"/>
      <c r="TVX37" s="578"/>
      <c r="TVY37" s="578"/>
      <c r="TVZ37" s="578"/>
      <c r="TWA37" s="578"/>
      <c r="TWB37" s="578"/>
      <c r="TWC37" s="578"/>
      <c r="TWD37" s="578"/>
      <c r="TWE37" s="578"/>
      <c r="TWF37" s="578"/>
      <c r="TWG37" s="578"/>
      <c r="TWH37" s="578"/>
      <c r="TWI37" s="578"/>
      <c r="TWJ37" s="578"/>
      <c r="TWK37" s="578"/>
      <c r="TWL37" s="578"/>
      <c r="TWM37" s="578"/>
      <c r="TWN37" s="578"/>
      <c r="TWO37" s="578"/>
      <c r="TWP37" s="578"/>
      <c r="TWQ37" s="578"/>
      <c r="TWR37" s="578"/>
      <c r="TWS37" s="578"/>
      <c r="TWT37" s="578"/>
      <c r="TWU37" s="578"/>
      <c r="TWV37" s="578"/>
      <c r="TWW37" s="578"/>
      <c r="TWX37" s="578"/>
      <c r="TWY37" s="578"/>
      <c r="TWZ37" s="578"/>
      <c r="TXA37" s="578"/>
      <c r="TXB37" s="578"/>
      <c r="TXC37" s="578"/>
      <c r="TXD37" s="578"/>
      <c r="TXE37" s="578"/>
      <c r="TXF37" s="578"/>
      <c r="TXG37" s="578"/>
      <c r="TXH37" s="578"/>
      <c r="TXI37" s="578"/>
      <c r="TXJ37" s="578"/>
      <c r="TXK37" s="578"/>
      <c r="TXL37" s="578"/>
      <c r="TXM37" s="578"/>
      <c r="TXN37" s="578"/>
      <c r="TXO37" s="578"/>
      <c r="TXP37" s="578"/>
      <c r="TXQ37" s="578"/>
      <c r="TXR37" s="578"/>
      <c r="TXS37" s="578"/>
      <c r="TXT37" s="578"/>
      <c r="TXU37" s="578"/>
      <c r="TXV37" s="578"/>
      <c r="TXW37" s="578"/>
      <c r="TXX37" s="578"/>
      <c r="TXY37" s="578"/>
      <c r="TXZ37" s="578"/>
      <c r="TYA37" s="578"/>
      <c r="TYB37" s="578"/>
      <c r="TYC37" s="578"/>
      <c r="TYD37" s="578"/>
      <c r="TYE37" s="578"/>
      <c r="TYF37" s="578"/>
      <c r="TYG37" s="578"/>
      <c r="TYH37" s="578"/>
      <c r="TYI37" s="578"/>
      <c r="TYJ37" s="578"/>
      <c r="TYK37" s="578"/>
      <c r="TYL37" s="578"/>
      <c r="TYM37" s="578"/>
      <c r="TYN37" s="578"/>
      <c r="TYO37" s="578"/>
      <c r="TYP37" s="578"/>
      <c r="TYQ37" s="578"/>
      <c r="TYR37" s="578"/>
      <c r="TYS37" s="578"/>
      <c r="TYT37" s="578"/>
      <c r="TYU37" s="578"/>
      <c r="TYV37" s="578"/>
      <c r="TYW37" s="578"/>
      <c r="TYX37" s="578"/>
      <c r="TYY37" s="578"/>
      <c r="TYZ37" s="578"/>
      <c r="TZA37" s="578"/>
      <c r="TZB37" s="578"/>
      <c r="TZC37" s="578"/>
      <c r="TZD37" s="578"/>
      <c r="TZE37" s="578"/>
      <c r="TZF37" s="578"/>
      <c r="TZG37" s="578"/>
      <c r="TZH37" s="578"/>
      <c r="TZI37" s="578"/>
      <c r="TZJ37" s="578"/>
      <c r="TZK37" s="578"/>
      <c r="TZL37" s="578"/>
      <c r="TZM37" s="578"/>
      <c r="TZN37" s="578"/>
      <c r="TZO37" s="578"/>
      <c r="TZP37" s="578"/>
      <c r="TZQ37" s="578"/>
      <c r="TZR37" s="578"/>
      <c r="TZS37" s="578"/>
      <c r="TZT37" s="578"/>
      <c r="TZU37" s="578"/>
      <c r="TZV37" s="578"/>
      <c r="TZW37" s="578"/>
      <c r="TZX37" s="578"/>
      <c r="TZY37" s="578"/>
      <c r="TZZ37" s="578"/>
      <c r="UAA37" s="578"/>
      <c r="UAB37" s="578"/>
      <c r="UAC37" s="578"/>
      <c r="UAD37" s="578"/>
      <c r="UAE37" s="578"/>
      <c r="UAF37" s="578"/>
      <c r="UAG37" s="578"/>
      <c r="UAH37" s="578"/>
      <c r="UAI37" s="578"/>
      <c r="UAJ37" s="578"/>
      <c r="UAK37" s="578"/>
      <c r="UAL37" s="578"/>
      <c r="UAM37" s="578"/>
      <c r="UAN37" s="578"/>
      <c r="UAO37" s="578"/>
      <c r="UAP37" s="578"/>
      <c r="UAQ37" s="578"/>
      <c r="UAR37" s="578"/>
      <c r="UAS37" s="578"/>
      <c r="UAT37" s="578"/>
      <c r="UAU37" s="578"/>
      <c r="UAV37" s="578"/>
      <c r="UAW37" s="578"/>
      <c r="UAX37" s="578"/>
      <c r="UAY37" s="578"/>
      <c r="UAZ37" s="578"/>
      <c r="UBA37" s="578"/>
      <c r="UBB37" s="578"/>
      <c r="UBC37" s="578"/>
      <c r="UBD37" s="578"/>
      <c r="UBE37" s="578"/>
      <c r="UBF37" s="578"/>
      <c r="UBG37" s="578"/>
      <c r="UBH37" s="578"/>
      <c r="UBI37" s="578"/>
      <c r="UBJ37" s="578"/>
      <c r="UBK37" s="578"/>
      <c r="UBL37" s="578"/>
      <c r="UBM37" s="578"/>
      <c r="UBN37" s="578"/>
      <c r="UBO37" s="578"/>
      <c r="UBP37" s="578"/>
      <c r="UBQ37" s="578"/>
      <c r="UBR37" s="578"/>
      <c r="UBS37" s="578"/>
      <c r="UBT37" s="578"/>
      <c r="UBU37" s="578"/>
      <c r="UBV37" s="578"/>
      <c r="UBW37" s="578"/>
      <c r="UBX37" s="578"/>
      <c r="UBY37" s="578"/>
      <c r="UBZ37" s="578"/>
      <c r="UCA37" s="578"/>
      <c r="UCB37" s="578"/>
      <c r="UCC37" s="578"/>
      <c r="UCD37" s="578"/>
      <c r="UCE37" s="578"/>
      <c r="UCF37" s="578"/>
      <c r="UCG37" s="578"/>
      <c r="UCH37" s="578"/>
      <c r="UCI37" s="578"/>
      <c r="UCJ37" s="578"/>
      <c r="UCK37" s="578"/>
      <c r="UCL37" s="578"/>
      <c r="UCM37" s="578"/>
      <c r="UCN37" s="578"/>
      <c r="UCO37" s="578"/>
      <c r="UCP37" s="578"/>
      <c r="UCQ37" s="578"/>
      <c r="UCR37" s="578"/>
      <c r="UCS37" s="578"/>
      <c r="UCT37" s="578"/>
      <c r="UCU37" s="578"/>
      <c r="UCV37" s="578"/>
      <c r="UCW37" s="578"/>
      <c r="UCX37" s="578"/>
      <c r="UCY37" s="578"/>
      <c r="UCZ37" s="578"/>
      <c r="UDA37" s="578"/>
      <c r="UDB37" s="578"/>
      <c r="UDC37" s="578"/>
      <c r="UDD37" s="578"/>
      <c r="UDE37" s="578"/>
      <c r="UDF37" s="578"/>
      <c r="UDG37" s="578"/>
      <c r="UDH37" s="578"/>
      <c r="UDI37" s="578"/>
      <c r="UDJ37" s="578"/>
      <c r="UDK37" s="578"/>
      <c r="UDL37" s="578"/>
      <c r="UDM37" s="578"/>
      <c r="UDN37" s="578"/>
      <c r="UDO37" s="578"/>
      <c r="UDP37" s="578"/>
      <c r="UDQ37" s="578"/>
      <c r="UDR37" s="578"/>
      <c r="UDS37" s="578"/>
      <c r="UDT37" s="578"/>
      <c r="UDU37" s="578"/>
      <c r="UDV37" s="578"/>
      <c r="UDW37" s="578"/>
      <c r="UDX37" s="578"/>
      <c r="UDY37" s="578"/>
      <c r="UDZ37" s="578"/>
      <c r="UEA37" s="578"/>
      <c r="UEB37" s="578"/>
      <c r="UEC37" s="578"/>
      <c r="UED37" s="578"/>
      <c r="UEE37" s="578"/>
      <c r="UEF37" s="578"/>
      <c r="UEG37" s="578"/>
      <c r="UEH37" s="578"/>
      <c r="UEI37" s="578"/>
      <c r="UEJ37" s="578"/>
      <c r="UEK37" s="578"/>
      <c r="UEL37" s="578"/>
      <c r="UEM37" s="578"/>
      <c r="UEN37" s="578"/>
      <c r="UEO37" s="578"/>
      <c r="UEP37" s="578"/>
      <c r="UEQ37" s="578"/>
      <c r="UER37" s="578"/>
      <c r="UES37" s="578"/>
      <c r="UET37" s="578"/>
      <c r="UEU37" s="578"/>
      <c r="UEV37" s="578"/>
      <c r="UEW37" s="578"/>
      <c r="UEX37" s="578"/>
      <c r="UEY37" s="578"/>
      <c r="UEZ37" s="578"/>
      <c r="UFA37" s="578"/>
      <c r="UFB37" s="578"/>
      <c r="UFC37" s="578"/>
      <c r="UFD37" s="578"/>
      <c r="UFE37" s="578"/>
      <c r="UFF37" s="578"/>
      <c r="UFG37" s="578"/>
      <c r="UFH37" s="578"/>
      <c r="UFI37" s="578"/>
      <c r="UFJ37" s="578"/>
      <c r="UFK37" s="578"/>
      <c r="UFL37" s="578"/>
      <c r="UFM37" s="578"/>
      <c r="UFN37" s="578"/>
      <c r="UFO37" s="578"/>
      <c r="UFP37" s="578"/>
      <c r="UFQ37" s="578"/>
      <c r="UFR37" s="578"/>
      <c r="UFS37" s="578"/>
      <c r="UFT37" s="578"/>
      <c r="UFU37" s="578"/>
      <c r="UFV37" s="578"/>
      <c r="UFW37" s="578"/>
      <c r="UFX37" s="578"/>
      <c r="UFY37" s="578"/>
      <c r="UFZ37" s="578"/>
      <c r="UGA37" s="578"/>
      <c r="UGB37" s="578"/>
      <c r="UGC37" s="578"/>
      <c r="UGD37" s="578"/>
      <c r="UGE37" s="578"/>
      <c r="UGF37" s="578"/>
      <c r="UGG37" s="578"/>
      <c r="UGH37" s="578"/>
      <c r="UGI37" s="578"/>
      <c r="UGJ37" s="578"/>
      <c r="UGK37" s="578"/>
      <c r="UGL37" s="578"/>
      <c r="UGM37" s="578"/>
      <c r="UGN37" s="578"/>
      <c r="UGO37" s="578"/>
      <c r="UGP37" s="578"/>
      <c r="UGQ37" s="578"/>
      <c r="UGR37" s="578"/>
      <c r="UGS37" s="578"/>
      <c r="UGT37" s="578"/>
      <c r="UGU37" s="578"/>
      <c r="UGV37" s="578"/>
      <c r="UGW37" s="578"/>
      <c r="UGX37" s="578"/>
      <c r="UGY37" s="578"/>
      <c r="UGZ37" s="578"/>
      <c r="UHA37" s="578"/>
      <c r="UHB37" s="578"/>
      <c r="UHC37" s="578"/>
      <c r="UHD37" s="578"/>
      <c r="UHE37" s="578"/>
      <c r="UHF37" s="578"/>
      <c r="UHG37" s="578"/>
      <c r="UHH37" s="578"/>
      <c r="UHI37" s="578"/>
      <c r="UHJ37" s="578"/>
      <c r="UHK37" s="578"/>
      <c r="UHL37" s="578"/>
      <c r="UHM37" s="578"/>
      <c r="UHN37" s="578"/>
      <c r="UHO37" s="578"/>
      <c r="UHP37" s="578"/>
      <c r="UHQ37" s="578"/>
      <c r="UHR37" s="578"/>
      <c r="UHS37" s="578"/>
      <c r="UHT37" s="578"/>
      <c r="UHU37" s="578"/>
      <c r="UHV37" s="578"/>
      <c r="UHW37" s="578"/>
      <c r="UHX37" s="578"/>
      <c r="UHY37" s="578"/>
      <c r="UHZ37" s="578"/>
      <c r="UIA37" s="578"/>
      <c r="UIB37" s="578"/>
      <c r="UIC37" s="578"/>
      <c r="UID37" s="578"/>
      <c r="UIE37" s="578"/>
      <c r="UIF37" s="578"/>
      <c r="UIG37" s="578"/>
      <c r="UIH37" s="578"/>
      <c r="UII37" s="578"/>
      <c r="UIJ37" s="578"/>
      <c r="UIK37" s="578"/>
      <c r="UIL37" s="578"/>
      <c r="UIM37" s="578"/>
      <c r="UIN37" s="578"/>
      <c r="UIO37" s="578"/>
      <c r="UIP37" s="578"/>
      <c r="UIQ37" s="578"/>
      <c r="UIR37" s="578"/>
      <c r="UIS37" s="578"/>
      <c r="UIT37" s="578"/>
      <c r="UIU37" s="578"/>
      <c r="UIV37" s="578"/>
      <c r="UIW37" s="578"/>
      <c r="UIX37" s="578"/>
      <c r="UIY37" s="578"/>
      <c r="UIZ37" s="578"/>
      <c r="UJA37" s="578"/>
      <c r="UJB37" s="578"/>
      <c r="UJC37" s="578"/>
      <c r="UJD37" s="578"/>
      <c r="UJE37" s="578"/>
      <c r="UJF37" s="578"/>
      <c r="UJG37" s="578"/>
      <c r="UJH37" s="578"/>
      <c r="UJI37" s="578"/>
      <c r="UJJ37" s="578"/>
      <c r="UJK37" s="578"/>
      <c r="UJL37" s="578"/>
      <c r="UJM37" s="578"/>
      <c r="UJN37" s="578"/>
      <c r="UJO37" s="578"/>
      <c r="UJP37" s="578"/>
      <c r="UJQ37" s="578"/>
      <c r="UJR37" s="578"/>
      <c r="UJS37" s="578"/>
      <c r="UJT37" s="578"/>
      <c r="UJU37" s="578"/>
      <c r="UJV37" s="578"/>
      <c r="UJW37" s="578"/>
      <c r="UJX37" s="578"/>
      <c r="UJY37" s="578"/>
      <c r="UJZ37" s="578"/>
      <c r="UKA37" s="578"/>
      <c r="UKB37" s="578"/>
      <c r="UKC37" s="578"/>
      <c r="UKD37" s="578"/>
      <c r="UKE37" s="578"/>
      <c r="UKF37" s="578"/>
      <c r="UKG37" s="578"/>
      <c r="UKH37" s="578"/>
      <c r="UKI37" s="578"/>
      <c r="UKJ37" s="578"/>
      <c r="UKK37" s="578"/>
      <c r="UKL37" s="578"/>
      <c r="UKM37" s="578"/>
      <c r="UKN37" s="578"/>
      <c r="UKO37" s="578"/>
      <c r="UKP37" s="578"/>
      <c r="UKQ37" s="578"/>
      <c r="UKR37" s="578"/>
      <c r="UKS37" s="578"/>
      <c r="UKT37" s="578"/>
      <c r="UKU37" s="578"/>
      <c r="UKV37" s="578"/>
      <c r="UKW37" s="578"/>
      <c r="UKX37" s="578"/>
      <c r="UKY37" s="578"/>
      <c r="UKZ37" s="578"/>
      <c r="ULA37" s="578"/>
      <c r="ULB37" s="578"/>
      <c r="ULC37" s="578"/>
      <c r="ULD37" s="578"/>
      <c r="ULE37" s="578"/>
      <c r="ULF37" s="578"/>
      <c r="ULG37" s="578"/>
      <c r="ULH37" s="578"/>
      <c r="ULI37" s="578"/>
      <c r="ULJ37" s="578"/>
      <c r="ULK37" s="578"/>
      <c r="ULL37" s="578"/>
      <c r="ULM37" s="578"/>
      <c r="ULN37" s="578"/>
      <c r="ULO37" s="578"/>
      <c r="ULP37" s="578"/>
      <c r="ULQ37" s="578"/>
      <c r="ULR37" s="578"/>
      <c r="ULS37" s="578"/>
      <c r="ULT37" s="578"/>
      <c r="ULU37" s="578"/>
      <c r="ULV37" s="578"/>
      <c r="ULW37" s="578"/>
      <c r="ULX37" s="578"/>
      <c r="ULY37" s="578"/>
      <c r="ULZ37" s="578"/>
      <c r="UMA37" s="578"/>
      <c r="UMB37" s="578"/>
      <c r="UMC37" s="578"/>
      <c r="UMD37" s="578"/>
      <c r="UME37" s="578"/>
      <c r="UMF37" s="578"/>
      <c r="UMG37" s="578"/>
      <c r="UMH37" s="578"/>
      <c r="UMI37" s="578"/>
      <c r="UMJ37" s="578"/>
      <c r="UMK37" s="578"/>
      <c r="UML37" s="578"/>
      <c r="UMM37" s="578"/>
      <c r="UMN37" s="578"/>
      <c r="UMO37" s="578"/>
      <c r="UMP37" s="578"/>
      <c r="UMQ37" s="578"/>
      <c r="UMR37" s="578"/>
      <c r="UMS37" s="578"/>
      <c r="UMT37" s="578"/>
      <c r="UMU37" s="578"/>
      <c r="UMV37" s="578"/>
      <c r="UMW37" s="578"/>
      <c r="UMX37" s="578"/>
      <c r="UMY37" s="578"/>
      <c r="UMZ37" s="578"/>
      <c r="UNA37" s="578"/>
      <c r="UNB37" s="578"/>
      <c r="UNC37" s="578"/>
      <c r="UND37" s="578"/>
      <c r="UNE37" s="578"/>
      <c r="UNF37" s="578"/>
      <c r="UNG37" s="578"/>
      <c r="UNH37" s="578"/>
      <c r="UNI37" s="578"/>
      <c r="UNJ37" s="578"/>
      <c r="UNK37" s="578"/>
      <c r="UNL37" s="578"/>
      <c r="UNM37" s="578"/>
      <c r="UNN37" s="578"/>
      <c r="UNO37" s="578"/>
      <c r="UNP37" s="578"/>
      <c r="UNQ37" s="578"/>
      <c r="UNR37" s="578"/>
      <c r="UNS37" s="578"/>
      <c r="UNT37" s="578"/>
      <c r="UNU37" s="578"/>
      <c r="UNV37" s="578"/>
      <c r="UNW37" s="578"/>
      <c r="UNX37" s="578"/>
      <c r="UNY37" s="578"/>
      <c r="UNZ37" s="578"/>
      <c r="UOA37" s="578"/>
      <c r="UOB37" s="578"/>
      <c r="UOC37" s="578"/>
      <c r="UOD37" s="578"/>
      <c r="UOE37" s="578"/>
      <c r="UOF37" s="578"/>
      <c r="UOG37" s="578"/>
      <c r="UOH37" s="578"/>
      <c r="UOI37" s="578"/>
      <c r="UOJ37" s="578"/>
      <c r="UOK37" s="578"/>
      <c r="UOL37" s="578"/>
      <c r="UOM37" s="578"/>
      <c r="UON37" s="578"/>
      <c r="UOO37" s="578"/>
      <c r="UOP37" s="578"/>
      <c r="UOQ37" s="578"/>
      <c r="UOR37" s="578"/>
      <c r="UOS37" s="578"/>
      <c r="UOT37" s="578"/>
      <c r="UOU37" s="578"/>
      <c r="UOV37" s="578"/>
      <c r="UOW37" s="578"/>
      <c r="UOX37" s="578"/>
      <c r="UOY37" s="578"/>
      <c r="UOZ37" s="578"/>
      <c r="UPA37" s="578"/>
      <c r="UPB37" s="578"/>
      <c r="UPC37" s="578"/>
      <c r="UPD37" s="578"/>
      <c r="UPE37" s="578"/>
      <c r="UPF37" s="578"/>
      <c r="UPG37" s="578"/>
      <c r="UPH37" s="578"/>
      <c r="UPI37" s="578"/>
      <c r="UPJ37" s="578"/>
      <c r="UPK37" s="578"/>
      <c r="UPL37" s="578"/>
      <c r="UPM37" s="578"/>
      <c r="UPN37" s="578"/>
      <c r="UPO37" s="578"/>
      <c r="UPP37" s="578"/>
      <c r="UPQ37" s="578"/>
      <c r="UPR37" s="578"/>
      <c r="UPS37" s="578"/>
      <c r="UPT37" s="578"/>
      <c r="UPU37" s="578"/>
      <c r="UPV37" s="578"/>
      <c r="UPW37" s="578"/>
      <c r="UPX37" s="578"/>
      <c r="UPY37" s="578"/>
      <c r="UPZ37" s="578"/>
      <c r="UQA37" s="578"/>
      <c r="UQB37" s="578"/>
      <c r="UQC37" s="578"/>
      <c r="UQD37" s="578"/>
      <c r="UQE37" s="578"/>
      <c r="UQF37" s="578"/>
      <c r="UQG37" s="578"/>
      <c r="UQH37" s="578"/>
      <c r="UQI37" s="578"/>
      <c r="UQJ37" s="578"/>
      <c r="UQK37" s="578"/>
      <c r="UQL37" s="578"/>
      <c r="UQM37" s="578"/>
      <c r="UQN37" s="578"/>
      <c r="UQO37" s="578"/>
      <c r="UQP37" s="578"/>
      <c r="UQQ37" s="578"/>
      <c r="UQR37" s="578"/>
      <c r="UQS37" s="578"/>
      <c r="UQT37" s="578"/>
      <c r="UQU37" s="578"/>
      <c r="UQV37" s="578"/>
      <c r="UQW37" s="578"/>
      <c r="UQX37" s="578"/>
      <c r="UQY37" s="578"/>
      <c r="UQZ37" s="578"/>
      <c r="URA37" s="578"/>
      <c r="URB37" s="578"/>
      <c r="URC37" s="578"/>
      <c r="URD37" s="578"/>
      <c r="URE37" s="578"/>
      <c r="URF37" s="578"/>
      <c r="URG37" s="578"/>
      <c r="URH37" s="578"/>
      <c r="URI37" s="578"/>
      <c r="URJ37" s="578"/>
      <c r="URK37" s="578"/>
      <c r="URL37" s="578"/>
      <c r="URM37" s="578"/>
      <c r="URN37" s="578"/>
      <c r="URO37" s="578"/>
      <c r="URP37" s="578"/>
      <c r="URQ37" s="578"/>
      <c r="URR37" s="578"/>
      <c r="URS37" s="578"/>
      <c r="URT37" s="578"/>
      <c r="URU37" s="578"/>
      <c r="URV37" s="578"/>
      <c r="URW37" s="578"/>
      <c r="URX37" s="578"/>
      <c r="URY37" s="578"/>
      <c r="URZ37" s="578"/>
      <c r="USA37" s="578"/>
      <c r="USB37" s="578"/>
      <c r="USC37" s="578"/>
      <c r="USD37" s="578"/>
      <c r="USE37" s="578"/>
      <c r="USF37" s="578"/>
      <c r="USG37" s="578"/>
      <c r="USH37" s="578"/>
      <c r="USI37" s="578"/>
      <c r="USJ37" s="578"/>
      <c r="USK37" s="578"/>
      <c r="USL37" s="578"/>
      <c r="USM37" s="578"/>
      <c r="USN37" s="578"/>
      <c r="USO37" s="578"/>
      <c r="USP37" s="578"/>
      <c r="USQ37" s="578"/>
      <c r="USR37" s="578"/>
      <c r="USS37" s="578"/>
      <c r="UST37" s="578"/>
      <c r="USU37" s="578"/>
      <c r="USV37" s="578"/>
      <c r="USW37" s="578"/>
      <c r="USX37" s="578"/>
      <c r="USY37" s="578"/>
      <c r="USZ37" s="578"/>
      <c r="UTA37" s="578"/>
      <c r="UTB37" s="578"/>
      <c r="UTC37" s="578"/>
      <c r="UTD37" s="578"/>
      <c r="UTE37" s="578"/>
      <c r="UTF37" s="578"/>
      <c r="UTG37" s="578"/>
      <c r="UTH37" s="578"/>
      <c r="UTI37" s="578"/>
      <c r="UTJ37" s="578"/>
      <c r="UTK37" s="578"/>
      <c r="UTL37" s="578"/>
      <c r="UTM37" s="578"/>
      <c r="UTN37" s="578"/>
      <c r="UTO37" s="578"/>
      <c r="UTP37" s="578"/>
      <c r="UTQ37" s="578"/>
      <c r="UTR37" s="578"/>
      <c r="UTS37" s="578"/>
      <c r="UTT37" s="578"/>
      <c r="UTU37" s="578"/>
      <c r="UTV37" s="578"/>
      <c r="UTW37" s="578"/>
      <c r="UTX37" s="578"/>
      <c r="UTY37" s="578"/>
      <c r="UTZ37" s="578"/>
      <c r="UUA37" s="578"/>
      <c r="UUB37" s="578"/>
      <c r="UUC37" s="578"/>
      <c r="UUD37" s="578"/>
      <c r="UUE37" s="578"/>
      <c r="UUF37" s="578"/>
      <c r="UUG37" s="578"/>
      <c r="UUH37" s="578"/>
      <c r="UUI37" s="578"/>
      <c r="UUJ37" s="578"/>
      <c r="UUK37" s="578"/>
      <c r="UUL37" s="578"/>
      <c r="UUM37" s="578"/>
      <c r="UUN37" s="578"/>
      <c r="UUO37" s="578"/>
      <c r="UUP37" s="578"/>
      <c r="UUQ37" s="578"/>
      <c r="UUR37" s="578"/>
      <c r="UUS37" s="578"/>
      <c r="UUT37" s="578"/>
      <c r="UUU37" s="578"/>
      <c r="UUV37" s="578"/>
      <c r="UUW37" s="578"/>
      <c r="UUX37" s="578"/>
      <c r="UUY37" s="578"/>
      <c r="UUZ37" s="578"/>
      <c r="UVA37" s="578"/>
      <c r="UVB37" s="578"/>
      <c r="UVC37" s="578"/>
      <c r="UVD37" s="578"/>
      <c r="UVE37" s="578"/>
      <c r="UVF37" s="578"/>
      <c r="UVG37" s="578"/>
      <c r="UVH37" s="578"/>
      <c r="UVI37" s="578"/>
      <c r="UVJ37" s="578"/>
      <c r="UVK37" s="578"/>
      <c r="UVL37" s="578"/>
      <c r="UVM37" s="578"/>
      <c r="UVN37" s="578"/>
      <c r="UVO37" s="578"/>
      <c r="UVP37" s="578"/>
      <c r="UVQ37" s="578"/>
      <c r="UVR37" s="578"/>
      <c r="UVS37" s="578"/>
      <c r="UVT37" s="578"/>
      <c r="UVU37" s="578"/>
      <c r="UVV37" s="578"/>
      <c r="UVW37" s="578"/>
      <c r="UVX37" s="578"/>
      <c r="UVY37" s="578"/>
      <c r="UVZ37" s="578"/>
      <c r="UWA37" s="578"/>
      <c r="UWB37" s="578"/>
      <c r="UWC37" s="578"/>
      <c r="UWD37" s="578"/>
      <c r="UWE37" s="578"/>
      <c r="UWF37" s="578"/>
      <c r="UWG37" s="578"/>
      <c r="UWH37" s="578"/>
      <c r="UWI37" s="578"/>
      <c r="UWJ37" s="578"/>
      <c r="UWK37" s="578"/>
      <c r="UWL37" s="578"/>
      <c r="UWM37" s="578"/>
      <c r="UWN37" s="578"/>
      <c r="UWO37" s="578"/>
      <c r="UWP37" s="578"/>
      <c r="UWQ37" s="578"/>
      <c r="UWR37" s="578"/>
      <c r="UWS37" s="578"/>
      <c r="UWT37" s="578"/>
      <c r="UWU37" s="578"/>
      <c r="UWV37" s="578"/>
      <c r="UWW37" s="578"/>
      <c r="UWX37" s="578"/>
      <c r="UWY37" s="578"/>
      <c r="UWZ37" s="578"/>
      <c r="UXA37" s="578"/>
      <c r="UXB37" s="578"/>
      <c r="UXC37" s="578"/>
      <c r="UXD37" s="578"/>
      <c r="UXE37" s="578"/>
      <c r="UXF37" s="578"/>
      <c r="UXG37" s="578"/>
      <c r="UXH37" s="578"/>
      <c r="UXI37" s="578"/>
      <c r="UXJ37" s="578"/>
      <c r="UXK37" s="578"/>
      <c r="UXL37" s="578"/>
      <c r="UXM37" s="578"/>
      <c r="UXN37" s="578"/>
      <c r="UXO37" s="578"/>
      <c r="UXP37" s="578"/>
      <c r="UXQ37" s="578"/>
      <c r="UXR37" s="578"/>
      <c r="UXS37" s="578"/>
      <c r="UXT37" s="578"/>
      <c r="UXU37" s="578"/>
      <c r="UXV37" s="578"/>
      <c r="UXW37" s="578"/>
      <c r="UXX37" s="578"/>
      <c r="UXY37" s="578"/>
      <c r="UXZ37" s="578"/>
      <c r="UYA37" s="578"/>
      <c r="UYB37" s="578"/>
      <c r="UYC37" s="578"/>
      <c r="UYD37" s="578"/>
      <c r="UYE37" s="578"/>
      <c r="UYF37" s="578"/>
      <c r="UYG37" s="578"/>
      <c r="UYH37" s="578"/>
      <c r="UYI37" s="578"/>
      <c r="UYJ37" s="578"/>
      <c r="UYK37" s="578"/>
      <c r="UYL37" s="578"/>
      <c r="UYM37" s="578"/>
      <c r="UYN37" s="578"/>
      <c r="UYO37" s="578"/>
      <c r="UYP37" s="578"/>
      <c r="UYQ37" s="578"/>
      <c r="UYR37" s="578"/>
      <c r="UYS37" s="578"/>
      <c r="UYT37" s="578"/>
      <c r="UYU37" s="578"/>
      <c r="UYV37" s="578"/>
      <c r="UYW37" s="578"/>
      <c r="UYX37" s="578"/>
      <c r="UYY37" s="578"/>
      <c r="UYZ37" s="578"/>
      <c r="UZA37" s="578"/>
      <c r="UZB37" s="578"/>
      <c r="UZC37" s="578"/>
      <c r="UZD37" s="578"/>
      <c r="UZE37" s="578"/>
      <c r="UZF37" s="578"/>
      <c r="UZG37" s="578"/>
      <c r="UZH37" s="578"/>
      <c r="UZI37" s="578"/>
      <c r="UZJ37" s="578"/>
      <c r="UZK37" s="578"/>
      <c r="UZL37" s="578"/>
      <c r="UZM37" s="578"/>
      <c r="UZN37" s="578"/>
      <c r="UZO37" s="578"/>
      <c r="UZP37" s="578"/>
      <c r="UZQ37" s="578"/>
      <c r="UZR37" s="578"/>
      <c r="UZS37" s="578"/>
      <c r="UZT37" s="578"/>
      <c r="UZU37" s="578"/>
      <c r="UZV37" s="578"/>
      <c r="UZW37" s="578"/>
      <c r="UZX37" s="578"/>
      <c r="UZY37" s="578"/>
      <c r="UZZ37" s="578"/>
      <c r="VAA37" s="578"/>
      <c r="VAB37" s="578"/>
      <c r="VAC37" s="578"/>
      <c r="VAD37" s="578"/>
      <c r="VAE37" s="578"/>
      <c r="VAF37" s="578"/>
      <c r="VAG37" s="578"/>
      <c r="VAH37" s="578"/>
      <c r="VAI37" s="578"/>
      <c r="VAJ37" s="578"/>
      <c r="VAK37" s="578"/>
      <c r="VAL37" s="578"/>
      <c r="VAM37" s="578"/>
      <c r="VAN37" s="578"/>
      <c r="VAO37" s="578"/>
      <c r="VAP37" s="578"/>
      <c r="VAQ37" s="578"/>
      <c r="VAR37" s="578"/>
      <c r="VAS37" s="578"/>
      <c r="VAT37" s="578"/>
      <c r="VAU37" s="578"/>
      <c r="VAV37" s="578"/>
      <c r="VAW37" s="578"/>
      <c r="VAX37" s="578"/>
      <c r="VAY37" s="578"/>
      <c r="VAZ37" s="578"/>
      <c r="VBA37" s="578"/>
      <c r="VBB37" s="578"/>
      <c r="VBC37" s="578"/>
      <c r="VBD37" s="578"/>
      <c r="VBE37" s="578"/>
      <c r="VBF37" s="578"/>
      <c r="VBG37" s="578"/>
      <c r="VBH37" s="578"/>
      <c r="VBI37" s="578"/>
      <c r="VBJ37" s="578"/>
      <c r="VBK37" s="578"/>
      <c r="VBL37" s="578"/>
      <c r="VBM37" s="578"/>
      <c r="VBN37" s="578"/>
      <c r="VBO37" s="578"/>
      <c r="VBP37" s="578"/>
      <c r="VBQ37" s="578"/>
      <c r="VBR37" s="578"/>
      <c r="VBS37" s="578"/>
      <c r="VBT37" s="578"/>
      <c r="VBU37" s="578"/>
      <c r="VBV37" s="578"/>
      <c r="VBW37" s="578"/>
      <c r="VBX37" s="578"/>
      <c r="VBY37" s="578"/>
      <c r="VBZ37" s="578"/>
      <c r="VCA37" s="578"/>
      <c r="VCB37" s="578"/>
      <c r="VCC37" s="578"/>
      <c r="VCD37" s="578"/>
      <c r="VCE37" s="578"/>
      <c r="VCF37" s="578"/>
      <c r="VCG37" s="578"/>
      <c r="VCH37" s="578"/>
      <c r="VCI37" s="578"/>
      <c r="VCJ37" s="578"/>
      <c r="VCK37" s="578"/>
      <c r="VCL37" s="578"/>
      <c r="VCM37" s="578"/>
      <c r="VCN37" s="578"/>
      <c r="VCO37" s="578"/>
      <c r="VCP37" s="578"/>
      <c r="VCQ37" s="578"/>
      <c r="VCR37" s="578"/>
      <c r="VCS37" s="578"/>
      <c r="VCT37" s="578"/>
      <c r="VCU37" s="578"/>
      <c r="VCV37" s="578"/>
      <c r="VCW37" s="578"/>
      <c r="VCX37" s="578"/>
      <c r="VCY37" s="578"/>
      <c r="VCZ37" s="578"/>
      <c r="VDA37" s="578"/>
      <c r="VDB37" s="578"/>
      <c r="VDC37" s="578"/>
      <c r="VDD37" s="578"/>
      <c r="VDE37" s="578"/>
      <c r="VDF37" s="578"/>
      <c r="VDG37" s="578"/>
      <c r="VDH37" s="578"/>
      <c r="VDI37" s="578"/>
      <c r="VDJ37" s="578"/>
      <c r="VDK37" s="578"/>
      <c r="VDL37" s="578"/>
      <c r="VDM37" s="578"/>
      <c r="VDN37" s="578"/>
      <c r="VDO37" s="578"/>
      <c r="VDP37" s="578"/>
      <c r="VDQ37" s="578"/>
      <c r="VDR37" s="578"/>
      <c r="VDS37" s="578"/>
      <c r="VDT37" s="578"/>
      <c r="VDU37" s="578"/>
      <c r="VDV37" s="578"/>
      <c r="VDW37" s="578"/>
      <c r="VDX37" s="578"/>
      <c r="VDY37" s="578"/>
      <c r="VDZ37" s="578"/>
      <c r="VEA37" s="578"/>
      <c r="VEB37" s="578"/>
      <c r="VEC37" s="578"/>
      <c r="VED37" s="578"/>
      <c r="VEE37" s="578"/>
      <c r="VEF37" s="578"/>
      <c r="VEG37" s="578"/>
      <c r="VEH37" s="578"/>
      <c r="VEI37" s="578"/>
      <c r="VEJ37" s="578"/>
      <c r="VEK37" s="578"/>
      <c r="VEL37" s="578"/>
      <c r="VEM37" s="578"/>
      <c r="VEN37" s="578"/>
      <c r="VEO37" s="578"/>
      <c r="VEP37" s="578"/>
      <c r="VEQ37" s="578"/>
      <c r="VER37" s="578"/>
      <c r="VES37" s="578"/>
      <c r="VET37" s="578"/>
      <c r="VEU37" s="578"/>
      <c r="VEV37" s="578"/>
      <c r="VEW37" s="578"/>
      <c r="VEX37" s="578"/>
      <c r="VEY37" s="578"/>
      <c r="VEZ37" s="578"/>
      <c r="VFA37" s="578"/>
      <c r="VFB37" s="578"/>
      <c r="VFC37" s="578"/>
      <c r="VFD37" s="578"/>
      <c r="VFE37" s="578"/>
      <c r="VFF37" s="578"/>
      <c r="VFG37" s="578"/>
      <c r="VFH37" s="578"/>
      <c r="VFI37" s="578"/>
      <c r="VFJ37" s="578"/>
      <c r="VFK37" s="578"/>
      <c r="VFL37" s="578"/>
      <c r="VFM37" s="578"/>
      <c r="VFN37" s="578"/>
      <c r="VFO37" s="578"/>
      <c r="VFP37" s="578"/>
      <c r="VFQ37" s="578"/>
      <c r="VFR37" s="578"/>
      <c r="VFS37" s="578"/>
      <c r="VFT37" s="578"/>
      <c r="VFU37" s="578"/>
      <c r="VFV37" s="578"/>
      <c r="VFW37" s="578"/>
      <c r="VFX37" s="578"/>
      <c r="VFY37" s="578"/>
      <c r="VFZ37" s="578"/>
      <c r="VGA37" s="578"/>
      <c r="VGB37" s="578"/>
      <c r="VGC37" s="578"/>
      <c r="VGD37" s="578"/>
      <c r="VGE37" s="578"/>
      <c r="VGF37" s="578"/>
      <c r="VGG37" s="578"/>
      <c r="VGH37" s="578"/>
      <c r="VGI37" s="578"/>
      <c r="VGJ37" s="578"/>
      <c r="VGK37" s="578"/>
      <c r="VGL37" s="578"/>
      <c r="VGM37" s="578"/>
      <c r="VGN37" s="578"/>
      <c r="VGO37" s="578"/>
      <c r="VGP37" s="578"/>
      <c r="VGQ37" s="578"/>
      <c r="VGR37" s="578"/>
      <c r="VGS37" s="578"/>
      <c r="VGT37" s="578"/>
      <c r="VGU37" s="578"/>
      <c r="VGV37" s="578"/>
      <c r="VGW37" s="578"/>
      <c r="VGX37" s="578"/>
      <c r="VGY37" s="578"/>
      <c r="VGZ37" s="578"/>
      <c r="VHA37" s="578"/>
      <c r="VHB37" s="578"/>
      <c r="VHC37" s="578"/>
      <c r="VHD37" s="578"/>
      <c r="VHE37" s="578"/>
      <c r="VHF37" s="578"/>
      <c r="VHG37" s="578"/>
      <c r="VHH37" s="578"/>
      <c r="VHI37" s="578"/>
      <c r="VHJ37" s="578"/>
      <c r="VHK37" s="578"/>
      <c r="VHL37" s="578"/>
      <c r="VHM37" s="578"/>
      <c r="VHN37" s="578"/>
      <c r="VHO37" s="578"/>
      <c r="VHP37" s="578"/>
      <c r="VHQ37" s="578"/>
      <c r="VHR37" s="578"/>
      <c r="VHS37" s="578"/>
      <c r="VHT37" s="578"/>
      <c r="VHU37" s="578"/>
      <c r="VHV37" s="578"/>
      <c r="VHW37" s="578"/>
      <c r="VHX37" s="578"/>
      <c r="VHY37" s="578"/>
      <c r="VHZ37" s="578"/>
      <c r="VIA37" s="578"/>
      <c r="VIB37" s="578"/>
      <c r="VIC37" s="578"/>
      <c r="VID37" s="578"/>
      <c r="VIE37" s="578"/>
      <c r="VIF37" s="578"/>
      <c r="VIG37" s="578"/>
      <c r="VIH37" s="578"/>
      <c r="VII37" s="578"/>
      <c r="VIJ37" s="578"/>
      <c r="VIK37" s="578"/>
      <c r="VIL37" s="578"/>
      <c r="VIM37" s="578"/>
      <c r="VIN37" s="578"/>
      <c r="VIO37" s="578"/>
      <c r="VIP37" s="578"/>
      <c r="VIQ37" s="578"/>
      <c r="VIR37" s="578"/>
      <c r="VIS37" s="578"/>
      <c r="VIT37" s="578"/>
      <c r="VIU37" s="578"/>
      <c r="VIV37" s="578"/>
      <c r="VIW37" s="578"/>
      <c r="VIX37" s="578"/>
      <c r="VIY37" s="578"/>
      <c r="VIZ37" s="578"/>
      <c r="VJA37" s="578"/>
      <c r="VJB37" s="578"/>
      <c r="VJC37" s="578"/>
      <c r="VJD37" s="578"/>
      <c r="VJE37" s="578"/>
      <c r="VJF37" s="578"/>
      <c r="VJG37" s="578"/>
      <c r="VJH37" s="578"/>
      <c r="VJI37" s="578"/>
      <c r="VJJ37" s="578"/>
      <c r="VJK37" s="578"/>
      <c r="VJL37" s="578"/>
      <c r="VJM37" s="578"/>
      <c r="VJN37" s="578"/>
      <c r="VJO37" s="578"/>
      <c r="VJP37" s="578"/>
      <c r="VJQ37" s="578"/>
      <c r="VJR37" s="578"/>
      <c r="VJS37" s="578"/>
      <c r="VJT37" s="578"/>
      <c r="VJU37" s="578"/>
      <c r="VJV37" s="578"/>
      <c r="VJW37" s="578"/>
      <c r="VJX37" s="578"/>
      <c r="VJY37" s="578"/>
      <c r="VJZ37" s="578"/>
      <c r="VKA37" s="578"/>
      <c r="VKB37" s="578"/>
      <c r="VKC37" s="578"/>
      <c r="VKD37" s="578"/>
      <c r="VKE37" s="578"/>
      <c r="VKF37" s="578"/>
      <c r="VKG37" s="578"/>
      <c r="VKH37" s="578"/>
      <c r="VKI37" s="578"/>
      <c r="VKJ37" s="578"/>
      <c r="VKK37" s="578"/>
      <c r="VKL37" s="578"/>
      <c r="VKM37" s="578"/>
      <c r="VKN37" s="578"/>
      <c r="VKO37" s="578"/>
      <c r="VKP37" s="578"/>
      <c r="VKQ37" s="578"/>
      <c r="VKR37" s="578"/>
      <c r="VKS37" s="578"/>
      <c r="VKT37" s="578"/>
      <c r="VKU37" s="578"/>
      <c r="VKV37" s="578"/>
      <c r="VKW37" s="578"/>
      <c r="VKX37" s="578"/>
      <c r="VKY37" s="578"/>
      <c r="VKZ37" s="578"/>
      <c r="VLA37" s="578"/>
      <c r="VLB37" s="578"/>
      <c r="VLC37" s="578"/>
      <c r="VLD37" s="578"/>
      <c r="VLE37" s="578"/>
      <c r="VLF37" s="578"/>
      <c r="VLG37" s="578"/>
      <c r="VLH37" s="578"/>
      <c r="VLI37" s="578"/>
      <c r="VLJ37" s="578"/>
      <c r="VLK37" s="578"/>
      <c r="VLL37" s="578"/>
      <c r="VLM37" s="578"/>
      <c r="VLN37" s="578"/>
      <c r="VLO37" s="578"/>
      <c r="VLP37" s="578"/>
      <c r="VLQ37" s="578"/>
      <c r="VLR37" s="578"/>
      <c r="VLS37" s="578"/>
      <c r="VLT37" s="578"/>
      <c r="VLU37" s="578"/>
      <c r="VLV37" s="578"/>
      <c r="VLW37" s="578"/>
      <c r="VLX37" s="578"/>
      <c r="VLY37" s="578"/>
      <c r="VLZ37" s="578"/>
      <c r="VMA37" s="578"/>
      <c r="VMB37" s="578"/>
      <c r="VMC37" s="578"/>
      <c r="VMD37" s="578"/>
      <c r="VME37" s="578"/>
      <c r="VMF37" s="578"/>
      <c r="VMG37" s="578"/>
      <c r="VMH37" s="578"/>
      <c r="VMI37" s="578"/>
      <c r="VMJ37" s="578"/>
      <c r="VMK37" s="578"/>
      <c r="VML37" s="578"/>
      <c r="VMM37" s="578"/>
      <c r="VMN37" s="578"/>
      <c r="VMO37" s="578"/>
      <c r="VMP37" s="578"/>
      <c r="VMQ37" s="578"/>
      <c r="VMR37" s="578"/>
      <c r="VMS37" s="578"/>
      <c r="VMT37" s="578"/>
      <c r="VMU37" s="578"/>
      <c r="VMV37" s="578"/>
      <c r="VMW37" s="578"/>
      <c r="VMX37" s="578"/>
      <c r="VMY37" s="578"/>
      <c r="VMZ37" s="578"/>
      <c r="VNA37" s="578"/>
      <c r="VNB37" s="578"/>
      <c r="VNC37" s="578"/>
      <c r="VND37" s="578"/>
      <c r="VNE37" s="578"/>
      <c r="VNF37" s="578"/>
      <c r="VNG37" s="578"/>
      <c r="VNH37" s="578"/>
      <c r="VNI37" s="578"/>
      <c r="VNJ37" s="578"/>
      <c r="VNK37" s="578"/>
      <c r="VNL37" s="578"/>
      <c r="VNM37" s="578"/>
      <c r="VNN37" s="578"/>
      <c r="VNO37" s="578"/>
      <c r="VNP37" s="578"/>
      <c r="VNQ37" s="578"/>
      <c r="VNR37" s="578"/>
      <c r="VNS37" s="578"/>
      <c r="VNT37" s="578"/>
      <c r="VNU37" s="578"/>
      <c r="VNV37" s="578"/>
      <c r="VNW37" s="578"/>
      <c r="VNX37" s="578"/>
      <c r="VNY37" s="578"/>
      <c r="VNZ37" s="578"/>
      <c r="VOA37" s="578"/>
      <c r="VOB37" s="578"/>
      <c r="VOC37" s="578"/>
      <c r="VOD37" s="578"/>
      <c r="VOE37" s="578"/>
      <c r="VOF37" s="578"/>
      <c r="VOG37" s="578"/>
      <c r="VOH37" s="578"/>
      <c r="VOI37" s="578"/>
      <c r="VOJ37" s="578"/>
      <c r="VOK37" s="578"/>
      <c r="VOL37" s="578"/>
      <c r="VOM37" s="578"/>
      <c r="VON37" s="578"/>
      <c r="VOO37" s="578"/>
      <c r="VOP37" s="578"/>
      <c r="VOQ37" s="578"/>
      <c r="VOR37" s="578"/>
      <c r="VOS37" s="578"/>
      <c r="VOT37" s="578"/>
      <c r="VOU37" s="578"/>
      <c r="VOV37" s="578"/>
      <c r="VOW37" s="578"/>
      <c r="VOX37" s="578"/>
      <c r="VOY37" s="578"/>
      <c r="VOZ37" s="578"/>
      <c r="VPA37" s="578"/>
      <c r="VPB37" s="578"/>
      <c r="VPC37" s="578"/>
      <c r="VPD37" s="578"/>
      <c r="VPE37" s="578"/>
      <c r="VPF37" s="578"/>
      <c r="VPG37" s="578"/>
      <c r="VPH37" s="578"/>
      <c r="VPI37" s="578"/>
      <c r="VPJ37" s="578"/>
      <c r="VPK37" s="578"/>
      <c r="VPL37" s="578"/>
      <c r="VPM37" s="578"/>
      <c r="VPN37" s="578"/>
      <c r="VPO37" s="578"/>
      <c r="VPP37" s="578"/>
      <c r="VPQ37" s="578"/>
      <c r="VPR37" s="578"/>
      <c r="VPS37" s="578"/>
      <c r="VPT37" s="578"/>
      <c r="VPU37" s="578"/>
      <c r="VPV37" s="578"/>
      <c r="VPW37" s="578"/>
      <c r="VPX37" s="578"/>
      <c r="VPY37" s="578"/>
      <c r="VPZ37" s="578"/>
      <c r="VQA37" s="578"/>
      <c r="VQB37" s="578"/>
      <c r="VQC37" s="578"/>
      <c r="VQD37" s="578"/>
      <c r="VQE37" s="578"/>
      <c r="VQF37" s="578"/>
      <c r="VQG37" s="578"/>
      <c r="VQH37" s="578"/>
      <c r="VQI37" s="578"/>
      <c r="VQJ37" s="578"/>
      <c r="VQK37" s="578"/>
      <c r="VQL37" s="578"/>
      <c r="VQM37" s="578"/>
      <c r="VQN37" s="578"/>
      <c r="VQO37" s="578"/>
      <c r="VQP37" s="578"/>
      <c r="VQQ37" s="578"/>
      <c r="VQR37" s="578"/>
      <c r="VQS37" s="578"/>
      <c r="VQT37" s="578"/>
      <c r="VQU37" s="578"/>
      <c r="VQV37" s="578"/>
      <c r="VQW37" s="578"/>
      <c r="VQX37" s="578"/>
      <c r="VQY37" s="578"/>
      <c r="VQZ37" s="578"/>
      <c r="VRA37" s="578"/>
      <c r="VRB37" s="578"/>
      <c r="VRC37" s="578"/>
      <c r="VRD37" s="578"/>
      <c r="VRE37" s="578"/>
      <c r="VRF37" s="578"/>
      <c r="VRG37" s="578"/>
      <c r="VRH37" s="578"/>
      <c r="VRI37" s="578"/>
      <c r="VRJ37" s="578"/>
      <c r="VRK37" s="578"/>
      <c r="VRL37" s="578"/>
      <c r="VRM37" s="578"/>
      <c r="VRN37" s="578"/>
      <c r="VRO37" s="578"/>
      <c r="VRP37" s="578"/>
      <c r="VRQ37" s="578"/>
      <c r="VRR37" s="578"/>
      <c r="VRS37" s="578"/>
      <c r="VRT37" s="578"/>
      <c r="VRU37" s="578"/>
      <c r="VRV37" s="578"/>
      <c r="VRW37" s="578"/>
      <c r="VRX37" s="578"/>
      <c r="VRY37" s="578"/>
      <c r="VRZ37" s="578"/>
      <c r="VSA37" s="578"/>
      <c r="VSB37" s="578"/>
      <c r="VSC37" s="578"/>
      <c r="VSD37" s="578"/>
      <c r="VSE37" s="578"/>
      <c r="VSF37" s="578"/>
      <c r="VSG37" s="578"/>
      <c r="VSH37" s="578"/>
      <c r="VSI37" s="578"/>
      <c r="VSJ37" s="578"/>
      <c r="VSK37" s="578"/>
      <c r="VSL37" s="578"/>
      <c r="VSM37" s="578"/>
      <c r="VSN37" s="578"/>
      <c r="VSO37" s="578"/>
      <c r="VSP37" s="578"/>
      <c r="VSQ37" s="578"/>
      <c r="VSR37" s="578"/>
      <c r="VSS37" s="578"/>
      <c r="VST37" s="578"/>
      <c r="VSU37" s="578"/>
      <c r="VSV37" s="578"/>
      <c r="VSW37" s="578"/>
      <c r="VSX37" s="578"/>
      <c r="VSY37" s="578"/>
      <c r="VSZ37" s="578"/>
      <c r="VTA37" s="578"/>
      <c r="VTB37" s="578"/>
      <c r="VTC37" s="578"/>
      <c r="VTD37" s="578"/>
      <c r="VTE37" s="578"/>
      <c r="VTF37" s="578"/>
      <c r="VTG37" s="578"/>
      <c r="VTH37" s="578"/>
      <c r="VTI37" s="578"/>
      <c r="VTJ37" s="578"/>
      <c r="VTK37" s="578"/>
      <c r="VTL37" s="578"/>
      <c r="VTM37" s="578"/>
      <c r="VTN37" s="578"/>
      <c r="VTO37" s="578"/>
      <c r="VTP37" s="578"/>
      <c r="VTQ37" s="578"/>
      <c r="VTR37" s="578"/>
      <c r="VTS37" s="578"/>
      <c r="VTT37" s="578"/>
      <c r="VTU37" s="578"/>
      <c r="VTV37" s="578"/>
      <c r="VTW37" s="578"/>
      <c r="VTX37" s="578"/>
      <c r="VTY37" s="578"/>
      <c r="VTZ37" s="578"/>
      <c r="VUA37" s="578"/>
      <c r="VUB37" s="578"/>
      <c r="VUC37" s="578"/>
      <c r="VUD37" s="578"/>
      <c r="VUE37" s="578"/>
      <c r="VUF37" s="578"/>
      <c r="VUG37" s="578"/>
      <c r="VUH37" s="578"/>
      <c r="VUI37" s="578"/>
      <c r="VUJ37" s="578"/>
      <c r="VUK37" s="578"/>
      <c r="VUL37" s="578"/>
      <c r="VUM37" s="578"/>
      <c r="VUN37" s="578"/>
      <c r="VUO37" s="578"/>
      <c r="VUP37" s="578"/>
      <c r="VUQ37" s="578"/>
      <c r="VUR37" s="578"/>
      <c r="VUS37" s="578"/>
      <c r="VUT37" s="578"/>
      <c r="VUU37" s="578"/>
      <c r="VUV37" s="578"/>
      <c r="VUW37" s="578"/>
      <c r="VUX37" s="578"/>
      <c r="VUY37" s="578"/>
      <c r="VUZ37" s="578"/>
      <c r="VVA37" s="578"/>
      <c r="VVB37" s="578"/>
      <c r="VVC37" s="578"/>
      <c r="VVD37" s="578"/>
      <c r="VVE37" s="578"/>
      <c r="VVF37" s="578"/>
      <c r="VVG37" s="578"/>
      <c r="VVH37" s="578"/>
      <c r="VVI37" s="578"/>
      <c r="VVJ37" s="578"/>
      <c r="VVK37" s="578"/>
      <c r="VVL37" s="578"/>
      <c r="VVM37" s="578"/>
      <c r="VVN37" s="578"/>
      <c r="VVO37" s="578"/>
      <c r="VVP37" s="578"/>
      <c r="VVQ37" s="578"/>
      <c r="VVR37" s="578"/>
      <c r="VVS37" s="578"/>
      <c r="VVT37" s="578"/>
      <c r="VVU37" s="578"/>
      <c r="VVV37" s="578"/>
      <c r="VVW37" s="578"/>
      <c r="VVX37" s="578"/>
      <c r="VVY37" s="578"/>
      <c r="VVZ37" s="578"/>
      <c r="VWA37" s="578"/>
      <c r="VWB37" s="578"/>
      <c r="VWC37" s="578"/>
      <c r="VWD37" s="578"/>
      <c r="VWE37" s="578"/>
      <c r="VWF37" s="578"/>
      <c r="VWG37" s="578"/>
      <c r="VWH37" s="578"/>
      <c r="VWI37" s="578"/>
      <c r="VWJ37" s="578"/>
      <c r="VWK37" s="578"/>
      <c r="VWL37" s="578"/>
      <c r="VWM37" s="578"/>
      <c r="VWN37" s="578"/>
      <c r="VWO37" s="578"/>
      <c r="VWP37" s="578"/>
      <c r="VWQ37" s="578"/>
      <c r="VWR37" s="578"/>
      <c r="VWS37" s="578"/>
      <c r="VWT37" s="578"/>
      <c r="VWU37" s="578"/>
      <c r="VWV37" s="578"/>
      <c r="VWW37" s="578"/>
      <c r="VWX37" s="578"/>
      <c r="VWY37" s="578"/>
      <c r="VWZ37" s="578"/>
      <c r="VXA37" s="578"/>
      <c r="VXB37" s="578"/>
      <c r="VXC37" s="578"/>
      <c r="VXD37" s="578"/>
      <c r="VXE37" s="578"/>
      <c r="VXF37" s="578"/>
      <c r="VXG37" s="578"/>
      <c r="VXH37" s="578"/>
      <c r="VXI37" s="578"/>
      <c r="VXJ37" s="578"/>
      <c r="VXK37" s="578"/>
      <c r="VXL37" s="578"/>
      <c r="VXM37" s="578"/>
      <c r="VXN37" s="578"/>
      <c r="VXO37" s="578"/>
      <c r="VXP37" s="578"/>
      <c r="VXQ37" s="578"/>
      <c r="VXR37" s="578"/>
      <c r="VXS37" s="578"/>
      <c r="VXT37" s="578"/>
      <c r="VXU37" s="578"/>
      <c r="VXV37" s="578"/>
      <c r="VXW37" s="578"/>
      <c r="VXX37" s="578"/>
      <c r="VXY37" s="578"/>
      <c r="VXZ37" s="578"/>
      <c r="VYA37" s="578"/>
      <c r="VYB37" s="578"/>
      <c r="VYC37" s="578"/>
      <c r="VYD37" s="578"/>
      <c r="VYE37" s="578"/>
      <c r="VYF37" s="578"/>
      <c r="VYG37" s="578"/>
      <c r="VYH37" s="578"/>
      <c r="VYI37" s="578"/>
      <c r="VYJ37" s="578"/>
      <c r="VYK37" s="578"/>
      <c r="VYL37" s="578"/>
      <c r="VYM37" s="578"/>
      <c r="VYN37" s="578"/>
      <c r="VYO37" s="578"/>
      <c r="VYP37" s="578"/>
      <c r="VYQ37" s="578"/>
      <c r="VYR37" s="578"/>
      <c r="VYS37" s="578"/>
      <c r="VYT37" s="578"/>
      <c r="VYU37" s="578"/>
      <c r="VYV37" s="578"/>
      <c r="VYW37" s="578"/>
      <c r="VYX37" s="578"/>
      <c r="VYY37" s="578"/>
      <c r="VYZ37" s="578"/>
      <c r="VZA37" s="578"/>
      <c r="VZB37" s="578"/>
      <c r="VZC37" s="578"/>
      <c r="VZD37" s="578"/>
      <c r="VZE37" s="578"/>
      <c r="VZF37" s="578"/>
      <c r="VZG37" s="578"/>
      <c r="VZH37" s="578"/>
      <c r="VZI37" s="578"/>
      <c r="VZJ37" s="578"/>
      <c r="VZK37" s="578"/>
      <c r="VZL37" s="578"/>
      <c r="VZM37" s="578"/>
      <c r="VZN37" s="578"/>
      <c r="VZO37" s="578"/>
      <c r="VZP37" s="578"/>
      <c r="VZQ37" s="578"/>
      <c r="VZR37" s="578"/>
      <c r="VZS37" s="578"/>
      <c r="VZT37" s="578"/>
      <c r="VZU37" s="578"/>
      <c r="VZV37" s="578"/>
      <c r="VZW37" s="578"/>
      <c r="VZX37" s="578"/>
      <c r="VZY37" s="578"/>
      <c r="VZZ37" s="578"/>
      <c r="WAA37" s="578"/>
      <c r="WAB37" s="578"/>
      <c r="WAC37" s="578"/>
      <c r="WAD37" s="578"/>
      <c r="WAE37" s="578"/>
      <c r="WAF37" s="578"/>
      <c r="WAG37" s="578"/>
      <c r="WAH37" s="578"/>
      <c r="WAI37" s="578"/>
      <c r="WAJ37" s="578"/>
      <c r="WAK37" s="578"/>
      <c r="WAL37" s="578"/>
      <c r="WAM37" s="578"/>
      <c r="WAN37" s="578"/>
      <c r="WAO37" s="578"/>
      <c r="WAP37" s="578"/>
      <c r="WAQ37" s="578"/>
      <c r="WAR37" s="578"/>
      <c r="WAS37" s="578"/>
      <c r="WAT37" s="578"/>
      <c r="WAU37" s="578"/>
      <c r="WAV37" s="578"/>
      <c r="WAW37" s="578"/>
      <c r="WAX37" s="578"/>
      <c r="WAY37" s="578"/>
      <c r="WAZ37" s="578"/>
      <c r="WBA37" s="578"/>
      <c r="WBB37" s="578"/>
      <c r="WBC37" s="578"/>
      <c r="WBD37" s="578"/>
      <c r="WBE37" s="578"/>
      <c r="WBF37" s="578"/>
      <c r="WBG37" s="578"/>
      <c r="WBH37" s="578"/>
      <c r="WBI37" s="578"/>
      <c r="WBJ37" s="578"/>
      <c r="WBK37" s="578"/>
      <c r="WBL37" s="578"/>
      <c r="WBM37" s="578"/>
      <c r="WBN37" s="578"/>
      <c r="WBO37" s="578"/>
      <c r="WBP37" s="578"/>
      <c r="WBQ37" s="578"/>
      <c r="WBR37" s="578"/>
      <c r="WBS37" s="578"/>
      <c r="WBT37" s="578"/>
      <c r="WBU37" s="578"/>
      <c r="WBV37" s="578"/>
      <c r="WBW37" s="578"/>
      <c r="WBX37" s="578"/>
      <c r="WBY37" s="578"/>
      <c r="WBZ37" s="578"/>
      <c r="WCA37" s="578"/>
      <c r="WCB37" s="578"/>
      <c r="WCC37" s="578"/>
      <c r="WCD37" s="578"/>
      <c r="WCE37" s="578"/>
      <c r="WCF37" s="578"/>
      <c r="WCG37" s="578"/>
      <c r="WCH37" s="578"/>
      <c r="WCI37" s="578"/>
      <c r="WCJ37" s="578"/>
      <c r="WCK37" s="578"/>
      <c r="WCL37" s="578"/>
      <c r="WCM37" s="578"/>
      <c r="WCN37" s="578"/>
      <c r="WCO37" s="578"/>
      <c r="WCP37" s="578"/>
      <c r="WCQ37" s="578"/>
      <c r="WCR37" s="578"/>
      <c r="WCS37" s="578"/>
      <c r="WCT37" s="578"/>
      <c r="WCU37" s="578"/>
      <c r="WCV37" s="578"/>
      <c r="WCW37" s="578"/>
      <c r="WCX37" s="578"/>
      <c r="WCY37" s="578"/>
      <c r="WCZ37" s="578"/>
      <c r="WDA37" s="578"/>
      <c r="WDB37" s="578"/>
      <c r="WDC37" s="578"/>
      <c r="WDD37" s="578"/>
      <c r="WDE37" s="578"/>
      <c r="WDF37" s="578"/>
      <c r="WDG37" s="578"/>
      <c r="WDH37" s="578"/>
      <c r="WDI37" s="578"/>
      <c r="WDJ37" s="578"/>
      <c r="WDK37" s="578"/>
      <c r="WDL37" s="578"/>
      <c r="WDM37" s="578"/>
      <c r="WDN37" s="578"/>
      <c r="WDO37" s="578"/>
      <c r="WDP37" s="578"/>
      <c r="WDQ37" s="578"/>
      <c r="WDR37" s="578"/>
      <c r="WDS37" s="578"/>
      <c r="WDT37" s="578"/>
      <c r="WDU37" s="578"/>
      <c r="WDV37" s="578"/>
      <c r="WDW37" s="578"/>
      <c r="WDX37" s="578"/>
      <c r="WDY37" s="578"/>
      <c r="WDZ37" s="578"/>
      <c r="WEA37" s="578"/>
      <c r="WEB37" s="578"/>
      <c r="WEC37" s="578"/>
      <c r="WED37" s="578"/>
      <c r="WEE37" s="578"/>
      <c r="WEF37" s="578"/>
      <c r="WEG37" s="578"/>
      <c r="WEH37" s="578"/>
      <c r="WEI37" s="578"/>
      <c r="WEJ37" s="578"/>
      <c r="WEK37" s="578"/>
      <c r="WEL37" s="578"/>
      <c r="WEM37" s="578"/>
      <c r="WEN37" s="578"/>
      <c r="WEO37" s="578"/>
      <c r="WEP37" s="578"/>
      <c r="WEQ37" s="578"/>
      <c r="WER37" s="578"/>
      <c r="WES37" s="578"/>
      <c r="WET37" s="578"/>
      <c r="WEU37" s="578"/>
      <c r="WEV37" s="578"/>
      <c r="WEW37" s="578"/>
      <c r="WEX37" s="578"/>
      <c r="WEY37" s="578"/>
      <c r="WEZ37" s="578"/>
      <c r="WFA37" s="578"/>
      <c r="WFB37" s="578"/>
      <c r="WFC37" s="578"/>
      <c r="WFD37" s="578"/>
      <c r="WFE37" s="578"/>
      <c r="WFF37" s="578"/>
      <c r="WFG37" s="578"/>
      <c r="WFH37" s="578"/>
      <c r="WFI37" s="578"/>
      <c r="WFJ37" s="578"/>
      <c r="WFK37" s="578"/>
      <c r="WFL37" s="578"/>
      <c r="WFM37" s="578"/>
      <c r="WFN37" s="578"/>
      <c r="WFO37" s="578"/>
      <c r="WFP37" s="578"/>
      <c r="WFQ37" s="578"/>
      <c r="WFR37" s="578"/>
      <c r="WFS37" s="578"/>
      <c r="WFT37" s="578"/>
      <c r="WFU37" s="578"/>
      <c r="WFV37" s="578"/>
      <c r="WFW37" s="578"/>
      <c r="WFX37" s="578"/>
      <c r="WFY37" s="578"/>
      <c r="WFZ37" s="578"/>
      <c r="WGA37" s="578"/>
      <c r="WGB37" s="578"/>
      <c r="WGC37" s="578"/>
      <c r="WGD37" s="578"/>
      <c r="WGE37" s="578"/>
      <c r="WGF37" s="578"/>
      <c r="WGG37" s="578"/>
      <c r="WGH37" s="578"/>
      <c r="WGI37" s="578"/>
      <c r="WGJ37" s="578"/>
      <c r="WGK37" s="578"/>
      <c r="WGL37" s="578"/>
      <c r="WGM37" s="578"/>
      <c r="WGN37" s="578"/>
      <c r="WGO37" s="578"/>
      <c r="WGP37" s="578"/>
      <c r="WGQ37" s="578"/>
      <c r="WGR37" s="578"/>
      <c r="WGS37" s="578"/>
      <c r="WGT37" s="578"/>
      <c r="WGU37" s="578"/>
      <c r="WGV37" s="578"/>
      <c r="WGW37" s="578"/>
      <c r="WGX37" s="578"/>
      <c r="WGY37" s="578"/>
      <c r="WGZ37" s="578"/>
      <c r="WHA37" s="578"/>
      <c r="WHB37" s="578"/>
      <c r="WHC37" s="578"/>
      <c r="WHD37" s="578"/>
      <c r="WHE37" s="578"/>
      <c r="WHF37" s="578"/>
      <c r="WHG37" s="578"/>
      <c r="WHH37" s="578"/>
      <c r="WHI37" s="578"/>
      <c r="WHJ37" s="578"/>
      <c r="WHK37" s="578"/>
      <c r="WHL37" s="578"/>
      <c r="WHM37" s="578"/>
      <c r="WHN37" s="578"/>
      <c r="WHO37" s="578"/>
      <c r="WHP37" s="578"/>
      <c r="WHQ37" s="578"/>
      <c r="WHR37" s="578"/>
      <c r="WHS37" s="578"/>
      <c r="WHT37" s="578"/>
      <c r="WHU37" s="578"/>
      <c r="WHV37" s="578"/>
      <c r="WHW37" s="578"/>
      <c r="WHX37" s="578"/>
      <c r="WHY37" s="578"/>
      <c r="WHZ37" s="578"/>
      <c r="WIA37" s="578"/>
      <c r="WIB37" s="578"/>
      <c r="WIC37" s="578"/>
      <c r="WID37" s="578"/>
      <c r="WIE37" s="578"/>
      <c r="WIF37" s="578"/>
      <c r="WIG37" s="578"/>
      <c r="WIH37" s="578"/>
      <c r="WII37" s="578"/>
      <c r="WIJ37" s="578"/>
      <c r="WIK37" s="578"/>
      <c r="WIL37" s="578"/>
      <c r="WIM37" s="578"/>
      <c r="WIN37" s="578"/>
      <c r="WIO37" s="578"/>
      <c r="WIP37" s="578"/>
      <c r="WIQ37" s="578"/>
      <c r="WIR37" s="578"/>
      <c r="WIS37" s="578"/>
      <c r="WIT37" s="578"/>
      <c r="WIU37" s="578"/>
      <c r="WIV37" s="578"/>
      <c r="WIW37" s="578"/>
      <c r="WIX37" s="578"/>
      <c r="WIY37" s="578"/>
      <c r="WIZ37" s="578"/>
      <c r="WJA37" s="578"/>
      <c r="WJB37" s="578"/>
      <c r="WJC37" s="578"/>
      <c r="WJD37" s="578"/>
      <c r="WJE37" s="578"/>
      <c r="WJF37" s="578"/>
      <c r="WJG37" s="578"/>
      <c r="WJH37" s="578"/>
      <c r="WJI37" s="578"/>
      <c r="WJJ37" s="578"/>
      <c r="WJK37" s="578"/>
      <c r="WJL37" s="578"/>
      <c r="WJM37" s="578"/>
      <c r="WJN37" s="578"/>
      <c r="WJO37" s="578"/>
      <c r="WJP37" s="578"/>
      <c r="WJQ37" s="578"/>
      <c r="WJR37" s="578"/>
      <c r="WJS37" s="578"/>
      <c r="WJT37" s="578"/>
      <c r="WJU37" s="578"/>
      <c r="WJV37" s="578"/>
      <c r="WJW37" s="578"/>
      <c r="WJX37" s="578"/>
      <c r="WJY37" s="578"/>
      <c r="WJZ37" s="578"/>
      <c r="WKA37" s="578"/>
      <c r="WKB37" s="578"/>
      <c r="WKC37" s="578"/>
      <c r="WKD37" s="578"/>
      <c r="WKE37" s="578"/>
      <c r="WKF37" s="578"/>
      <c r="WKG37" s="578"/>
      <c r="WKH37" s="578"/>
      <c r="WKI37" s="578"/>
      <c r="WKJ37" s="578"/>
      <c r="WKK37" s="578"/>
      <c r="WKL37" s="578"/>
      <c r="WKM37" s="578"/>
      <c r="WKN37" s="578"/>
      <c r="WKO37" s="578"/>
      <c r="WKP37" s="578"/>
      <c r="WKQ37" s="578"/>
      <c r="WKR37" s="578"/>
      <c r="WKS37" s="578"/>
      <c r="WKT37" s="578"/>
      <c r="WKU37" s="578"/>
      <c r="WKV37" s="578"/>
      <c r="WKW37" s="578"/>
      <c r="WKX37" s="578"/>
      <c r="WKY37" s="578"/>
      <c r="WKZ37" s="578"/>
      <c r="WLA37" s="578"/>
      <c r="WLB37" s="578"/>
      <c r="WLC37" s="578"/>
      <c r="WLD37" s="578"/>
      <c r="WLE37" s="578"/>
      <c r="WLF37" s="578"/>
      <c r="WLG37" s="578"/>
      <c r="WLH37" s="578"/>
      <c r="WLI37" s="578"/>
      <c r="WLJ37" s="578"/>
      <c r="WLK37" s="578"/>
      <c r="WLL37" s="578"/>
      <c r="WLM37" s="578"/>
      <c r="WLN37" s="578"/>
      <c r="WLO37" s="578"/>
      <c r="WLP37" s="578"/>
      <c r="WLQ37" s="578"/>
      <c r="WLR37" s="578"/>
      <c r="WLS37" s="578"/>
      <c r="WLT37" s="578"/>
      <c r="WLU37" s="578"/>
      <c r="WLV37" s="578"/>
      <c r="WLW37" s="578"/>
      <c r="WLX37" s="578"/>
      <c r="WLY37" s="578"/>
      <c r="WLZ37" s="578"/>
      <c r="WMA37" s="578"/>
      <c r="WMB37" s="578"/>
      <c r="WMC37" s="578"/>
      <c r="WMD37" s="578"/>
      <c r="WME37" s="578"/>
      <c r="WMF37" s="578"/>
      <c r="WMG37" s="578"/>
      <c r="WMH37" s="578"/>
      <c r="WMI37" s="578"/>
      <c r="WMJ37" s="578"/>
      <c r="WMK37" s="578"/>
      <c r="WML37" s="578"/>
      <c r="WMM37" s="578"/>
      <c r="WMN37" s="578"/>
      <c r="WMO37" s="578"/>
      <c r="WMP37" s="578"/>
      <c r="WMQ37" s="578"/>
      <c r="WMR37" s="578"/>
      <c r="WMS37" s="578"/>
      <c r="WMT37" s="578"/>
      <c r="WMU37" s="578"/>
      <c r="WMV37" s="578"/>
      <c r="WMW37" s="578"/>
      <c r="WMX37" s="578"/>
      <c r="WMY37" s="578"/>
      <c r="WMZ37" s="578"/>
      <c r="WNA37" s="578"/>
      <c r="WNB37" s="578"/>
      <c r="WNC37" s="578"/>
      <c r="WND37" s="578"/>
      <c r="WNE37" s="578"/>
      <c r="WNF37" s="578"/>
      <c r="WNG37" s="578"/>
      <c r="WNH37" s="578"/>
      <c r="WNI37" s="578"/>
      <c r="WNJ37" s="578"/>
      <c r="WNK37" s="578"/>
      <c r="WNL37" s="578"/>
      <c r="WNM37" s="578"/>
      <c r="WNN37" s="578"/>
      <c r="WNO37" s="578"/>
      <c r="WNP37" s="578"/>
      <c r="WNQ37" s="578"/>
      <c r="WNR37" s="578"/>
      <c r="WNS37" s="578"/>
      <c r="WNT37" s="578"/>
      <c r="WNU37" s="578"/>
      <c r="WNV37" s="578"/>
      <c r="WNW37" s="578"/>
      <c r="WNX37" s="578"/>
      <c r="WNY37" s="578"/>
      <c r="WNZ37" s="578"/>
      <c r="WOA37" s="578"/>
      <c r="WOB37" s="578"/>
      <c r="WOC37" s="578"/>
      <c r="WOD37" s="578"/>
      <c r="WOE37" s="578"/>
      <c r="WOF37" s="578"/>
      <c r="WOG37" s="578"/>
      <c r="WOH37" s="578"/>
      <c r="WOI37" s="578"/>
      <c r="WOJ37" s="578"/>
      <c r="WOK37" s="578"/>
      <c r="WOL37" s="578"/>
      <c r="WOM37" s="578"/>
      <c r="WON37" s="578"/>
      <c r="WOO37" s="578"/>
      <c r="WOP37" s="578"/>
      <c r="WOQ37" s="578"/>
      <c r="WOR37" s="578"/>
      <c r="WOS37" s="578"/>
      <c r="WOT37" s="578"/>
      <c r="WOU37" s="578"/>
      <c r="WOV37" s="578"/>
      <c r="WOW37" s="578"/>
      <c r="WOX37" s="578"/>
      <c r="WOY37" s="578"/>
      <c r="WOZ37" s="578"/>
      <c r="WPA37" s="578"/>
      <c r="WPB37" s="578"/>
      <c r="WPC37" s="578"/>
      <c r="WPD37" s="578"/>
      <c r="WPE37" s="578"/>
      <c r="WPF37" s="578"/>
      <c r="WPG37" s="578"/>
      <c r="WPH37" s="578"/>
      <c r="WPI37" s="578"/>
      <c r="WPJ37" s="578"/>
      <c r="WPK37" s="578"/>
      <c r="WPL37" s="578"/>
      <c r="WPM37" s="578"/>
      <c r="WPN37" s="578"/>
      <c r="WPO37" s="578"/>
      <c r="WPP37" s="578"/>
      <c r="WPQ37" s="578"/>
      <c r="WPR37" s="578"/>
      <c r="WPS37" s="578"/>
      <c r="WPT37" s="578"/>
      <c r="WPU37" s="578"/>
      <c r="WPV37" s="578"/>
      <c r="WPW37" s="578"/>
      <c r="WPX37" s="578"/>
      <c r="WPY37" s="578"/>
      <c r="WPZ37" s="578"/>
      <c r="WQA37" s="578"/>
      <c r="WQB37" s="578"/>
      <c r="WQC37" s="578"/>
      <c r="WQD37" s="578"/>
      <c r="WQE37" s="578"/>
      <c r="WQF37" s="578"/>
      <c r="WQG37" s="578"/>
      <c r="WQH37" s="578"/>
      <c r="WQI37" s="578"/>
      <c r="WQJ37" s="578"/>
      <c r="WQK37" s="578"/>
      <c r="WQL37" s="578"/>
      <c r="WQM37" s="578"/>
      <c r="WQN37" s="578"/>
      <c r="WQO37" s="578"/>
      <c r="WQP37" s="578"/>
      <c r="WQQ37" s="578"/>
      <c r="WQR37" s="578"/>
      <c r="WQS37" s="578"/>
      <c r="WQT37" s="578"/>
      <c r="WQU37" s="578"/>
      <c r="WQV37" s="578"/>
      <c r="WQW37" s="578"/>
      <c r="WQX37" s="578"/>
      <c r="WQY37" s="578"/>
      <c r="WQZ37" s="578"/>
      <c r="WRA37" s="578"/>
      <c r="WRB37" s="578"/>
      <c r="WRC37" s="578"/>
      <c r="WRD37" s="578"/>
      <c r="WRE37" s="578"/>
      <c r="WRF37" s="578"/>
      <c r="WRG37" s="578"/>
      <c r="WRH37" s="578"/>
      <c r="WRI37" s="578"/>
      <c r="WRJ37" s="578"/>
      <c r="WRK37" s="578"/>
      <c r="WRL37" s="578"/>
      <c r="WRM37" s="578"/>
      <c r="WRN37" s="578"/>
      <c r="WRO37" s="578"/>
      <c r="WRP37" s="578"/>
      <c r="WRQ37" s="578"/>
      <c r="WRR37" s="578"/>
      <c r="WRS37" s="578"/>
      <c r="WRT37" s="578"/>
      <c r="WRU37" s="578"/>
      <c r="WRV37" s="578"/>
      <c r="WRW37" s="578"/>
      <c r="WRX37" s="578"/>
      <c r="WRY37" s="578"/>
      <c r="WRZ37" s="578"/>
      <c r="WSA37" s="578"/>
      <c r="WSB37" s="578"/>
      <c r="WSC37" s="578"/>
      <c r="WSD37" s="578"/>
      <c r="WSE37" s="578"/>
      <c r="WSF37" s="578"/>
      <c r="WSG37" s="578"/>
      <c r="WSH37" s="578"/>
      <c r="WSI37" s="578"/>
      <c r="WSJ37" s="578"/>
      <c r="WSK37" s="578"/>
      <c r="WSL37" s="578"/>
      <c r="WSM37" s="578"/>
      <c r="WSN37" s="578"/>
      <c r="WSO37" s="578"/>
      <c r="WSP37" s="578"/>
      <c r="WSQ37" s="578"/>
      <c r="WSR37" s="578"/>
      <c r="WSS37" s="578"/>
      <c r="WST37" s="578"/>
      <c r="WSU37" s="578"/>
      <c r="WSV37" s="578"/>
      <c r="WSW37" s="578"/>
      <c r="WSX37" s="578"/>
      <c r="WSY37" s="578"/>
      <c r="WSZ37" s="578"/>
      <c r="WTA37" s="578"/>
      <c r="WTB37" s="578"/>
      <c r="WTC37" s="578"/>
      <c r="WTD37" s="578"/>
      <c r="WTE37" s="578"/>
      <c r="WTF37" s="578"/>
      <c r="WTG37" s="578"/>
      <c r="WTH37" s="578"/>
      <c r="WTI37" s="578"/>
      <c r="WTJ37" s="578"/>
      <c r="WTK37" s="578"/>
      <c r="WTL37" s="578"/>
      <c r="WTM37" s="578"/>
      <c r="WTN37" s="578"/>
      <c r="WTO37" s="578"/>
      <c r="WTP37" s="578"/>
      <c r="WTQ37" s="578"/>
      <c r="WTR37" s="578"/>
      <c r="WTS37" s="578"/>
      <c r="WTT37" s="578"/>
      <c r="WTU37" s="578"/>
      <c r="WTV37" s="578"/>
      <c r="WTW37" s="578"/>
      <c r="WTX37" s="578"/>
      <c r="WTY37" s="578"/>
      <c r="WTZ37" s="578"/>
      <c r="WUA37" s="578"/>
      <c r="WUB37" s="578"/>
      <c r="WUC37" s="578"/>
      <c r="WUD37" s="578"/>
      <c r="WUE37" s="578"/>
      <c r="WUF37" s="578"/>
      <c r="WUG37" s="578"/>
      <c r="WUH37" s="578"/>
      <c r="WUI37" s="578"/>
      <c r="WUJ37" s="578"/>
      <c r="WUK37" s="578"/>
      <c r="WUL37" s="578"/>
      <c r="WUM37" s="578"/>
      <c r="WUN37" s="578"/>
      <c r="WUO37" s="578"/>
      <c r="WUP37" s="578"/>
      <c r="WUQ37" s="578"/>
      <c r="WUR37" s="578"/>
      <c r="WUS37" s="578"/>
      <c r="WUT37" s="578"/>
      <c r="WUU37" s="578"/>
      <c r="WUV37" s="578"/>
      <c r="WUW37" s="578"/>
      <c r="WUX37" s="578"/>
      <c r="WUY37" s="578"/>
      <c r="WUZ37" s="578"/>
      <c r="WVA37" s="578"/>
      <c r="WVB37" s="578"/>
      <c r="WVC37" s="578"/>
      <c r="WVD37" s="578"/>
      <c r="WVE37" s="578"/>
      <c r="WVF37" s="578"/>
      <c r="WVG37" s="578"/>
      <c r="WVH37" s="578"/>
      <c r="WVI37" s="578"/>
      <c r="WVJ37" s="578"/>
      <c r="WVK37" s="578"/>
      <c r="WVL37" s="578"/>
      <c r="WVM37" s="578"/>
      <c r="WVN37" s="578"/>
      <c r="WVO37" s="578"/>
      <c r="WVP37" s="578"/>
      <c r="WVQ37" s="578"/>
      <c r="WVR37" s="578"/>
      <c r="WVS37" s="578"/>
      <c r="WVT37" s="578"/>
      <c r="WVU37" s="578"/>
      <c r="WVV37" s="578"/>
      <c r="WVW37" s="578"/>
      <c r="WVX37" s="578"/>
      <c r="WVY37" s="578"/>
      <c r="WVZ37" s="578"/>
      <c r="WWA37" s="578"/>
      <c r="WWB37" s="578"/>
      <c r="WWC37" s="578"/>
      <c r="WWD37" s="578"/>
      <c r="WWE37" s="578"/>
      <c r="WWF37" s="578"/>
      <c r="WWG37" s="578"/>
      <c r="WWH37" s="578"/>
      <c r="WWI37" s="578"/>
      <c r="WWJ37" s="578"/>
      <c r="WWK37" s="578"/>
      <c r="WWL37" s="578"/>
      <c r="WWM37" s="578"/>
      <c r="WWN37" s="578"/>
      <c r="WWO37" s="578"/>
      <c r="WWP37" s="578"/>
      <c r="WWQ37" s="578"/>
      <c r="WWR37" s="578"/>
      <c r="WWS37" s="578"/>
      <c r="WWT37" s="578"/>
      <c r="WWU37" s="578"/>
      <c r="WWV37" s="578"/>
      <c r="WWW37" s="578"/>
      <c r="WWX37" s="578"/>
      <c r="WWY37" s="578"/>
      <c r="WWZ37" s="578"/>
      <c r="WXA37" s="578"/>
      <c r="WXB37" s="578"/>
      <c r="WXC37" s="578"/>
      <c r="WXD37" s="578"/>
      <c r="WXE37" s="578"/>
      <c r="WXF37" s="578"/>
      <c r="WXG37" s="578"/>
      <c r="WXH37" s="578"/>
      <c r="WXI37" s="578"/>
      <c r="WXJ37" s="578"/>
      <c r="WXK37" s="578"/>
      <c r="WXL37" s="578"/>
      <c r="WXM37" s="578"/>
      <c r="WXN37" s="578"/>
      <c r="WXO37" s="578"/>
      <c r="WXP37" s="578"/>
      <c r="WXQ37" s="578"/>
      <c r="WXR37" s="578"/>
      <c r="WXS37" s="578"/>
      <c r="WXT37" s="578"/>
      <c r="WXU37" s="578"/>
      <c r="WXV37" s="578"/>
      <c r="WXW37" s="578"/>
      <c r="WXX37" s="578"/>
      <c r="WXY37" s="578"/>
      <c r="WXZ37" s="578"/>
      <c r="WYA37" s="578"/>
      <c r="WYB37" s="578"/>
      <c r="WYC37" s="578"/>
      <c r="WYD37" s="578"/>
      <c r="WYE37" s="578"/>
      <c r="WYF37" s="578"/>
      <c r="WYG37" s="578"/>
      <c r="WYH37" s="578"/>
      <c r="WYI37" s="578"/>
      <c r="WYJ37" s="578"/>
      <c r="WYK37" s="578"/>
      <c r="WYL37" s="578"/>
      <c r="WYM37" s="578"/>
      <c r="WYN37" s="578"/>
      <c r="WYO37" s="578"/>
      <c r="WYP37" s="578"/>
      <c r="WYQ37" s="578"/>
      <c r="WYR37" s="578"/>
      <c r="WYS37" s="578"/>
      <c r="WYT37" s="578"/>
      <c r="WYU37" s="578"/>
      <c r="WYV37" s="578"/>
      <c r="WYW37" s="578"/>
      <c r="WYX37" s="578"/>
      <c r="WYY37" s="578"/>
      <c r="WYZ37" s="578"/>
      <c r="WZA37" s="578"/>
      <c r="WZB37" s="578"/>
      <c r="WZC37" s="578"/>
      <c r="WZD37" s="578"/>
      <c r="WZE37" s="578"/>
      <c r="WZF37" s="578"/>
      <c r="WZG37" s="578"/>
      <c r="WZH37" s="578"/>
      <c r="WZI37" s="578"/>
      <c r="WZJ37" s="578"/>
      <c r="WZK37" s="578"/>
      <c r="WZL37" s="578"/>
      <c r="WZM37" s="578"/>
      <c r="WZN37" s="578"/>
      <c r="WZO37" s="578"/>
      <c r="WZP37" s="578"/>
      <c r="WZQ37" s="578"/>
      <c r="WZR37" s="578"/>
      <c r="WZS37" s="578"/>
      <c r="WZT37" s="578"/>
      <c r="WZU37" s="578"/>
      <c r="WZV37" s="578"/>
      <c r="WZW37" s="578"/>
      <c r="WZX37" s="578"/>
      <c r="WZY37" s="578"/>
      <c r="WZZ37" s="578"/>
      <c r="XAA37" s="578"/>
      <c r="XAB37" s="578"/>
      <c r="XAC37" s="578"/>
      <c r="XAD37" s="578"/>
      <c r="XAE37" s="578"/>
      <c r="XAF37" s="578"/>
      <c r="XAG37" s="578"/>
      <c r="XAH37" s="578"/>
      <c r="XAI37" s="578"/>
      <c r="XAJ37" s="578"/>
      <c r="XAK37" s="578"/>
      <c r="XAL37" s="578"/>
      <c r="XAM37" s="578"/>
      <c r="XAN37" s="578"/>
      <c r="XAO37" s="578"/>
      <c r="XAP37" s="578"/>
      <c r="XAQ37" s="578"/>
      <c r="XAR37" s="578"/>
      <c r="XAS37" s="578"/>
      <c r="XAT37" s="578"/>
      <c r="XAU37" s="578"/>
      <c r="XAV37" s="578"/>
      <c r="XAW37" s="578"/>
      <c r="XAX37" s="578"/>
      <c r="XAY37" s="578"/>
      <c r="XAZ37" s="578"/>
      <c r="XBA37" s="578"/>
      <c r="XBB37" s="578"/>
      <c r="XBC37" s="578"/>
      <c r="XBD37" s="578"/>
      <c r="XBE37" s="578"/>
      <c r="XBF37" s="578"/>
      <c r="XBG37" s="578"/>
      <c r="XBH37" s="578"/>
      <c r="XBI37" s="578"/>
      <c r="XBJ37" s="578"/>
      <c r="XBK37" s="578"/>
      <c r="XBL37" s="578"/>
      <c r="XBM37" s="578"/>
      <c r="XBN37" s="578"/>
      <c r="XBO37" s="578"/>
      <c r="XBP37" s="578"/>
      <c r="XBQ37" s="578"/>
      <c r="XBR37" s="578"/>
      <c r="XBS37" s="578"/>
      <c r="XBT37" s="578"/>
      <c r="XBU37" s="578"/>
      <c r="XBV37" s="578"/>
      <c r="XBW37" s="578"/>
      <c r="XBX37" s="578"/>
      <c r="XBY37" s="578"/>
      <c r="XBZ37" s="578"/>
      <c r="XCA37" s="578"/>
      <c r="XCB37" s="578"/>
      <c r="XCC37" s="578"/>
      <c r="XCD37" s="578"/>
      <c r="XCE37" s="578"/>
      <c r="XCF37" s="578"/>
      <c r="XCG37" s="578"/>
      <c r="XCH37" s="578"/>
      <c r="XCI37" s="578"/>
      <c r="XCJ37" s="578"/>
      <c r="XCK37" s="578"/>
      <c r="XCL37" s="578"/>
      <c r="XCM37" s="578"/>
      <c r="XCN37" s="578"/>
      <c r="XCO37" s="578"/>
      <c r="XCP37" s="578"/>
      <c r="XCQ37" s="578"/>
      <c r="XCR37" s="578"/>
      <c r="XCS37" s="578"/>
      <c r="XCT37" s="578"/>
      <c r="XCU37" s="578"/>
      <c r="XCV37" s="578"/>
      <c r="XCW37" s="578"/>
      <c r="XCX37" s="578"/>
      <c r="XCY37" s="578"/>
      <c r="XCZ37" s="578"/>
      <c r="XDA37" s="578"/>
      <c r="XDB37" s="578"/>
      <c r="XDC37" s="578"/>
      <c r="XDD37" s="578"/>
      <c r="XDE37" s="578"/>
      <c r="XDF37" s="578"/>
      <c r="XDG37" s="578"/>
      <c r="XDH37" s="578"/>
      <c r="XDI37" s="578"/>
      <c r="XDJ37" s="578"/>
      <c r="XDK37" s="578"/>
      <c r="XDL37" s="578"/>
      <c r="XDM37" s="578"/>
      <c r="XDN37" s="578"/>
      <c r="XDO37" s="578"/>
      <c r="XDP37" s="578"/>
      <c r="XDQ37" s="578"/>
      <c r="XDR37" s="578"/>
      <c r="XDS37" s="578"/>
      <c r="XDT37" s="578"/>
      <c r="XDU37" s="578"/>
      <c r="XDV37" s="578"/>
      <c r="XDW37" s="578"/>
      <c r="XDX37" s="578"/>
      <c r="XDY37" s="578"/>
      <c r="XDZ37" s="578"/>
      <c r="XEA37" s="578"/>
      <c r="XEB37" s="578"/>
      <c r="XEC37" s="578"/>
      <c r="XED37" s="578"/>
      <c r="XEE37" s="578"/>
      <c r="XEF37" s="578"/>
      <c r="XEG37" s="578"/>
      <c r="XEH37" s="578"/>
      <c r="XEI37" s="578"/>
      <c r="XEJ37" s="578"/>
      <c r="XEK37" s="578"/>
      <c r="XEL37" s="578"/>
      <c r="XEM37" s="578"/>
      <c r="XEN37" s="578"/>
      <c r="XEO37" s="578"/>
      <c r="XEP37" s="578"/>
      <c r="XEQ37" s="578"/>
      <c r="XER37" s="578"/>
      <c r="XES37" s="578"/>
      <c r="XET37" s="578"/>
      <c r="XEU37" s="578"/>
      <c r="XEV37" s="578"/>
      <c r="XEW37" s="578"/>
      <c r="XEX37" s="578"/>
      <c r="XEY37" s="578"/>
      <c r="XEZ37" s="578"/>
      <c r="XFA37" s="578"/>
      <c r="XFB37" s="578"/>
      <c r="XFC37" s="578"/>
      <c r="XFD37" s="578"/>
    </row>
    <row r="38" spans="1:16384" ht="12.75" customHeight="1">
      <c r="A38" s="561" t="s">
        <v>222</v>
      </c>
      <c r="B38" s="675">
        <f>+'[6]eff all'!$B$38:$C$38</f>
        <v>0.81961610597326295</v>
      </c>
      <c r="C38" s="676"/>
      <c r="D38" s="678">
        <f>+'[6]eff all'!$D$38:$E$38</f>
        <v>0.83793083858755912</v>
      </c>
      <c r="E38" s="676"/>
      <c r="F38" s="672">
        <f>+'[6]eff all'!$F$38:$G$38</f>
        <v>1655.8839999999998</v>
      </c>
      <c r="G38" s="673"/>
      <c r="H38" s="670">
        <f>+'[6]eff all'!$H$38:$I$38</f>
        <v>2.3800163538025614</v>
      </c>
      <c r="I38" s="671"/>
      <c r="J38" s="672">
        <f>+'[6]eff all'!$J$38:$K$38</f>
        <v>987.22519210282826</v>
      </c>
      <c r="K38" s="681"/>
      <c r="L38" s="675">
        <f>+'[6]eff all'!$L$38:$M$38</f>
        <v>0.84175524031029192</v>
      </c>
      <c r="M38" s="676"/>
      <c r="N38" s="678">
        <f>+'[6]eff all'!$N$38:$O$38</f>
        <v>0.87679263832975451</v>
      </c>
      <c r="O38" s="676"/>
      <c r="P38" s="672">
        <f>+'[6]eff all'!$P$38:$Q$38</f>
        <v>1649.2969999999998</v>
      </c>
      <c r="Q38" s="673"/>
      <c r="R38" s="670">
        <f>+'[6]eff all'!$R$38:$S$38</f>
        <v>2.3196877214958866</v>
      </c>
      <c r="S38" s="671"/>
      <c r="T38" s="670">
        <f>+'[6]eff all'!$T$38:$U$38</f>
        <v>0.24616548747739192</v>
      </c>
      <c r="U38" s="671"/>
      <c r="V38" s="672">
        <f>+'[6]eff all'!$V$38:$W$38</f>
        <v>616.10298205841684</v>
      </c>
      <c r="W38" s="673"/>
      <c r="X38" s="670">
        <f>+'[6]eff all'!$X$38:$Y$38</f>
        <v>486.41123339216654</v>
      </c>
      <c r="Y38" s="674"/>
      <c r="Z38" s="675">
        <f>+'[6]eff all'!$Z$38:$AA$38</f>
        <v>0.51081756803054779</v>
      </c>
      <c r="AA38" s="676"/>
      <c r="AB38" s="678">
        <f>+'[6]eff all'!$AB$38:$AC$38</f>
        <v>0.80748845980230732</v>
      </c>
      <c r="AC38" s="676"/>
      <c r="AD38" s="672">
        <f>+'[6]eff all'!$AD$38:$AE$38</f>
        <v>700.59100000000012</v>
      </c>
      <c r="AE38" s="673"/>
      <c r="AF38" s="670">
        <f>+'[6]eff all'!$AF$38:$AG$38</f>
        <v>110.32386420254063</v>
      </c>
      <c r="AG38" s="671"/>
      <c r="AH38" s="670">
        <f>+'[6]eff all'!$AH$38:$AI$38</f>
        <v>1.9417891465919492</v>
      </c>
      <c r="AI38" s="671"/>
      <c r="AJ38" s="670">
        <f>+'[6]eff all'!$AJ$38:$AK$38</f>
        <v>1127.8883114399123</v>
      </c>
      <c r="AK38" s="671"/>
      <c r="AL38" s="672">
        <f>+'[6]eff all'!$AL$38:$AM$38</f>
        <v>0</v>
      </c>
      <c r="AM38" s="681"/>
      <c r="AN38" s="675">
        <f>+'[6]eff all'!$AN$38:$AO$38</f>
        <v>0.78888926318585439</v>
      </c>
      <c r="AO38" s="676"/>
      <c r="AP38" s="678">
        <f>+'[6]eff all'!$AP$38:$AQ$38</f>
        <v>0.80397212983171706</v>
      </c>
      <c r="AQ38" s="676"/>
      <c r="AR38" s="682">
        <f>+'[6]eff all'!$AR$38:$AS$38</f>
        <v>1297.2190000000005</v>
      </c>
      <c r="AS38" s="683"/>
      <c r="AT38" s="670">
        <f>+'[6]eff all'!$AT$38:$AU$38</f>
        <v>120.055903115169</v>
      </c>
      <c r="AU38" s="671"/>
      <c r="AV38" s="670">
        <f>+'[6]eff all'!$AV$38:$AW$38</f>
        <v>1.4886460959945849</v>
      </c>
      <c r="AW38" s="671"/>
      <c r="AX38" s="670">
        <f>+'[6]eff all'!$AX$38:$AY$38</f>
        <v>0.19526386832138592</v>
      </c>
      <c r="AY38" s="671"/>
      <c r="AZ38" s="672">
        <f>+'[6]eff all'!$AZ$38:$BA$38</f>
        <v>913.20617413096761</v>
      </c>
      <c r="BA38" s="673"/>
      <c r="BB38" s="672">
        <f>+'[6]eff all'!$BB$38:$BC$38</f>
        <v>493.47212151533398</v>
      </c>
      <c r="BC38" s="673"/>
      <c r="BD38" s="672">
        <f>+'[6]eff all'!$BD$38:$BE$38</f>
        <v>2.9987226520733956</v>
      </c>
      <c r="BE38" s="681"/>
      <c r="BF38" s="675">
        <f>+'[6]eff all'!$BF$38:$BG$38</f>
        <v>0.84480150722122049</v>
      </c>
      <c r="BG38" s="676"/>
      <c r="BH38" s="678">
        <f>+'[6]eff all'!$BH$38:$BI$38</f>
        <v>0.85404308554088593</v>
      </c>
      <c r="BI38" s="676"/>
      <c r="BJ38" s="672">
        <f>+'[6]eff all'!$BJ$38:$BK$38</f>
        <v>1387.3799999999999</v>
      </c>
      <c r="BK38" s="673"/>
      <c r="BL38" s="670">
        <f>+'[6]eff all'!$BL$38:$BM$38</f>
        <v>2.8414709740662256</v>
      </c>
      <c r="BM38" s="671"/>
      <c r="BN38" s="670">
        <f>+'[6]eff all'!$BN$38:$BO$38</f>
        <v>0</v>
      </c>
      <c r="BO38" s="671"/>
      <c r="BP38" s="672">
        <f>+'[6]eff all'!$BP$38:$BQ$38</f>
        <v>1094.5930657786623</v>
      </c>
      <c r="BQ38" s="673"/>
      <c r="BR38" s="672">
        <f>+'[6]eff all'!$BR$38:$BS$38</f>
        <v>0</v>
      </c>
      <c r="BS38" s="681"/>
      <c r="BT38" s="675">
        <f>+'[6]eff all'!$BT$38:$BU$38</f>
        <v>0.56906056118136883</v>
      </c>
      <c r="BU38" s="676"/>
      <c r="BV38" s="678">
        <f>+'[6]eff all'!$BV$38:$BW$38</f>
        <v>0.79794558249051384</v>
      </c>
      <c r="BW38" s="676"/>
      <c r="BX38" s="672">
        <f>+'[6]eff all'!$BX$38:$BY$38</f>
        <v>904.63799999999992</v>
      </c>
      <c r="BY38" s="673"/>
      <c r="BZ38" s="679">
        <f>+'[6]eff all'!$BZ$38:$CA$38</f>
        <v>98.183245752799891</v>
      </c>
      <c r="CA38" s="679"/>
      <c r="CB38" s="679">
        <f>+'[6]eff all'!$CB$38:$CC$38</f>
        <v>2.3456896570783012</v>
      </c>
      <c r="CC38" s="679"/>
      <c r="CD38" s="679">
        <f>+'[6]eff all'!$CD$38:$CE$38</f>
        <v>1.3817681768840134E-2</v>
      </c>
      <c r="CE38" s="679"/>
      <c r="CF38" s="672">
        <f>+'[6]eff all'!$CF$38:$CG$38</f>
        <v>1025.3921152991588</v>
      </c>
      <c r="CG38" s="673"/>
      <c r="CH38" s="677">
        <f>+'[6]eff all'!$CH$38:$CI$38</f>
        <v>32.403016455200856</v>
      </c>
      <c r="CI38" s="677"/>
      <c r="CJ38" s="677">
        <f>+'[6]eff all'!$CJ$38:$CK$38</f>
        <v>0</v>
      </c>
      <c r="CK38" s="802"/>
    </row>
    <row r="39" spans="1:16384" ht="12.75" customHeight="1">
      <c r="A39" s="562" t="s">
        <v>419</v>
      </c>
      <c r="B39" s="684">
        <f>+'[7]eff all'!$B$39:$C$39</f>
        <v>0.903990808274441</v>
      </c>
      <c r="C39" s="650"/>
      <c r="D39" s="649">
        <f>+'[7]eff all'!$D$39:$E$39</f>
        <v>0.90437903832375621</v>
      </c>
      <c r="E39" s="650"/>
      <c r="F39" s="685">
        <f>+'[7]eff all'!$F$39:$G$39</f>
        <v>1787.5840000000001</v>
      </c>
      <c r="G39" s="686"/>
      <c r="H39" s="651">
        <f>+'[7]eff all'!$H$39:$I$39</f>
        <v>2.2781228742257711</v>
      </c>
      <c r="I39" s="652"/>
      <c r="J39" s="685">
        <f>+'[7]eff all'!$J$39:$K$39</f>
        <v>915.86317621997148</v>
      </c>
      <c r="K39" s="687"/>
      <c r="L39" s="684">
        <f>+'[7]eff all'!$L$39:$M$39</f>
        <v>0.9123567896542889</v>
      </c>
      <c r="M39" s="650"/>
      <c r="N39" s="649">
        <f>+'[7]eff all'!$N$39:$O$39</f>
        <v>0.91641187210867769</v>
      </c>
      <c r="O39" s="650"/>
      <c r="P39" s="685">
        <f>+'[7]eff all'!$P$39:$Q$39</f>
        <v>1733.4829999999997</v>
      </c>
      <c r="Q39" s="686"/>
      <c r="R39" s="651">
        <f>+'[7]eff all'!$R$39:$S$39</f>
        <v>2.0999496389638668</v>
      </c>
      <c r="S39" s="652"/>
      <c r="T39" s="651">
        <f>+'[7]eff all'!$T$39:$U$39</f>
        <v>0.29126331207170764</v>
      </c>
      <c r="U39" s="652"/>
      <c r="V39" s="685">
        <f>+'[7]eff all'!$V$39:$W$39</f>
        <v>594.5770105619722</v>
      </c>
      <c r="W39" s="686"/>
      <c r="X39" s="651">
        <f>+'[7]eff all'!$X$39:$Y$39</f>
        <v>459.61050670817082</v>
      </c>
      <c r="Y39" s="690"/>
      <c r="Z39" s="684">
        <f>+'[7]eff all'!$Z$39:$AA$39</f>
        <v>0.31795967338482251</v>
      </c>
      <c r="AA39" s="650"/>
      <c r="AB39" s="649">
        <f>+'[7]eff all'!$AB$39:$AC$39</f>
        <v>0.77060412200599582</v>
      </c>
      <c r="AC39" s="650"/>
      <c r="AD39" s="691">
        <f>+'[7]eff all'!$AD$39:$AE$39</f>
        <v>413.67199999999991</v>
      </c>
      <c r="AE39" s="692"/>
      <c r="AF39" s="651">
        <f>+'[7]eff all'!$AF$39:$AG$39</f>
        <v>99.280285249300306</v>
      </c>
      <c r="AG39" s="652"/>
      <c r="AH39" s="693">
        <f>+'[7]eff all'!$AH$39:$AI$39</f>
        <v>1.8947378599470119</v>
      </c>
      <c r="AI39" s="694"/>
      <c r="AJ39" s="693">
        <f>+'[7]eff all'!$AJ$39:$AK$39</f>
        <v>1272.9030729660244</v>
      </c>
      <c r="AK39" s="694"/>
      <c r="AL39" s="691">
        <f>+'[7]eff all'!$AL$39:$AM$39</f>
        <v>0</v>
      </c>
      <c r="AM39" s="697"/>
      <c r="AN39" s="684">
        <f>+'[7]eff all'!$AN$39:$AO$39</f>
        <v>0.880306580757235</v>
      </c>
      <c r="AO39" s="650"/>
      <c r="AP39" s="649">
        <f>+'[7]eff all'!$AP$39:$AQ$39</f>
        <v>0.89025454042732222</v>
      </c>
      <c r="AQ39" s="650"/>
      <c r="AR39" s="688">
        <f>+'[7]eff all'!$AR$39:$AS$39</f>
        <v>1341.886</v>
      </c>
      <c r="AS39" s="689"/>
      <c r="AT39" s="651">
        <f>+'[7]eff all'!$AT$39:$AU$39</f>
        <v>122.30106022435156</v>
      </c>
      <c r="AU39" s="652"/>
      <c r="AV39" s="651">
        <f>+'[7]eff all'!$AV$39:$AW$39</f>
        <v>1.4501977068096692</v>
      </c>
      <c r="AW39" s="652"/>
      <c r="AX39" s="651">
        <f>+'[7]eff all'!$AX$39:$AY$39</f>
        <v>6.3790813824721321E-2</v>
      </c>
      <c r="AY39" s="652"/>
      <c r="AZ39" s="691">
        <f>+'[7]eff all'!$AZ$39:$BA$39</f>
        <v>910.28921979959557</v>
      </c>
      <c r="BA39" s="692"/>
      <c r="BB39" s="691">
        <f>+'[7]eff all'!$BB$39:$BC$39</f>
        <v>164.14175272713183</v>
      </c>
      <c r="BC39" s="692"/>
      <c r="BD39" s="691">
        <f>+'[7]eff all'!$BD$39:$BE$39</f>
        <v>2.0120934267143409</v>
      </c>
      <c r="BE39" s="697"/>
      <c r="BF39" s="684">
        <f>+'[7]eff all'!$BF$39:$BG$39</f>
        <v>0.84682779620148241</v>
      </c>
      <c r="BG39" s="650"/>
      <c r="BH39" s="649">
        <f>+'[7]eff all'!$BH$39:$BI$39</f>
        <v>0.84682779620148241</v>
      </c>
      <c r="BI39" s="650"/>
      <c r="BJ39" s="691">
        <f>+'[7]eff all'!$BJ$39:$BK$39</f>
        <v>1322.9140000000002</v>
      </c>
      <c r="BK39" s="692"/>
      <c r="BL39" s="651">
        <f>+'[7]eff all'!$BL$39:$BM$39</f>
        <v>2.6480179361621383</v>
      </c>
      <c r="BM39" s="652"/>
      <c r="BN39" s="651">
        <f>+'[7]eff all'!$BN$39:$BO$39</f>
        <v>0</v>
      </c>
      <c r="BO39" s="652"/>
      <c r="BP39" s="691">
        <f>+'[7]eff all'!$BP$39:$BQ$39</f>
        <v>1045.6073032714144</v>
      </c>
      <c r="BQ39" s="692"/>
      <c r="BR39" s="691">
        <f>+'[7]eff all'!$BR$39:$BS$39</f>
        <v>0</v>
      </c>
      <c r="BS39" s="697"/>
      <c r="BT39" s="684">
        <f>+'[7]eff all'!$BT$39:$BU$39</f>
        <v>0.84513581917015268</v>
      </c>
      <c r="BU39" s="650"/>
      <c r="BV39" s="649">
        <f>+'[7]eff all'!$BV$39:$BW$39</f>
        <v>0.84822809271497868</v>
      </c>
      <c r="BW39" s="650"/>
      <c r="BX39" s="685">
        <f>+'[7]eff all'!$BX$39:$BY$39</f>
        <v>1346.3750000000002</v>
      </c>
      <c r="BY39" s="686"/>
      <c r="BZ39" s="695">
        <f>+'[7]eff all'!$BZ$39:$CA$39</f>
        <v>79.267993939383302</v>
      </c>
      <c r="CA39" s="695"/>
      <c r="CB39" s="695">
        <f>+'[7]eff all'!$CB$39:$CC$39</f>
        <v>1.9571070466994711</v>
      </c>
      <c r="CC39" s="695"/>
      <c r="CD39" s="695">
        <f>+'[7]eff all'!$CD$39:$CE$39</f>
        <v>0.21004549252622781</v>
      </c>
      <c r="CE39" s="695"/>
      <c r="CF39" s="685">
        <f>+'[7]eff all'!$CF$39:$CG$39</f>
        <v>810.96020053848281</v>
      </c>
      <c r="CG39" s="686"/>
      <c r="CH39" s="696">
        <f>+'[7]eff all'!$CH$39:$CI$39</f>
        <v>541.04427072695194</v>
      </c>
      <c r="CI39" s="696"/>
      <c r="CJ39" s="696">
        <f>+'[7]eff all'!$CJ$39:$CK$393</f>
        <v>2.8892396249187628</v>
      </c>
      <c r="CK39" s="766"/>
    </row>
    <row r="40" spans="1:16384" ht="12.75" customHeight="1">
      <c r="A40" s="563" t="s">
        <v>418</v>
      </c>
      <c r="B40" s="698">
        <f>+'[8]eff all'!$B$40:$C$40</f>
        <v>0.89986679210292397</v>
      </c>
      <c r="C40" s="699"/>
      <c r="D40" s="705">
        <f>+'[8]eff all'!$D$40:$E$40</f>
        <v>0.90007770455700553</v>
      </c>
      <c r="E40" s="699"/>
      <c r="F40" s="700">
        <f>+'[8]eff all'!$F$40:$G$40</f>
        <v>1865.5170000000001</v>
      </c>
      <c r="G40" s="701"/>
      <c r="H40" s="700">
        <f>+'[8]eff all'!$H$40:$I$40</f>
        <v>2.2984748999875095</v>
      </c>
      <c r="I40" s="701"/>
      <c r="J40" s="700">
        <f>+'[8]eff all'!$J$40:$K$40</f>
        <v>910.11683088387656</v>
      </c>
      <c r="K40" s="702"/>
      <c r="L40" s="698">
        <f>+'[8]eff all'!$L$40:$M$40</f>
        <v>0.88665975535746266</v>
      </c>
      <c r="M40" s="699"/>
      <c r="N40" s="705">
        <f>+'[8]eff all'!$N$40:$O$40</f>
        <v>0.91130227636045102</v>
      </c>
      <c r="O40" s="699"/>
      <c r="P40" s="700">
        <f>+'[8]eff all'!$P$40:$Q$40</f>
        <v>1681.0409999999997</v>
      </c>
      <c r="Q40" s="701"/>
      <c r="R40" s="700">
        <f>+'[8]eff all'!$R$40:$S$40</f>
        <v>2.3611024359310693</v>
      </c>
      <c r="S40" s="701"/>
      <c r="T40" s="700">
        <f>+'[8]eff all'!$T$40:$U$40</f>
        <v>8.5601719410769897E-2</v>
      </c>
      <c r="U40" s="701"/>
      <c r="V40" s="700">
        <f>+'[8]eff all'!$V$40:$W$40</f>
        <v>751.421904641232</v>
      </c>
      <c r="W40" s="701"/>
      <c r="X40" s="700">
        <f>+'[8]eff all'!$X$40:$Y$40</f>
        <v>160.39777732964276</v>
      </c>
      <c r="Y40" s="702"/>
      <c r="Z40" s="698">
        <f>+'[8]eff all'!$Z$40:$AA$40</f>
        <v>0.90643195002874466</v>
      </c>
      <c r="AA40" s="708"/>
      <c r="AB40" s="698">
        <f>+'[8]eff all'!$AB$40:$AC$40</f>
        <v>0.90643195002874466</v>
      </c>
      <c r="AC40" s="699"/>
      <c r="AD40" s="700">
        <f>+'[8]eff all'!$AD$40:$AE$40</f>
        <v>1304.5220000000002</v>
      </c>
      <c r="AE40" s="701"/>
      <c r="AF40" s="703">
        <f>+'[8]eff all'!$AF$40:$AG$40</f>
        <v>93.687912863926385</v>
      </c>
      <c r="AG40" s="704"/>
      <c r="AH40" s="703">
        <f>+'[8]eff all'!$AH$40:$AI$40</f>
        <v>1.3601917024013392</v>
      </c>
      <c r="AI40" s="704"/>
      <c r="AJ40" s="703">
        <f>+'[8]eff all'!$AJ$40:$AK$40</f>
        <v>867.9948824167011</v>
      </c>
      <c r="AK40" s="704"/>
      <c r="AL40" s="700">
        <f>+'[8]eff all'!$AL$40:$AM$40</f>
        <v>0</v>
      </c>
      <c r="AM40" s="702"/>
      <c r="AN40" s="698">
        <f>+'[8]eff all'!$AN$40:$AO$40</f>
        <v>0.89554898846394682</v>
      </c>
      <c r="AO40" s="699"/>
      <c r="AP40" s="705">
        <f>+'[8]eff all'!$AP$40:$AQ$40</f>
        <v>0.90516622970016913</v>
      </c>
      <c r="AQ40" s="699"/>
      <c r="AR40" s="706">
        <f>+'[8]eff all'!$AR$40:$AS$40</f>
        <v>1480.133</v>
      </c>
      <c r="AS40" s="707"/>
      <c r="AT40" s="703">
        <f>+'[8]eff all'!$AT$40:$AU$40</f>
        <v>101.4464316391317</v>
      </c>
      <c r="AU40" s="704"/>
      <c r="AV40" s="703">
        <f>+'[8]eff all'!$AV$40:$AW$40</f>
        <v>1.4403435366956892</v>
      </c>
      <c r="AW40" s="704"/>
      <c r="AX40" s="703">
        <f>+'[8]eff all'!$AX$40:$AY$40</f>
        <v>0.14586527021558199</v>
      </c>
      <c r="AY40" s="704"/>
      <c r="AZ40" s="700">
        <f>+'[8]eff all'!$AZ$40:$BA$40</f>
        <v>849.3617938387971</v>
      </c>
      <c r="BA40" s="701"/>
      <c r="BB40" s="700">
        <f>+'[8]eff all'!$BB$40:$BC$40</f>
        <v>387.77382640614013</v>
      </c>
      <c r="BC40" s="701"/>
      <c r="BD40" s="700">
        <f>+'[8]eff all'!$BD$40:$BE$40</f>
        <v>4.1014476401782778</v>
      </c>
      <c r="BE40" s="702"/>
      <c r="BF40" s="698">
        <f>+'[8]eff all'!$BF$40:$BG$40</f>
        <v>0.90695192925845458</v>
      </c>
      <c r="BG40" s="699"/>
      <c r="BH40" s="705">
        <f>+'[8]eff all'!$BH$40:$BI$40</f>
        <v>0.90825057016469368</v>
      </c>
      <c r="BI40" s="699"/>
      <c r="BJ40" s="700">
        <f>+'[8]eff all'!$BJ$40:$BK$40</f>
        <v>1465.1599999999999</v>
      </c>
      <c r="BK40" s="701"/>
      <c r="BL40" s="700">
        <f>+'[8]eff all'!$BL$40:$BM$40</f>
        <v>2.859209915640613</v>
      </c>
      <c r="BM40" s="701"/>
      <c r="BN40" s="700">
        <f>+'[8]eff all'!$BN$40:$BO$40</f>
        <v>0</v>
      </c>
      <c r="BO40" s="701"/>
      <c r="BP40" s="700">
        <f>+'[8]eff all'!$BP$40:$BQ$40</f>
        <v>1013.158972398919</v>
      </c>
      <c r="BQ40" s="701"/>
      <c r="BR40" s="700">
        <f>+'[8]eff all'!$BR$40:$BS$40</f>
        <v>0</v>
      </c>
      <c r="BS40" s="702"/>
      <c r="BT40" s="698">
        <f>+'[8]eff all'!$BT$40:$BU$40</f>
        <v>0.86462303428543996</v>
      </c>
      <c r="BU40" s="699"/>
      <c r="BV40" s="705">
        <f>+'[8]eff all'!$BV$40:$BW$40</f>
        <v>0.87445112764829958</v>
      </c>
      <c r="BW40" s="699"/>
      <c r="BX40" s="700">
        <f>+'[8]eff all'!$BX$40:$BY$40</f>
        <v>1364.3539999999998</v>
      </c>
      <c r="BY40" s="701"/>
      <c r="BZ40" s="700">
        <f>+'[8]eff all'!$BZ$40:$CA$40</f>
        <v>84.357025620624938</v>
      </c>
      <c r="CA40" s="701"/>
      <c r="CB40" s="700">
        <f>+'[8]eff all'!$CB$40:$CC$40</f>
        <v>2.027780180217158</v>
      </c>
      <c r="CC40" s="701"/>
      <c r="CD40" s="700">
        <f>+'[8]eff all'!$CD$40:$CE$40</f>
        <v>7.468736119804685E-2</v>
      </c>
      <c r="CE40" s="701"/>
      <c r="CF40" s="700">
        <f>+'[8]eff all'!$CF$40:$CG$40</f>
        <v>883.67533645959929</v>
      </c>
      <c r="CG40" s="701"/>
      <c r="CH40" s="717">
        <f>+'[8]eff all'!$CH$40:$CI$40</f>
        <v>193.15194077197017</v>
      </c>
      <c r="CI40" s="717"/>
      <c r="CJ40" s="717">
        <f>+'[8]eff all'!$CJ$40:$CK$40</f>
        <v>2.4682831581832825</v>
      </c>
      <c r="CK40" s="803"/>
    </row>
    <row r="41" spans="1:16384" ht="12.75" customHeight="1">
      <c r="A41" s="564" t="s">
        <v>223</v>
      </c>
      <c r="B41" s="714">
        <f>+'[9]eff all'!$B$41:$C$41</f>
        <v>0.83939758980569712</v>
      </c>
      <c r="C41" s="715"/>
      <c r="D41" s="716">
        <f>+'[9]eff all'!$D$41:$E$41</f>
        <v>0.84053150634019802</v>
      </c>
      <c r="E41" s="715"/>
      <c r="F41" s="718">
        <f>+'[9]eff all'!$F$41:$G$41</f>
        <v>1669.0300000000004</v>
      </c>
      <c r="G41" s="719"/>
      <c r="H41" s="709">
        <f>+'[9]eff all'!$H$41:$I$41</f>
        <v>2.4391880313715144</v>
      </c>
      <c r="I41" s="710"/>
      <c r="J41" s="711">
        <f>+'[9]eff all'!$J$41:$K$41</f>
        <v>1033.4658693971942</v>
      </c>
      <c r="K41" s="713"/>
      <c r="L41" s="714">
        <f>+'[9]eff all'!$L$41:$M$41</f>
        <v>0.88164645374478923</v>
      </c>
      <c r="M41" s="715"/>
      <c r="N41" s="716">
        <f>+'[9]eff all'!$N$41:$O$41</f>
        <v>0.90721678437063535</v>
      </c>
      <c r="O41" s="715"/>
      <c r="P41" s="711">
        <f>+'[9]eff all'!$P$41:$Q$41</f>
        <v>1849.2530000000002</v>
      </c>
      <c r="Q41" s="712"/>
      <c r="R41" s="709">
        <f>+'[9]eff all'!$R$41:$S$41</f>
        <v>2.6039627892992474</v>
      </c>
      <c r="S41" s="710"/>
      <c r="T41" s="709">
        <f>+'[9]eff all'!$T$41:$U$41</f>
        <v>0.22857878289233541</v>
      </c>
      <c r="U41" s="710"/>
      <c r="V41" s="711">
        <f>+'[9]eff all'!$V$41:$W$41</f>
        <v>604.72261502347192</v>
      </c>
      <c r="W41" s="712"/>
      <c r="X41" s="711">
        <f>+'[9]eff all'!$X$41:$Y$41</f>
        <v>521.7858237893895</v>
      </c>
      <c r="Y41" s="713"/>
      <c r="Z41" s="714">
        <f>+'[9]eff all'!$Z$41:$AA$41</f>
        <v>0.88193173114859524</v>
      </c>
      <c r="AA41" s="715"/>
      <c r="AB41" s="716">
        <f>+'[9]eff all'!$AB$41:$AC$41</f>
        <v>0.88340653340367237</v>
      </c>
      <c r="AC41" s="715"/>
      <c r="AD41" s="718">
        <f>+'[9]eff all'!$AD$41:$AE$41</f>
        <v>1253.7050000000004</v>
      </c>
      <c r="AE41" s="719"/>
      <c r="AF41" s="711">
        <f>+'[9]eff all'!$AF$41:$AG$41</f>
        <v>98.517030917360543</v>
      </c>
      <c r="AG41" s="712"/>
      <c r="AH41" s="709">
        <f>+'[9]eff all'!$AH$41:$AI$41</f>
        <v>1.4871121994408565</v>
      </c>
      <c r="AI41" s="710"/>
      <c r="AJ41" s="709">
        <f>+'[9]eff all'!$AJ$41:$AK$41</f>
        <v>885.26051981925434</v>
      </c>
      <c r="AK41" s="710"/>
      <c r="AL41" s="711">
        <f>+'[9]eff all'!$AL$41:$AM$41</f>
        <v>0</v>
      </c>
      <c r="AM41" s="713"/>
      <c r="AN41" s="714">
        <f>+'[9]eff all'!$AN$41:$AO$41</f>
        <v>0.88320076687716276</v>
      </c>
      <c r="AO41" s="715"/>
      <c r="AP41" s="716">
        <f>+'[9]eff all'!$AP$41:$AQ$41</f>
        <v>0.89534439715396263</v>
      </c>
      <c r="AQ41" s="715"/>
      <c r="AR41" s="720">
        <f>+'[9]eff all'!$AR$41:$AS$41</f>
        <v>1406.635</v>
      </c>
      <c r="AS41" s="721"/>
      <c r="AT41" s="711">
        <f>+'[9]eff all'!$AT$41:$AU$41</f>
        <v>105.33379299664101</v>
      </c>
      <c r="AU41" s="712"/>
      <c r="AV41" s="709">
        <f>+'[9]eff all'!$AV$41:$AW$41</f>
        <v>1.5242049287839419</v>
      </c>
      <c r="AW41" s="710"/>
      <c r="AX41" s="709">
        <f>+'[9]eff all'!$AX$41:$AY$41</f>
        <v>8.076011189825362E-2</v>
      </c>
      <c r="AY41" s="710"/>
      <c r="AZ41" s="711">
        <f>+'[9]eff all'!$AZ$41:$BA$41</f>
        <v>927.60064977766092</v>
      </c>
      <c r="BA41" s="712"/>
      <c r="BB41" s="711">
        <f>+'[9]eff all'!$BB$41:$BC$41</f>
        <v>240.2739175407979</v>
      </c>
      <c r="BC41" s="712"/>
      <c r="BD41" s="711">
        <f>+'[9]eff all'!$BD$41:$BE$41</f>
        <v>16.955357999765397</v>
      </c>
      <c r="BE41" s="713"/>
      <c r="BF41" s="714">
        <f>+'[9]eff all'!$BF$41:$BG$41</f>
        <v>0.88101947107260103</v>
      </c>
      <c r="BG41" s="715"/>
      <c r="BH41" s="731">
        <f>+'[9]eff all'!$BH$41:$BI$41</f>
        <v>0.88362769927484108</v>
      </c>
      <c r="BI41" s="732"/>
      <c r="BJ41" s="718">
        <f>+'[9]eff all'!$BJ$41:$BK$41</f>
        <v>1457.0090000000002</v>
      </c>
      <c r="BK41" s="719"/>
      <c r="BL41" s="709">
        <f>+'[9]eff all'!$BL$41:$BM$41</f>
        <v>2.7597633233562728</v>
      </c>
      <c r="BM41" s="710"/>
      <c r="BN41" s="709">
        <f>+'[9]eff all'!$BN$41:$BO$41</f>
        <v>0</v>
      </c>
      <c r="BO41" s="710"/>
      <c r="BP41" s="711">
        <f>+'[9]eff all'!$BP$41:$BQ$41</f>
        <v>932.94369492569979</v>
      </c>
      <c r="BQ41" s="712"/>
      <c r="BR41" s="711">
        <f>+'[9]eff all'!$BR$41:$BS$41</f>
        <v>0</v>
      </c>
      <c r="BS41" s="713"/>
      <c r="BT41" s="714">
        <f>+'[9]eff all'!$BT$41:$BU$41</f>
        <v>0.89958178262093658</v>
      </c>
      <c r="BU41" s="715"/>
      <c r="BV41" s="716">
        <f>+'[9]eff all'!$BV$41:$BW$41</f>
        <v>0.90458737037626458</v>
      </c>
      <c r="BW41" s="715"/>
      <c r="BX41" s="718">
        <f>+'[9]eff all'!$BX$41:$BY$41</f>
        <v>1385.694</v>
      </c>
      <c r="BY41" s="719"/>
      <c r="BZ41" s="711">
        <f>+'[9]eff all'!$BZ$41:$CA$41</f>
        <v>82.805082393313654</v>
      </c>
      <c r="CA41" s="712"/>
      <c r="CB41" s="709">
        <f>+'[9]eff all'!$CB$41:$CC$41</f>
        <v>1.9750969550275892</v>
      </c>
      <c r="CC41" s="710"/>
      <c r="CD41" s="709">
        <f>+'[9]eff all'!$CD$41:$CE$41</f>
        <v>5.6505981840146526E-2</v>
      </c>
      <c r="CE41" s="710"/>
      <c r="CF41" s="711">
        <f>+'[9]eff all'!$CF$41:$CG$41</f>
        <v>886.8080976030775</v>
      </c>
      <c r="CG41" s="712"/>
      <c r="CH41" s="726">
        <f>+'[9]eff all'!$CH$41:$CI$41</f>
        <v>150.23872370090368</v>
      </c>
      <c r="CI41" s="726"/>
      <c r="CJ41" s="726">
        <f>+'[9]eff all'!$CJ$41:$CK$41</f>
        <v>14.750731402459706</v>
      </c>
      <c r="CK41" s="804"/>
    </row>
    <row r="42" spans="1:16384" ht="12.75" customHeight="1">
      <c r="A42" s="565" t="s">
        <v>224</v>
      </c>
      <c r="B42" s="727">
        <f>+'[10]eff all'!$B$42:$C$42</f>
        <v>0.89683016748794442</v>
      </c>
      <c r="C42" s="728"/>
      <c r="D42" s="729">
        <f>+'[10]eff all'!$D$42:$E$42</f>
        <v>0.91651254782215474</v>
      </c>
      <c r="E42" s="728"/>
      <c r="F42" s="722">
        <f>+'[10]eff all'!$F$42:$G$42</f>
        <v>1608.12</v>
      </c>
      <c r="G42" s="723"/>
      <c r="H42" s="724">
        <f>+'[10]eff all'!$H$42:$I$42</f>
        <v>2.3160037808123777</v>
      </c>
      <c r="I42" s="725"/>
      <c r="J42" s="722">
        <f>+'[10]eff all'!$J$42:$K$42</f>
        <v>1025.4408439668696</v>
      </c>
      <c r="K42" s="730"/>
      <c r="L42" s="727">
        <f>+'[10]eff all'!$L$42:$M$42</f>
        <v>0.92866754762333059</v>
      </c>
      <c r="M42" s="728"/>
      <c r="N42" s="729">
        <f>+'[10]eff all'!$N$42:$O$42</f>
        <v>0.93793898235070616</v>
      </c>
      <c r="O42" s="728"/>
      <c r="P42" s="722">
        <f>+'[10]eff all'!$P$42:$Q$42</f>
        <v>1827.3590000000004</v>
      </c>
      <c r="Q42" s="723"/>
      <c r="R42" s="724">
        <f>+'[10]eff all'!$R$42:$S$42</f>
        <v>2.0916446631450083</v>
      </c>
      <c r="S42" s="725"/>
      <c r="T42" s="724">
        <f>+'[10]eff all'!$T$42:$U$42</f>
        <v>0.23153633194134263</v>
      </c>
      <c r="U42" s="725"/>
      <c r="V42" s="722">
        <f>+'[10]eff all'!$V$42:$W$42</f>
        <v>614.27862833739778</v>
      </c>
      <c r="W42" s="723"/>
      <c r="X42" s="722">
        <f>+'[10]eff all'!$X$42:$Y$42</f>
        <v>437.11553121198392</v>
      </c>
      <c r="Y42" s="730"/>
      <c r="Z42" s="727">
        <f>+'[10]eff all'!$Z$42:$AA$42</f>
        <v>0.83629623576679857</v>
      </c>
      <c r="AA42" s="728"/>
      <c r="AB42" s="729">
        <f>+'[10]eff all'!$AB$42:$AC$42</f>
        <v>0.84011645284697367</v>
      </c>
      <c r="AC42" s="728"/>
      <c r="AD42" s="722">
        <f>+'[10]eff all'!$AD$42:$AE$42</f>
        <v>1132.2849999999999</v>
      </c>
      <c r="AE42" s="723"/>
      <c r="AF42" s="722">
        <f>+'[10]eff all'!$AF$42:$AG$42</f>
        <v>111.28199961501578</v>
      </c>
      <c r="AG42" s="723"/>
      <c r="AH42" s="724">
        <f>+'[10]eff all'!$AH$42:$AI$42</f>
        <v>1.6594761919481404</v>
      </c>
      <c r="AI42" s="725"/>
      <c r="AJ42" s="724">
        <f>+'[10]eff all'!$AJ$42:$AK$42</f>
        <v>964.83334142905812</v>
      </c>
      <c r="AK42" s="725"/>
      <c r="AL42" s="722">
        <f>+'[10]eff all'!$AL$42:$AM$42</f>
        <v>0</v>
      </c>
      <c r="AM42" s="730"/>
      <c r="AN42" s="727">
        <f>+'[10]eff all'!$AN$42:$AO$42</f>
        <v>0.841493556505851</v>
      </c>
      <c r="AO42" s="728"/>
      <c r="AP42" s="729">
        <f>+'[10]eff all'!$AP$42:$AQ$42</f>
        <v>0.85108230952572761</v>
      </c>
      <c r="AQ42" s="728"/>
      <c r="AR42" s="741">
        <f>+'[10]eff all'!$AR$42:$AS$42</f>
        <v>1316.3440000000001</v>
      </c>
      <c r="AS42" s="742"/>
      <c r="AT42" s="722">
        <f>+'[10]eff all'!$AT$42:$AU$42</f>
        <v>121.83943867945894</v>
      </c>
      <c r="AU42" s="723"/>
      <c r="AV42" s="724">
        <f>+'[10]eff all'!$AV$42:$AW$42</f>
        <v>1.4904158791318984</v>
      </c>
      <c r="AW42" s="725"/>
      <c r="AX42" s="724">
        <f>+'[10]eff all'!$AX$42:$AY$42</f>
        <v>0.19523771901569797</v>
      </c>
      <c r="AY42" s="725"/>
      <c r="AZ42" s="722">
        <f>+'[10]eff all'!$AZ$42:$BA$42</f>
        <v>883.63400448514949</v>
      </c>
      <c r="BA42" s="723"/>
      <c r="BB42" s="722">
        <f>+'[10]eff all'!$BB$42:$BC$42</f>
        <v>521.88219796648889</v>
      </c>
      <c r="BC42" s="723"/>
      <c r="BD42" s="722">
        <f>+'[10]eff all'!$BD$42:$BE$42</f>
        <v>0</v>
      </c>
      <c r="BE42" s="730"/>
      <c r="BF42" s="727">
        <f>+'[10]eff all'!$BF$42:$BG$42</f>
        <v>0.81559727954315242</v>
      </c>
      <c r="BG42" s="728"/>
      <c r="BH42" s="729">
        <f>+'[10]eff all'!$BH$42:$BI$42</f>
        <v>0.82877820530328572</v>
      </c>
      <c r="BI42" s="728"/>
      <c r="BJ42" s="722">
        <f>+'[10]eff all'!$BJ$42:$BK$42</f>
        <v>1259.7350000000001</v>
      </c>
      <c r="BK42" s="723"/>
      <c r="BL42" s="724">
        <f>+'[10]eff all'!$BL$42:$BM$42</f>
        <v>2.8948151793829653</v>
      </c>
      <c r="BM42" s="725"/>
      <c r="BN42" s="724">
        <f>+'[10]eff all'!$BN$42:$BO$42</f>
        <v>0</v>
      </c>
      <c r="BO42" s="725"/>
      <c r="BP42" s="722">
        <f>+'[10]eff all'!$BP$42:$BQ$42</f>
        <v>971.01940308418136</v>
      </c>
      <c r="BQ42" s="723"/>
      <c r="BR42" s="722">
        <f>+'[10]eff all'!$BR$42:$BS$42</f>
        <v>0</v>
      </c>
      <c r="BS42" s="730"/>
      <c r="BT42" s="727">
        <f>+'[10]eff all'!$BT$42:$BU$42</f>
        <v>0.90927146053562879</v>
      </c>
      <c r="BU42" s="728"/>
      <c r="BV42" s="729">
        <f>+'[10]eff all'!$BV$42:$BW$42</f>
        <v>0.93351910522430248</v>
      </c>
      <c r="BW42" s="728"/>
      <c r="BX42" s="722">
        <f>+'[10]eff all'!$BX$42:$BY$42</f>
        <v>1433.0600000000002</v>
      </c>
      <c r="BY42" s="723"/>
      <c r="BZ42" s="722">
        <f>+'[10]eff all'!$BZ$42:$CA$42</f>
        <v>77.094083288095504</v>
      </c>
      <c r="CA42" s="723"/>
      <c r="CB42" s="724">
        <f>+'[10]eff all'!$CB$42:$CC$42</f>
        <v>1.8864527654110776</v>
      </c>
      <c r="CC42" s="725"/>
      <c r="CD42" s="724">
        <f>+'[10]eff all'!$CD$42:$CE$42</f>
        <v>0.14263185072502196</v>
      </c>
      <c r="CE42" s="725"/>
      <c r="CF42" s="722">
        <f>+'[10]eff all'!$CF$42:$CG$42</f>
        <v>754.59782022786919</v>
      </c>
      <c r="CG42" s="723"/>
      <c r="CH42" s="752">
        <f>+'[10]eff all'!$CH$42:$CI$42</f>
        <v>384.70371094022579</v>
      </c>
      <c r="CI42" s="752"/>
      <c r="CJ42" s="752">
        <v>0</v>
      </c>
      <c r="CK42" s="805"/>
    </row>
    <row r="43" spans="1:16384" ht="12.75" customHeight="1">
      <c r="A43" s="566" t="s">
        <v>225</v>
      </c>
      <c r="B43" s="738">
        <f>+'[11]eff all'!$B$43:$C$43</f>
        <v>0.81728992699563985</v>
      </c>
      <c r="C43" s="736"/>
      <c r="D43" s="735">
        <f>+'[11]eff all'!$D$43:$E$43</f>
        <v>0.81728992699563985</v>
      </c>
      <c r="E43" s="736"/>
      <c r="F43" s="733">
        <f>+'[11]eff all'!$F$43:$G$43</f>
        <v>1753.6980000000001</v>
      </c>
      <c r="G43" s="737"/>
      <c r="H43" s="739">
        <f>+'[11]eff all'!$H$43:$I$43</f>
        <v>2.3283626941468825</v>
      </c>
      <c r="I43" s="740"/>
      <c r="J43" s="733">
        <f>+'[11]eff all'!$J$43:$K$43</f>
        <v>919.17354641449094</v>
      </c>
      <c r="K43" s="734"/>
      <c r="L43" s="738">
        <f>+'[11]eff all'!$L$43:$M$43</f>
        <v>0.88541366395827092</v>
      </c>
      <c r="M43" s="736"/>
      <c r="N43" s="735">
        <f>+'[11]eff all'!$N$43:$O$43</f>
        <v>0.92564375346980865</v>
      </c>
      <c r="O43" s="736"/>
      <c r="P43" s="733">
        <f>+'[11]eff all'!$P$43:$Q$43</f>
        <v>1848.3660000000002</v>
      </c>
      <c r="Q43" s="737"/>
      <c r="R43" s="739">
        <f>+'[11]eff all'!$R$43:$S$43</f>
        <v>2.3081272864789759</v>
      </c>
      <c r="S43" s="740"/>
      <c r="T43" s="739">
        <f>+'[11]eff all'!$T$43:$U$43</f>
        <v>0.22165523494805681</v>
      </c>
      <c r="U43" s="740"/>
      <c r="V43" s="733">
        <f>+'[11]eff all'!$V$43:$W$43</f>
        <v>640.41014604250449</v>
      </c>
      <c r="W43" s="737"/>
      <c r="X43" s="733">
        <f>+'[11]eff all'!$X$43:$Y$43</f>
        <v>434.93518058652887</v>
      </c>
      <c r="Y43" s="734"/>
      <c r="Z43" s="738">
        <f>+'[11]eff all'!$Z$43:$AA$43</f>
        <v>0.80335180840639453</v>
      </c>
      <c r="AA43" s="736"/>
      <c r="AB43" s="735">
        <f>+'[11]eff all'!$AB$43:$AC$43</f>
        <v>0.86162048557993176</v>
      </c>
      <c r="AC43" s="736"/>
      <c r="AD43" s="733">
        <f>+'[11]eff all'!$AD$43:$AE$43</f>
        <v>1130.835</v>
      </c>
      <c r="AE43" s="737"/>
      <c r="AF43" s="733">
        <f>+'[11]eff all'!$AF$43:$AG$43</f>
        <v>107.89351601751943</v>
      </c>
      <c r="AG43" s="737"/>
      <c r="AH43" s="739">
        <f>+'[11]eff all'!$AH$43:$AI$43</f>
        <v>1.5947507815021644</v>
      </c>
      <c r="AI43" s="740"/>
      <c r="AJ43" s="739">
        <f>+'[11]eff all'!$AJ$43:$AK$43</f>
        <v>914.38361918405428</v>
      </c>
      <c r="AK43" s="740"/>
      <c r="AL43" s="733">
        <f>+'[11]eff all'!$AL$43:$AM$43</f>
        <v>20.165629822211024</v>
      </c>
      <c r="AM43" s="734"/>
      <c r="AN43" s="738">
        <f>+'[11]eff all'!$AN$43:$AO$43</f>
        <v>0.85071018918198382</v>
      </c>
      <c r="AO43" s="736"/>
      <c r="AP43" s="735">
        <f>+'[11]eff all'!$AP$43:$AQ$43</f>
        <v>0.85071018918198382</v>
      </c>
      <c r="AQ43" s="736"/>
      <c r="AR43" s="750">
        <f>+'[11]eff all'!$AR$43:$AS$43</f>
        <v>1375.3570000000002</v>
      </c>
      <c r="AS43" s="751"/>
      <c r="AT43" s="733">
        <f>+'[11]eff all'!$AT$43:$AU$43</f>
        <v>113.79764973808959</v>
      </c>
      <c r="AU43" s="737"/>
      <c r="AV43" s="739">
        <f>+'[11]eff all'!$AV$43:$AW$43</f>
        <v>1.4656558260873356</v>
      </c>
      <c r="AW43" s="740"/>
      <c r="AX43" s="739">
        <f>+'[11]eff all'!$AX$43:$AY$43</f>
        <v>0.1861334911590227</v>
      </c>
      <c r="AY43" s="740"/>
      <c r="AZ43" s="733">
        <f>+'[11]eff all'!$AZ$43:$BA$43</f>
        <v>878.4606469447566</v>
      </c>
      <c r="BA43" s="737"/>
      <c r="BB43" s="733">
        <f>+'[11]eff all'!$BB$43:$BC$43</f>
        <v>550.25945990750074</v>
      </c>
      <c r="BC43" s="734"/>
      <c r="BD43" s="787">
        <f>+'[11]eff all'!$BD$43:$BE$43</f>
        <v>0</v>
      </c>
      <c r="BE43" s="734"/>
      <c r="BF43" s="738">
        <f>+'[11]eff all'!$BF$43:$BG$43</f>
        <v>0.89363459307778192</v>
      </c>
      <c r="BG43" s="736"/>
      <c r="BH43" s="735">
        <f>+'[11]eff all'!$BH$43:$BI$43</f>
        <v>0.89363459307778192</v>
      </c>
      <c r="BI43" s="736"/>
      <c r="BJ43" s="733">
        <f>+'[11]eff all'!$BJ$43:$BK$43</f>
        <v>1430.6919999999998</v>
      </c>
      <c r="BK43" s="737"/>
      <c r="BL43" s="739">
        <f>+'[11]eff all'!$BL$43:$BM$43</f>
        <v>2.6821286482345617</v>
      </c>
      <c r="BM43" s="740"/>
      <c r="BN43" s="739">
        <f>+'[11]eff all'!$BN$43:$BO$43</f>
        <v>0</v>
      </c>
      <c r="BO43" s="740"/>
      <c r="BP43" s="733">
        <f>+'[11]eff all'!$BP$43:$BQ$43</f>
        <v>974.33568621579991</v>
      </c>
      <c r="BQ43" s="737"/>
      <c r="BR43" s="733">
        <f>+'[11]eff all'!$BR$43:$BS$43</f>
        <v>0</v>
      </c>
      <c r="BS43" s="734"/>
      <c r="BT43" s="738">
        <f>+'[11]eff all'!$BT$43:$BU$43</f>
        <v>0.90863447914298279</v>
      </c>
      <c r="BU43" s="736"/>
      <c r="BV43" s="735">
        <f>+'[11]eff all'!$BV$43:$BW$43</f>
        <v>0.91878389692957507</v>
      </c>
      <c r="BW43" s="736"/>
      <c r="BX43" s="733">
        <f>+'[11]eff all'!$BX$43:$BY$43</f>
        <v>1460.105</v>
      </c>
      <c r="BY43" s="737"/>
      <c r="BZ43" s="733">
        <f>+'[11]eff all'!$BZ$43:$CA$43</f>
        <v>77.669648185232361</v>
      </c>
      <c r="CA43" s="737"/>
      <c r="CB43" s="739">
        <f>+'[11]eff all'!$CB$43:$CC$43</f>
        <v>2.0032805859852543</v>
      </c>
      <c r="CC43" s="740"/>
      <c r="CD43" s="739">
        <f>+'[11]eff all'!$CD$43:$CE$43</f>
        <v>8.3692611147828416E-2</v>
      </c>
      <c r="CE43" s="740"/>
      <c r="CF43" s="733">
        <f>+'[11]eff all'!$CF$43:$CG$43</f>
        <v>840.7660191674878</v>
      </c>
      <c r="CG43" s="737"/>
      <c r="CH43" s="733">
        <f>+'[11]eff all'!$CH$43:$CI$43</f>
        <v>246.27502816578257</v>
      </c>
      <c r="CI43" s="734"/>
      <c r="CJ43" s="787">
        <f>+'[11]eff all'!$CJ$43:$CK$43</f>
        <v>19.550648754712846</v>
      </c>
      <c r="CK43" s="734"/>
    </row>
    <row r="44" spans="1:16384" ht="12.75" customHeight="1">
      <c r="A44" s="567" t="s">
        <v>226</v>
      </c>
      <c r="B44" s="745">
        <f>+'[12]eff all'!$B$44:$C$44</f>
        <v>0.85128629745489748</v>
      </c>
      <c r="C44" s="746"/>
      <c r="D44" s="747">
        <f>+'[12]eff all'!$D$44:$E$44</f>
        <v>0.88261388777069127</v>
      </c>
      <c r="E44" s="746"/>
      <c r="F44" s="748">
        <f>+'[12]eff all'!$F$44:$G$44</f>
        <v>1626.8629999999996</v>
      </c>
      <c r="G44" s="749"/>
      <c r="H44" s="743">
        <f>+'[12]eff all'!$H$44:$I$44</f>
        <v>2.4992417923328527</v>
      </c>
      <c r="I44" s="744"/>
      <c r="J44" s="748">
        <f>+'[12]eff all'!$J$44:$K$44</f>
        <v>943.70529048850415</v>
      </c>
      <c r="K44" s="753"/>
      <c r="L44" s="745">
        <f>+'[12]eff all'!$L$44:$M$44</f>
        <v>0.91684997474795549</v>
      </c>
      <c r="M44" s="746"/>
      <c r="N44" s="747">
        <f>+'[12]eff all'!$N$44:$O$44</f>
        <v>0.9454769668630435</v>
      </c>
      <c r="O44" s="746"/>
      <c r="P44" s="748">
        <f>+'[12]eff all'!$P$44:$Q$44</f>
        <v>1788.1659999999997</v>
      </c>
      <c r="Q44" s="749"/>
      <c r="R44" s="743">
        <f>+'[12]eff all'!$R$44:$S$44</f>
        <v>2.1331811476115754</v>
      </c>
      <c r="S44" s="744"/>
      <c r="T44" s="743">
        <f>+'[12]eff all'!$T$44:$U$44</f>
        <v>0.21231250342529728</v>
      </c>
      <c r="U44" s="744"/>
      <c r="V44" s="743">
        <f>+'[12]eff all'!$V$44:$W$44</f>
        <v>722.2509375527776</v>
      </c>
      <c r="W44" s="744"/>
      <c r="X44" s="743">
        <f>+'[12]eff all'!$X$44:$Y$44</f>
        <v>464.24761459506601</v>
      </c>
      <c r="Y44" s="754"/>
      <c r="Z44" s="745">
        <f>+'[12]eff all'!$Z$44:$AA$44</f>
        <v>0.86206949583301151</v>
      </c>
      <c r="AA44" s="746"/>
      <c r="AB44" s="747">
        <f>+'[12]eff all'!$AB$44:$AC$44</f>
        <v>0.90942581099977049</v>
      </c>
      <c r="AC44" s="746"/>
      <c r="AD44" s="748">
        <f>+'[12]eff all'!$AD$44:$AE$44</f>
        <v>1188.7909999999999</v>
      </c>
      <c r="AE44" s="749"/>
      <c r="AF44" s="748">
        <f>+'[12]eff all'!$AF$44:$AG$44</f>
        <v>106.25948485661435</v>
      </c>
      <c r="AG44" s="749"/>
      <c r="AH44" s="743">
        <f>+'[12]eff all'!$AH$44:$AI$44</f>
        <v>1.5097691688446497</v>
      </c>
      <c r="AI44" s="744"/>
      <c r="AJ44" s="743">
        <f>+'[12]eff all'!$AJ$44:$AK$44</f>
        <v>921.84495003747463</v>
      </c>
      <c r="AK44" s="744"/>
      <c r="AL44" s="748">
        <f>+'[12]eff all'!$AL$44:$AM$44</f>
        <v>7.5538929887591681</v>
      </c>
      <c r="AM44" s="753"/>
      <c r="AN44" s="745">
        <f>+'[12]eff all'!$AN$44:$AO$44</f>
        <v>0.9113017975148916</v>
      </c>
      <c r="AO44" s="746"/>
      <c r="AP44" s="747">
        <f>+'[12]eff all'!$AP$44:$AQ$44</f>
        <v>0.94321744444989342</v>
      </c>
      <c r="AQ44" s="746"/>
      <c r="AR44" s="760">
        <f>+'[12]eff all'!$AR$44:$AS$44</f>
        <v>1441.538</v>
      </c>
      <c r="AS44" s="761"/>
      <c r="AT44" s="748">
        <f>+'[12]eff all'!$AT$44:$AU$44</f>
        <v>98.381360721465839</v>
      </c>
      <c r="AU44" s="749"/>
      <c r="AV44" s="743">
        <f>+'[12]eff all'!$AV$44:$AW$44</f>
        <v>1.4245895703061591</v>
      </c>
      <c r="AW44" s="744"/>
      <c r="AX44" s="748">
        <f>+'[12]eff all'!$AX$44:$AY$44</f>
        <v>6.3755312952158888E-2</v>
      </c>
      <c r="AY44" s="749"/>
      <c r="AZ44" s="748">
        <f>+'[12]eff all'!$AZ$44:$BA$44</f>
        <v>884.49349236718024</v>
      </c>
      <c r="BA44" s="749"/>
      <c r="BB44" s="748">
        <f>+'[12]eff all'!$BB$44:$BC$44</f>
        <v>178.9753721372584</v>
      </c>
      <c r="BC44" s="753"/>
      <c r="BD44" s="788">
        <f>+'[12]eff all'!$BD$44:$BE$44</f>
        <v>0</v>
      </c>
      <c r="BE44" s="753"/>
      <c r="BF44" s="745">
        <f>+'[12]eff all'!$BF$44:$BG$44</f>
        <v>0.83968007638049036</v>
      </c>
      <c r="BG44" s="746"/>
      <c r="BH44" s="747">
        <f>+'[12]eff all'!$BH$44:$BI$44</f>
        <v>0.88025535162218882</v>
      </c>
      <c r="BI44" s="746"/>
      <c r="BJ44" s="748">
        <f>+'[12]eff all'!$BJ$44:$BK$44</f>
        <v>1283.7219999999998</v>
      </c>
      <c r="BK44" s="749"/>
      <c r="BL44" s="743">
        <f>+'[12]eff all'!$BL$44:$BM$44</f>
        <v>2.9010175100216404</v>
      </c>
      <c r="BM44" s="744"/>
      <c r="BN44" s="743">
        <f>+'[12]eff all'!$BN$44:$BO$44</f>
        <v>0</v>
      </c>
      <c r="BO44" s="744"/>
      <c r="BP44" s="748">
        <f>+'[12]eff all'!$BP$44:$BQ$44</f>
        <v>1018.1901188326394</v>
      </c>
      <c r="BQ44" s="749"/>
      <c r="BR44" s="748">
        <f>+'[12]eff all'!$BR$44:$BS$44</f>
        <v>0</v>
      </c>
      <c r="BS44" s="753"/>
      <c r="BT44" s="758">
        <f>+'[12]eff all'!$BT$44:$BU$44</f>
        <v>0.86479672437549404</v>
      </c>
      <c r="BU44" s="759"/>
      <c r="BV44" s="759">
        <f>+'[12]eff all'!$BV$44:$BW$44</f>
        <v>0.91368891665471463</v>
      </c>
      <c r="BW44" s="759"/>
      <c r="BX44" s="756">
        <f>+'[12]eff all'!$BX$44:$BY$44</f>
        <v>1364.9880000000001</v>
      </c>
      <c r="BY44" s="756"/>
      <c r="BZ44" s="755">
        <f>+'[12]eff all'!$BZ$44:$CA$44</f>
        <v>71.774411764880114</v>
      </c>
      <c r="CA44" s="755"/>
      <c r="CB44" s="755">
        <f>+'[12]eff all'!$CB$44:$CC$44</f>
        <v>1.9880760856505704</v>
      </c>
      <c r="CC44" s="755"/>
      <c r="CD44" s="755">
        <f>+'[12]eff all'!$CD$44:$CE$44</f>
        <v>0.17403816004243261</v>
      </c>
      <c r="CE44" s="755"/>
      <c r="CF44" s="756">
        <f>+'[12]eff all'!$CF$44:$CG$44</f>
        <v>844.20451628287208</v>
      </c>
      <c r="CG44" s="756"/>
      <c r="CH44" s="756">
        <f>+'[12]eff all'!$CH$44:$CI$44</f>
        <v>469.40954792276608</v>
      </c>
      <c r="CI44" s="757"/>
      <c r="CJ44" s="749">
        <f>+'[12]eff all'!$CJ$44:$CK$44</f>
        <v>0</v>
      </c>
      <c r="CK44" s="757"/>
    </row>
    <row r="45" spans="1:16384">
      <c r="A45" s="559" t="s">
        <v>227</v>
      </c>
      <c r="B45" s="620">
        <f>+'[13]eff all'!$B$45:$C$45</f>
        <v>0.84979165368605014</v>
      </c>
      <c r="C45" s="621"/>
      <c r="D45" s="622">
        <f>+'[13]eff all'!$D$45:$E$45</f>
        <v>0.85889246846907286</v>
      </c>
      <c r="E45" s="621"/>
      <c r="F45" s="617">
        <f>+'[13]eff all'!$F$45:$G$45</f>
        <v>1534.4690000000003</v>
      </c>
      <c r="G45" s="618"/>
      <c r="H45" s="643">
        <f>+'[13]eff all'!$H$45:$I$45</f>
        <v>2.4307190304919817</v>
      </c>
      <c r="I45" s="644"/>
      <c r="J45" s="617">
        <f>+'[13]eff all'!$J$45:$K$45</f>
        <v>1009.2876688939294</v>
      </c>
      <c r="K45" s="665"/>
      <c r="L45" s="620">
        <f>+'[13]eff all'!$L$45:$M$45</f>
        <v>0.85741705611332952</v>
      </c>
      <c r="M45" s="621"/>
      <c r="N45" s="622">
        <f>+'[13]eff all'!$N$45:$O$45</f>
        <v>0.89481520731611941</v>
      </c>
      <c r="O45" s="621"/>
      <c r="P45" s="617">
        <f>+'[13]eff all'!$P$45:$Q$45</f>
        <v>1704.768</v>
      </c>
      <c r="Q45" s="618"/>
      <c r="R45" s="643">
        <f>+'[13]eff all'!$R$45:$S$45</f>
        <v>2.4058077110785745</v>
      </c>
      <c r="S45" s="644"/>
      <c r="T45" s="643">
        <f>+'[13]eff all'!$T$45:$U$45</f>
        <v>0.14817265457821827</v>
      </c>
      <c r="U45" s="644"/>
      <c r="V45" s="643">
        <f>+'[13]eff all'!$V$45:$W$45</f>
        <v>708.74890307654778</v>
      </c>
      <c r="W45" s="644"/>
      <c r="X45" s="643">
        <f>+'[13]eff all'!$X$45:$Y$45</f>
        <v>419.01830630326219</v>
      </c>
      <c r="Y45" s="763"/>
      <c r="Z45" s="620">
        <f>+'[13]eff all'!$Z$45:$AA$45</f>
        <v>0.87132155033301406</v>
      </c>
      <c r="AA45" s="621"/>
      <c r="AB45" s="622">
        <f>+'[13]eff all'!$AB$45:$AC$45</f>
        <v>0.87132155033301406</v>
      </c>
      <c r="AC45" s="621"/>
      <c r="AD45" s="617">
        <f>+'[13]eff all'!$AD$45:$AE$45</f>
        <v>1204.6450000000002</v>
      </c>
      <c r="AE45" s="618"/>
      <c r="AF45" s="643">
        <f>+'[13]eff all'!$AF$45:$AG$45</f>
        <v>105.43835507766659</v>
      </c>
      <c r="AG45" s="644"/>
      <c r="AH45" s="643">
        <f>+'[13]eff all'!$AH$45:$AI$45</f>
        <v>1.5603767084908828</v>
      </c>
      <c r="AI45" s="644"/>
      <c r="AJ45" s="643">
        <f>+'[13]eff all'!$AJ$45:$AK$45</f>
        <v>928.04959137339199</v>
      </c>
      <c r="AK45" s="644"/>
      <c r="AL45" s="617">
        <f>+'[13]eff all'!$AL$45:$AM$45</f>
        <v>0</v>
      </c>
      <c r="AM45" s="665"/>
      <c r="AN45" s="620">
        <f>+'[13]eff all'!$AN$45:$AO$45</f>
        <v>0.47758007033586591</v>
      </c>
      <c r="AO45" s="621"/>
      <c r="AP45" s="622">
        <f>+'[13]eff all'!$AP$45:$AQ$45</f>
        <v>0.8638562625636298</v>
      </c>
      <c r="AQ45" s="621"/>
      <c r="AR45" s="764">
        <f>+'[13]eff all'!$AR$45:$AS$45</f>
        <v>764.20999999999992</v>
      </c>
      <c r="AS45" s="765"/>
      <c r="AT45" s="643">
        <f>+'[13]eff all'!$AT$45:$AU$45</f>
        <v>117.91593614950136</v>
      </c>
      <c r="AU45" s="644"/>
      <c r="AV45" s="643">
        <f>+'[13]eff all'!$AV$45:$AW$45</f>
        <v>1.737087973201084</v>
      </c>
      <c r="AW45" s="644"/>
      <c r="AX45" s="643">
        <f>+'[13]eff all'!$AX$45:$AY$45</f>
        <v>0</v>
      </c>
      <c r="AY45" s="644"/>
      <c r="AZ45" s="617">
        <f>+'[13]eff all'!$AZ$45:$BA$45</f>
        <v>1171.1575352324626</v>
      </c>
      <c r="BA45" s="618"/>
      <c r="BB45" s="643">
        <f>+'[13]eff all'!$BB$45:$BC$45</f>
        <v>0</v>
      </c>
      <c r="BC45" s="763"/>
      <c r="BD45" s="789">
        <f>+'[13]eff all'!$BD$45:$BE$45</f>
        <v>23.422881145234534</v>
      </c>
      <c r="BE45" s="665"/>
      <c r="BF45" s="620">
        <f>+'[13]eff all'!$BF$45:$BG$45</f>
        <v>0.79411423930112257</v>
      </c>
      <c r="BG45" s="621"/>
      <c r="BH45" s="622">
        <f>+'[13]eff all'!$BH$45:$BI$45</f>
        <v>0.80751482141228126</v>
      </c>
      <c r="BI45" s="621"/>
      <c r="BJ45" s="617">
        <f>+'[13]eff all'!$BJ$45:$BK$45</f>
        <v>1316.4520000000002</v>
      </c>
      <c r="BK45" s="618"/>
      <c r="BL45" s="643">
        <f>+'[13]eff all'!$BL$45:$BM$45</f>
        <v>2.6146034948482737</v>
      </c>
      <c r="BM45" s="644"/>
      <c r="BN45" s="643">
        <f>+'[13]eff all'!$BN$45:$BO$45</f>
        <v>0</v>
      </c>
      <c r="BO45" s="644"/>
      <c r="BP45" s="617">
        <f>+'[13]eff all'!$BP$45:$BQ$45</f>
        <v>1083.3644303830235</v>
      </c>
      <c r="BQ45" s="618"/>
      <c r="BR45" s="643">
        <f>+'[13]eff all'!$BR$45:$BS$45</f>
        <v>0</v>
      </c>
      <c r="BS45" s="763"/>
      <c r="BT45" s="654">
        <f>+'[13]eff all'!$BT$45:$BU$45</f>
        <v>0.79215109753247104</v>
      </c>
      <c r="BU45" s="655"/>
      <c r="BV45" s="655">
        <f>+'[13]eff all'!$BV$45:$BW$45</f>
        <v>0.80246910810737848</v>
      </c>
      <c r="BW45" s="655"/>
      <c r="BX45" s="619">
        <f>+'[13]eff all'!$BX$45:$BY$45</f>
        <v>1219.0239999999997</v>
      </c>
      <c r="BY45" s="619"/>
      <c r="BZ45" s="653">
        <f>+'[13]eff all'!$BZ$45:$CA$45</f>
        <v>89.967609483204555</v>
      </c>
      <c r="CA45" s="653"/>
      <c r="CB45" s="653">
        <f>+'[13]eff all'!$CB$45:$CC$45</f>
        <v>2.2528678680649445</v>
      </c>
      <c r="CC45" s="653"/>
      <c r="CD45" s="653">
        <f>+'[13]eff all'!$CD$45:$CE$45</f>
        <v>0</v>
      </c>
      <c r="CE45" s="653"/>
      <c r="CF45" s="619">
        <f>+'[13]eff all'!$CF$45:$CG$45</f>
        <v>1093.3749039341374</v>
      </c>
      <c r="CG45" s="619"/>
      <c r="CH45" s="653">
        <f>+'[13]eff all'!$CH$45:$CI$45</f>
        <v>0</v>
      </c>
      <c r="CI45" s="762"/>
      <c r="CJ45" s="644">
        <f>+'[13]eff all'!$CJ$45:$CK$45</f>
        <v>3.7653073278297011</v>
      </c>
      <c r="CK45" s="762"/>
    </row>
    <row r="46" spans="1:16384">
      <c r="A46" s="568" t="s">
        <v>228</v>
      </c>
      <c r="B46" s="684">
        <f>+'[14]eff all'!$B$46:$C$46</f>
        <v>0.83769523903512089</v>
      </c>
      <c r="C46" s="650"/>
      <c r="D46" s="649">
        <f>+'[14]eff all'!$D$46:$E$46</f>
        <v>0.8766254011798259</v>
      </c>
      <c r="E46" s="650"/>
      <c r="F46" s="685">
        <f>+'[14]eff all'!$F$46:$G$46</f>
        <v>1634.1919999999996</v>
      </c>
      <c r="G46" s="686"/>
      <c r="H46" s="651">
        <f>+'[14]eff all'!$H$46:$I$46</f>
        <v>2.3108465835103833</v>
      </c>
      <c r="I46" s="652"/>
      <c r="J46" s="685">
        <f>+'[14]eff all'!$J$46:$K$46</f>
        <v>925.52625884841029</v>
      </c>
      <c r="K46" s="687"/>
      <c r="L46" s="684">
        <f>+'[14]eff all'!$L$46:$M$46</f>
        <v>0.84617170172403267</v>
      </c>
      <c r="M46" s="650"/>
      <c r="N46" s="649">
        <f>+'[14]eff all'!$N$46:$O$46</f>
        <v>0.9204051477742291</v>
      </c>
      <c r="O46" s="650"/>
      <c r="P46" s="685">
        <f>+'[14]eff all'!$P$46:$Q$46</f>
        <v>1544.1629999999998</v>
      </c>
      <c r="Q46" s="686"/>
      <c r="R46" s="651">
        <f>+'[14]eff all'!$R$46:$S$46</f>
        <v>2.2768451258060192</v>
      </c>
      <c r="S46" s="652"/>
      <c r="T46" s="651">
        <f>+'[14]eff all'!$T$46:$U$46</f>
        <v>0.21063190867803475</v>
      </c>
      <c r="U46" s="652"/>
      <c r="V46" s="685">
        <f>+'[14]eff all'!$V$46:$W$46</f>
        <v>556.96866198710893</v>
      </c>
      <c r="W46" s="686"/>
      <c r="X46" s="651">
        <f>+'[14]eff all'!$X$46:$Y$46</f>
        <v>505.65160543284605</v>
      </c>
      <c r="Y46" s="690"/>
      <c r="Z46" s="684">
        <f>+'[14]eff all'!$Z$46:$AA$46</f>
        <v>0.81429519491858005</v>
      </c>
      <c r="AA46" s="650"/>
      <c r="AB46" s="649">
        <f>+'[14]eff all'!$AB$46:$AC$46</f>
        <v>0.84116945725970971</v>
      </c>
      <c r="AC46" s="650"/>
      <c r="AD46" s="685">
        <f>+'[14]eff all'!$AD$46:$AE$46</f>
        <v>1037.251</v>
      </c>
      <c r="AE46" s="686"/>
      <c r="AF46" s="685">
        <f>+'[14]eff all'!$AF$46:$AG$46</f>
        <v>107.29574153254443</v>
      </c>
      <c r="AG46" s="686"/>
      <c r="AH46" s="651">
        <f>+'[14]eff all'!$AH$46:$AI$46</f>
        <v>1.536754363215846</v>
      </c>
      <c r="AI46" s="652"/>
      <c r="AJ46" s="651">
        <f>+'[14]eff all'!$AJ$46:$AK$46</f>
        <v>927.08314573810958</v>
      </c>
      <c r="AK46" s="652"/>
      <c r="AL46" s="685">
        <f>+'[14]eff all'!$AL$46:$AM$46</f>
        <v>0</v>
      </c>
      <c r="AM46" s="687"/>
      <c r="AN46" s="684">
        <f>+'[14]eff all'!$AN$46:$AO$46</f>
        <v>0.88342597272628431</v>
      </c>
      <c r="AO46" s="650"/>
      <c r="AP46" s="649">
        <f>+'[14]eff all'!$AP$46:$AQ$46</f>
        <v>0.90448559347378232</v>
      </c>
      <c r="AQ46" s="650"/>
      <c r="AR46" s="795">
        <f>+'[14]eff all'!$AR$46:$AS$46</f>
        <v>1294.864</v>
      </c>
      <c r="AS46" s="796"/>
      <c r="AT46" s="685">
        <f>+'[14]eff all'!$AT$46:$AU$46</f>
        <v>106.60047579603155</v>
      </c>
      <c r="AU46" s="686"/>
      <c r="AV46" s="651">
        <f>+'[14]eff all'!$AV$46:$AW$46</f>
        <v>1.7585630614489243</v>
      </c>
      <c r="AW46" s="652"/>
      <c r="AX46" s="651">
        <f>+'[14]eff all'!$AX$46:$AY$46</f>
        <v>7.321232191179923E-2</v>
      </c>
      <c r="AY46" s="652"/>
      <c r="AZ46" s="685">
        <f>+'[14]eff all'!$AZ$46:$BA$46</f>
        <v>932.75272152133323</v>
      </c>
      <c r="BA46" s="686"/>
      <c r="BB46" s="685">
        <f>+'[14]eff all'!$BB$46:$BC$46</f>
        <v>205.07134339976946</v>
      </c>
      <c r="BC46" s="687"/>
      <c r="BD46" s="790">
        <f>+'[14]eff all'!$BD$46:$BE$46</f>
        <v>0</v>
      </c>
      <c r="BE46" s="687"/>
      <c r="BF46" s="684">
        <f>+'[14]eff all'!$BF$46:$BG$46</f>
        <v>0.85694754288718977</v>
      </c>
      <c r="BG46" s="650"/>
      <c r="BH46" s="649">
        <f>+'[14]eff all'!$BH$46:$BI$46</f>
        <v>0.88509205317544382</v>
      </c>
      <c r="BI46" s="650"/>
      <c r="BJ46" s="685">
        <f>+'[14]eff all'!$BJ$46:$BK$46</f>
        <v>1241.78</v>
      </c>
      <c r="BK46" s="686"/>
      <c r="BL46" s="685">
        <f>+'[14]eff all'!$BL$46:$BM$46</f>
        <v>2.5784760585610975</v>
      </c>
      <c r="BM46" s="686"/>
      <c r="BN46" s="651">
        <f>+'[14]eff all'!$BN$46:$BO$46</f>
        <v>0</v>
      </c>
      <c r="BO46" s="652"/>
      <c r="BP46" s="685">
        <f>+'[14]eff all'!$BP$46:$BQ$46</f>
        <v>1074.7242034080921</v>
      </c>
      <c r="BQ46" s="686"/>
      <c r="BR46" s="651">
        <f>+'[14]eff all'!$BR$46:$BS$46</f>
        <v>0</v>
      </c>
      <c r="BS46" s="690"/>
      <c r="BT46" s="767">
        <f>+'[14]eff all'!$BT$46:$BU$46</f>
        <v>0.52741321849552625</v>
      </c>
      <c r="BU46" s="768"/>
      <c r="BV46" s="768">
        <f>+'[14]eff all'!$BV$46:$BW$46</f>
        <v>0.87317352495084033</v>
      </c>
      <c r="BW46" s="768"/>
      <c r="BX46" s="696">
        <f>+'[14]eff all'!$BX$46:$BY$46</f>
        <v>769.93799999999987</v>
      </c>
      <c r="BY46" s="696"/>
      <c r="BZ46" s="695">
        <f>+'[14]eff all'!$BZ$46:$CA$46</f>
        <v>79.808070660850817</v>
      </c>
      <c r="CA46" s="695"/>
      <c r="CB46" s="695">
        <f>+'[14]eff all'!$CB$46:$CC$46</f>
        <v>2.0515937646927416</v>
      </c>
      <c r="CC46" s="695"/>
      <c r="CD46" s="695">
        <f>+'[14]eff all'!$CD$46:$CE$46</f>
        <v>7.8512815317597004E-2</v>
      </c>
      <c r="CE46" s="695"/>
      <c r="CF46" s="696">
        <f>+'[14]eff all'!$CF$46:$CG$46</f>
        <v>1021.1664039077168</v>
      </c>
      <c r="CG46" s="696"/>
      <c r="CH46" s="696">
        <f>+'[14]eff all'!$CH$46:$CI$46</f>
        <v>210.64553249742193</v>
      </c>
      <c r="CI46" s="766"/>
      <c r="CJ46" s="686">
        <f>+'[14]eff all'!$CJ$46:$CK$46</f>
        <v>0</v>
      </c>
      <c r="CK46" s="766"/>
    </row>
    <row r="47" spans="1:16384" ht="13.5" thickBot="1">
      <c r="A47" s="569" t="s">
        <v>229</v>
      </c>
      <c r="B47" s="776">
        <f>+'[15]eff all'!$B$47:$C$47</f>
        <v>0.83356468968646791</v>
      </c>
      <c r="C47" s="770"/>
      <c r="D47" s="769">
        <f>+'[15]eff all'!$D$47:$E$47</f>
        <v>0.83361178337123676</v>
      </c>
      <c r="E47" s="770"/>
      <c r="F47" s="771">
        <f>+'[15]eff all'!$F$47:$G$47</f>
        <v>1793.9010000000003</v>
      </c>
      <c r="G47" s="772"/>
      <c r="H47" s="773">
        <f>+'[15]eff all'!$H$47:$I$47</f>
        <v>2.2654867799282119</v>
      </c>
      <c r="I47" s="774"/>
      <c r="J47" s="771">
        <f>+'[15]eff all'!$J$47:$K$47</f>
        <v>869.87488161275269</v>
      </c>
      <c r="K47" s="777"/>
      <c r="L47" s="776">
        <f>+'[15]eff all'!$L$47:$M$47</f>
        <v>0.92571232966703221</v>
      </c>
      <c r="M47" s="770"/>
      <c r="N47" s="769">
        <f>+'[15]eff all'!$N$47:$O$47</f>
        <v>0.92998023945781472</v>
      </c>
      <c r="O47" s="770"/>
      <c r="P47" s="771">
        <f>+'[15]eff all'!$P$47:$Q$47</f>
        <v>1900.5750000000003</v>
      </c>
      <c r="Q47" s="772"/>
      <c r="R47" s="773">
        <f>+'[15]eff all'!$R$47:$S$47</f>
        <v>2.404628073083146</v>
      </c>
      <c r="S47" s="774"/>
      <c r="T47" s="773">
        <f>+'[15]eff all'!$T$47:$U$47</f>
        <v>0.23240335161727366</v>
      </c>
      <c r="U47" s="774"/>
      <c r="V47" s="771">
        <f>+'[15]eff all'!$V$47:$W$47</f>
        <v>527.49748365626192</v>
      </c>
      <c r="W47" s="772"/>
      <c r="X47" s="773">
        <f>+'[15]eff all'!$X$47:$Y$47</f>
        <v>446.15971482314541</v>
      </c>
      <c r="Y47" s="775"/>
      <c r="Z47" s="776">
        <f>+'[15]eff all'!$Z$47:$AA$47</f>
        <v>0.89180765054163103</v>
      </c>
      <c r="AA47" s="770"/>
      <c r="AB47" s="769">
        <f>+'[15]eff all'!$AB$47:$AC$47</f>
        <v>0.89180765054163103</v>
      </c>
      <c r="AC47" s="770"/>
      <c r="AD47" s="773">
        <f>+'[15]eff all'!$AD$47:$AE$47</f>
        <v>1235.4100000000003</v>
      </c>
      <c r="AE47" s="774"/>
      <c r="AF47" s="771">
        <f>+'[15]eff all'!$AF$47:$AG$47</f>
        <v>96.393123699060041</v>
      </c>
      <c r="AG47" s="772"/>
      <c r="AH47" s="773">
        <f>+'[15]eff all'!$AH$47:$AI$47</f>
        <v>1.4614581394031132</v>
      </c>
      <c r="AI47" s="774"/>
      <c r="AJ47" s="773">
        <f>+'[15]eff all'!$AJ$47:$AK$47</f>
        <v>901.21823524174181</v>
      </c>
      <c r="AK47" s="774"/>
      <c r="AL47" s="771">
        <f>+'[15]eff all'!$AL$47:$AM$47</f>
        <v>0</v>
      </c>
      <c r="AM47" s="777"/>
      <c r="AN47" s="776">
        <f>+'[15]eff all'!$AN$47:$AO$47</f>
        <v>0.65645764284355046</v>
      </c>
      <c r="AO47" s="770"/>
      <c r="AP47" s="769">
        <f>+'[15]eff all'!$AP$47:$AQ$47</f>
        <v>0.84659221514529037</v>
      </c>
      <c r="AQ47" s="770"/>
      <c r="AR47" s="780">
        <f>+'[15]eff all'!$AR$47:$AS$47</f>
        <v>1045.3910000000001</v>
      </c>
      <c r="AS47" s="781"/>
      <c r="AT47" s="771">
        <f>+'[15]eff all'!$AT$47:$AU$47</f>
        <v>119.51094164883219</v>
      </c>
      <c r="AU47" s="772"/>
      <c r="AV47" s="773">
        <f>+'[15]eff all'!$AV$47:$AW$47</f>
        <v>1.7690031768017898</v>
      </c>
      <c r="AW47" s="774"/>
      <c r="AX47" s="773">
        <f>+'[15]eff all'!$AX$47:$AY$47</f>
        <v>9.0148088131617746E-2</v>
      </c>
      <c r="AY47" s="774"/>
      <c r="AZ47" s="771">
        <f>+'[15]eff all'!$AZ$47:$BA$47</f>
        <v>1055.9628120004859</v>
      </c>
      <c r="BA47" s="772"/>
      <c r="BB47" s="771">
        <f>+'[15]eff all'!$BB$47:$BC$47</f>
        <v>340.1813292825363</v>
      </c>
      <c r="BC47" s="777"/>
      <c r="BD47" s="791">
        <f>+'[15]eff all'!$BD$47:$BE$47</f>
        <v>7.6095929656941745</v>
      </c>
      <c r="BE47" s="777"/>
      <c r="BF47" s="776">
        <f>+'[15]eff all'!$BF$47:$BG$47</f>
        <v>0.90491767701928916</v>
      </c>
      <c r="BG47" s="770"/>
      <c r="BH47" s="769">
        <f>+'[15]eff all'!$BH$47:$BI$47</f>
        <v>0.90491767701928916</v>
      </c>
      <c r="BI47" s="770"/>
      <c r="BJ47" s="771">
        <f>+'[15]eff all'!$BJ$47:$BK$47</f>
        <v>1444.9050000000002</v>
      </c>
      <c r="BK47" s="772"/>
      <c r="BL47" s="771">
        <f>+'[15]eff all'!$BL$47:$BM$47</f>
        <v>2.4918593263916997</v>
      </c>
      <c r="BM47" s="772"/>
      <c r="BN47" s="773">
        <f>+'[15]eff all'!$BN$47:$BO$47</f>
        <v>0</v>
      </c>
      <c r="BO47" s="774"/>
      <c r="BP47" s="771">
        <f>+'[15]eff all'!$BP$47:$BQ$47</f>
        <v>1021.2881687593227</v>
      </c>
      <c r="BQ47" s="772"/>
      <c r="BR47" s="773">
        <f>+'[15]eff all'!$BR$47:$BS$47</f>
        <v>0</v>
      </c>
      <c r="BS47" s="775"/>
      <c r="BT47" s="778">
        <f>+'[15]eff all'!$BT$47:$BU$47</f>
        <v>0.83316575545335458</v>
      </c>
      <c r="BU47" s="779"/>
      <c r="BV47" s="779">
        <f>+'[15]eff all'!$BV$47:$BW$47</f>
        <v>0.84218323358645453</v>
      </c>
      <c r="BW47" s="779"/>
      <c r="BX47" s="807">
        <f>+'[15]eff all'!$BX$47:$BY$47</f>
        <v>1301.6999999999998</v>
      </c>
      <c r="BY47" s="807"/>
      <c r="BZ47" s="806">
        <f>+'[15]eff all'!$BZ$47:$CA$47</f>
        <v>87.852276445978333</v>
      </c>
      <c r="CA47" s="806"/>
      <c r="CB47" s="806">
        <f>+'[15]eff all'!$CB$47:$CC$47</f>
        <v>1.9540600752861652</v>
      </c>
      <c r="CC47" s="806"/>
      <c r="CD47" s="806">
        <f>+'[15]eff all'!$CD$47:$CE$47</f>
        <v>9.0078359068909902E-2</v>
      </c>
      <c r="CE47" s="806"/>
      <c r="CF47" s="807">
        <f>+'[15]eff all'!$CF$47:$CG$47</f>
        <v>925.71845933687518</v>
      </c>
      <c r="CG47" s="807"/>
      <c r="CH47" s="807">
        <f>+'[15]eff all'!$CH$47:$CI$47</f>
        <v>294.56672044249837</v>
      </c>
      <c r="CI47" s="797"/>
      <c r="CJ47" s="772">
        <f>+'[15]eff all'!$CJ$47:$CK$47</f>
        <v>8.7308903741261457</v>
      </c>
      <c r="CK47" s="797"/>
    </row>
    <row r="49" spans="2:2">
      <c r="B49" s="580"/>
    </row>
    <row r="50" spans="2:2">
      <c r="B50" s="580"/>
    </row>
  </sheetData>
  <mergeCells count="579">
    <mergeCell ref="CJ44:CK44"/>
    <mergeCell ref="CJ45:CK45"/>
    <mergeCell ref="CJ46:CK46"/>
    <mergeCell ref="CJ47:CK47"/>
    <mergeCell ref="BT1:CK1"/>
    <mergeCell ref="CJ2:CK2"/>
    <mergeCell ref="CJ36:CK36"/>
    <mergeCell ref="CJ37:CK37"/>
    <mergeCell ref="CJ38:CK38"/>
    <mergeCell ref="CJ39:CK39"/>
    <mergeCell ref="CJ40:CK40"/>
    <mergeCell ref="CJ41:CK41"/>
    <mergeCell ref="CJ42:CK42"/>
    <mergeCell ref="CJ43:CK43"/>
    <mergeCell ref="BZ47:CA47"/>
    <mergeCell ref="CB47:CC47"/>
    <mergeCell ref="CD47:CE47"/>
    <mergeCell ref="CF47:CG47"/>
    <mergeCell ref="CH47:CI47"/>
    <mergeCell ref="BX47:BY47"/>
    <mergeCell ref="BX46:BY46"/>
    <mergeCell ref="BZ46:CA46"/>
    <mergeCell ref="CB46:CC46"/>
    <mergeCell ref="CD46:CE46"/>
    <mergeCell ref="AL45:AM45"/>
    <mergeCell ref="AL46:AM46"/>
    <mergeCell ref="AL47:AM47"/>
    <mergeCell ref="Z1:AM1"/>
    <mergeCell ref="BD2:BE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AN1:BE1"/>
    <mergeCell ref="AF47:AG47"/>
    <mergeCell ref="AH47:AI47"/>
    <mergeCell ref="AJ47:AK47"/>
    <mergeCell ref="AP46:AQ46"/>
    <mergeCell ref="AR46:AS46"/>
    <mergeCell ref="AT46:AU46"/>
    <mergeCell ref="D40:E40"/>
    <mergeCell ref="N40:O40"/>
    <mergeCell ref="AB40:AC40"/>
    <mergeCell ref="T40:U40"/>
    <mergeCell ref="BN47:BO47"/>
    <mergeCell ref="BP47:BQ47"/>
    <mergeCell ref="BR47:BS47"/>
    <mergeCell ref="BT47:BU47"/>
    <mergeCell ref="BV47:BW47"/>
    <mergeCell ref="AZ47:BA47"/>
    <mergeCell ref="BB47:BC47"/>
    <mergeCell ref="BF47:BG47"/>
    <mergeCell ref="BH47:BI47"/>
    <mergeCell ref="BJ47:BK47"/>
    <mergeCell ref="BL47:BM47"/>
    <mergeCell ref="AN47:AO47"/>
    <mergeCell ref="AP47:AQ47"/>
    <mergeCell ref="AR47:AS47"/>
    <mergeCell ref="AT47:AU47"/>
    <mergeCell ref="AV47:AW47"/>
    <mergeCell ref="AX47:AY47"/>
    <mergeCell ref="Z47:AA47"/>
    <mergeCell ref="AB47:AC47"/>
    <mergeCell ref="AD47:AE47"/>
    <mergeCell ref="N47:O47"/>
    <mergeCell ref="P47:Q47"/>
    <mergeCell ref="R47:S47"/>
    <mergeCell ref="T47:U47"/>
    <mergeCell ref="V47:W47"/>
    <mergeCell ref="X47:Y47"/>
    <mergeCell ref="B47:C47"/>
    <mergeCell ref="D47:E47"/>
    <mergeCell ref="F47:G47"/>
    <mergeCell ref="H47:I47"/>
    <mergeCell ref="J47:K47"/>
    <mergeCell ref="L47:M47"/>
    <mergeCell ref="CH46:CI46"/>
    <mergeCell ref="BL46:BM46"/>
    <mergeCell ref="BN46:BO46"/>
    <mergeCell ref="BP46:BQ46"/>
    <mergeCell ref="BR46:BS46"/>
    <mergeCell ref="BT46:BU46"/>
    <mergeCell ref="BV46:BW46"/>
    <mergeCell ref="AX46:AY46"/>
    <mergeCell ref="AZ46:BA46"/>
    <mergeCell ref="BB46:BC46"/>
    <mergeCell ref="BF46:BG46"/>
    <mergeCell ref="BH46:BI46"/>
    <mergeCell ref="BJ46:BK46"/>
    <mergeCell ref="AF46:AG46"/>
    <mergeCell ref="AH46:AI46"/>
    <mergeCell ref="L46:M46"/>
    <mergeCell ref="N46:O46"/>
    <mergeCell ref="P46:Q46"/>
    <mergeCell ref="R46:S46"/>
    <mergeCell ref="T46:U46"/>
    <mergeCell ref="V46:W46"/>
    <mergeCell ref="CF46:CG46"/>
    <mergeCell ref="N45:O45"/>
    <mergeCell ref="P45:Q45"/>
    <mergeCell ref="R45:S45"/>
    <mergeCell ref="T45:U45"/>
    <mergeCell ref="V45:W45"/>
    <mergeCell ref="X45:Y45"/>
    <mergeCell ref="AJ46:AK46"/>
    <mergeCell ref="AN46:AO46"/>
    <mergeCell ref="CF45:CG45"/>
    <mergeCell ref="BZ45:CA45"/>
    <mergeCell ref="CB45:CC45"/>
    <mergeCell ref="CD45:CE45"/>
    <mergeCell ref="AX45:AY45"/>
    <mergeCell ref="Z45:AA45"/>
    <mergeCell ref="AB45:AC45"/>
    <mergeCell ref="AD45:AE45"/>
    <mergeCell ref="AF45:AG45"/>
    <mergeCell ref="AH45:AI45"/>
    <mergeCell ref="AJ45:AK45"/>
    <mergeCell ref="AV46:AW46"/>
    <mergeCell ref="X46:Y46"/>
    <mergeCell ref="Z46:AA46"/>
    <mergeCell ref="AB46:AC46"/>
    <mergeCell ref="AD46:AE46"/>
    <mergeCell ref="CH45:CI45"/>
    <mergeCell ref="B46:C46"/>
    <mergeCell ref="D46:E46"/>
    <mergeCell ref="F46:G46"/>
    <mergeCell ref="H46:I46"/>
    <mergeCell ref="J46:K46"/>
    <mergeCell ref="BN45:BO45"/>
    <mergeCell ref="BP45:BQ45"/>
    <mergeCell ref="BR45:BS45"/>
    <mergeCell ref="BT45:BU45"/>
    <mergeCell ref="BV45:BW45"/>
    <mergeCell ref="BX45:BY45"/>
    <mergeCell ref="AZ45:BA45"/>
    <mergeCell ref="BB45:BC45"/>
    <mergeCell ref="BF45:BG45"/>
    <mergeCell ref="BH45:BI45"/>
    <mergeCell ref="BJ45:BK45"/>
    <mergeCell ref="BL45:BM45"/>
    <mergeCell ref="AN45:AO45"/>
    <mergeCell ref="AP45:AQ45"/>
    <mergeCell ref="AR45:AS45"/>
    <mergeCell ref="AT45:AU45"/>
    <mergeCell ref="AV45:AW45"/>
    <mergeCell ref="B45:C45"/>
    <mergeCell ref="D45:E45"/>
    <mergeCell ref="F45:G45"/>
    <mergeCell ref="H45:I45"/>
    <mergeCell ref="J45:K45"/>
    <mergeCell ref="L45:M45"/>
    <mergeCell ref="BX44:BY44"/>
    <mergeCell ref="BZ44:CA44"/>
    <mergeCell ref="CB44:CC44"/>
    <mergeCell ref="AX44:AY44"/>
    <mergeCell ref="AZ44:BA44"/>
    <mergeCell ref="BB44:BC44"/>
    <mergeCell ref="BF44:BG44"/>
    <mergeCell ref="BH44:BI44"/>
    <mergeCell ref="BJ44:BK44"/>
    <mergeCell ref="AJ44:AK44"/>
    <mergeCell ref="AN44:AO44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N43:O43"/>
    <mergeCell ref="P43:Q43"/>
    <mergeCell ref="R43:S43"/>
    <mergeCell ref="T43:U43"/>
    <mergeCell ref="V43:W43"/>
    <mergeCell ref="X43:Y43"/>
    <mergeCell ref="CD44:CE44"/>
    <mergeCell ref="CF44:CG44"/>
    <mergeCell ref="CH44:CI44"/>
    <mergeCell ref="BL44:BM44"/>
    <mergeCell ref="BN44:BO44"/>
    <mergeCell ref="BP44:BQ44"/>
    <mergeCell ref="BR44:BS44"/>
    <mergeCell ref="BT44:BU44"/>
    <mergeCell ref="BV44:BW44"/>
    <mergeCell ref="AL43:AM43"/>
    <mergeCell ref="AL44:AM44"/>
    <mergeCell ref="R44:S44"/>
    <mergeCell ref="T44:U44"/>
    <mergeCell ref="V44:W44"/>
    <mergeCell ref="CB43:CC43"/>
    <mergeCell ref="AX43:AY43"/>
    <mergeCell ref="Z43:AA43"/>
    <mergeCell ref="AB43:AC43"/>
    <mergeCell ref="AD43:AE43"/>
    <mergeCell ref="AF43:AG43"/>
    <mergeCell ref="AH43:AI43"/>
    <mergeCell ref="AJ43:AK43"/>
    <mergeCell ref="BZ43:CA43"/>
    <mergeCell ref="B44:C44"/>
    <mergeCell ref="D44:E44"/>
    <mergeCell ref="F44:G44"/>
    <mergeCell ref="H44:I44"/>
    <mergeCell ref="J44:K44"/>
    <mergeCell ref="BN43:BO43"/>
    <mergeCell ref="BP43:BQ43"/>
    <mergeCell ref="BR43:BS43"/>
    <mergeCell ref="BT43:BU43"/>
    <mergeCell ref="AZ43:BA43"/>
    <mergeCell ref="BB43:BC43"/>
    <mergeCell ref="BF43:BG43"/>
    <mergeCell ref="BH43:BI43"/>
    <mergeCell ref="BJ43:BK43"/>
    <mergeCell ref="BL43:BM43"/>
    <mergeCell ref="AN43:AO43"/>
    <mergeCell ref="AP43:AQ43"/>
    <mergeCell ref="X44:Y44"/>
    <mergeCell ref="AV43:AW43"/>
    <mergeCell ref="AH44:AI44"/>
    <mergeCell ref="L44:M44"/>
    <mergeCell ref="N44:O44"/>
    <mergeCell ref="P44:Q44"/>
    <mergeCell ref="X42:Y42"/>
    <mergeCell ref="Z42:AA42"/>
    <mergeCell ref="AR43:AS43"/>
    <mergeCell ref="AT43:AU43"/>
    <mergeCell ref="CH42:CI42"/>
    <mergeCell ref="BV42:BW42"/>
    <mergeCell ref="BX42:BY42"/>
    <mergeCell ref="BZ42:CA42"/>
    <mergeCell ref="CB42:CC42"/>
    <mergeCell ref="CD42:CE42"/>
    <mergeCell ref="CF42:CG42"/>
    <mergeCell ref="AZ42:BA42"/>
    <mergeCell ref="AB42:AC42"/>
    <mergeCell ref="AD42:AE42"/>
    <mergeCell ref="AF42:AG42"/>
    <mergeCell ref="AH42:AI42"/>
    <mergeCell ref="AJ42:AK42"/>
    <mergeCell ref="AN42:AO42"/>
    <mergeCell ref="CD43:CE43"/>
    <mergeCell ref="CF43:CG43"/>
    <mergeCell ref="CH43:CI43"/>
    <mergeCell ref="BV43:BW43"/>
    <mergeCell ref="BX43:BY43"/>
    <mergeCell ref="AL42:AM42"/>
    <mergeCell ref="B43:C43"/>
    <mergeCell ref="D43:E43"/>
    <mergeCell ref="F43:G43"/>
    <mergeCell ref="H43:I43"/>
    <mergeCell ref="J43:K43"/>
    <mergeCell ref="L43:M43"/>
    <mergeCell ref="BP42:BQ42"/>
    <mergeCell ref="BR42:BS42"/>
    <mergeCell ref="BT42:BU42"/>
    <mergeCell ref="BB42:BC42"/>
    <mergeCell ref="BF42:BG42"/>
    <mergeCell ref="BH42:BI42"/>
    <mergeCell ref="BJ42:BK42"/>
    <mergeCell ref="BL42:BM42"/>
    <mergeCell ref="BN42:BO42"/>
    <mergeCell ref="AP42:AQ42"/>
    <mergeCell ref="AR42:AS42"/>
    <mergeCell ref="AT42:AU42"/>
    <mergeCell ref="AV42:AW42"/>
    <mergeCell ref="AX42:AY42"/>
    <mergeCell ref="P42:Q42"/>
    <mergeCell ref="R42:S42"/>
    <mergeCell ref="T42:U42"/>
    <mergeCell ref="V42:W42"/>
    <mergeCell ref="CD41:CE41"/>
    <mergeCell ref="CF41:CG41"/>
    <mergeCell ref="CH41:CI41"/>
    <mergeCell ref="B42:C42"/>
    <mergeCell ref="D42:E42"/>
    <mergeCell ref="F42:G42"/>
    <mergeCell ref="H42:I42"/>
    <mergeCell ref="J42:K42"/>
    <mergeCell ref="L42:M42"/>
    <mergeCell ref="N42:O42"/>
    <mergeCell ref="BR41:BS41"/>
    <mergeCell ref="BT41:BU41"/>
    <mergeCell ref="BV41:BW41"/>
    <mergeCell ref="BX41:BY41"/>
    <mergeCell ref="BZ41:CA41"/>
    <mergeCell ref="CB41:CC41"/>
    <mergeCell ref="BF41:BG41"/>
    <mergeCell ref="BH41:BI41"/>
    <mergeCell ref="BJ41:BK41"/>
    <mergeCell ref="BL41:BM41"/>
    <mergeCell ref="BN41:BO41"/>
    <mergeCell ref="BP41:BQ41"/>
    <mergeCell ref="AR41:AS41"/>
    <mergeCell ref="AT41:AU41"/>
    <mergeCell ref="AV41:AW41"/>
    <mergeCell ref="AX41:AY41"/>
    <mergeCell ref="AZ41:BA41"/>
    <mergeCell ref="BB41:BC41"/>
    <mergeCell ref="AD41:AE41"/>
    <mergeCell ref="AF41:AG41"/>
    <mergeCell ref="AH41:AI41"/>
    <mergeCell ref="AJ41:AK41"/>
    <mergeCell ref="AN41:AO41"/>
    <mergeCell ref="AP41:AQ41"/>
    <mergeCell ref="AL41:AM41"/>
    <mergeCell ref="R41:S41"/>
    <mergeCell ref="T41:U41"/>
    <mergeCell ref="V41:W41"/>
    <mergeCell ref="X41:Y41"/>
    <mergeCell ref="Z41:AA41"/>
    <mergeCell ref="AB41:AC41"/>
    <mergeCell ref="CF40:CG40"/>
    <mergeCell ref="CH40:CI40"/>
    <mergeCell ref="B41:C41"/>
    <mergeCell ref="D41:E41"/>
    <mergeCell ref="F41:G41"/>
    <mergeCell ref="H41:I41"/>
    <mergeCell ref="J41:K41"/>
    <mergeCell ref="L41:M41"/>
    <mergeCell ref="N41:O41"/>
    <mergeCell ref="P41:Q41"/>
    <mergeCell ref="BT40:BU40"/>
    <mergeCell ref="BV40:BW40"/>
    <mergeCell ref="BX40:BY40"/>
    <mergeCell ref="BZ40:CA40"/>
    <mergeCell ref="CB40:CC40"/>
    <mergeCell ref="CD40:CE40"/>
    <mergeCell ref="BH40:BI40"/>
    <mergeCell ref="BJ40:BK40"/>
    <mergeCell ref="R40:S40"/>
    <mergeCell ref="V40:W40"/>
    <mergeCell ref="X40:Y40"/>
    <mergeCell ref="Z40:AA40"/>
    <mergeCell ref="AD40:AE40"/>
    <mergeCell ref="BL40:BM40"/>
    <mergeCell ref="BN40:BO40"/>
    <mergeCell ref="BP40:BQ40"/>
    <mergeCell ref="BR40:BS40"/>
    <mergeCell ref="AT40:AU40"/>
    <mergeCell ref="AV40:AW40"/>
    <mergeCell ref="AX40:AY40"/>
    <mergeCell ref="AZ40:BA40"/>
    <mergeCell ref="BB40:BC40"/>
    <mergeCell ref="BF40:BG40"/>
    <mergeCell ref="AL40:AM40"/>
    <mergeCell ref="B40:C40"/>
    <mergeCell ref="F40:G40"/>
    <mergeCell ref="H40:I40"/>
    <mergeCell ref="J40:K40"/>
    <mergeCell ref="L40:M40"/>
    <mergeCell ref="BN39:BO39"/>
    <mergeCell ref="BP39:BQ39"/>
    <mergeCell ref="BR39:BS39"/>
    <mergeCell ref="BT39:BU39"/>
    <mergeCell ref="AZ39:BA39"/>
    <mergeCell ref="BB39:BC39"/>
    <mergeCell ref="BF39:BG39"/>
    <mergeCell ref="BH39:BI39"/>
    <mergeCell ref="BJ39:BK39"/>
    <mergeCell ref="BL39:BM39"/>
    <mergeCell ref="AN39:AO39"/>
    <mergeCell ref="AP39:AQ39"/>
    <mergeCell ref="AF40:AG40"/>
    <mergeCell ref="AH40:AI40"/>
    <mergeCell ref="AJ40:AK40"/>
    <mergeCell ref="AN40:AO40"/>
    <mergeCell ref="AP40:AQ40"/>
    <mergeCell ref="AR40:AS40"/>
    <mergeCell ref="P40:Q40"/>
    <mergeCell ref="AF39:AG39"/>
    <mergeCell ref="AH39:AI39"/>
    <mergeCell ref="AJ39:AK39"/>
    <mergeCell ref="AB39:AC39"/>
    <mergeCell ref="BZ39:CA39"/>
    <mergeCell ref="CB39:CC39"/>
    <mergeCell ref="CD39:CE39"/>
    <mergeCell ref="CF39:CG39"/>
    <mergeCell ref="CH39:CI39"/>
    <mergeCell ref="BV39:BW39"/>
    <mergeCell ref="BX39:BY39"/>
    <mergeCell ref="AL39:AM39"/>
    <mergeCell ref="B39:C39"/>
    <mergeCell ref="F39:G39"/>
    <mergeCell ref="H39:I39"/>
    <mergeCell ref="J39:K39"/>
    <mergeCell ref="L39:M39"/>
    <mergeCell ref="P39:Q39"/>
    <mergeCell ref="R39:S39"/>
    <mergeCell ref="V39:W39"/>
    <mergeCell ref="BT38:BU38"/>
    <mergeCell ref="BH38:BI38"/>
    <mergeCell ref="BJ38:BK38"/>
    <mergeCell ref="BL38:BM38"/>
    <mergeCell ref="BN38:BO38"/>
    <mergeCell ref="BP38:BQ38"/>
    <mergeCell ref="BR38:BS38"/>
    <mergeCell ref="AT38:AU38"/>
    <mergeCell ref="AV38:AW38"/>
    <mergeCell ref="AR39:AS39"/>
    <mergeCell ref="AT39:AU39"/>
    <mergeCell ref="AV39:AW39"/>
    <mergeCell ref="AX39:AY39"/>
    <mergeCell ref="X39:Y39"/>
    <mergeCell ref="Z39:AA39"/>
    <mergeCell ref="AD39:AE39"/>
    <mergeCell ref="B38:C38"/>
    <mergeCell ref="F38:G38"/>
    <mergeCell ref="H38:I38"/>
    <mergeCell ref="J38:K38"/>
    <mergeCell ref="L38:M38"/>
    <mergeCell ref="P38:Q38"/>
    <mergeCell ref="AX38:AY38"/>
    <mergeCell ref="AZ38:BA38"/>
    <mergeCell ref="BB38:BC38"/>
    <mergeCell ref="AF38:AG38"/>
    <mergeCell ref="AH38:AI38"/>
    <mergeCell ref="AJ38:AK38"/>
    <mergeCell ref="AN38:AO38"/>
    <mergeCell ref="AP38:AQ38"/>
    <mergeCell ref="AR38:AS38"/>
    <mergeCell ref="D38:E38"/>
    <mergeCell ref="N38:O38"/>
    <mergeCell ref="AB38:AC38"/>
    <mergeCell ref="AL38:AM38"/>
    <mergeCell ref="CH37:CI37"/>
    <mergeCell ref="BL37:BM37"/>
    <mergeCell ref="BN37:BO37"/>
    <mergeCell ref="BP37:BQ37"/>
    <mergeCell ref="BR37:BS37"/>
    <mergeCell ref="BT37:BU37"/>
    <mergeCell ref="BV37:BW37"/>
    <mergeCell ref="R38:S38"/>
    <mergeCell ref="T38:U38"/>
    <mergeCell ref="V38:W38"/>
    <mergeCell ref="X38:Y38"/>
    <mergeCell ref="Z38:AA38"/>
    <mergeCell ref="AD38:AE38"/>
    <mergeCell ref="BF38:BG38"/>
    <mergeCell ref="CF38:CG38"/>
    <mergeCell ref="CH38:CI38"/>
    <mergeCell ref="BV38:BW38"/>
    <mergeCell ref="BX38:BY38"/>
    <mergeCell ref="BZ38:CA38"/>
    <mergeCell ref="CB38:CC38"/>
    <mergeCell ref="CD38:CE38"/>
    <mergeCell ref="AL37:AM37"/>
    <mergeCell ref="V37:W37"/>
    <mergeCell ref="X37:Y37"/>
    <mergeCell ref="CB2:CC2"/>
    <mergeCell ref="CD2:CE2"/>
    <mergeCell ref="CF2:CG2"/>
    <mergeCell ref="AL2:AM2"/>
    <mergeCell ref="AL36:AM36"/>
    <mergeCell ref="CH36:CI36"/>
    <mergeCell ref="B37:C37"/>
    <mergeCell ref="F37:G37"/>
    <mergeCell ref="H37:I37"/>
    <mergeCell ref="J37:K37"/>
    <mergeCell ref="L37:M37"/>
    <mergeCell ref="P37:Q37"/>
    <mergeCell ref="R37:S37"/>
    <mergeCell ref="T37:U37"/>
    <mergeCell ref="BT36:BU36"/>
    <mergeCell ref="BV36:BW36"/>
    <mergeCell ref="BX36:BY36"/>
    <mergeCell ref="BZ36:CA36"/>
    <mergeCell ref="CB36:CC36"/>
    <mergeCell ref="CD36:CE36"/>
    <mergeCell ref="BH36:BI36"/>
    <mergeCell ref="BJ36:BK36"/>
    <mergeCell ref="AX37:AY37"/>
    <mergeCell ref="AZ37:BA37"/>
    <mergeCell ref="Z37:AA37"/>
    <mergeCell ref="AD37:AE37"/>
    <mergeCell ref="AF37:AG37"/>
    <mergeCell ref="AH37:AI37"/>
    <mergeCell ref="CF36:CG36"/>
    <mergeCell ref="AN37:AO37"/>
    <mergeCell ref="AP37:AQ37"/>
    <mergeCell ref="AR37:AS37"/>
    <mergeCell ref="AT37:AU37"/>
    <mergeCell ref="AV37:AW37"/>
    <mergeCell ref="BX37:BY37"/>
    <mergeCell ref="BZ37:CA37"/>
    <mergeCell ref="CB37:CC37"/>
    <mergeCell ref="CD37:CE37"/>
    <mergeCell ref="CF37:CG37"/>
    <mergeCell ref="BB37:BC37"/>
    <mergeCell ref="BF37:BG37"/>
    <mergeCell ref="BH37:BI37"/>
    <mergeCell ref="BJ37:BK37"/>
    <mergeCell ref="AJ37:AK37"/>
    <mergeCell ref="BR36:BS36"/>
    <mergeCell ref="AT36:AU36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T2:AU2"/>
    <mergeCell ref="AV2:AW2"/>
    <mergeCell ref="AX2:AY2"/>
    <mergeCell ref="AZ2:BA2"/>
    <mergeCell ref="AB2:AC2"/>
    <mergeCell ref="AD2:AE2"/>
    <mergeCell ref="AF2:AG2"/>
    <mergeCell ref="BV2:BW2"/>
    <mergeCell ref="BX2:BY2"/>
    <mergeCell ref="BT2:BU2"/>
    <mergeCell ref="AP2:AQ2"/>
    <mergeCell ref="BZ2:CA2"/>
    <mergeCell ref="BB2:BC2"/>
    <mergeCell ref="BF2:BG2"/>
    <mergeCell ref="BH2:BI2"/>
    <mergeCell ref="BJ2:BK2"/>
    <mergeCell ref="CH2:CI2"/>
    <mergeCell ref="D39:E39"/>
    <mergeCell ref="N39:O39"/>
    <mergeCell ref="T39:U39"/>
    <mergeCell ref="AR2:AS2"/>
    <mergeCell ref="AF36:AG36"/>
    <mergeCell ref="AH36:AI36"/>
    <mergeCell ref="AJ36:AK36"/>
    <mergeCell ref="AN36:AO36"/>
    <mergeCell ref="AP36:AQ36"/>
    <mergeCell ref="AR36:AS36"/>
    <mergeCell ref="X36:Y36"/>
    <mergeCell ref="Z36:AA36"/>
    <mergeCell ref="AD36:AE36"/>
    <mergeCell ref="BL36:BM36"/>
    <mergeCell ref="BL2:BM2"/>
    <mergeCell ref="BN2:BO2"/>
    <mergeCell ref="BN36:BO36"/>
    <mergeCell ref="BP36:BQ36"/>
    <mergeCell ref="D37:E37"/>
    <mergeCell ref="N37:O37"/>
    <mergeCell ref="AB37:AC37"/>
    <mergeCell ref="A1:A3"/>
    <mergeCell ref="B1:K1"/>
    <mergeCell ref="L1:Y1"/>
    <mergeCell ref="BF1:BS1"/>
    <mergeCell ref="T2:U2"/>
    <mergeCell ref="V2:W2"/>
    <mergeCell ref="X2:Y2"/>
    <mergeCell ref="Z2:AA2"/>
    <mergeCell ref="AH2:AI2"/>
    <mergeCell ref="AJ2:AK2"/>
    <mergeCell ref="AN2:AO2"/>
    <mergeCell ref="B36:C36"/>
    <mergeCell ref="F36:G36"/>
    <mergeCell ref="H36:I36"/>
    <mergeCell ref="J36:K36"/>
    <mergeCell ref="L36:M36"/>
    <mergeCell ref="P36:Q36"/>
    <mergeCell ref="BP2:BQ2"/>
    <mergeCell ref="BR2:BS2"/>
    <mergeCell ref="R36:S36"/>
    <mergeCell ref="T36:U36"/>
    <mergeCell ref="V36:W36"/>
    <mergeCell ref="AV36:AW36"/>
    <mergeCell ref="AX36:AY36"/>
    <mergeCell ref="AZ36:BA36"/>
    <mergeCell ref="BB36:BC36"/>
    <mergeCell ref="BF36:BG36"/>
    <mergeCell ref="D36:E36"/>
    <mergeCell ref="N36:O36"/>
    <mergeCell ref="AB36:AC36"/>
  </mergeCells>
  <pageMargins left="0.7" right="0.7" top="0.75" bottom="0.75" header="0.3" footer="0.3"/>
  <pageSetup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5536"/>
  <sheetViews>
    <sheetView zoomScaleNormal="100" workbookViewId="0">
      <pane xSplit="3" ySplit="8" topLeftCell="R24" activePane="bottomRight" state="frozen"/>
      <selection pane="topRight" activeCell="E1" sqref="E1"/>
      <selection pane="bottomLeft" activeCell="A9" sqref="A9"/>
      <selection pane="bottomRight" activeCell="AH39" sqref="AH39"/>
    </sheetView>
  </sheetViews>
  <sheetFormatPr defaultColWidth="9.140625" defaultRowHeight="12.75"/>
  <cols>
    <col min="1" max="1" width="7.5703125" style="290" customWidth="1"/>
    <col min="2" max="2" width="19.5703125" style="289" bestFit="1" customWidth="1"/>
    <col min="3" max="3" width="12.28515625" style="289" bestFit="1" customWidth="1"/>
    <col min="4" max="4" width="8.28515625" style="289" customWidth="1"/>
    <col min="5" max="5" width="8" style="289" customWidth="1"/>
    <col min="6" max="6" width="6.85546875" style="289" customWidth="1"/>
    <col min="7" max="11" width="8.7109375" style="289" customWidth="1"/>
    <col min="12" max="12" width="8.7109375" style="291" customWidth="1"/>
    <col min="13" max="15" width="8.7109375" style="292" customWidth="1"/>
    <col min="16" max="16" width="8.7109375" style="291" customWidth="1"/>
    <col min="17" max="17" width="8.7109375" style="292" customWidth="1"/>
    <col min="18" max="18" width="8.7109375" style="291" customWidth="1"/>
    <col min="19" max="19" width="8.7109375" style="293" customWidth="1"/>
    <col min="20" max="21" width="7.7109375" style="293" customWidth="1"/>
    <col min="22" max="23" width="7.7109375" style="294" customWidth="1"/>
    <col min="24" max="24" width="7.7109375" style="293" customWidth="1"/>
    <col min="25" max="25" width="7.7109375" style="294" customWidth="1"/>
    <col min="26" max="26" width="8.85546875" style="293" customWidth="1"/>
    <col min="27" max="27" width="11.140625" style="293" customWidth="1"/>
    <col min="28" max="31" width="7.5703125" style="294" customWidth="1"/>
    <col min="32" max="32" width="11.140625" bestFit="1" customWidth="1"/>
    <col min="34" max="34" width="8.7109375" style="291" customWidth="1"/>
    <col min="35" max="35" width="8.7109375" style="292" customWidth="1"/>
    <col min="36" max="37" width="8.7109375" style="289" customWidth="1"/>
  </cols>
  <sheetData>
    <row r="1" spans="1:37" ht="12.75" customHeight="1">
      <c r="A1" s="288"/>
    </row>
    <row r="2" spans="1:37">
      <c r="A2" s="288"/>
    </row>
    <row r="3" spans="1:37" ht="12.75" customHeight="1">
      <c r="A3" s="813" t="s">
        <v>199</v>
      </c>
      <c r="B3" s="813"/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N3" s="813"/>
      <c r="O3" s="813"/>
      <c r="P3" s="813"/>
      <c r="Q3" s="813"/>
      <c r="R3" s="813"/>
      <c r="S3" s="813"/>
      <c r="T3" s="813"/>
      <c r="U3" s="813"/>
      <c r="V3" s="813"/>
      <c r="W3" s="813"/>
      <c r="X3" s="813"/>
      <c r="Y3" s="813"/>
      <c r="Z3" s="813"/>
      <c r="AA3" s="813"/>
      <c r="AB3" s="813"/>
      <c r="AC3" s="813"/>
      <c r="AD3" s="813"/>
      <c r="AE3" s="813"/>
      <c r="AH3"/>
      <c r="AI3"/>
      <c r="AJ3"/>
      <c r="AK3"/>
    </row>
    <row r="4" spans="1:37" ht="12.75" customHeight="1">
      <c r="A4" s="813"/>
      <c r="B4" s="813"/>
      <c r="C4" s="813"/>
      <c r="D4" s="813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  <c r="S4" s="813"/>
      <c r="T4" s="813"/>
      <c r="U4" s="813"/>
      <c r="V4" s="813"/>
      <c r="W4" s="813"/>
      <c r="X4" s="813"/>
      <c r="Y4" s="813"/>
      <c r="Z4" s="813"/>
      <c r="AA4" s="813"/>
      <c r="AB4" s="813"/>
      <c r="AC4" s="813"/>
      <c r="AD4" s="813"/>
      <c r="AE4" s="813"/>
      <c r="AH4"/>
      <c r="AI4"/>
      <c r="AJ4"/>
      <c r="AK4"/>
    </row>
    <row r="5" spans="1:37">
      <c r="H5" s="291"/>
      <c r="I5" s="292"/>
      <c r="J5" s="292"/>
      <c r="K5" s="292"/>
      <c r="AJ5" s="292"/>
      <c r="AK5" s="292"/>
    </row>
    <row r="6" spans="1:37" ht="22.7" customHeight="1">
      <c r="A6" s="816" t="s">
        <v>7</v>
      </c>
      <c r="B6" s="815" t="s">
        <v>8</v>
      </c>
      <c r="C6" s="815" t="s">
        <v>5</v>
      </c>
      <c r="D6" s="815" t="s">
        <v>195</v>
      </c>
      <c r="E6" s="815" t="s">
        <v>196</v>
      </c>
      <c r="F6" s="815" t="s">
        <v>192</v>
      </c>
      <c r="G6" s="815" t="s">
        <v>191</v>
      </c>
      <c r="H6" s="815" t="s">
        <v>193</v>
      </c>
      <c r="I6" s="815" t="s">
        <v>194</v>
      </c>
      <c r="J6" s="819" t="s">
        <v>198</v>
      </c>
      <c r="K6" s="820"/>
      <c r="L6" s="808" t="s">
        <v>197</v>
      </c>
      <c r="M6" s="808"/>
      <c r="N6" s="808" t="s">
        <v>200</v>
      </c>
      <c r="O6" s="808"/>
      <c r="P6" s="826" t="s">
        <v>30</v>
      </c>
      <c r="Q6" s="826"/>
      <c r="R6" s="814" t="s">
        <v>22</v>
      </c>
      <c r="S6" s="814"/>
      <c r="T6" s="814" t="s">
        <v>31</v>
      </c>
      <c r="U6" s="814"/>
      <c r="V6" s="814"/>
      <c r="W6" s="814"/>
      <c r="X6" s="814"/>
      <c r="Y6" s="814"/>
      <c r="Z6" s="814" t="s">
        <v>32</v>
      </c>
      <c r="AA6" s="814"/>
      <c r="AB6" s="814"/>
      <c r="AC6" s="814"/>
      <c r="AD6" s="814"/>
      <c r="AE6" s="814"/>
      <c r="AF6" s="821" t="s">
        <v>311</v>
      </c>
      <c r="AG6" s="822"/>
      <c r="AH6" s="808" t="s">
        <v>403</v>
      </c>
      <c r="AI6" s="808"/>
      <c r="AJ6" s="809" t="s">
        <v>404</v>
      </c>
      <c r="AK6" s="810"/>
    </row>
    <row r="7" spans="1:37" ht="22.7" customHeight="1">
      <c r="A7" s="817"/>
      <c r="B7" s="815"/>
      <c r="C7" s="815"/>
      <c r="D7" s="815"/>
      <c r="E7" s="815"/>
      <c r="F7" s="815"/>
      <c r="G7" s="815"/>
      <c r="H7" s="815"/>
      <c r="I7" s="815"/>
      <c r="J7" s="811"/>
      <c r="K7" s="812"/>
      <c r="L7" s="808"/>
      <c r="M7" s="808"/>
      <c r="N7" s="808"/>
      <c r="O7" s="808"/>
      <c r="P7" s="826"/>
      <c r="Q7" s="826"/>
      <c r="R7" s="814"/>
      <c r="S7" s="814"/>
      <c r="T7" s="814" t="s">
        <v>35</v>
      </c>
      <c r="U7" s="814"/>
      <c r="V7" s="825" t="s">
        <v>33</v>
      </c>
      <c r="W7" s="825"/>
      <c r="X7" s="814" t="s">
        <v>34</v>
      </c>
      <c r="Y7" s="814"/>
      <c r="Z7" s="814" t="s">
        <v>35</v>
      </c>
      <c r="AA7" s="814"/>
      <c r="AB7" s="814" t="s">
        <v>25</v>
      </c>
      <c r="AC7" s="814"/>
      <c r="AD7" s="814" t="s">
        <v>26</v>
      </c>
      <c r="AE7" s="814"/>
      <c r="AF7" s="823"/>
      <c r="AG7" s="824"/>
      <c r="AH7" s="808"/>
      <c r="AI7" s="808"/>
      <c r="AJ7" s="811"/>
      <c r="AK7" s="812"/>
    </row>
    <row r="8" spans="1:37" s="1" customFormat="1">
      <c r="A8" s="818"/>
      <c r="B8" s="815"/>
      <c r="C8" s="815"/>
      <c r="D8" s="815"/>
      <c r="E8" s="815"/>
      <c r="F8" s="815"/>
      <c r="G8" s="815"/>
      <c r="H8" s="815"/>
      <c r="I8" s="815"/>
      <c r="J8" s="452" t="s">
        <v>36</v>
      </c>
      <c r="K8" s="450" t="s">
        <v>37</v>
      </c>
      <c r="L8" s="295" t="s">
        <v>36</v>
      </c>
      <c r="M8" s="296" t="s">
        <v>37</v>
      </c>
      <c r="N8" s="295" t="s">
        <v>36</v>
      </c>
      <c r="O8" s="296" t="s">
        <v>37</v>
      </c>
      <c r="P8" s="295" t="s">
        <v>36</v>
      </c>
      <c r="Q8" s="296" t="s">
        <v>37</v>
      </c>
      <c r="R8" s="295" t="s">
        <v>36</v>
      </c>
      <c r="S8" s="297" t="s">
        <v>37</v>
      </c>
      <c r="T8" s="298" t="s">
        <v>36</v>
      </c>
      <c r="U8" s="297" t="s">
        <v>37</v>
      </c>
      <c r="V8" s="299" t="s">
        <v>36</v>
      </c>
      <c r="W8" s="300" t="s">
        <v>37</v>
      </c>
      <c r="X8" s="298" t="s">
        <v>36</v>
      </c>
      <c r="Y8" s="300" t="s">
        <v>37</v>
      </c>
      <c r="Z8" s="298" t="s">
        <v>36</v>
      </c>
      <c r="AA8" s="297" t="s">
        <v>37</v>
      </c>
      <c r="AB8" s="299" t="s">
        <v>36</v>
      </c>
      <c r="AC8" s="300" t="s">
        <v>37</v>
      </c>
      <c r="AD8" s="299" t="s">
        <v>36</v>
      </c>
      <c r="AE8" s="300" t="s">
        <v>37</v>
      </c>
      <c r="AF8" s="518" t="s">
        <v>330</v>
      </c>
      <c r="AG8" s="518" t="s">
        <v>331</v>
      </c>
      <c r="AH8" s="295" t="s">
        <v>36</v>
      </c>
      <c r="AI8" s="296" t="s">
        <v>37</v>
      </c>
      <c r="AJ8" s="452" t="s">
        <v>36</v>
      </c>
      <c r="AK8" s="450" t="s">
        <v>37</v>
      </c>
    </row>
    <row r="9" spans="1:37" s="426" customFormat="1" ht="12.75" customHeight="1">
      <c r="A9" s="440">
        <v>45962</v>
      </c>
      <c r="B9" s="449" t="s">
        <v>231</v>
      </c>
      <c r="C9" s="499" t="s">
        <v>445</v>
      </c>
      <c r="D9" s="420">
        <f>+'1'!F42</f>
        <v>1290</v>
      </c>
      <c r="E9" s="420">
        <f>+'1'!G42</f>
        <v>1285.4849999999999</v>
      </c>
      <c r="F9" s="48">
        <f t="shared" ref="F9:F39" si="0">1-(E9/D9)</f>
        <v>3.5000000000000586E-3</v>
      </c>
      <c r="G9" s="445">
        <f>+P9/N9</f>
        <v>1.1098953967054042</v>
      </c>
      <c r="H9" s="441">
        <f>+P9/L9</f>
        <v>1.1060107628169353</v>
      </c>
      <c r="I9" s="441">
        <f>+R9/P9</f>
        <v>0.90651252525559423</v>
      </c>
      <c r="J9" s="446">
        <f>+R9/L9</f>
        <v>1.0026126095610461</v>
      </c>
      <c r="K9" s="446">
        <f>+S9/M9</f>
        <v>1.0026126095610461</v>
      </c>
      <c r="L9" s="421">
        <f>+Efficiency1!K6</f>
        <v>59.517504000000002</v>
      </c>
      <c r="M9" s="422">
        <f>L9</f>
        <v>59.517504000000002</v>
      </c>
      <c r="N9" s="421">
        <f>+Efficiency1!C6</f>
        <v>59.309192736000007</v>
      </c>
      <c r="O9" s="422">
        <f>N9</f>
        <v>59.309192736000007</v>
      </c>
      <c r="P9" s="577">
        <f>'1'!I38</f>
        <v>65.826999999999998</v>
      </c>
      <c r="Q9" s="422">
        <f>P9</f>
        <v>65.826999999999998</v>
      </c>
      <c r="R9" s="13">
        <f>'1'!I40</f>
        <v>59.673000000000002</v>
      </c>
      <c r="S9" s="422">
        <f>R9</f>
        <v>59.673000000000002</v>
      </c>
      <c r="T9" s="570">
        <f t="shared" ref="T9:T39" si="1">+AF9+AG9</f>
        <v>152.922</v>
      </c>
      <c r="U9" s="424">
        <f>T9</f>
        <v>152.922</v>
      </c>
      <c r="V9" s="425">
        <f t="shared" ref="V9:V39" si="2">T9/(P9)</f>
        <v>2.3230893098576573</v>
      </c>
      <c r="W9" s="425">
        <f t="shared" ref="W9:W39" si="3">U9/(Q9)</f>
        <v>2.3230893098576573</v>
      </c>
      <c r="X9" s="421">
        <f t="shared" ref="X9:X39" si="4">IF(AND(R9&gt;0,T9&gt;0),T9/(R9),0)</f>
        <v>2.5626665326026843</v>
      </c>
      <c r="Y9" s="425">
        <f t="shared" ref="Y9:Y39" si="5">IF(AND(S9&gt;0,U9&gt;0),U9/(S9),0)</f>
        <v>2.5626665326026843</v>
      </c>
      <c r="Z9" s="424">
        <f>'1'!I46</f>
        <v>50813.300000001393</v>
      </c>
      <c r="AA9" s="424">
        <f>Z9</f>
        <v>50813.300000001393</v>
      </c>
      <c r="AB9" s="425">
        <f t="shared" ref="AB9:AB39" si="6">IF(AND(L9&gt;0,Z9&gt;0),(Z9/(P9*1000)*1000),0)</f>
        <v>771.92185577348789</v>
      </c>
      <c r="AC9" s="425">
        <f t="shared" ref="AC9:AC39" si="7">IF(AND(M9&gt;0,AA9&gt;0),(AA9/(Q9*1000)*1000),0)</f>
        <v>771.92185577348789</v>
      </c>
      <c r="AD9" s="425">
        <f t="shared" ref="AD9:AD39" si="8">IF(AND(R9&gt;0,Z9&gt;0),(Z9/(R9*1000)*1000),0)</f>
        <v>851.52916729511492</v>
      </c>
      <c r="AE9" s="425">
        <f t="shared" ref="AE9:AE39" si="9">IF(AND(S9&gt;0,AA9&gt;0),(AA9/(S9*1000)*1000),0)</f>
        <v>851.52916729511492</v>
      </c>
      <c r="AF9" s="501">
        <f>13.79</f>
        <v>13.79</v>
      </c>
      <c r="AG9" s="519">
        <v>139.13200000000001</v>
      </c>
      <c r="AH9" s="421">
        <f>+Efficiency2!K6</f>
        <v>59.517504000000002</v>
      </c>
      <c r="AI9" s="422">
        <f>AH9</f>
        <v>59.517504000000002</v>
      </c>
      <c r="AJ9" s="446">
        <f>+R9/AH9</f>
        <v>1.0026126095610461</v>
      </c>
      <c r="AK9" s="446">
        <f>+S9/AI9</f>
        <v>1.0026126095610461</v>
      </c>
    </row>
    <row r="10" spans="1:37" s="426" customFormat="1" ht="12.75" customHeight="1">
      <c r="A10" s="440">
        <f t="shared" ref="A10:A38" si="10">A9+1</f>
        <v>45963</v>
      </c>
      <c r="B10" s="449" t="s">
        <v>231</v>
      </c>
      <c r="C10" s="499" t="s">
        <v>446</v>
      </c>
      <c r="D10" s="420">
        <f>+'2'!F42</f>
        <v>1285.5555555555557</v>
      </c>
      <c r="E10" s="420">
        <f>+'2'!G42</f>
        <v>1281.056111111111</v>
      </c>
      <c r="F10" s="48">
        <f t="shared" si="0"/>
        <v>3.5000000000001696E-3</v>
      </c>
      <c r="G10" s="445">
        <f t="shared" ref="G10:G41" si="11">+P10/N10</f>
        <v>0.90781452446340472</v>
      </c>
      <c r="H10" s="441">
        <f t="shared" ref="H10:H41" si="12">+P10/L10</f>
        <v>0.9012866606569182</v>
      </c>
      <c r="I10" s="441">
        <f t="shared" ref="I10:I41" si="13">+R10/P10</f>
        <v>0.95319549728834674</v>
      </c>
      <c r="J10" s="446">
        <f t="shared" ref="J10:J41" si="14">+R10/L10</f>
        <v>0.85910238670422456</v>
      </c>
      <c r="K10" s="446">
        <f t="shared" ref="K10:K39" si="15">+S10/M10</f>
        <v>0.92353920011123369</v>
      </c>
      <c r="L10" s="421">
        <f>+SUM(Efficiency1!K10:K11)</f>
        <v>73.036696173913043</v>
      </c>
      <c r="M10" s="422">
        <f t="shared" ref="M10:O38" si="16">M9+L10</f>
        <v>132.55420017391305</v>
      </c>
      <c r="N10" s="421">
        <f>+SUM(Efficiency1!C10:C11)</f>
        <v>72.511507831304343</v>
      </c>
      <c r="O10" s="422">
        <f t="shared" si="16"/>
        <v>131.82070056730436</v>
      </c>
      <c r="P10" s="577">
        <f>'2'!I38</f>
        <v>65.826999999999998</v>
      </c>
      <c r="Q10" s="422">
        <f t="shared" ref="Q10:Q38" si="17">Q9+P10</f>
        <v>131.654</v>
      </c>
      <c r="R10" s="13">
        <f>'2'!I40</f>
        <v>62.746000000000002</v>
      </c>
      <c r="S10" s="422">
        <f t="shared" ref="S10:S38" si="18">S9+R10</f>
        <v>122.41900000000001</v>
      </c>
      <c r="T10" s="570">
        <f t="shared" si="1"/>
        <v>158.39499999999998</v>
      </c>
      <c r="U10" s="423">
        <f t="shared" ref="U10:U38" si="19">T10+U9</f>
        <v>311.31700000000001</v>
      </c>
      <c r="V10" s="425">
        <f t="shared" si="2"/>
        <v>2.4062314855606362</v>
      </c>
      <c r="W10" s="425">
        <f t="shared" si="3"/>
        <v>2.3646603977091467</v>
      </c>
      <c r="X10" s="421">
        <f t="shared" si="4"/>
        <v>2.5243840244796476</v>
      </c>
      <c r="Y10" s="425">
        <f t="shared" si="5"/>
        <v>2.5430447887991243</v>
      </c>
      <c r="Z10" s="424">
        <f>'2'!I46</f>
        <v>58627.779999999519</v>
      </c>
      <c r="AA10" s="423">
        <f t="shared" ref="AA10:AA38" si="20">Z10+AA9</f>
        <v>109441.08000000092</v>
      </c>
      <c r="AB10" s="425">
        <f t="shared" si="6"/>
        <v>890.63423823050607</v>
      </c>
      <c r="AC10" s="425">
        <f t="shared" si="7"/>
        <v>831.27804700199704</v>
      </c>
      <c r="AD10" s="425">
        <f t="shared" si="8"/>
        <v>934.36681222706648</v>
      </c>
      <c r="AE10" s="425">
        <f t="shared" si="9"/>
        <v>893.98769798806472</v>
      </c>
      <c r="AF10" s="501">
        <f>17.064</f>
        <v>17.064</v>
      </c>
      <c r="AG10" s="519">
        <v>141.33099999999999</v>
      </c>
      <c r="AH10" s="421">
        <f>+SUM(Efficiency2!K10:K11)</f>
        <v>73.036696173913043</v>
      </c>
      <c r="AI10" s="422">
        <f t="shared" ref="AI10:AI38" si="21">AI9+AH10</f>
        <v>132.55420017391305</v>
      </c>
      <c r="AJ10" s="446">
        <f t="shared" ref="AJ10:AJ41" si="22">+R10/AH10</f>
        <v>0.85910238670422456</v>
      </c>
      <c r="AK10" s="446">
        <f t="shared" ref="AK10:AK39" si="23">+S10/AI10</f>
        <v>0.92353920011123369</v>
      </c>
    </row>
    <row r="11" spans="1:37" s="426" customFormat="1" ht="12.75" customHeight="1">
      <c r="A11" s="440">
        <f t="shared" si="10"/>
        <v>45964</v>
      </c>
      <c r="B11" s="449" t="s">
        <v>231</v>
      </c>
      <c r="C11" s="499" t="s">
        <v>467</v>
      </c>
      <c r="D11" s="420">
        <f>+'3'!F42</f>
        <v>1182.3888888888889</v>
      </c>
      <c r="E11" s="420">
        <f>+'3'!G42</f>
        <v>1178.250527777778</v>
      </c>
      <c r="F11" s="48">
        <f t="shared" si="0"/>
        <v>3.4999999999998366E-3</v>
      </c>
      <c r="G11" s="445">
        <f t="shared" si="11"/>
        <v>0.95515979170551946</v>
      </c>
      <c r="H11" s="441">
        <f>+P11/L11</f>
        <v>0.93009713114805015</v>
      </c>
      <c r="I11" s="441">
        <f t="shared" si="13"/>
        <v>0.93669440598369891</v>
      </c>
      <c r="J11" s="446">
        <f t="shared" si="14"/>
        <v>0.87121677976786538</v>
      </c>
      <c r="K11" s="446">
        <f t="shared" si="15"/>
        <v>0.90458062104850656</v>
      </c>
      <c r="L11" s="421">
        <f>+Efficiency1!K15</f>
        <v>75.322240714285712</v>
      </c>
      <c r="M11" s="422">
        <f t="shared" si="16"/>
        <v>207.87644088819877</v>
      </c>
      <c r="N11" s="421">
        <f>+Efficiency1!C15</f>
        <v>73.345842871910719</v>
      </c>
      <c r="O11" s="422">
        <f t="shared" si="16"/>
        <v>205.16654343921508</v>
      </c>
      <c r="P11" s="577">
        <f>'3'!I38</f>
        <v>70.057000000000002</v>
      </c>
      <c r="Q11" s="422">
        <f t="shared" si="17"/>
        <v>201.71100000000001</v>
      </c>
      <c r="R11" s="13">
        <f>'3'!I40</f>
        <v>65.622</v>
      </c>
      <c r="S11" s="422">
        <f t="shared" si="18"/>
        <v>188.041</v>
      </c>
      <c r="T11" s="570">
        <f t="shared" si="1"/>
        <v>167.041</v>
      </c>
      <c r="U11" s="423">
        <f t="shared" si="19"/>
        <v>478.358</v>
      </c>
      <c r="V11" s="425">
        <f t="shared" si="2"/>
        <v>2.3843584509756339</v>
      </c>
      <c r="W11" s="425">
        <f t="shared" si="3"/>
        <v>2.3715018020831784</v>
      </c>
      <c r="X11" s="421">
        <f t="shared" si="4"/>
        <v>2.5455030325195818</v>
      </c>
      <c r="Y11" s="425">
        <f t="shared" si="5"/>
        <v>2.5439026595263798</v>
      </c>
      <c r="Z11" s="424">
        <f>'3'!I46</f>
        <v>50077.080000000555</v>
      </c>
      <c r="AA11" s="423">
        <f t="shared" si="20"/>
        <v>159518.16000000149</v>
      </c>
      <c r="AB11" s="425">
        <f t="shared" si="6"/>
        <v>714.80480180425297</v>
      </c>
      <c r="AC11" s="425">
        <f t="shared" si="7"/>
        <v>790.8252896470766</v>
      </c>
      <c r="AD11" s="425">
        <f t="shared" si="8"/>
        <v>763.11419950627158</v>
      </c>
      <c r="AE11" s="425">
        <f t="shared" si="9"/>
        <v>848.31584601231373</v>
      </c>
      <c r="AF11" s="501">
        <f>20.525</f>
        <v>20.524999999999999</v>
      </c>
      <c r="AG11" s="519">
        <v>146.51599999999999</v>
      </c>
      <c r="AH11" s="421">
        <f>+Efficiency2!K15</f>
        <v>75.322240714285712</v>
      </c>
      <c r="AI11" s="422">
        <f t="shared" si="21"/>
        <v>207.87644088819877</v>
      </c>
      <c r="AJ11" s="446">
        <f t="shared" si="22"/>
        <v>0.87121677976786538</v>
      </c>
      <c r="AK11" s="446">
        <f t="shared" si="23"/>
        <v>0.90458062104850656</v>
      </c>
    </row>
    <row r="12" spans="1:37" s="426" customFormat="1" ht="12.75" customHeight="1">
      <c r="A12" s="440">
        <f t="shared" si="10"/>
        <v>45965</v>
      </c>
      <c r="B12" s="449" t="s">
        <v>231</v>
      </c>
      <c r="C12" s="499" t="s">
        <v>491</v>
      </c>
      <c r="D12" s="420">
        <f>+'4'!F42</f>
        <v>1156.0416666666667</v>
      </c>
      <c r="E12" s="420">
        <f>+'4'!G42</f>
        <v>1152.0155208333333</v>
      </c>
      <c r="F12" s="48">
        <f t="shared" si="0"/>
        <v>3.482699585510951E-3</v>
      </c>
      <c r="G12" s="445">
        <f t="shared" si="11"/>
        <v>0.914709742107924</v>
      </c>
      <c r="H12" s="441">
        <f t="shared" si="12"/>
        <v>0.90516144747789484</v>
      </c>
      <c r="I12" s="441">
        <f t="shared" si="13"/>
        <v>0.87300588355823538</v>
      </c>
      <c r="J12" s="446">
        <f t="shared" si="14"/>
        <v>0.79021126921829088</v>
      </c>
      <c r="K12" s="446">
        <f t="shared" si="15"/>
        <v>0.87411366645191357</v>
      </c>
      <c r="L12" s="421">
        <f>+SUM(Efficiency1!K20:K24)</f>
        <v>75.484876416666665</v>
      </c>
      <c r="M12" s="422">
        <f t="shared" si="16"/>
        <v>283.36131730486545</v>
      </c>
      <c r="N12" s="421">
        <f>+SUM(Efficiency1!C20:C24)</f>
        <v>74.696919530499997</v>
      </c>
      <c r="O12" s="422">
        <f t="shared" si="16"/>
        <v>279.8634629697151</v>
      </c>
      <c r="P12" s="577">
        <f>'4'!I38</f>
        <v>68.326000000000008</v>
      </c>
      <c r="Q12" s="422">
        <f t="shared" si="17"/>
        <v>270.03700000000003</v>
      </c>
      <c r="R12" s="13">
        <f>'4'!I40</f>
        <v>59.649000000000001</v>
      </c>
      <c r="S12" s="422">
        <f t="shared" si="18"/>
        <v>247.69</v>
      </c>
      <c r="T12" s="570">
        <f t="shared" si="1"/>
        <v>147.04700000000003</v>
      </c>
      <c r="U12" s="423">
        <f t="shared" si="19"/>
        <v>625.40499999999997</v>
      </c>
      <c r="V12" s="425">
        <f t="shared" si="2"/>
        <v>2.152138278254252</v>
      </c>
      <c r="W12" s="425">
        <f t="shared" si="3"/>
        <v>2.3159974373882095</v>
      </c>
      <c r="X12" s="421">
        <f t="shared" si="4"/>
        <v>2.4652047813039619</v>
      </c>
      <c r="Y12" s="425">
        <f t="shared" si="5"/>
        <v>2.5249505430174812</v>
      </c>
      <c r="Z12" s="424">
        <f>'4'!I46</f>
        <v>53471.739999997553</v>
      </c>
      <c r="AA12" s="423">
        <f t="shared" si="20"/>
        <v>212989.89999999903</v>
      </c>
      <c r="AB12" s="425">
        <f t="shared" si="6"/>
        <v>782.59725433945414</v>
      </c>
      <c r="AC12" s="425">
        <f t="shared" si="7"/>
        <v>788.74339442372332</v>
      </c>
      <c r="AD12" s="425">
        <f t="shared" si="8"/>
        <v>896.43983972904073</v>
      </c>
      <c r="AE12" s="425">
        <f t="shared" si="9"/>
        <v>859.90512333965455</v>
      </c>
      <c r="AF12" s="501">
        <f>5.723</f>
        <v>5.7229999999999999</v>
      </c>
      <c r="AG12" s="519">
        <v>141.32400000000001</v>
      </c>
      <c r="AH12" s="421">
        <f>+SUM(Efficiency2!K20:K24)</f>
        <v>75.484876416666665</v>
      </c>
      <c r="AI12" s="422">
        <f t="shared" si="21"/>
        <v>283.36131730486545</v>
      </c>
      <c r="AJ12" s="446">
        <f t="shared" si="22"/>
        <v>0.79021126921829088</v>
      </c>
      <c r="AK12" s="446">
        <f t="shared" si="23"/>
        <v>0.87411366645191357</v>
      </c>
    </row>
    <row r="13" spans="1:37" s="426" customFormat="1" ht="12.75" customHeight="1">
      <c r="A13" s="440">
        <f t="shared" si="10"/>
        <v>45966</v>
      </c>
      <c r="B13" s="449" t="s">
        <v>527</v>
      </c>
      <c r="C13" s="499" t="s">
        <v>526</v>
      </c>
      <c r="D13" s="420">
        <f>+'5'!F42</f>
        <v>1479.516129032258</v>
      </c>
      <c r="E13" s="420">
        <f>+'5'!G42</f>
        <v>1297.896693548387</v>
      </c>
      <c r="F13" s="48">
        <f t="shared" si="0"/>
        <v>0.12275596860351035</v>
      </c>
      <c r="G13" s="445">
        <f t="shared" si="11"/>
        <v>0.80701099232330176</v>
      </c>
      <c r="H13" s="441">
        <f t="shared" si="12"/>
        <v>0.74878927540364904</v>
      </c>
      <c r="I13" s="441">
        <f t="shared" si="13"/>
        <v>1.2034286462082051</v>
      </c>
      <c r="J13" s="446">
        <f t="shared" si="14"/>
        <v>0.90111446399423623</v>
      </c>
      <c r="K13" s="446">
        <f t="shared" si="15"/>
        <v>0.87891145882291766</v>
      </c>
      <c r="L13" s="421">
        <f>+SUM(Efficiency1!K27:K28)</f>
        <v>61.230844920000003</v>
      </c>
      <c r="M13" s="422">
        <f t="shared" si="16"/>
        <v>344.59216222486543</v>
      </c>
      <c r="N13" s="421">
        <f>+SUM(Efficiency1!C27:C28)</f>
        <v>56.813352526965517</v>
      </c>
      <c r="O13" s="422">
        <f t="shared" si="16"/>
        <v>336.6768154966806</v>
      </c>
      <c r="P13" s="577">
        <f>'5'!I38</f>
        <v>45.849000000000004</v>
      </c>
      <c r="Q13" s="422">
        <f t="shared" si="17"/>
        <v>315.88600000000002</v>
      </c>
      <c r="R13" s="13">
        <f>'5'!I40</f>
        <v>55.176000000000002</v>
      </c>
      <c r="S13" s="422">
        <f t="shared" si="18"/>
        <v>302.86599999999999</v>
      </c>
      <c r="T13" s="570">
        <f t="shared" si="1"/>
        <v>115.56500000000001</v>
      </c>
      <c r="U13" s="423">
        <f t="shared" si="19"/>
        <v>740.97</v>
      </c>
      <c r="V13" s="425">
        <f t="shared" si="2"/>
        <v>2.5205566097406704</v>
      </c>
      <c r="W13" s="425">
        <f t="shared" si="3"/>
        <v>2.345688001367582</v>
      </c>
      <c r="X13" s="421">
        <f t="shared" si="4"/>
        <v>2.0944794838335508</v>
      </c>
      <c r="Y13" s="425">
        <f t="shared" si="5"/>
        <v>2.4465275072144119</v>
      </c>
      <c r="Z13" s="424">
        <f>'5'!I46</f>
        <v>49114.560000000522</v>
      </c>
      <c r="AA13" s="423">
        <f t="shared" si="20"/>
        <v>262104.45999999956</v>
      </c>
      <c r="AB13" s="425">
        <f t="shared" si="6"/>
        <v>1071.224236079315</v>
      </c>
      <c r="AC13" s="425">
        <f t="shared" si="7"/>
        <v>829.74383163546202</v>
      </c>
      <c r="AD13" s="425">
        <f t="shared" si="8"/>
        <v>890.14354066986584</v>
      </c>
      <c r="AE13" s="425">
        <f t="shared" si="9"/>
        <v>865.4139454412167</v>
      </c>
      <c r="AF13" s="501">
        <f>1.879</f>
        <v>1.879</v>
      </c>
      <c r="AG13" s="519">
        <v>113.68600000000001</v>
      </c>
      <c r="AH13" s="421">
        <f>+SUM(Efficiency2!K27:K28)</f>
        <v>61.230844920000003</v>
      </c>
      <c r="AI13" s="422">
        <f t="shared" si="21"/>
        <v>344.59216222486543</v>
      </c>
      <c r="AJ13" s="446">
        <f t="shared" si="22"/>
        <v>0.90111446399423623</v>
      </c>
      <c r="AK13" s="446">
        <f t="shared" si="23"/>
        <v>0.87891145882291766</v>
      </c>
    </row>
    <row r="14" spans="1:37" s="426" customFormat="1" ht="12.75" customHeight="1">
      <c r="A14" s="440">
        <f t="shared" si="10"/>
        <v>45967</v>
      </c>
      <c r="B14" s="449" t="s">
        <v>517</v>
      </c>
      <c r="C14" s="499" t="s">
        <v>550</v>
      </c>
      <c r="D14" s="420">
        <f>+'6'!F42</f>
        <v>1568.1690140845071</v>
      </c>
      <c r="E14" s="420">
        <f>+'6'!G42</f>
        <v>1191.8084507042254</v>
      </c>
      <c r="F14" s="48">
        <f t="shared" si="0"/>
        <v>0.24</v>
      </c>
      <c r="G14" s="445">
        <f t="shared" si="11"/>
        <v>0.91739995133655561</v>
      </c>
      <c r="H14" s="441">
        <f t="shared" si="12"/>
        <v>0.84627304973678752</v>
      </c>
      <c r="I14" s="441">
        <f t="shared" si="13"/>
        <v>0.8752787480512304</v>
      </c>
      <c r="J14" s="446">
        <f t="shared" si="14"/>
        <v>0.74072481548311198</v>
      </c>
      <c r="K14" s="446">
        <f t="shared" si="15"/>
        <v>0.85845427446079592</v>
      </c>
      <c r="L14" s="421">
        <f>+SUM(Efficiency1!K33:K34)</f>
        <v>59.877837319480513</v>
      </c>
      <c r="M14" s="422">
        <f t="shared" si="16"/>
        <v>404.46999954434597</v>
      </c>
      <c r="N14" s="421">
        <f>+SUM(Efficiency1!C33:C34)</f>
        <v>55.235450935194351</v>
      </c>
      <c r="O14" s="422">
        <f t="shared" si="16"/>
        <v>391.91226643187497</v>
      </c>
      <c r="P14" s="577">
        <f>'6'!I38</f>
        <v>50.673000000000002</v>
      </c>
      <c r="Q14" s="422">
        <f t="shared" si="17"/>
        <v>366.55900000000003</v>
      </c>
      <c r="R14" s="13">
        <f>'6'!I40</f>
        <v>44.353000000000002</v>
      </c>
      <c r="S14" s="422">
        <f t="shared" si="18"/>
        <v>347.21899999999999</v>
      </c>
      <c r="T14" s="570">
        <f t="shared" si="1"/>
        <v>116.557</v>
      </c>
      <c r="U14" s="423">
        <f t="shared" si="19"/>
        <v>857.52700000000004</v>
      </c>
      <c r="V14" s="425">
        <f t="shared" si="2"/>
        <v>2.3001795828153058</v>
      </c>
      <c r="W14" s="425">
        <f t="shared" si="3"/>
        <v>2.3393969320082171</v>
      </c>
      <c r="X14" s="421">
        <f t="shared" si="4"/>
        <v>2.6279394854913987</v>
      </c>
      <c r="Y14" s="425">
        <f t="shared" si="5"/>
        <v>2.4697006788222997</v>
      </c>
      <c r="Z14" s="424">
        <f>'6'!I46</f>
        <v>54529.780000000268</v>
      </c>
      <c r="AA14" s="423">
        <f t="shared" si="20"/>
        <v>316634.23999999982</v>
      </c>
      <c r="AB14" s="425">
        <f t="shared" si="6"/>
        <v>1076.1111440017419</v>
      </c>
      <c r="AC14" s="425">
        <f t="shared" si="7"/>
        <v>863.80157082488722</v>
      </c>
      <c r="AD14" s="425">
        <f t="shared" si="8"/>
        <v>1229.4496426397372</v>
      </c>
      <c r="AE14" s="425">
        <f t="shared" si="9"/>
        <v>911.91507377188407</v>
      </c>
      <c r="AF14" s="501">
        <f>1.083</f>
        <v>1.083</v>
      </c>
      <c r="AG14" s="519">
        <v>115.474</v>
      </c>
      <c r="AH14" s="421">
        <f>+SUM(Efficiency2!K33:K34)</f>
        <v>59.877837319480513</v>
      </c>
      <c r="AI14" s="422">
        <f t="shared" si="21"/>
        <v>404.46999954434597</v>
      </c>
      <c r="AJ14" s="446">
        <f t="shared" si="22"/>
        <v>0.74072481548311198</v>
      </c>
      <c r="AK14" s="446">
        <f t="shared" si="23"/>
        <v>0.85845427446079592</v>
      </c>
    </row>
    <row r="15" spans="1:37" s="426" customFormat="1" ht="12.75" customHeight="1">
      <c r="A15" s="440">
        <f t="shared" si="10"/>
        <v>45968</v>
      </c>
      <c r="B15" s="449" t="s">
        <v>517</v>
      </c>
      <c r="C15" s="427" t="s">
        <v>575</v>
      </c>
      <c r="D15" s="420">
        <f>+'7'!F42</f>
        <v>1603.6458333333333</v>
      </c>
      <c r="E15" s="420">
        <f>+'7'!G42</f>
        <v>1218.7708333333333</v>
      </c>
      <c r="F15" s="48">
        <f t="shared" si="0"/>
        <v>0.24</v>
      </c>
      <c r="G15" s="445">
        <f t="shared" si="11"/>
        <v>0.87550986947352893</v>
      </c>
      <c r="H15" s="441">
        <f t="shared" si="12"/>
        <v>0.82046271609810839</v>
      </c>
      <c r="I15" s="441">
        <f t="shared" si="13"/>
        <v>0.95090419091512712</v>
      </c>
      <c r="J15" s="446">
        <f t="shared" si="14"/>
        <v>0.78018143522729932</v>
      </c>
      <c r="K15" s="446">
        <f t="shared" si="15"/>
        <v>0.84799102031939744</v>
      </c>
      <c r="L15" s="421">
        <f>+SUM(Efficiency1!K38:K39)</f>
        <v>62.411123619999998</v>
      </c>
      <c r="M15" s="422">
        <f t="shared" si="16"/>
        <v>466.88112316434598</v>
      </c>
      <c r="N15" s="421">
        <f>+SUM(Efficiency1!C38:C39)</f>
        <v>58.487061980000007</v>
      </c>
      <c r="O15" s="422">
        <f t="shared" si="16"/>
        <v>450.39932841187499</v>
      </c>
      <c r="P15" s="577">
        <f>'7'!I38</f>
        <v>51.206000000000003</v>
      </c>
      <c r="Q15" s="422">
        <f t="shared" si="17"/>
        <v>417.76500000000004</v>
      </c>
      <c r="R15" s="13">
        <f>'7'!I40</f>
        <v>48.692</v>
      </c>
      <c r="S15" s="422">
        <f t="shared" si="18"/>
        <v>395.911</v>
      </c>
      <c r="T15" s="570">
        <f t="shared" si="1"/>
        <v>118.98599999999999</v>
      </c>
      <c r="U15" s="423">
        <f t="shared" si="19"/>
        <v>976.51300000000003</v>
      </c>
      <c r="V15" s="425">
        <f t="shared" si="2"/>
        <v>2.3236730070694835</v>
      </c>
      <c r="W15" s="425">
        <f t="shared" si="3"/>
        <v>2.3374696300551743</v>
      </c>
      <c r="X15" s="421">
        <f t="shared" si="4"/>
        <v>2.443645773433007</v>
      </c>
      <c r="Y15" s="425">
        <f t="shared" si="5"/>
        <v>2.4664962579973784</v>
      </c>
      <c r="Z15" s="424">
        <f>'7'!I46</f>
        <v>51276.100000000777</v>
      </c>
      <c r="AA15" s="423">
        <f t="shared" si="20"/>
        <v>367910.34000000061</v>
      </c>
      <c r="AB15" s="425">
        <f t="shared" si="6"/>
        <v>1001.3689801976482</v>
      </c>
      <c r="AC15" s="425">
        <f t="shared" si="7"/>
        <v>880.66338731104941</v>
      </c>
      <c r="AD15" s="425">
        <f t="shared" si="8"/>
        <v>1053.0703195596973</v>
      </c>
      <c r="AE15" s="425">
        <f t="shared" si="9"/>
        <v>929.27536744369468</v>
      </c>
      <c r="AF15" s="501">
        <f>0.261</f>
        <v>0.26100000000000001</v>
      </c>
      <c r="AG15" s="519">
        <v>118.72499999999999</v>
      </c>
      <c r="AH15" s="421">
        <f>+SUM(Efficiency2!K38:K39)</f>
        <v>62.411123619999998</v>
      </c>
      <c r="AI15" s="422">
        <f t="shared" si="21"/>
        <v>466.88112316434598</v>
      </c>
      <c r="AJ15" s="446">
        <f t="shared" si="22"/>
        <v>0.78018143522729932</v>
      </c>
      <c r="AK15" s="446">
        <f t="shared" si="23"/>
        <v>0.84799102031939744</v>
      </c>
    </row>
    <row r="16" spans="1:37" s="426" customFormat="1" ht="12.75" customHeight="1">
      <c r="A16" s="440">
        <f t="shared" si="10"/>
        <v>45969</v>
      </c>
      <c r="B16" s="449" t="s">
        <v>517</v>
      </c>
      <c r="C16" s="427" t="s">
        <v>595</v>
      </c>
      <c r="D16" s="420">
        <f>+'8'!F42</f>
        <v>1553.3333333333333</v>
      </c>
      <c r="E16" s="420">
        <f>+'8'!G42</f>
        <v>1304.8</v>
      </c>
      <c r="F16" s="48">
        <f t="shared" si="0"/>
        <v>0.16000000000000003</v>
      </c>
      <c r="G16" s="445">
        <f t="shared" si="11"/>
        <v>0.90768112225068287</v>
      </c>
      <c r="H16" s="441">
        <f t="shared" si="12"/>
        <v>0.81498921573953409</v>
      </c>
      <c r="I16" s="441">
        <f t="shared" si="13"/>
        <v>1.0217651842657194</v>
      </c>
      <c r="J16" s="446">
        <f t="shared" si="14"/>
        <v>0.83272760619467912</v>
      </c>
      <c r="K16" s="446">
        <f t="shared" si="15"/>
        <v>0.84632166230728612</v>
      </c>
      <c r="L16" s="421">
        <f>+Efficiency1!K42</f>
        <v>57.333273984000009</v>
      </c>
      <c r="M16" s="422">
        <f t="shared" si="16"/>
        <v>524.21439714834594</v>
      </c>
      <c r="N16" s="421">
        <f>+Efficiency1!C42</f>
        <v>51.478430976000006</v>
      </c>
      <c r="O16" s="422">
        <f t="shared" si="16"/>
        <v>501.87775938787502</v>
      </c>
      <c r="P16" s="577">
        <f>'8'!I38</f>
        <v>46.725999999999999</v>
      </c>
      <c r="Q16" s="422">
        <f t="shared" si="17"/>
        <v>464.49100000000004</v>
      </c>
      <c r="R16" s="13">
        <f>'8'!I40</f>
        <v>47.743000000000002</v>
      </c>
      <c r="S16" s="422">
        <f t="shared" si="18"/>
        <v>443.654</v>
      </c>
      <c r="T16" s="570">
        <f t="shared" si="1"/>
        <v>113.193</v>
      </c>
      <c r="U16" s="423">
        <f t="shared" si="19"/>
        <v>1089.7060000000001</v>
      </c>
      <c r="V16" s="425">
        <f t="shared" si="2"/>
        <v>2.4224842699995719</v>
      </c>
      <c r="W16" s="425">
        <f t="shared" si="3"/>
        <v>2.3460217743723777</v>
      </c>
      <c r="X16" s="421">
        <f t="shared" si="4"/>
        <v>2.3708815952076741</v>
      </c>
      <c r="Y16" s="425">
        <f t="shared" si="5"/>
        <v>2.4562068639074597</v>
      </c>
      <c r="Z16" s="424">
        <f>'8'!I46</f>
        <v>56198.499999998363</v>
      </c>
      <c r="AA16" s="423">
        <f t="shared" si="20"/>
        <v>424108.83999999898</v>
      </c>
      <c r="AB16" s="425">
        <f t="shared" si="6"/>
        <v>1202.7243932713768</v>
      </c>
      <c r="AC16" s="425">
        <f t="shared" si="7"/>
        <v>913.06148020090586</v>
      </c>
      <c r="AD16" s="425">
        <f t="shared" si="8"/>
        <v>1177.1044969942893</v>
      </c>
      <c r="AE16" s="425">
        <f t="shared" si="9"/>
        <v>955.94503825052618</v>
      </c>
      <c r="AF16" s="501">
        <v>0.129</v>
      </c>
      <c r="AG16" s="519">
        <v>113.06399999999999</v>
      </c>
      <c r="AH16" s="421">
        <f>+Efficiency2!K42</f>
        <v>57.333273984000009</v>
      </c>
      <c r="AI16" s="422">
        <f t="shared" si="21"/>
        <v>524.21439714834594</v>
      </c>
      <c r="AJ16" s="446">
        <f t="shared" si="22"/>
        <v>0.83272760619467912</v>
      </c>
      <c r="AK16" s="446">
        <f t="shared" si="23"/>
        <v>0.84632166230728612</v>
      </c>
    </row>
    <row r="17" spans="1:37" s="426" customFormat="1" ht="12.75" customHeight="1">
      <c r="A17" s="440">
        <f t="shared" si="10"/>
        <v>45970</v>
      </c>
      <c r="B17" s="449" t="s">
        <v>517</v>
      </c>
      <c r="C17" s="427" t="s">
        <v>594</v>
      </c>
      <c r="D17" s="420">
        <f>+'9'!F42</f>
        <v>1580</v>
      </c>
      <c r="E17" s="420">
        <f>+'9'!G42</f>
        <v>1276.8155555555554</v>
      </c>
      <c r="F17" s="48">
        <f t="shared" si="0"/>
        <v>0.191888888888889</v>
      </c>
      <c r="G17" s="445">
        <f t="shared" si="11"/>
        <v>1.0008937859376259</v>
      </c>
      <c r="H17" s="441">
        <f t="shared" si="12"/>
        <v>0.920866689429927</v>
      </c>
      <c r="I17" s="441">
        <f t="shared" si="13"/>
        <v>0.97223086638964662</v>
      </c>
      <c r="J17" s="446">
        <f t="shared" si="14"/>
        <v>0.8952950192938236</v>
      </c>
      <c r="K17" s="446">
        <f t="shared" si="15"/>
        <v>0.8513003779705649</v>
      </c>
      <c r="L17" s="421">
        <f>+SUM(Efficiency1!K46:K47)</f>
        <v>59.323461937600001</v>
      </c>
      <c r="M17" s="422">
        <f t="shared" si="16"/>
        <v>583.53785908594591</v>
      </c>
      <c r="N17" s="421">
        <f>+SUM(Efficiency1!C46:C47)</f>
        <v>54.580216969600002</v>
      </c>
      <c r="O17" s="422">
        <f t="shared" si="16"/>
        <v>556.45797635747499</v>
      </c>
      <c r="P17" s="577">
        <f>'9'!I38</f>
        <v>54.628999999999998</v>
      </c>
      <c r="Q17" s="422">
        <f t="shared" si="17"/>
        <v>519.12</v>
      </c>
      <c r="R17" s="13">
        <f>'9'!I40</f>
        <v>53.112000000000002</v>
      </c>
      <c r="S17" s="422">
        <f t="shared" si="18"/>
        <v>496.76600000000002</v>
      </c>
      <c r="T17" s="570">
        <f t="shared" si="1"/>
        <v>117.13600000000001</v>
      </c>
      <c r="U17" s="423">
        <f t="shared" si="19"/>
        <v>1206.8420000000001</v>
      </c>
      <c r="V17" s="425">
        <f t="shared" si="2"/>
        <v>2.1442091196983291</v>
      </c>
      <c r="W17" s="425">
        <f t="shared" si="3"/>
        <v>2.3247842502696874</v>
      </c>
      <c r="X17" s="421">
        <f t="shared" si="4"/>
        <v>2.205452628407893</v>
      </c>
      <c r="Y17" s="425">
        <f t="shared" si="5"/>
        <v>2.4293973420081088</v>
      </c>
      <c r="Z17" s="424">
        <f>'9'!I46</f>
        <v>55397.940000000832</v>
      </c>
      <c r="AA17" s="423">
        <f t="shared" si="20"/>
        <v>479506.7799999998</v>
      </c>
      <c r="AB17" s="425">
        <f t="shared" si="6"/>
        <v>1014.0756740925303</v>
      </c>
      <c r="AC17" s="425">
        <f t="shared" si="7"/>
        <v>923.69159346586491</v>
      </c>
      <c r="AD17" s="425">
        <f t="shared" si="8"/>
        <v>1043.03999096251</v>
      </c>
      <c r="AE17" s="425">
        <f t="shared" si="9"/>
        <v>965.2568412491994</v>
      </c>
      <c r="AF17" s="501">
        <v>0.156</v>
      </c>
      <c r="AG17" s="519">
        <v>116.98</v>
      </c>
      <c r="AH17" s="421">
        <f>+SUM(Efficiency2!K46:K47)</f>
        <v>59.323461937600001</v>
      </c>
      <c r="AI17" s="422">
        <f t="shared" si="21"/>
        <v>583.53785908594591</v>
      </c>
      <c r="AJ17" s="446">
        <f t="shared" si="22"/>
        <v>0.8952950192938236</v>
      </c>
      <c r="AK17" s="446">
        <f t="shared" si="23"/>
        <v>0.8513003779705649</v>
      </c>
    </row>
    <row r="18" spans="1:37" s="426" customFormat="1" ht="12.75" customHeight="1">
      <c r="A18" s="440">
        <f t="shared" si="10"/>
        <v>45971</v>
      </c>
      <c r="B18" s="598" t="s">
        <v>607</v>
      </c>
      <c r="C18" s="427" t="s">
        <v>550</v>
      </c>
      <c r="D18" s="420">
        <f>+'10'!F42</f>
        <v>1369.1666666666667</v>
      </c>
      <c r="E18" s="420">
        <f>+'10'!G42</f>
        <v>1090.0666666666666</v>
      </c>
      <c r="F18" s="48">
        <f t="shared" si="0"/>
        <v>0.20384662203286674</v>
      </c>
      <c r="G18" s="445">
        <f t="shared" si="11"/>
        <v>0.91808542650019731</v>
      </c>
      <c r="H18" s="441">
        <f t="shared" si="12"/>
        <v>0.91177973709570337</v>
      </c>
      <c r="I18" s="441">
        <f>+R18/P18</f>
        <v>0.89141154715430437</v>
      </c>
      <c r="J18" s="446">
        <f t="shared" si="14"/>
        <v>0.81277098610842591</v>
      </c>
      <c r="K18" s="446">
        <f t="shared" si="15"/>
        <v>0.84807128359991757</v>
      </c>
      <c r="L18" s="421">
        <f>+SUM(Efficiency1!K50:K51)</f>
        <v>53.37912</v>
      </c>
      <c r="M18" s="422">
        <f t="shared" si="16"/>
        <v>636.91697908594597</v>
      </c>
      <c r="N18" s="421">
        <f>+SUM(Efficiency1!C50:C51)</f>
        <v>53.012495999999999</v>
      </c>
      <c r="O18" s="422">
        <f t="shared" si="16"/>
        <v>609.47047235747505</v>
      </c>
      <c r="P18" s="577">
        <f>'10'!I38</f>
        <v>48.67</v>
      </c>
      <c r="Q18" s="422">
        <f t="shared" si="17"/>
        <v>567.79</v>
      </c>
      <c r="R18" s="13">
        <f>'10'!I40</f>
        <v>43.384999999999998</v>
      </c>
      <c r="S18" s="422">
        <f t="shared" si="18"/>
        <v>540.15100000000007</v>
      </c>
      <c r="T18" s="570">
        <f t="shared" si="1"/>
        <v>119.291</v>
      </c>
      <c r="U18" s="423">
        <f t="shared" si="19"/>
        <v>1326.133</v>
      </c>
      <c r="V18" s="425">
        <f t="shared" si="2"/>
        <v>2.4510170536264639</v>
      </c>
      <c r="W18" s="425">
        <f t="shared" si="3"/>
        <v>2.3356047130100919</v>
      </c>
      <c r="X18" s="421">
        <f t="shared" si="4"/>
        <v>2.749590872421344</v>
      </c>
      <c r="Y18" s="425">
        <f t="shared" si="5"/>
        <v>2.4551153288617438</v>
      </c>
      <c r="Z18" s="424">
        <f>'10'!I46</f>
        <v>54202.240000001431</v>
      </c>
      <c r="AA18" s="423">
        <f t="shared" si="20"/>
        <v>533709.02000000118</v>
      </c>
      <c r="AB18" s="425">
        <f t="shared" si="6"/>
        <v>1113.6683788781884</v>
      </c>
      <c r="AC18" s="425">
        <f t="shared" si="7"/>
        <v>939.97608270663659</v>
      </c>
      <c r="AD18" s="425">
        <f t="shared" si="8"/>
        <v>1249.3313357151419</v>
      </c>
      <c r="AE18" s="425">
        <f t="shared" si="9"/>
        <v>988.07374234242104</v>
      </c>
      <c r="AF18" s="501">
        <f>0.325</f>
        <v>0.32500000000000001</v>
      </c>
      <c r="AG18" s="519">
        <v>118.96599999999999</v>
      </c>
      <c r="AH18" s="421">
        <f>+SUM(Efficiency2!K50:K51)</f>
        <v>53.37912</v>
      </c>
      <c r="AI18" s="422">
        <f t="shared" si="21"/>
        <v>636.91697908594597</v>
      </c>
      <c r="AJ18" s="446">
        <f t="shared" si="22"/>
        <v>0.81277098610842591</v>
      </c>
      <c r="AK18" s="446">
        <f t="shared" si="23"/>
        <v>0.84807128359991757</v>
      </c>
    </row>
    <row r="19" spans="1:37" s="426" customFormat="1" ht="12.75" customHeight="1">
      <c r="A19" s="440">
        <f t="shared" si="10"/>
        <v>45972</v>
      </c>
      <c r="B19" s="598" t="s">
        <v>604</v>
      </c>
      <c r="C19" s="427" t="s">
        <v>621</v>
      </c>
      <c r="D19" s="420">
        <f>+'11'!F42</f>
        <v>1350</v>
      </c>
      <c r="E19" s="420">
        <f>+'11'!G42</f>
        <v>1080</v>
      </c>
      <c r="F19" s="48">
        <f t="shared" si="0"/>
        <v>0.19999999999999996</v>
      </c>
      <c r="G19" s="445">
        <f t="shared" si="11"/>
        <v>1.0269612766941827</v>
      </c>
      <c r="H19" s="441">
        <f t="shared" si="12"/>
        <v>1.0269612766941827</v>
      </c>
      <c r="I19" s="441">
        <f t="shared" si="13"/>
        <v>0.95094752051571796</v>
      </c>
      <c r="J19" s="446">
        <f t="shared" si="14"/>
        <v>0.97658627973798917</v>
      </c>
      <c r="K19" s="446">
        <f t="shared" si="15"/>
        <v>0.85786919159736896</v>
      </c>
      <c r="L19" s="421">
        <f>+Efficiency1!K55</f>
        <v>52.565759999999997</v>
      </c>
      <c r="M19" s="422">
        <f t="shared" si="16"/>
        <v>689.48273908594592</v>
      </c>
      <c r="N19" s="421">
        <f>+Efficiency1!C55</f>
        <v>52.565759999999997</v>
      </c>
      <c r="O19" s="422">
        <f t="shared" si="16"/>
        <v>662.036232357475</v>
      </c>
      <c r="P19" s="577">
        <f>'11'!I38</f>
        <v>53.982999999999997</v>
      </c>
      <c r="Q19" s="422">
        <f t="shared" si="17"/>
        <v>621.77299999999991</v>
      </c>
      <c r="R19" s="13">
        <f>'11'!I40</f>
        <v>51.335000000000001</v>
      </c>
      <c r="S19" s="422">
        <f t="shared" si="18"/>
        <v>591.4860000000001</v>
      </c>
      <c r="T19" s="570">
        <f t="shared" si="1"/>
        <v>122.351</v>
      </c>
      <c r="U19" s="423">
        <f t="shared" si="19"/>
        <v>1448.4839999999999</v>
      </c>
      <c r="V19" s="425">
        <f t="shared" si="2"/>
        <v>2.2664727784672953</v>
      </c>
      <c r="W19" s="425">
        <f t="shared" si="3"/>
        <v>2.3296026041658293</v>
      </c>
      <c r="X19" s="421">
        <f t="shared" si="4"/>
        <v>2.383383656374793</v>
      </c>
      <c r="Y19" s="425">
        <f t="shared" si="5"/>
        <v>2.448889745488481</v>
      </c>
      <c r="Z19" s="424">
        <f>'11'!I46</f>
        <v>54725.739999999161</v>
      </c>
      <c r="AA19" s="423">
        <f t="shared" si="20"/>
        <v>588434.76000000036</v>
      </c>
      <c r="AB19" s="425">
        <f t="shared" si="6"/>
        <v>1013.7587759109194</v>
      </c>
      <c r="AC19" s="425">
        <f t="shared" si="7"/>
        <v>946.38197541546583</v>
      </c>
      <c r="AD19" s="425">
        <f t="shared" si="8"/>
        <v>1066.0512321028375</v>
      </c>
      <c r="AE19" s="425">
        <f t="shared" si="9"/>
        <v>994.84139945831384</v>
      </c>
      <c r="AF19" s="501">
        <f>0.607</f>
        <v>0.60699999999999998</v>
      </c>
      <c r="AG19" s="519">
        <v>121.744</v>
      </c>
      <c r="AH19" s="421">
        <f>+Efficiency2!K55</f>
        <v>52.565759999999997</v>
      </c>
      <c r="AI19" s="422">
        <f t="shared" si="21"/>
        <v>689.48273908594592</v>
      </c>
      <c r="AJ19" s="446">
        <f t="shared" si="22"/>
        <v>0.97658627973798917</v>
      </c>
      <c r="AK19" s="446">
        <f t="shared" si="23"/>
        <v>0.85786919159736896</v>
      </c>
    </row>
    <row r="20" spans="1:37" s="426" customFormat="1" ht="12.75" customHeight="1">
      <c r="A20" s="440">
        <f t="shared" si="10"/>
        <v>45973</v>
      </c>
      <c r="B20" s="598" t="s">
        <v>604</v>
      </c>
      <c r="C20" s="427" t="s">
        <v>635</v>
      </c>
      <c r="D20" s="420">
        <f>+'12'!F42</f>
        <v>1307.2916666666667</v>
      </c>
      <c r="E20" s="420">
        <f>+'12'!G42</f>
        <v>1045.8333333333333</v>
      </c>
      <c r="F20" s="48">
        <f t="shared" si="0"/>
        <v>0.20000000000000007</v>
      </c>
      <c r="G20" s="445">
        <f t="shared" si="11"/>
        <v>1.0076313254983924</v>
      </c>
      <c r="H20" s="441">
        <f t="shared" si="12"/>
        <v>0.97406726101398566</v>
      </c>
      <c r="I20" s="441">
        <f t="shared" si="13"/>
        <v>0.87101742572129581</v>
      </c>
      <c r="J20" s="446">
        <f t="shared" si="14"/>
        <v>0.84842955816779531</v>
      </c>
      <c r="K20" s="446">
        <f t="shared" si="15"/>
        <v>0.85714462169701267</v>
      </c>
      <c r="L20" s="421">
        <f>+SUM(Efficiency1!K60:K62)</f>
        <v>57.32355683720931</v>
      </c>
      <c r="M20" s="422">
        <f t="shared" si="16"/>
        <v>746.80629592315518</v>
      </c>
      <c r="N20" s="421">
        <f>+SUM(Efficiency1!C60:C62)</f>
        <v>55.414116837209306</v>
      </c>
      <c r="O20" s="422">
        <f t="shared" si="16"/>
        <v>717.45034919468435</v>
      </c>
      <c r="P20" s="577">
        <f>'12'!I38</f>
        <v>55.837000000000003</v>
      </c>
      <c r="Q20" s="422">
        <f t="shared" si="17"/>
        <v>677.6099999999999</v>
      </c>
      <c r="R20" s="13">
        <f>'12'!I40</f>
        <v>48.634999999999998</v>
      </c>
      <c r="S20" s="422">
        <f t="shared" si="18"/>
        <v>640.12100000000009</v>
      </c>
      <c r="T20" s="570">
        <f t="shared" si="1"/>
        <v>122.351</v>
      </c>
      <c r="U20" s="423">
        <f t="shared" si="19"/>
        <v>1570.835</v>
      </c>
      <c r="V20" s="425">
        <f t="shared" si="2"/>
        <v>2.1912172931926857</v>
      </c>
      <c r="W20" s="425">
        <f t="shared" si="3"/>
        <v>2.3181992591608744</v>
      </c>
      <c r="X20" s="421">
        <f t="shared" si="4"/>
        <v>2.5156985709879716</v>
      </c>
      <c r="Y20" s="425">
        <f t="shared" si="5"/>
        <v>2.4539657346033015</v>
      </c>
      <c r="Z20" s="424">
        <f>'12'!I46</f>
        <v>54775.660000000287</v>
      </c>
      <c r="AA20" s="423">
        <f t="shared" si="20"/>
        <v>643210.42000000062</v>
      </c>
      <c r="AB20" s="425">
        <f t="shared" si="6"/>
        <v>980.99217364830281</v>
      </c>
      <c r="AC20" s="425">
        <f t="shared" si="7"/>
        <v>949.23395463467295</v>
      </c>
      <c r="AD20" s="425">
        <f t="shared" si="8"/>
        <v>1126.2601007504943</v>
      </c>
      <c r="AE20" s="425">
        <f t="shared" si="9"/>
        <v>1004.8263062764704</v>
      </c>
      <c r="AF20" s="501">
        <f>0.607</f>
        <v>0.60699999999999998</v>
      </c>
      <c r="AG20" s="519">
        <v>121.744</v>
      </c>
      <c r="AH20" s="421">
        <f>+SUM(Efficiency2!K60:K62)</f>
        <v>57.32355683720931</v>
      </c>
      <c r="AI20" s="422">
        <f t="shared" si="21"/>
        <v>746.80629592315518</v>
      </c>
      <c r="AJ20" s="446">
        <f t="shared" si="22"/>
        <v>0.84842955816779531</v>
      </c>
      <c r="AK20" s="446">
        <f t="shared" si="23"/>
        <v>0.85714462169701267</v>
      </c>
    </row>
    <row r="21" spans="1:37" s="426" customFormat="1" ht="12.75" customHeight="1">
      <c r="A21" s="440">
        <f t="shared" si="10"/>
        <v>45974</v>
      </c>
      <c r="B21" s="598" t="s">
        <v>656</v>
      </c>
      <c r="C21" s="427" t="s">
        <v>657</v>
      </c>
      <c r="D21" s="420">
        <f>+'13'!F42</f>
        <v>1271.3914373088685</v>
      </c>
      <c r="E21" s="420">
        <f>+'13'!G42</f>
        <v>986.47461773700297</v>
      </c>
      <c r="F21" s="48">
        <f t="shared" si="0"/>
        <v>0.22409842571768757</v>
      </c>
      <c r="G21" s="445">
        <f t="shared" si="11"/>
        <v>0.71773277259096802</v>
      </c>
      <c r="H21" s="441">
        <f t="shared" si="12"/>
        <v>0.58068342581764099</v>
      </c>
      <c r="I21" s="441">
        <f t="shared" si="13"/>
        <v>1.1577545746980962</v>
      </c>
      <c r="J21" s="446">
        <f t="shared" si="14"/>
        <v>0.67228889269173642</v>
      </c>
      <c r="K21" s="446">
        <f t="shared" si="15"/>
        <v>0.84227804902218284</v>
      </c>
      <c r="L21" s="421">
        <f>+SUM(Efficiency1!K64:K66)</f>
        <v>65.312695892082104</v>
      </c>
      <c r="M21" s="422">
        <f t="shared" si="16"/>
        <v>812.11899181523722</v>
      </c>
      <c r="N21" s="421">
        <f>+SUM(Efficiency1!C64:C66)</f>
        <v>52.841393689032259</v>
      </c>
      <c r="O21" s="422">
        <f t="shared" si="16"/>
        <v>770.29174288371655</v>
      </c>
      <c r="P21" s="577">
        <f>'13'!I38</f>
        <v>37.926000000000002</v>
      </c>
      <c r="Q21" s="422">
        <f t="shared" si="17"/>
        <v>715.53599999999994</v>
      </c>
      <c r="R21" s="13">
        <f>'13'!I40</f>
        <v>43.908999999999999</v>
      </c>
      <c r="S21" s="422">
        <f t="shared" si="18"/>
        <v>684.03000000000009</v>
      </c>
      <c r="T21" s="570">
        <f t="shared" si="1"/>
        <v>95.803999999999988</v>
      </c>
      <c r="U21" s="423">
        <f t="shared" si="19"/>
        <v>1666.6390000000001</v>
      </c>
      <c r="V21" s="425">
        <f t="shared" si="2"/>
        <v>2.5260770975056683</v>
      </c>
      <c r="W21" s="425">
        <f t="shared" si="3"/>
        <v>2.3292175376221467</v>
      </c>
      <c r="X21" s="421">
        <f t="shared" si="4"/>
        <v>2.1818761529526975</v>
      </c>
      <c r="Y21" s="425">
        <f t="shared" si="5"/>
        <v>2.4364998611172024</v>
      </c>
      <c r="Z21" s="424">
        <f>'13'!I46</f>
        <v>38587.499999998719</v>
      </c>
      <c r="AA21" s="423">
        <f t="shared" si="20"/>
        <v>681797.91999999934</v>
      </c>
      <c r="AB21" s="425">
        <f t="shared" si="6"/>
        <v>1017.4418604650825</v>
      </c>
      <c r="AC21" s="425">
        <f t="shared" si="7"/>
        <v>952.84922072404379</v>
      </c>
      <c r="AD21" s="425">
        <f t="shared" si="8"/>
        <v>878.80616730052429</v>
      </c>
      <c r="AE21" s="425">
        <f t="shared" si="9"/>
        <v>996.73686826601056</v>
      </c>
      <c r="AF21" s="501">
        <f>0.198</f>
        <v>0.19800000000000001</v>
      </c>
      <c r="AG21" s="519">
        <v>95.605999999999995</v>
      </c>
      <c r="AH21" s="421">
        <f>+SUM(Efficiency2!K64:K66)</f>
        <v>65.312695892082104</v>
      </c>
      <c r="AI21" s="422">
        <f t="shared" si="21"/>
        <v>812.11899181523722</v>
      </c>
      <c r="AJ21" s="446">
        <f t="shared" si="22"/>
        <v>0.67228889269173642</v>
      </c>
      <c r="AK21" s="446">
        <f t="shared" si="23"/>
        <v>0.84227804902218284</v>
      </c>
    </row>
    <row r="22" spans="1:37" s="426" customFormat="1" ht="12.75" customHeight="1">
      <c r="A22" s="440">
        <f t="shared" si="10"/>
        <v>45975</v>
      </c>
      <c r="B22" s="427" t="s">
        <v>517</v>
      </c>
      <c r="C22" s="427" t="s">
        <v>675</v>
      </c>
      <c r="D22" s="420">
        <f>+'14'!F42</f>
        <v>1439.2916666666667</v>
      </c>
      <c r="E22" s="420">
        <f>+'14'!G42</f>
        <v>1093.8616666666667</v>
      </c>
      <c r="F22" s="48">
        <f t="shared" si="0"/>
        <v>0.24</v>
      </c>
      <c r="G22" s="445">
        <f t="shared" si="11"/>
        <v>0.99483674718482684</v>
      </c>
      <c r="H22" s="441">
        <f t="shared" si="12"/>
        <v>0.84152636129934177</v>
      </c>
      <c r="I22" s="441">
        <f t="shared" si="13"/>
        <v>0.91230013944870003</v>
      </c>
      <c r="J22" s="446">
        <f t="shared" si="14"/>
        <v>0.76772461676314663</v>
      </c>
      <c r="K22" s="446">
        <f t="shared" si="15"/>
        <v>0.83697366671648032</v>
      </c>
      <c r="L22" s="421">
        <f>+SUM(Efficiency1!K70:K71)</f>
        <v>62.207201589230777</v>
      </c>
      <c r="M22" s="422">
        <f t="shared" si="16"/>
        <v>874.32619340446797</v>
      </c>
      <c r="N22" s="421">
        <f>+SUM(Efficiency1!C70:C71)</f>
        <v>52.62069394615385</v>
      </c>
      <c r="O22" s="422">
        <f t="shared" si="16"/>
        <v>822.91243682987044</v>
      </c>
      <c r="P22" s="577">
        <f>'14'!I38</f>
        <v>52.349000000000004</v>
      </c>
      <c r="Q22" s="422">
        <f t="shared" si="17"/>
        <v>767.88499999999999</v>
      </c>
      <c r="R22" s="13">
        <f>'14'!I40</f>
        <v>47.758000000000003</v>
      </c>
      <c r="S22" s="422">
        <f t="shared" si="18"/>
        <v>731.78800000000012</v>
      </c>
      <c r="T22" s="570">
        <f t="shared" si="1"/>
        <v>115.551</v>
      </c>
      <c r="U22" s="423">
        <f t="shared" si="19"/>
        <v>1782.19</v>
      </c>
      <c r="V22" s="425">
        <f t="shared" si="2"/>
        <v>2.2073201016256281</v>
      </c>
      <c r="W22" s="425">
        <f t="shared" si="3"/>
        <v>2.3209074275444892</v>
      </c>
      <c r="X22" s="421">
        <f t="shared" si="4"/>
        <v>2.41951086728925</v>
      </c>
      <c r="Y22" s="425">
        <f t="shared" si="5"/>
        <v>2.4353911242053705</v>
      </c>
      <c r="Z22" s="424">
        <f>'14'!I46</f>
        <v>45479.37999999991</v>
      </c>
      <c r="AA22" s="423">
        <f t="shared" si="20"/>
        <v>727277.29999999923</v>
      </c>
      <c r="AB22" s="425">
        <f t="shared" si="6"/>
        <v>868.7726604137597</v>
      </c>
      <c r="AC22" s="425">
        <f t="shared" si="7"/>
        <v>947.11747201729327</v>
      </c>
      <c r="AD22" s="425">
        <f t="shared" si="8"/>
        <v>952.28820302357531</v>
      </c>
      <c r="AE22" s="425">
        <f t="shared" si="9"/>
        <v>993.83605634418598</v>
      </c>
      <c r="AF22" s="501">
        <f>0.135</f>
        <v>0.13500000000000001</v>
      </c>
      <c r="AG22" s="519">
        <v>115.416</v>
      </c>
      <c r="AH22" s="421">
        <f>+SUM(Efficiency2!K70:K71)</f>
        <v>62.207201589230777</v>
      </c>
      <c r="AI22" s="422">
        <f t="shared" si="21"/>
        <v>874.32619340446797</v>
      </c>
      <c r="AJ22" s="446">
        <f t="shared" si="22"/>
        <v>0.76772461676314663</v>
      </c>
      <c r="AK22" s="446">
        <f t="shared" si="23"/>
        <v>0.83697366671648032</v>
      </c>
    </row>
    <row r="23" spans="1:37" s="426" customFormat="1" ht="12.75" customHeight="1">
      <c r="A23" s="440">
        <f t="shared" si="10"/>
        <v>45976</v>
      </c>
      <c r="B23" s="427" t="s">
        <v>517</v>
      </c>
      <c r="C23" s="427" t="s">
        <v>702</v>
      </c>
      <c r="D23" s="420">
        <f>+'15'!F42</f>
        <v>1539.9027777777778</v>
      </c>
      <c r="E23" s="420">
        <f>+'15'!G42</f>
        <v>1170.3261111111112</v>
      </c>
      <c r="F23" s="48">
        <f t="shared" si="0"/>
        <v>0.24</v>
      </c>
      <c r="G23" s="445">
        <f t="shared" si="11"/>
        <v>0.94613217131240568</v>
      </c>
      <c r="H23" s="441">
        <f t="shared" si="12"/>
        <v>0.85702955468683939</v>
      </c>
      <c r="I23" s="441">
        <f t="shared" si="13"/>
        <v>0.91411235075357211</v>
      </c>
      <c r="J23" s="446">
        <f t="shared" si="14"/>
        <v>0.78342130090007389</v>
      </c>
      <c r="K23" s="446">
        <f t="shared" si="15"/>
        <v>0.83355544507008072</v>
      </c>
      <c r="L23" s="421">
        <f>+SUM(Efficiency1!K75:K76)</f>
        <v>59.612880000000004</v>
      </c>
      <c r="M23" s="422">
        <f t="shared" si="16"/>
        <v>933.93907340446799</v>
      </c>
      <c r="N23" s="421">
        <f>+SUM(Efficiency1!C75:C76)</f>
        <v>53.998798000000008</v>
      </c>
      <c r="O23" s="422">
        <f t="shared" si="16"/>
        <v>876.91123482987041</v>
      </c>
      <c r="P23" s="577">
        <f>'15'!I38</f>
        <v>51.089999999999996</v>
      </c>
      <c r="Q23" s="422">
        <f t="shared" si="17"/>
        <v>818.97500000000002</v>
      </c>
      <c r="R23" s="13">
        <f>'15'!I40</f>
        <v>46.701999999999998</v>
      </c>
      <c r="S23" s="422">
        <f t="shared" si="18"/>
        <v>778.49000000000012</v>
      </c>
      <c r="T23" s="570">
        <f t="shared" si="1"/>
        <v>120.89399999999999</v>
      </c>
      <c r="U23" s="423">
        <f t="shared" si="19"/>
        <v>1903.0840000000001</v>
      </c>
      <c r="V23" s="425">
        <f t="shared" si="2"/>
        <v>2.3662947739283617</v>
      </c>
      <c r="W23" s="425">
        <f t="shared" si="3"/>
        <v>2.3237388198662963</v>
      </c>
      <c r="X23" s="421">
        <f t="shared" si="4"/>
        <v>2.5886257547856624</v>
      </c>
      <c r="Y23" s="425">
        <f t="shared" si="5"/>
        <v>2.4445837454559465</v>
      </c>
      <c r="Z23" s="424">
        <f>'15'!I46</f>
        <v>51429.520000001474</v>
      </c>
      <c r="AA23" s="423">
        <f t="shared" si="20"/>
        <v>778706.82000000076</v>
      </c>
      <c r="AB23" s="425">
        <f t="shared" si="6"/>
        <v>1006.6455275005184</v>
      </c>
      <c r="AC23" s="425">
        <f t="shared" si="7"/>
        <v>950.83100216734431</v>
      </c>
      <c r="AD23" s="425">
        <f t="shared" si="8"/>
        <v>1101.2273564301631</v>
      </c>
      <c r="AE23" s="425">
        <f t="shared" si="9"/>
        <v>1000.2785135326088</v>
      </c>
      <c r="AF23" s="501">
        <f>0.136</f>
        <v>0.13600000000000001</v>
      </c>
      <c r="AG23" s="519">
        <v>120.758</v>
      </c>
      <c r="AH23" s="421">
        <f>+SUM(Efficiency2!K75:K76)</f>
        <v>59.612880000000004</v>
      </c>
      <c r="AI23" s="422">
        <f t="shared" si="21"/>
        <v>933.93907340446799</v>
      </c>
      <c r="AJ23" s="446">
        <f t="shared" si="22"/>
        <v>0.78342130090007389</v>
      </c>
      <c r="AK23" s="446">
        <f t="shared" si="23"/>
        <v>0.83355544507008072</v>
      </c>
    </row>
    <row r="24" spans="1:37" s="426" customFormat="1" ht="12.75" customHeight="1">
      <c r="A24" s="440">
        <f t="shared" si="10"/>
        <v>45977</v>
      </c>
      <c r="B24" s="427" t="s">
        <v>517</v>
      </c>
      <c r="C24" s="427" t="s">
        <v>550</v>
      </c>
      <c r="D24" s="420">
        <f>+'16'!F42</f>
        <v>1547</v>
      </c>
      <c r="E24" s="420">
        <f>+'16'!G42</f>
        <v>1175.8</v>
      </c>
      <c r="F24" s="48">
        <f t="shared" si="0"/>
        <v>0.23994828700711057</v>
      </c>
      <c r="G24" s="445">
        <f t="shared" si="11"/>
        <v>0.98590108475017613</v>
      </c>
      <c r="H24" s="441">
        <f t="shared" si="12"/>
        <v>0.89727034935726724</v>
      </c>
      <c r="I24" s="441">
        <f t="shared" si="13"/>
        <v>0.95515525819179969</v>
      </c>
      <c r="J24" s="446">
        <f t="shared" si="14"/>
        <v>0.85703249220818689</v>
      </c>
      <c r="K24" s="446">
        <f t="shared" si="15"/>
        <v>0.83508227615301722</v>
      </c>
      <c r="L24" s="421">
        <f>+SUM(Efficiency1!K79:K80)</f>
        <v>64.963697999999994</v>
      </c>
      <c r="M24" s="422">
        <f t="shared" si="16"/>
        <v>998.90277140446801</v>
      </c>
      <c r="N24" s="421">
        <f>+SUM(Efficiency1!C79:C80)</f>
        <v>59.12357832</v>
      </c>
      <c r="O24" s="422">
        <f t="shared" si="16"/>
        <v>936.03481314987039</v>
      </c>
      <c r="P24" s="577">
        <f>'16'!I38</f>
        <v>58.29</v>
      </c>
      <c r="Q24" s="422">
        <f t="shared" si="17"/>
        <v>877.26499999999999</v>
      </c>
      <c r="R24" s="13">
        <f>'16'!I40</f>
        <v>55.676000000000002</v>
      </c>
      <c r="S24" s="422">
        <f t="shared" si="18"/>
        <v>834.16600000000017</v>
      </c>
      <c r="T24" s="570">
        <f t="shared" si="1"/>
        <v>124.68400000000001</v>
      </c>
      <c r="U24" s="423">
        <f t="shared" si="19"/>
        <v>2027.768</v>
      </c>
      <c r="V24" s="425">
        <f t="shared" si="2"/>
        <v>2.1390289929662036</v>
      </c>
      <c r="W24" s="425">
        <f t="shared" si="3"/>
        <v>2.3114657486620351</v>
      </c>
      <c r="X24" s="421">
        <f t="shared" si="4"/>
        <v>2.2394568575328688</v>
      </c>
      <c r="Y24" s="425">
        <f t="shared" si="5"/>
        <v>2.4308926520620591</v>
      </c>
      <c r="Z24" s="424">
        <f>'16'!I46</f>
        <v>47404.820000000851</v>
      </c>
      <c r="AA24" s="423">
        <f t="shared" si="20"/>
        <v>826111.64000000164</v>
      </c>
      <c r="AB24" s="425">
        <f t="shared" si="6"/>
        <v>813.25819179963719</v>
      </c>
      <c r="AC24" s="425">
        <f t="shared" si="7"/>
        <v>941.68995685454411</v>
      </c>
      <c r="AD24" s="425">
        <f t="shared" si="8"/>
        <v>851.44083626698853</v>
      </c>
      <c r="AE24" s="425">
        <f t="shared" si="9"/>
        <v>990.34441585967477</v>
      </c>
      <c r="AF24" s="501">
        <f>0.135</f>
        <v>0.13500000000000001</v>
      </c>
      <c r="AG24" s="519">
        <v>124.54900000000001</v>
      </c>
      <c r="AH24" s="421">
        <f>+SUM(Efficiency2!K79:K80)</f>
        <v>64.963697999999994</v>
      </c>
      <c r="AI24" s="422">
        <f t="shared" si="21"/>
        <v>998.90277140446801</v>
      </c>
      <c r="AJ24" s="446">
        <f t="shared" si="22"/>
        <v>0.85703249220818689</v>
      </c>
      <c r="AK24" s="446">
        <f t="shared" si="23"/>
        <v>0.83508227615301722</v>
      </c>
    </row>
    <row r="25" spans="1:37" s="426" customFormat="1" ht="12.75" customHeight="1">
      <c r="A25" s="440">
        <f t="shared" si="10"/>
        <v>45978</v>
      </c>
      <c r="B25" s="427" t="s">
        <v>517</v>
      </c>
      <c r="C25" s="462" t="s">
        <v>725</v>
      </c>
      <c r="D25" s="420">
        <f>+'17'!F42</f>
        <v>1572.6430298146656</v>
      </c>
      <c r="E25" s="420">
        <f>+'17'!G42</f>
        <v>1195.208702659146</v>
      </c>
      <c r="F25" s="48">
        <f t="shared" si="0"/>
        <v>0.24</v>
      </c>
      <c r="G25" s="445">
        <f t="shared" si="11"/>
        <v>0.82797081383684645</v>
      </c>
      <c r="H25" s="441">
        <f t="shared" si="12"/>
        <v>0.76169036126566703</v>
      </c>
      <c r="I25" s="441">
        <f t="shared" si="13"/>
        <v>0.95582583723974823</v>
      </c>
      <c r="J25" s="446">
        <f t="shared" si="14"/>
        <v>0.7280433272742024</v>
      </c>
      <c r="K25" s="446">
        <f t="shared" si="15"/>
        <v>0.82881022538247362</v>
      </c>
      <c r="L25" s="421">
        <f>+SUM(Efficiency1!K83:K84)</f>
        <v>62.174871060869563</v>
      </c>
      <c r="M25" s="422">
        <f t="shared" si="16"/>
        <v>1061.0776424653375</v>
      </c>
      <c r="N25" s="421">
        <f>+SUM(Efficiency1!C83:C84)</f>
        <v>57.197668333913043</v>
      </c>
      <c r="O25" s="422">
        <f t="shared" si="16"/>
        <v>993.23248148378343</v>
      </c>
      <c r="P25" s="577">
        <f>'17'!I38</f>
        <v>47.358000000000004</v>
      </c>
      <c r="Q25" s="422">
        <f t="shared" si="17"/>
        <v>924.62300000000005</v>
      </c>
      <c r="R25" s="13">
        <f>'17'!I40</f>
        <v>45.265999999999998</v>
      </c>
      <c r="S25" s="422">
        <f t="shared" si="18"/>
        <v>879.43200000000013</v>
      </c>
      <c r="T25" s="570">
        <f t="shared" si="1"/>
        <v>111.85</v>
      </c>
      <c r="U25" s="423">
        <f t="shared" si="19"/>
        <v>2139.6179999999999</v>
      </c>
      <c r="V25" s="425">
        <f t="shared" si="2"/>
        <v>2.3617973731998814</v>
      </c>
      <c r="W25" s="425">
        <f t="shared" si="3"/>
        <v>2.3140436696902413</v>
      </c>
      <c r="X25" s="421">
        <f t="shared" si="4"/>
        <v>2.4709494985198606</v>
      </c>
      <c r="Y25" s="425">
        <f t="shared" si="5"/>
        <v>2.4329544524192883</v>
      </c>
      <c r="Z25" s="424">
        <f>'17'!I46</f>
        <v>48979.060000000165</v>
      </c>
      <c r="AA25" s="423">
        <f t="shared" si="20"/>
        <v>875090.70000000182</v>
      </c>
      <c r="AB25" s="425">
        <f t="shared" si="6"/>
        <v>1034.2299083576199</v>
      </c>
      <c r="AC25" s="425">
        <f t="shared" si="7"/>
        <v>946.42973406458827</v>
      </c>
      <c r="AD25" s="425">
        <f t="shared" si="8"/>
        <v>1082.0275703618647</v>
      </c>
      <c r="AE25" s="425">
        <f t="shared" si="9"/>
        <v>995.06351827088588</v>
      </c>
      <c r="AF25" s="501">
        <f>0.127</f>
        <v>0.127</v>
      </c>
      <c r="AG25" s="519">
        <v>111.723</v>
      </c>
      <c r="AH25" s="421">
        <f>+SUM(Efficiency2!K83:K84)</f>
        <v>62.174871060869563</v>
      </c>
      <c r="AI25" s="422">
        <f t="shared" si="21"/>
        <v>1061.0776424653375</v>
      </c>
      <c r="AJ25" s="446">
        <f t="shared" si="22"/>
        <v>0.7280433272742024</v>
      </c>
      <c r="AK25" s="446">
        <f t="shared" si="23"/>
        <v>0.82881022538247362</v>
      </c>
    </row>
    <row r="26" spans="1:37" s="426" customFormat="1" ht="12.75" customHeight="1">
      <c r="A26" s="440">
        <f t="shared" si="10"/>
        <v>45979</v>
      </c>
      <c r="B26" s="427" t="s">
        <v>517</v>
      </c>
      <c r="C26" s="427" t="s">
        <v>550</v>
      </c>
      <c r="D26" s="420">
        <f>+'18'!F42</f>
        <v>1608.6614173228347</v>
      </c>
      <c r="E26" s="420">
        <f>+'18'!G42</f>
        <v>1222.5826771653544</v>
      </c>
      <c r="F26" s="48">
        <f t="shared" si="0"/>
        <v>0.24</v>
      </c>
      <c r="G26" s="445">
        <f t="shared" si="11"/>
        <v>0.83271914285511639</v>
      </c>
      <c r="H26" s="441">
        <f t="shared" si="12"/>
        <v>0.78933403102253441</v>
      </c>
      <c r="I26" s="441">
        <f t="shared" si="13"/>
        <v>0.8892455230453078</v>
      </c>
      <c r="J26" s="446">
        <f t="shared" si="14"/>
        <v>0.70191175327409483</v>
      </c>
      <c r="K26" s="446">
        <f t="shared" si="15"/>
        <v>0.82151381775490562</v>
      </c>
      <c r="L26" s="421">
        <f>+SUM(Efficiency1!K89:K90)</f>
        <v>64.731784000000005</v>
      </c>
      <c r="M26" s="422">
        <f t="shared" si="16"/>
        <v>1125.8094264653375</v>
      </c>
      <c r="N26" s="421">
        <f>+SUM(Efficiency1!C89:C90)</f>
        <v>61.359223500990112</v>
      </c>
      <c r="O26" s="422">
        <f t="shared" si="16"/>
        <v>1054.5917049847735</v>
      </c>
      <c r="P26" s="577">
        <f>'18'!I38</f>
        <v>51.094999999999999</v>
      </c>
      <c r="Q26" s="422">
        <f t="shared" si="17"/>
        <v>975.71800000000007</v>
      </c>
      <c r="R26" s="13">
        <f>'18'!I40</f>
        <v>45.436</v>
      </c>
      <c r="S26" s="422">
        <f t="shared" si="18"/>
        <v>924.86800000000017</v>
      </c>
      <c r="T26" s="570">
        <f t="shared" si="1"/>
        <v>123.029</v>
      </c>
      <c r="U26" s="423">
        <f t="shared" si="19"/>
        <v>2262.6469999999999</v>
      </c>
      <c r="V26" s="425">
        <f t="shared" si="2"/>
        <v>2.4078481260397298</v>
      </c>
      <c r="W26" s="425">
        <f t="shared" si="3"/>
        <v>2.3189558868443543</v>
      </c>
      <c r="X26" s="421">
        <f t="shared" si="4"/>
        <v>2.7077427590456904</v>
      </c>
      <c r="Y26" s="425">
        <f t="shared" si="5"/>
        <v>2.4464539804599137</v>
      </c>
      <c r="Z26" s="424">
        <f>'18'!I46</f>
        <v>50933.880000000092</v>
      </c>
      <c r="AA26" s="423">
        <f t="shared" si="20"/>
        <v>926024.58000000194</v>
      </c>
      <c r="AB26" s="425">
        <f t="shared" si="6"/>
        <v>996.84665818573421</v>
      </c>
      <c r="AC26" s="425">
        <f t="shared" si="7"/>
        <v>949.06989519513002</v>
      </c>
      <c r="AD26" s="425">
        <f t="shared" si="8"/>
        <v>1121.0027291134802</v>
      </c>
      <c r="AE26" s="425">
        <f t="shared" si="9"/>
        <v>1001.2505352115134</v>
      </c>
      <c r="AF26" s="501">
        <f>0.383</f>
        <v>0.38300000000000001</v>
      </c>
      <c r="AG26" s="519">
        <v>122.646</v>
      </c>
      <c r="AH26" s="421">
        <f>+SUM(Efficiency2!K89:K90)</f>
        <v>64.731784000000005</v>
      </c>
      <c r="AI26" s="422">
        <f t="shared" si="21"/>
        <v>1125.8094264653375</v>
      </c>
      <c r="AJ26" s="446">
        <f t="shared" si="22"/>
        <v>0.70191175327409483</v>
      </c>
      <c r="AK26" s="446">
        <f t="shared" si="23"/>
        <v>0.82151381775490562</v>
      </c>
    </row>
    <row r="27" spans="1:37" s="426" customFormat="1" ht="12.75" customHeight="1">
      <c r="A27" s="440">
        <f t="shared" si="10"/>
        <v>45980</v>
      </c>
      <c r="B27" s="427" t="s">
        <v>517</v>
      </c>
      <c r="C27" s="462" t="s">
        <v>621</v>
      </c>
      <c r="D27" s="420">
        <f>+'19'!F42</f>
        <v>1683.3333333333333</v>
      </c>
      <c r="E27" s="420">
        <f>+'19'!G42</f>
        <v>1279.3333333333333</v>
      </c>
      <c r="F27" s="48">
        <f t="shared" si="0"/>
        <v>0.24</v>
      </c>
      <c r="G27" s="445">
        <f t="shared" si="11"/>
        <v>0.98247500387095177</v>
      </c>
      <c r="H27" s="441">
        <f t="shared" si="12"/>
        <v>0.97284289598986373</v>
      </c>
      <c r="I27" s="441">
        <f t="shared" si="13"/>
        <v>0.97989062500000002</v>
      </c>
      <c r="J27" s="446">
        <f t="shared" si="14"/>
        <v>0.95327963337831756</v>
      </c>
      <c r="K27" s="446">
        <f t="shared" si="15"/>
        <v>0.82878844894484371</v>
      </c>
      <c r="L27" s="421">
        <f>+Efficiency1!K96</f>
        <v>65.786572800000002</v>
      </c>
      <c r="M27" s="422">
        <f t="shared" si="16"/>
        <v>1191.5959992653375</v>
      </c>
      <c r="N27" s="421">
        <f>+Efficiency1!C96</f>
        <v>65.141606399999986</v>
      </c>
      <c r="O27" s="422">
        <f t="shared" si="16"/>
        <v>1119.7333113847735</v>
      </c>
      <c r="P27" s="577">
        <f>'19'!I38</f>
        <v>64</v>
      </c>
      <c r="Q27" s="422">
        <f t="shared" si="17"/>
        <v>1039.7180000000001</v>
      </c>
      <c r="R27" s="13">
        <f>'19'!I40</f>
        <v>62.713000000000001</v>
      </c>
      <c r="S27" s="422">
        <f t="shared" si="18"/>
        <v>987.58100000000013</v>
      </c>
      <c r="T27" s="570">
        <f t="shared" si="1"/>
        <v>136.767</v>
      </c>
      <c r="U27" s="423">
        <f t="shared" si="19"/>
        <v>2399.4139999999998</v>
      </c>
      <c r="V27" s="425">
        <f t="shared" si="2"/>
        <v>2.1369843749999999</v>
      </c>
      <c r="W27" s="425">
        <f t="shared" si="3"/>
        <v>2.3077546026903444</v>
      </c>
      <c r="X27" s="421">
        <f t="shared" si="4"/>
        <v>2.1808396983081657</v>
      </c>
      <c r="Y27" s="425">
        <f t="shared" si="5"/>
        <v>2.4295870414679905</v>
      </c>
      <c r="Z27" s="424">
        <f>'19'!I46</f>
        <v>55795.99999999869</v>
      </c>
      <c r="AA27" s="423">
        <f t="shared" si="20"/>
        <v>981820.58000000066</v>
      </c>
      <c r="AB27" s="425">
        <f t="shared" si="6"/>
        <v>871.81249999997954</v>
      </c>
      <c r="AC27" s="425">
        <f t="shared" si="7"/>
        <v>944.31430445563183</v>
      </c>
      <c r="AD27" s="425">
        <f t="shared" si="8"/>
        <v>889.70388914577029</v>
      </c>
      <c r="AE27" s="425">
        <f t="shared" si="9"/>
        <v>994.16714173318496</v>
      </c>
      <c r="AF27" s="501">
        <v>0.35099999999999998</v>
      </c>
      <c r="AG27" s="519">
        <v>136.416</v>
      </c>
      <c r="AH27" s="421">
        <f>+Efficiency2!K96</f>
        <v>65.786572800000002</v>
      </c>
      <c r="AI27" s="422">
        <f t="shared" si="21"/>
        <v>1191.5959992653375</v>
      </c>
      <c r="AJ27" s="446">
        <f t="shared" si="22"/>
        <v>0.95327963337831756</v>
      </c>
      <c r="AK27" s="446">
        <f t="shared" si="23"/>
        <v>0.82878844894484371</v>
      </c>
    </row>
    <row r="28" spans="1:37" s="426" customFormat="1" ht="12.75" customHeight="1">
      <c r="A28" s="440">
        <f t="shared" si="10"/>
        <v>45981</v>
      </c>
      <c r="B28" s="427" t="s">
        <v>517</v>
      </c>
      <c r="C28" s="462" t="s">
        <v>621</v>
      </c>
      <c r="D28" s="420">
        <f>+'20'!F42</f>
        <v>1626.6666666666667</v>
      </c>
      <c r="E28" s="420">
        <f>+'20'!G42</f>
        <v>1236.2666666666667</v>
      </c>
      <c r="F28" s="48">
        <f t="shared" si="0"/>
        <v>0.24</v>
      </c>
      <c r="G28" s="445">
        <f t="shared" si="11"/>
        <v>0.92283051044387365</v>
      </c>
      <c r="H28" s="441">
        <f t="shared" si="12"/>
        <v>0.88302213548354958</v>
      </c>
      <c r="I28" s="441">
        <f t="shared" si="13"/>
        <v>0.99352739667074075</v>
      </c>
      <c r="J28" s="446">
        <f t="shared" si="14"/>
        <v>0.87730668346960916</v>
      </c>
      <c r="K28" s="446">
        <f t="shared" si="15"/>
        <v>0.83132693519286616</v>
      </c>
      <c r="L28" s="421">
        <f>+Efficiency1!K101</f>
        <v>65.786572800000002</v>
      </c>
      <c r="M28" s="422">
        <f t="shared" si="16"/>
        <v>1257.3825720653374</v>
      </c>
      <c r="N28" s="421">
        <f>+Efficiency1!C101</f>
        <v>62.948720639999998</v>
      </c>
      <c r="O28" s="422">
        <f t="shared" si="16"/>
        <v>1182.6820320247734</v>
      </c>
      <c r="P28" s="577">
        <f>'20'!I38</f>
        <v>58.091000000000001</v>
      </c>
      <c r="Q28" s="422">
        <f t="shared" si="17"/>
        <v>1097.809</v>
      </c>
      <c r="R28" s="13">
        <f>'20'!I40</f>
        <v>57.715000000000003</v>
      </c>
      <c r="S28" s="422">
        <f t="shared" si="18"/>
        <v>1045.296</v>
      </c>
      <c r="T28" s="570">
        <f t="shared" si="1"/>
        <v>134.458</v>
      </c>
      <c r="U28" s="423">
        <f t="shared" si="19"/>
        <v>2533.8719999999998</v>
      </c>
      <c r="V28" s="425">
        <f t="shared" si="2"/>
        <v>2.3146098362913361</v>
      </c>
      <c r="W28" s="425">
        <f t="shared" si="3"/>
        <v>2.3081173501037067</v>
      </c>
      <c r="X28" s="421">
        <f t="shared" si="4"/>
        <v>2.3296889889976606</v>
      </c>
      <c r="Y28" s="425">
        <f t="shared" si="5"/>
        <v>2.4240712678514025</v>
      </c>
      <c r="Z28" s="424">
        <f>'20'!I46</f>
        <v>55439.059999999343</v>
      </c>
      <c r="AA28" s="423">
        <f t="shared" si="20"/>
        <v>1037259.64</v>
      </c>
      <c r="AB28" s="425">
        <f t="shared" si="6"/>
        <v>954.34852214627642</v>
      </c>
      <c r="AC28" s="425">
        <f t="shared" si="7"/>
        <v>944.84526907686131</v>
      </c>
      <c r="AD28" s="425">
        <f t="shared" si="8"/>
        <v>960.56588408558162</v>
      </c>
      <c r="AE28" s="425">
        <f t="shared" si="9"/>
        <v>992.31188103656768</v>
      </c>
      <c r="AF28" s="501">
        <f>1.19</f>
        <v>1.19</v>
      </c>
      <c r="AG28" s="519">
        <v>133.268</v>
      </c>
      <c r="AH28" s="421">
        <f>+Efficiency2!K101</f>
        <v>65.786572800000002</v>
      </c>
      <c r="AI28" s="422">
        <f t="shared" si="21"/>
        <v>1257.3825720653374</v>
      </c>
      <c r="AJ28" s="446">
        <f t="shared" si="22"/>
        <v>0.87730668346960916</v>
      </c>
      <c r="AK28" s="446">
        <f t="shared" si="23"/>
        <v>0.83132693519286616</v>
      </c>
    </row>
    <row r="29" spans="1:37" s="426" customFormat="1" ht="12.75" customHeight="1">
      <c r="A29" s="440">
        <f t="shared" si="10"/>
        <v>45982</v>
      </c>
      <c r="B29" s="427" t="s">
        <v>517</v>
      </c>
      <c r="C29" s="462" t="s">
        <v>621</v>
      </c>
      <c r="D29" s="420">
        <f>+'21'!F42</f>
        <v>1663.3333333333333</v>
      </c>
      <c r="E29" s="420">
        <f>+'21'!G42</f>
        <v>1264.1333333333334</v>
      </c>
      <c r="F29" s="48">
        <f t="shared" si="0"/>
        <v>0.23999999999999988</v>
      </c>
      <c r="G29" s="445">
        <f t="shared" si="11"/>
        <v>0.94036372439250171</v>
      </c>
      <c r="H29" s="441">
        <f t="shared" si="12"/>
        <v>0.92008136955266318</v>
      </c>
      <c r="I29" s="441">
        <f t="shared" si="13"/>
        <v>0.92745626063539788</v>
      </c>
      <c r="J29" s="446">
        <f t="shared" si="14"/>
        <v>0.85333522648560867</v>
      </c>
      <c r="K29" s="446">
        <f t="shared" si="15"/>
        <v>0.83242116419824463</v>
      </c>
      <c r="L29" s="421">
        <f>+Efficiency1!K105</f>
        <v>65.786572800000016</v>
      </c>
      <c r="M29" s="422">
        <f t="shared" si="16"/>
        <v>1323.1691448653373</v>
      </c>
      <c r="N29" s="421">
        <f>+Efficiency1!C105</f>
        <v>64.367646719999996</v>
      </c>
      <c r="O29" s="422">
        <f t="shared" si="16"/>
        <v>1247.0496787447735</v>
      </c>
      <c r="P29" s="577">
        <f>'21'!I38</f>
        <v>60.528999999999996</v>
      </c>
      <c r="Q29" s="422">
        <f t="shared" si="17"/>
        <v>1158.338</v>
      </c>
      <c r="R29" s="13">
        <f>'21'!I40</f>
        <v>56.137999999999998</v>
      </c>
      <c r="S29" s="422">
        <f t="shared" si="18"/>
        <v>1101.434</v>
      </c>
      <c r="T29" s="570">
        <f t="shared" si="1"/>
        <v>132.78200000000001</v>
      </c>
      <c r="U29" s="423">
        <f t="shared" si="19"/>
        <v>2666.654</v>
      </c>
      <c r="V29" s="425">
        <f t="shared" si="2"/>
        <v>2.1936922797336815</v>
      </c>
      <c r="W29" s="425">
        <f t="shared" si="3"/>
        <v>2.3021380633286657</v>
      </c>
      <c r="X29" s="421">
        <f t="shared" si="4"/>
        <v>2.3652784210338811</v>
      </c>
      <c r="Y29" s="425">
        <f t="shared" si="5"/>
        <v>2.4210747080623989</v>
      </c>
      <c r="Z29" s="424">
        <f>'21'!I46</f>
        <v>54296.020000001634</v>
      </c>
      <c r="AA29" s="423">
        <f t="shared" si="20"/>
        <v>1091555.6600000015</v>
      </c>
      <c r="AB29" s="425">
        <f t="shared" si="6"/>
        <v>897.02489715676177</v>
      </c>
      <c r="AC29" s="425">
        <f t="shared" si="7"/>
        <v>942.34641356840712</v>
      </c>
      <c r="AD29" s="425">
        <f t="shared" si="8"/>
        <v>967.18835726248938</v>
      </c>
      <c r="AE29" s="425">
        <f t="shared" si="9"/>
        <v>991.03138272470392</v>
      </c>
      <c r="AF29" s="501">
        <f>0.531</f>
        <v>0.53100000000000003</v>
      </c>
      <c r="AG29" s="519">
        <v>132.251</v>
      </c>
      <c r="AH29" s="421">
        <f>+Efficiency2!K105</f>
        <v>65.786572800000016</v>
      </c>
      <c r="AI29" s="422">
        <f t="shared" si="21"/>
        <v>1323.1691448653373</v>
      </c>
      <c r="AJ29" s="446">
        <f t="shared" si="22"/>
        <v>0.85333522648560867</v>
      </c>
      <c r="AK29" s="446">
        <f t="shared" si="23"/>
        <v>0.83242116419824463</v>
      </c>
    </row>
    <row r="30" spans="1:37" s="426" customFormat="1" ht="12.75" customHeight="1">
      <c r="A30" s="440">
        <f t="shared" si="10"/>
        <v>45983</v>
      </c>
      <c r="B30" s="427" t="s">
        <v>517</v>
      </c>
      <c r="C30" s="462" t="s">
        <v>621</v>
      </c>
      <c r="D30" s="420">
        <f>+'22'!F42</f>
        <v>1670</v>
      </c>
      <c r="E30" s="420">
        <f>+'22'!G42</f>
        <v>1269.2</v>
      </c>
      <c r="F30" s="48">
        <f t="shared" si="0"/>
        <v>0.24</v>
      </c>
      <c r="G30" s="445">
        <f t="shared" si="11"/>
        <v>0.81367094341918678</v>
      </c>
      <c r="H30" s="441">
        <f t="shared" si="12"/>
        <v>0.79931204441767167</v>
      </c>
      <c r="I30" s="441">
        <f t="shared" si="13"/>
        <v>1.0440057812262287</v>
      </c>
      <c r="J30" s="446">
        <f t="shared" si="14"/>
        <v>0.83448639537580538</v>
      </c>
      <c r="K30" s="446">
        <f t="shared" si="15"/>
        <v>0.83251898191804918</v>
      </c>
      <c r="L30" s="421">
        <f>+Efficiency1!K111</f>
        <v>65.786572800000002</v>
      </c>
      <c r="M30" s="422">
        <f t="shared" si="16"/>
        <v>1388.9557176653373</v>
      </c>
      <c r="N30" s="421">
        <f>+Efficiency1!C111</f>
        <v>64.625633280000002</v>
      </c>
      <c r="O30" s="422">
        <f t="shared" si="16"/>
        <v>1311.6753120247736</v>
      </c>
      <c r="P30" s="577">
        <f>'22'!I38</f>
        <v>52.583999999999996</v>
      </c>
      <c r="Q30" s="422">
        <f t="shared" si="17"/>
        <v>1210.922</v>
      </c>
      <c r="R30" s="13">
        <f>'22'!I40</f>
        <v>54.898000000000003</v>
      </c>
      <c r="S30" s="422">
        <f t="shared" si="18"/>
        <v>1156.3319999999999</v>
      </c>
      <c r="T30" s="570">
        <f t="shared" si="1"/>
        <v>123.97099999999999</v>
      </c>
      <c r="U30" s="423">
        <f t="shared" si="19"/>
        <v>2790.625</v>
      </c>
      <c r="V30" s="425">
        <f t="shared" si="2"/>
        <v>2.3575802525483036</v>
      </c>
      <c r="W30" s="425">
        <f t="shared" si="3"/>
        <v>2.3045456272162865</v>
      </c>
      <c r="X30" s="421">
        <f t="shared" si="4"/>
        <v>2.2582061277277856</v>
      </c>
      <c r="Y30" s="425">
        <f t="shared" si="5"/>
        <v>2.4133423618822278</v>
      </c>
      <c r="Z30" s="424">
        <f>'22'!I46</f>
        <v>54511.699999997312</v>
      </c>
      <c r="AA30" s="423">
        <f t="shared" si="20"/>
        <v>1146067.3599999989</v>
      </c>
      <c r="AB30" s="425">
        <f t="shared" si="6"/>
        <v>1036.65944013383</v>
      </c>
      <c r="AC30" s="425">
        <f t="shared" si="7"/>
        <v>946.44193432772624</v>
      </c>
      <c r="AD30" s="425">
        <f t="shared" si="8"/>
        <v>992.96331378187381</v>
      </c>
      <c r="AE30" s="425">
        <f t="shared" si="9"/>
        <v>991.12310305344761</v>
      </c>
      <c r="AF30" s="501">
        <f>1.195</f>
        <v>1.1950000000000001</v>
      </c>
      <c r="AG30" s="519">
        <v>122.776</v>
      </c>
      <c r="AH30" s="421">
        <f>+Efficiency2!K111</f>
        <v>65.786572800000002</v>
      </c>
      <c r="AI30" s="422">
        <f t="shared" si="21"/>
        <v>1388.9557176653373</v>
      </c>
      <c r="AJ30" s="446">
        <f t="shared" si="22"/>
        <v>0.83448639537580538</v>
      </c>
      <c r="AK30" s="446">
        <f t="shared" si="23"/>
        <v>0.83251898191804918</v>
      </c>
    </row>
    <row r="31" spans="1:37" s="426" customFormat="1" ht="12.75" customHeight="1">
      <c r="A31" s="440">
        <f t="shared" si="10"/>
        <v>45984</v>
      </c>
      <c r="B31" s="427" t="s">
        <v>517</v>
      </c>
      <c r="C31" s="462" t="s">
        <v>621</v>
      </c>
      <c r="D31" s="420">
        <f>+'23'!F42</f>
        <v>1657.6642335766423</v>
      </c>
      <c r="E31" s="420">
        <f>+'23'!G42</f>
        <v>1259.8248175182482</v>
      </c>
      <c r="F31" s="48">
        <f t="shared" si="0"/>
        <v>0.24</v>
      </c>
      <c r="G31" s="445">
        <f t="shared" si="11"/>
        <v>0.92177085276641613</v>
      </c>
      <c r="H31" s="441">
        <f t="shared" si="12"/>
        <v>0.89881563187313496</v>
      </c>
      <c r="I31" s="441">
        <f t="shared" si="13"/>
        <v>0.87028581092508039</v>
      </c>
      <c r="J31" s="446">
        <f t="shared" si="14"/>
        <v>0.78222649105684983</v>
      </c>
      <c r="K31" s="446">
        <f t="shared" si="15"/>
        <v>0.8302446473963826</v>
      </c>
      <c r="L31" s="421">
        <f>+Efficiency1!K116</f>
        <v>65.786572800000002</v>
      </c>
      <c r="M31" s="422">
        <f t="shared" si="16"/>
        <v>1454.7422904653372</v>
      </c>
      <c r="N31" s="421">
        <f>+Efficiency1!C116</f>
        <v>64.148263988321176</v>
      </c>
      <c r="O31" s="422">
        <f t="shared" si="16"/>
        <v>1375.8235760130947</v>
      </c>
      <c r="P31" s="577">
        <f>'23'!I38</f>
        <v>59.129999999999995</v>
      </c>
      <c r="Q31" s="422">
        <f t="shared" si="17"/>
        <v>1270.0520000000001</v>
      </c>
      <c r="R31" s="13">
        <f>'23'!I40</f>
        <v>51.46</v>
      </c>
      <c r="S31" s="422">
        <f t="shared" si="18"/>
        <v>1207.7919999999999</v>
      </c>
      <c r="T31" s="570">
        <f t="shared" si="1"/>
        <v>131.047</v>
      </c>
      <c r="U31" s="423">
        <f t="shared" si="19"/>
        <v>2921.672</v>
      </c>
      <c r="V31" s="425">
        <f t="shared" si="2"/>
        <v>2.2162523253847457</v>
      </c>
      <c r="W31" s="425">
        <f t="shared" si="3"/>
        <v>2.3004349428212385</v>
      </c>
      <c r="X31" s="421">
        <f t="shared" si="4"/>
        <v>2.5465798678585307</v>
      </c>
      <c r="Y31" s="425">
        <f t="shared" si="5"/>
        <v>2.419019168863513</v>
      </c>
      <c r="Z31" s="424">
        <f>'23'!I46</f>
        <v>54181.600000000937</v>
      </c>
      <c r="AA31" s="423">
        <f t="shared" si="20"/>
        <v>1200248.96</v>
      </c>
      <c r="AB31" s="425">
        <f t="shared" si="6"/>
        <v>916.31320818537029</v>
      </c>
      <c r="AC31" s="425">
        <f t="shared" si="7"/>
        <v>945.03922674032231</v>
      </c>
      <c r="AD31" s="425">
        <f t="shared" si="8"/>
        <v>1052.8876797512814</v>
      </c>
      <c r="AE31" s="425">
        <f t="shared" si="9"/>
        <v>993.75468623736526</v>
      </c>
      <c r="AF31" s="501">
        <f>0.613</f>
        <v>0.61299999999999999</v>
      </c>
      <c r="AG31" s="519">
        <v>130.434</v>
      </c>
      <c r="AH31" s="421">
        <f>+Efficiency2!K116</f>
        <v>65.786572800000002</v>
      </c>
      <c r="AI31" s="422">
        <f t="shared" si="21"/>
        <v>1454.7422904653372</v>
      </c>
      <c r="AJ31" s="446">
        <f t="shared" si="22"/>
        <v>0.78222649105684983</v>
      </c>
      <c r="AK31" s="446">
        <f t="shared" si="23"/>
        <v>0.8302446473963826</v>
      </c>
    </row>
    <row r="32" spans="1:37" s="426" customFormat="1" ht="12.75" customHeight="1">
      <c r="A32" s="440">
        <f t="shared" si="10"/>
        <v>45985</v>
      </c>
      <c r="B32" s="427" t="s">
        <v>517</v>
      </c>
      <c r="C32" s="462" t="s">
        <v>575</v>
      </c>
      <c r="D32" s="420">
        <f>+'24'!F42</f>
        <v>1612.5</v>
      </c>
      <c r="E32" s="420">
        <f>+'24'!G42</f>
        <v>1272</v>
      </c>
      <c r="F32" s="48">
        <f t="shared" si="0"/>
        <v>0.21116279069767441</v>
      </c>
      <c r="G32" s="445">
        <f t="shared" si="11"/>
        <v>0.96099589845204691</v>
      </c>
      <c r="H32" s="441">
        <f t="shared" si="12"/>
        <v>0.90808061416271313</v>
      </c>
      <c r="I32" s="441">
        <f t="shared" si="13"/>
        <v>0.98517762208217441</v>
      </c>
      <c r="J32" s="446">
        <f t="shared" si="14"/>
        <v>0.89462070011974226</v>
      </c>
      <c r="K32" s="446">
        <f t="shared" si="15"/>
        <v>0.83289878323439592</v>
      </c>
      <c r="L32" s="421">
        <f>+SUM(Efficiency1!K122:K123)</f>
        <v>62.556120144000005</v>
      </c>
      <c r="M32" s="422">
        <f t="shared" si="16"/>
        <v>1517.2984106093372</v>
      </c>
      <c r="N32" s="421">
        <f>+SUM(Efficiency1!C122:C123)</f>
        <v>59.11159464</v>
      </c>
      <c r="O32" s="422">
        <f t="shared" si="16"/>
        <v>1434.9351706530947</v>
      </c>
      <c r="P32" s="577">
        <f>'24'!I38</f>
        <v>56.805999999999997</v>
      </c>
      <c r="Q32" s="422">
        <f t="shared" si="17"/>
        <v>1326.8580000000002</v>
      </c>
      <c r="R32" s="13">
        <f>'24'!I40</f>
        <v>55.963999999999999</v>
      </c>
      <c r="S32" s="422">
        <f t="shared" si="18"/>
        <v>1263.7559999999999</v>
      </c>
      <c r="T32" s="570">
        <f t="shared" si="1"/>
        <v>128.20599999999999</v>
      </c>
      <c r="U32" s="423">
        <f t="shared" si="19"/>
        <v>3049.8780000000002</v>
      </c>
      <c r="V32" s="425">
        <f t="shared" si="2"/>
        <v>2.2569094813928103</v>
      </c>
      <c r="W32" s="425">
        <f t="shared" si="3"/>
        <v>2.2985715125507022</v>
      </c>
      <c r="X32" s="421">
        <f t="shared" si="4"/>
        <v>2.2908655564291327</v>
      </c>
      <c r="Y32" s="425">
        <f t="shared" si="5"/>
        <v>2.4133440316010373</v>
      </c>
      <c r="Z32" s="424">
        <f>+'24'!I46</f>
        <v>54771.680000001514</v>
      </c>
      <c r="AA32" s="423">
        <f t="shared" si="20"/>
        <v>1255020.6400000015</v>
      </c>
      <c r="AB32" s="425">
        <f t="shared" si="6"/>
        <v>964.18828996939612</v>
      </c>
      <c r="AC32" s="425">
        <f t="shared" si="7"/>
        <v>945.85904444936932</v>
      </c>
      <c r="AD32" s="425">
        <f t="shared" si="8"/>
        <v>978.69487527699084</v>
      </c>
      <c r="AE32" s="425">
        <f t="shared" si="9"/>
        <v>993.08777960302609</v>
      </c>
      <c r="AF32" s="501">
        <f>0.564</f>
        <v>0.56399999999999995</v>
      </c>
      <c r="AG32" s="519">
        <v>127.642</v>
      </c>
      <c r="AH32" s="421">
        <f>+SUM(Efficiency2!K122:K123)</f>
        <v>62.556120144000005</v>
      </c>
      <c r="AI32" s="422">
        <f t="shared" si="21"/>
        <v>1517.2984106093372</v>
      </c>
      <c r="AJ32" s="446">
        <f t="shared" si="22"/>
        <v>0.89462070011974226</v>
      </c>
      <c r="AK32" s="446">
        <f t="shared" si="23"/>
        <v>0.83289878323439592</v>
      </c>
    </row>
    <row r="33" spans="1:37" s="426" customFormat="1" ht="12.75" customHeight="1">
      <c r="A33" s="440">
        <f t="shared" si="10"/>
        <v>45986</v>
      </c>
      <c r="B33" s="427" t="s">
        <v>517</v>
      </c>
      <c r="C33" s="427" t="s">
        <v>595</v>
      </c>
      <c r="D33" s="420">
        <f>+'25'!F42</f>
        <v>1600</v>
      </c>
      <c r="E33" s="420">
        <f>+'25'!G42</f>
        <v>1344</v>
      </c>
      <c r="F33" s="48">
        <f t="shared" si="0"/>
        <v>0.16000000000000003</v>
      </c>
      <c r="G33" s="445">
        <f t="shared" si="11"/>
        <v>0.9774070074149005</v>
      </c>
      <c r="H33" s="441">
        <f t="shared" si="12"/>
        <v>0.9039602380715841</v>
      </c>
      <c r="I33" s="441">
        <f t="shared" si="13"/>
        <v>1.0370463272039669</v>
      </c>
      <c r="J33" s="446">
        <f t="shared" si="14"/>
        <v>0.93744864483055979</v>
      </c>
      <c r="K33" s="446">
        <f t="shared" si="15"/>
        <v>0.83670550573244495</v>
      </c>
      <c r="L33" s="421">
        <f>+Efficiency1!K127</f>
        <v>57.333273984000009</v>
      </c>
      <c r="M33" s="422">
        <f t="shared" si="16"/>
        <v>1574.6316845933372</v>
      </c>
      <c r="N33" s="422">
        <f>+Efficiency1!C127</f>
        <v>53.024993279999997</v>
      </c>
      <c r="O33" s="422">
        <f t="shared" si="16"/>
        <v>1487.9601639330947</v>
      </c>
      <c r="P33" s="577">
        <f>'25'!I38</f>
        <v>51.827000000000005</v>
      </c>
      <c r="Q33" s="422">
        <f t="shared" si="17"/>
        <v>1378.6850000000002</v>
      </c>
      <c r="R33" s="13">
        <f>'25'!I40</f>
        <v>53.747</v>
      </c>
      <c r="S33" s="422">
        <f t="shared" si="18"/>
        <v>1317.5029999999999</v>
      </c>
      <c r="T33" s="570">
        <f t="shared" si="1"/>
        <v>125.011</v>
      </c>
      <c r="U33" s="423">
        <f t="shared" si="19"/>
        <v>3174.8890000000001</v>
      </c>
      <c r="V33" s="425">
        <f t="shared" si="2"/>
        <v>2.4120825052578767</v>
      </c>
      <c r="W33" s="425">
        <f t="shared" si="3"/>
        <v>2.3028385744386859</v>
      </c>
      <c r="X33" s="421">
        <f t="shared" si="4"/>
        <v>2.3259158650715386</v>
      </c>
      <c r="Y33" s="425">
        <f t="shared" si="5"/>
        <v>2.4097774350418937</v>
      </c>
      <c r="Z33" s="424">
        <f>+'25'!I46</f>
        <v>54506.640000000159</v>
      </c>
      <c r="AA33" s="423">
        <f t="shared" si="20"/>
        <v>1309527.2800000017</v>
      </c>
      <c r="AB33" s="425">
        <f t="shared" si="6"/>
        <v>1051.7035522025228</v>
      </c>
      <c r="AC33" s="425">
        <f t="shared" si="7"/>
        <v>949.83791076279306</v>
      </c>
      <c r="AD33" s="425">
        <f t="shared" si="8"/>
        <v>1014.1336260628531</v>
      </c>
      <c r="AE33" s="425">
        <f t="shared" si="9"/>
        <v>993.94633636507979</v>
      </c>
      <c r="AF33" s="501">
        <f>0.319</f>
        <v>0.31900000000000001</v>
      </c>
      <c r="AG33" s="519">
        <v>124.69199999999999</v>
      </c>
      <c r="AH33" s="421">
        <f>+Efficiency2!K127</f>
        <v>57.333273984000009</v>
      </c>
      <c r="AI33" s="422">
        <f t="shared" si="21"/>
        <v>1574.6316845933372</v>
      </c>
      <c r="AJ33" s="446">
        <f t="shared" si="22"/>
        <v>0.93744864483055979</v>
      </c>
      <c r="AK33" s="446">
        <f t="shared" si="23"/>
        <v>0.83670550573244495</v>
      </c>
    </row>
    <row r="34" spans="1:37" s="426" customFormat="1" ht="12.75" customHeight="1">
      <c r="A34" s="440">
        <f t="shared" si="10"/>
        <v>45987</v>
      </c>
      <c r="B34" s="427" t="s">
        <v>517</v>
      </c>
      <c r="C34" s="427" t="s">
        <v>595</v>
      </c>
      <c r="D34" s="420">
        <f>+'26'!F42</f>
        <v>1630.9722222222222</v>
      </c>
      <c r="E34" s="420">
        <f>+'26'!G42</f>
        <v>1370.0166666666667</v>
      </c>
      <c r="F34" s="48">
        <f t="shared" si="0"/>
        <v>0.16000000000000003</v>
      </c>
      <c r="G34" s="445">
        <f t="shared" si="11"/>
        <v>1.0529728876557962</v>
      </c>
      <c r="H34" s="441">
        <f t="shared" si="12"/>
        <v>0.99210740282020116</v>
      </c>
      <c r="I34" s="441">
        <f t="shared" si="13"/>
        <v>0.91007484977334219</v>
      </c>
      <c r="J34" s="446">
        <f t="shared" si="14"/>
        <v>0.90289199558061528</v>
      </c>
      <c r="K34" s="446">
        <f t="shared" si="15"/>
        <v>0.8390320430586472</v>
      </c>
      <c r="L34" s="421">
        <f>+Efficiency1!K131</f>
        <v>57.366772829447861</v>
      </c>
      <c r="M34" s="422">
        <f t="shared" si="16"/>
        <v>1631.9984574227851</v>
      </c>
      <c r="N34" s="421">
        <f>+Efficiency1!C131</f>
        <v>54.050774400000009</v>
      </c>
      <c r="O34" s="422">
        <f t="shared" si="16"/>
        <v>1542.0109383330946</v>
      </c>
      <c r="P34" s="577">
        <f>'26'!I38</f>
        <v>56.914000000000001</v>
      </c>
      <c r="Q34" s="422">
        <f t="shared" si="17"/>
        <v>1435.5990000000002</v>
      </c>
      <c r="R34" s="13">
        <f>'26'!I40</f>
        <v>51.795999999999999</v>
      </c>
      <c r="S34" s="422">
        <f t="shared" si="18"/>
        <v>1369.299</v>
      </c>
      <c r="T34" s="570">
        <f t="shared" si="1"/>
        <v>129.50300000000001</v>
      </c>
      <c r="U34" s="423">
        <f t="shared" si="19"/>
        <v>3304.3920000000003</v>
      </c>
      <c r="V34" s="425">
        <f t="shared" si="2"/>
        <v>2.2754155392346349</v>
      </c>
      <c r="W34" s="425">
        <f t="shared" si="3"/>
        <v>2.3017513943656969</v>
      </c>
      <c r="X34" s="421">
        <f t="shared" si="4"/>
        <v>2.500250984632018</v>
      </c>
      <c r="Y34" s="425">
        <f t="shared" si="5"/>
        <v>2.4131997467317219</v>
      </c>
      <c r="Z34" s="424">
        <f>'26'!I46</f>
        <v>53214.459999998508</v>
      </c>
      <c r="AA34" s="423">
        <f t="shared" si="20"/>
        <v>1362741.7400000002</v>
      </c>
      <c r="AB34" s="425">
        <f t="shared" si="6"/>
        <v>934.99771585196106</v>
      </c>
      <c r="AC34" s="425">
        <f t="shared" si="7"/>
        <v>949.2495745678284</v>
      </c>
      <c r="AD34" s="425">
        <f t="shared" si="8"/>
        <v>1027.3855123947505</v>
      </c>
      <c r="AE34" s="425">
        <f t="shared" si="9"/>
        <v>995.21122851911832</v>
      </c>
      <c r="AF34" s="501">
        <f>0.097</f>
        <v>9.7000000000000003E-2</v>
      </c>
      <c r="AG34" s="519">
        <v>129.40600000000001</v>
      </c>
      <c r="AH34" s="421">
        <f>+Efficiency2!K131</f>
        <v>57.366772829447861</v>
      </c>
      <c r="AI34" s="422">
        <f t="shared" si="21"/>
        <v>1631.9984574227851</v>
      </c>
      <c r="AJ34" s="446">
        <f t="shared" si="22"/>
        <v>0.90289199558061528</v>
      </c>
      <c r="AK34" s="446">
        <f t="shared" si="23"/>
        <v>0.8390320430586472</v>
      </c>
    </row>
    <row r="35" spans="1:37" s="426" customFormat="1" ht="12.75" customHeight="1">
      <c r="A35" s="440">
        <f t="shared" si="10"/>
        <v>45988</v>
      </c>
      <c r="B35" s="427" t="s">
        <v>517</v>
      </c>
      <c r="C35" s="427" t="s">
        <v>831</v>
      </c>
      <c r="D35" s="420">
        <f>+'27'!F42</f>
        <v>1620</v>
      </c>
      <c r="E35" s="420">
        <f>+'27'!G42</f>
        <v>1312.2</v>
      </c>
      <c r="F35" s="48">
        <f t="shared" si="0"/>
        <v>0.18999999999999995</v>
      </c>
      <c r="G35" s="445">
        <f t="shared" si="11"/>
        <v>1.0027636440344374</v>
      </c>
      <c r="H35" s="441">
        <f t="shared" si="12"/>
        <v>0.94527687790859594</v>
      </c>
      <c r="I35" s="441">
        <f t="shared" si="13"/>
        <v>1.1029173272107728</v>
      </c>
      <c r="J35" s="446">
        <f t="shared" si="14"/>
        <v>1.0425622476570926</v>
      </c>
      <c r="K35" s="446">
        <f t="shared" si="15"/>
        <v>0.84602362292498889</v>
      </c>
      <c r="L35" s="421">
        <f>+SUM(Efficiency1!K135:K136)</f>
        <v>58.056005898947369</v>
      </c>
      <c r="M35" s="422">
        <f t="shared" si="16"/>
        <v>1690.0544633217326</v>
      </c>
      <c r="N35" s="421">
        <f>+SUM(Efficiency1!C135:C136)</f>
        <v>54.727751974736847</v>
      </c>
      <c r="O35" s="422">
        <f t="shared" si="16"/>
        <v>1596.7386903078313</v>
      </c>
      <c r="P35" s="577">
        <f>'27'!I38</f>
        <v>54.878999999999998</v>
      </c>
      <c r="Q35" s="422">
        <f t="shared" si="17"/>
        <v>1490.4780000000001</v>
      </c>
      <c r="R35" s="13">
        <f>'27'!I40</f>
        <v>60.527000000000001</v>
      </c>
      <c r="S35" s="422">
        <f t="shared" si="18"/>
        <v>1429.826</v>
      </c>
      <c r="T35" s="570">
        <f t="shared" si="1"/>
        <v>127.277</v>
      </c>
      <c r="U35" s="423">
        <f t="shared" si="19"/>
        <v>3431.6690000000003</v>
      </c>
      <c r="V35" s="425">
        <f t="shared" si="2"/>
        <v>2.3192295777984295</v>
      </c>
      <c r="W35" s="425">
        <f t="shared" si="3"/>
        <v>2.3023949363895344</v>
      </c>
      <c r="X35" s="421">
        <f t="shared" si="4"/>
        <v>2.1028136203677699</v>
      </c>
      <c r="Y35" s="425">
        <f t="shared" si="5"/>
        <v>2.4000605668102275</v>
      </c>
      <c r="Z35" s="424">
        <f>'27'!I46</f>
        <v>51927.780000001148</v>
      </c>
      <c r="AA35" s="423">
        <f t="shared" si="20"/>
        <v>1414669.5200000014</v>
      </c>
      <c r="AB35" s="425">
        <f t="shared" si="6"/>
        <v>946.22314546549956</v>
      </c>
      <c r="AC35" s="425">
        <f t="shared" si="7"/>
        <v>949.13814226040324</v>
      </c>
      <c r="AD35" s="425">
        <f t="shared" si="8"/>
        <v>857.92753647134577</v>
      </c>
      <c r="AE35" s="425">
        <f t="shared" si="9"/>
        <v>989.3997731192477</v>
      </c>
      <c r="AF35" s="501">
        <f>0.474</f>
        <v>0.47399999999999998</v>
      </c>
      <c r="AG35" s="519">
        <v>126.803</v>
      </c>
      <c r="AH35" s="421">
        <f>+SUM(Efficiency2!K135:K136)</f>
        <v>58.056005898947369</v>
      </c>
      <c r="AI35" s="422">
        <f t="shared" si="21"/>
        <v>1690.0544633217326</v>
      </c>
      <c r="AJ35" s="446">
        <f t="shared" si="22"/>
        <v>1.0425622476570926</v>
      </c>
      <c r="AK35" s="446">
        <f t="shared" si="23"/>
        <v>0.84602362292498889</v>
      </c>
    </row>
    <row r="36" spans="1:37" s="426" customFormat="1" ht="12.75" customHeight="1">
      <c r="A36" s="440">
        <f t="shared" si="10"/>
        <v>45989</v>
      </c>
      <c r="B36" s="427" t="s">
        <v>517</v>
      </c>
      <c r="C36" s="427" t="s">
        <v>834</v>
      </c>
      <c r="D36" s="420">
        <f>+'28'!F42</f>
        <v>1600</v>
      </c>
      <c r="E36" s="420">
        <f>+'28'!G42</f>
        <v>1216</v>
      </c>
      <c r="F36" s="48">
        <f t="shared" si="0"/>
        <v>0.24</v>
      </c>
      <c r="G36" s="445">
        <f t="shared" si="11"/>
        <v>0.97957204933630349</v>
      </c>
      <c r="H36" s="441">
        <f t="shared" si="12"/>
        <v>0.92195016408122688</v>
      </c>
      <c r="I36" s="441">
        <f t="shared" si="13"/>
        <v>0.95889396827747053</v>
      </c>
      <c r="J36" s="446">
        <f t="shared" si="14"/>
        <v>0.88405245138991273</v>
      </c>
      <c r="K36" s="446">
        <f t="shared" si="15"/>
        <v>0.84729813288501943</v>
      </c>
      <c r="L36" s="421">
        <f>+Efficiency1!K140</f>
        <v>58.605119999999999</v>
      </c>
      <c r="M36" s="422">
        <f t="shared" si="16"/>
        <v>1748.6595833217325</v>
      </c>
      <c r="N36" s="421">
        <f>+Efficiency1!C140</f>
        <v>55.157760000000003</v>
      </c>
      <c r="O36" s="422">
        <f t="shared" si="16"/>
        <v>1651.8964503078314</v>
      </c>
      <c r="P36" s="577">
        <f>'28'!I38</f>
        <v>54.030999999999992</v>
      </c>
      <c r="Q36" s="422">
        <f t="shared" si="17"/>
        <v>1544.509</v>
      </c>
      <c r="R36" s="13">
        <f>'28'!I40</f>
        <v>51.81</v>
      </c>
      <c r="S36" s="422">
        <f t="shared" si="18"/>
        <v>1481.636</v>
      </c>
      <c r="T36" s="570">
        <f t="shared" si="1"/>
        <v>124.27</v>
      </c>
      <c r="U36" s="423">
        <f t="shared" si="19"/>
        <v>3555.9390000000003</v>
      </c>
      <c r="V36" s="425">
        <f t="shared" si="2"/>
        <v>2.2999759397382986</v>
      </c>
      <c r="W36" s="425">
        <f t="shared" si="3"/>
        <v>2.3023103135041625</v>
      </c>
      <c r="X36" s="421">
        <f t="shared" si="4"/>
        <v>2.3985717043041883</v>
      </c>
      <c r="Y36" s="425">
        <f t="shared" si="5"/>
        <v>2.4000085041130212</v>
      </c>
      <c r="Z36" s="424">
        <f>'28'!I46</f>
        <v>52540.800000000294</v>
      </c>
      <c r="AA36" s="423">
        <f t="shared" si="20"/>
        <v>1467210.3200000017</v>
      </c>
      <c r="AB36" s="425">
        <f t="shared" si="6"/>
        <v>972.4195369325073</v>
      </c>
      <c r="AC36" s="425">
        <f t="shared" si="7"/>
        <v>949.95258687388787</v>
      </c>
      <c r="AD36" s="425">
        <f t="shared" si="8"/>
        <v>1014.1053850608048</v>
      </c>
      <c r="AE36" s="425">
        <f t="shared" si="9"/>
        <v>990.2636814980209</v>
      </c>
      <c r="AF36" s="501">
        <f>0.679</f>
        <v>0.67900000000000005</v>
      </c>
      <c r="AG36" s="519">
        <v>123.59099999999999</v>
      </c>
      <c r="AH36" s="421">
        <f>+Efficiency2!K140</f>
        <v>58.605119999999999</v>
      </c>
      <c r="AI36" s="422">
        <f t="shared" si="21"/>
        <v>1748.6595833217325</v>
      </c>
      <c r="AJ36" s="446">
        <f t="shared" si="22"/>
        <v>0.88405245138991273</v>
      </c>
      <c r="AK36" s="446">
        <f t="shared" si="23"/>
        <v>0.84729813288501943</v>
      </c>
    </row>
    <row r="37" spans="1:37" s="426" customFormat="1" ht="12.75" customHeight="1">
      <c r="A37" s="440">
        <f t="shared" si="10"/>
        <v>45990</v>
      </c>
      <c r="B37" s="427" t="s">
        <v>517</v>
      </c>
      <c r="C37" s="427" t="s">
        <v>834</v>
      </c>
      <c r="D37" s="420">
        <f>+'29'!F42</f>
        <v>1600</v>
      </c>
      <c r="E37" s="420">
        <f>+'29'!G42</f>
        <v>1216</v>
      </c>
      <c r="F37" s="48">
        <f t="shared" si="0"/>
        <v>0.24</v>
      </c>
      <c r="G37" s="445">
        <f t="shared" si="11"/>
        <v>0.94307849004247779</v>
      </c>
      <c r="H37" s="441">
        <f t="shared" si="12"/>
        <v>0.88760328474586137</v>
      </c>
      <c r="I37" s="441">
        <f t="shared" si="13"/>
        <v>1.0418581004745047</v>
      </c>
      <c r="J37" s="446">
        <f t="shared" si="14"/>
        <v>0.92475667222025415</v>
      </c>
      <c r="K37" s="446">
        <f t="shared" si="15"/>
        <v>0.84986080833249089</v>
      </c>
      <c r="L37" s="421">
        <f>+Efficiency1!K144</f>
        <v>59.833036800000002</v>
      </c>
      <c r="M37" s="422">
        <f t="shared" si="16"/>
        <v>1808.4926201217324</v>
      </c>
      <c r="N37" s="421">
        <f>+Efficiency1!C144</f>
        <v>56.313446399999997</v>
      </c>
      <c r="O37" s="422">
        <f t="shared" si="16"/>
        <v>1708.2098967078314</v>
      </c>
      <c r="P37" s="577">
        <f>'29'!I38</f>
        <v>53.108000000000004</v>
      </c>
      <c r="Q37" s="422">
        <f t="shared" si="17"/>
        <v>1597.617</v>
      </c>
      <c r="R37" s="13">
        <f>'29'!I40</f>
        <v>55.331000000000003</v>
      </c>
      <c r="S37" s="422">
        <f t="shared" si="18"/>
        <v>1536.9669999999999</v>
      </c>
      <c r="T37" s="570">
        <f t="shared" si="1"/>
        <v>123.578</v>
      </c>
      <c r="U37" s="423">
        <f t="shared" si="19"/>
        <v>3679.5170000000003</v>
      </c>
      <c r="V37" s="425">
        <f t="shared" si="2"/>
        <v>2.3269187316411837</v>
      </c>
      <c r="W37" s="425">
        <f t="shared" si="3"/>
        <v>2.303128346781488</v>
      </c>
      <c r="X37" s="421">
        <f t="shared" si="4"/>
        <v>2.2334315302452512</v>
      </c>
      <c r="Y37" s="425">
        <f t="shared" si="5"/>
        <v>2.3940117126782816</v>
      </c>
      <c r="Z37" s="424">
        <f>'29'!I46</f>
        <v>54211.219999997666</v>
      </c>
      <c r="AA37" s="423">
        <f t="shared" si="20"/>
        <v>1521421.5399999993</v>
      </c>
      <c r="AB37" s="425">
        <f t="shared" si="6"/>
        <v>1020.7731415228902</v>
      </c>
      <c r="AC37" s="425">
        <f t="shared" si="7"/>
        <v>952.30680444687266</v>
      </c>
      <c r="AD37" s="425">
        <f t="shared" si="8"/>
        <v>979.76215864520191</v>
      </c>
      <c r="AE37" s="425">
        <f t="shared" si="9"/>
        <v>989.88562539078566</v>
      </c>
      <c r="AF37" s="501">
        <f>0.369</f>
        <v>0.36899999999999999</v>
      </c>
      <c r="AG37" s="519">
        <v>123.209</v>
      </c>
      <c r="AH37" s="421">
        <f>+Efficiency2!K144</f>
        <v>59.833036800000002</v>
      </c>
      <c r="AI37" s="422">
        <f t="shared" si="21"/>
        <v>1808.4926201217324</v>
      </c>
      <c r="AJ37" s="446">
        <f t="shared" si="22"/>
        <v>0.92475667222025415</v>
      </c>
      <c r="AK37" s="446">
        <f t="shared" si="23"/>
        <v>0.84986080833249089</v>
      </c>
    </row>
    <row r="38" spans="1:37" s="426" customFormat="1" ht="12.75" customHeight="1">
      <c r="A38" s="440">
        <f t="shared" si="10"/>
        <v>45991</v>
      </c>
      <c r="B38" s="427" t="s">
        <v>517</v>
      </c>
      <c r="C38" s="427" t="s">
        <v>550</v>
      </c>
      <c r="D38" s="420">
        <f>+'30'!F42</f>
        <v>1600</v>
      </c>
      <c r="E38" s="420">
        <f>+'30'!G42</f>
        <v>1216</v>
      </c>
      <c r="F38" s="48">
        <f t="shared" si="0"/>
        <v>0.24</v>
      </c>
      <c r="G38" s="445">
        <f t="shared" si="11"/>
        <v>0.93793582535840392</v>
      </c>
      <c r="H38" s="441">
        <f t="shared" si="12"/>
        <v>0.88276312974908611</v>
      </c>
      <c r="I38" s="441">
        <f t="shared" si="13"/>
        <v>1.0593030253296132</v>
      </c>
      <c r="J38" s="446">
        <f t="shared" si="14"/>
        <v>0.93511365399264468</v>
      </c>
      <c r="K38" s="446">
        <f t="shared" si="15"/>
        <v>0.85269190429667641</v>
      </c>
      <c r="L38" s="421">
        <f>+SUM(Efficiency1!K148:K149)</f>
        <v>62.119721759999997</v>
      </c>
      <c r="M38" s="422">
        <f t="shared" si="16"/>
        <v>1870.6123418817324</v>
      </c>
      <c r="N38" s="421">
        <f>+SUM(Efficiency1!C148:C149)</f>
        <v>58.465620479999998</v>
      </c>
      <c r="O38" s="422">
        <f t="shared" si="16"/>
        <v>1766.6755171878315</v>
      </c>
      <c r="P38" s="577">
        <f>'30'!I38</f>
        <v>54.837000000000003</v>
      </c>
      <c r="Q38" s="422">
        <f t="shared" si="17"/>
        <v>1652.454</v>
      </c>
      <c r="R38" s="13">
        <f>'30'!I40</f>
        <v>58.088999999999999</v>
      </c>
      <c r="S38" s="422">
        <f t="shared" si="18"/>
        <v>1595.0559999999998</v>
      </c>
      <c r="T38" s="570">
        <f t="shared" si="1"/>
        <v>119.416</v>
      </c>
      <c r="U38" s="423">
        <f t="shared" si="19"/>
        <v>3798.9330000000004</v>
      </c>
      <c r="V38" s="425">
        <f t="shared" si="2"/>
        <v>2.1776537739117745</v>
      </c>
      <c r="W38" s="425">
        <f t="shared" si="3"/>
        <v>2.2989644492373165</v>
      </c>
      <c r="X38" s="421">
        <f t="shared" si="4"/>
        <v>2.0557420509907209</v>
      </c>
      <c r="Y38" s="425">
        <f t="shared" si="5"/>
        <v>2.381692554994935</v>
      </c>
      <c r="Z38" s="424">
        <f>'30'!I46</f>
        <v>52126.600000002232</v>
      </c>
      <c r="AA38" s="423">
        <f t="shared" si="20"/>
        <v>1573548.1400000015</v>
      </c>
      <c r="AB38" s="425">
        <f t="shared" si="6"/>
        <v>950.57351788030405</v>
      </c>
      <c r="AC38" s="425">
        <f t="shared" si="7"/>
        <v>952.24928500279066</v>
      </c>
      <c r="AD38" s="425">
        <f t="shared" si="8"/>
        <v>897.35750314176926</v>
      </c>
      <c r="AE38" s="425">
        <f t="shared" si="9"/>
        <v>986.51592169804803</v>
      </c>
      <c r="AF38" s="501">
        <f>0.276</f>
        <v>0.27600000000000002</v>
      </c>
      <c r="AG38" s="519">
        <v>119.14</v>
      </c>
      <c r="AH38" s="421">
        <f>+SUM(Efficiency2!K148:K149)</f>
        <v>62.119721759999997</v>
      </c>
      <c r="AI38" s="422">
        <f t="shared" si="21"/>
        <v>1870.6123418817324</v>
      </c>
      <c r="AJ38" s="446">
        <f t="shared" si="22"/>
        <v>0.93511365399264468</v>
      </c>
      <c r="AK38" s="446">
        <f t="shared" si="23"/>
        <v>0.85269190429667641</v>
      </c>
    </row>
    <row r="39" spans="1:37" s="426" customFormat="1" ht="12.75" customHeight="1">
      <c r="A39" s="440">
        <f>A38+1</f>
        <v>45992</v>
      </c>
      <c r="B39" s="449"/>
      <c r="C39" s="419"/>
      <c r="D39" s="420">
        <f>+'31'!F42</f>
        <v>0</v>
      </c>
      <c r="E39" s="420">
        <f>+'31'!G42</f>
        <v>0</v>
      </c>
      <c r="F39" s="48" t="e">
        <f t="shared" si="0"/>
        <v>#DIV/0!</v>
      </c>
      <c r="G39" s="445" t="e">
        <f t="shared" si="11"/>
        <v>#DIV/0!</v>
      </c>
      <c r="H39" s="441" t="e">
        <f t="shared" si="12"/>
        <v>#DIV/0!</v>
      </c>
      <c r="I39" s="441" t="e">
        <f t="shared" si="13"/>
        <v>#DIV/0!</v>
      </c>
      <c r="J39" s="446" t="e">
        <f t="shared" si="14"/>
        <v>#DIV/0!</v>
      </c>
      <c r="K39" s="446">
        <f t="shared" si="15"/>
        <v>0.85269190429667641</v>
      </c>
      <c r="L39" s="421"/>
      <c r="M39" s="422">
        <f>M38+L39</f>
        <v>1870.6123418817324</v>
      </c>
      <c r="N39" s="422"/>
      <c r="O39" s="422">
        <f>O38+N39</f>
        <v>1766.6755171878315</v>
      </c>
      <c r="P39" s="577">
        <f>'31'!I38</f>
        <v>0</v>
      </c>
      <c r="Q39" s="422">
        <f>Q38+P39</f>
        <v>1652.454</v>
      </c>
      <c r="R39" s="13">
        <f>'31'!I40</f>
        <v>0</v>
      </c>
      <c r="S39" s="422">
        <f>S38+R39</f>
        <v>1595.0559999999998</v>
      </c>
      <c r="T39" s="570">
        <f t="shared" si="1"/>
        <v>0</v>
      </c>
      <c r="U39" s="423">
        <f>T39+U38</f>
        <v>3798.9330000000004</v>
      </c>
      <c r="V39" s="425" t="e">
        <f t="shared" si="2"/>
        <v>#DIV/0!</v>
      </c>
      <c r="W39" s="425">
        <f t="shared" si="3"/>
        <v>2.2989644492373165</v>
      </c>
      <c r="X39" s="421">
        <f t="shared" si="4"/>
        <v>0</v>
      </c>
      <c r="Y39" s="425">
        <f t="shared" si="5"/>
        <v>2.381692554994935</v>
      </c>
      <c r="Z39" s="424">
        <f>'31'!I46</f>
        <v>0</v>
      </c>
      <c r="AA39" s="423">
        <f>Z39+AA38</f>
        <v>1573548.1400000015</v>
      </c>
      <c r="AB39" s="425">
        <f t="shared" si="6"/>
        <v>0</v>
      </c>
      <c r="AC39" s="425">
        <f t="shared" si="7"/>
        <v>952.24928500279066</v>
      </c>
      <c r="AD39" s="425">
        <f t="shared" si="8"/>
        <v>0</v>
      </c>
      <c r="AE39" s="425">
        <f t="shared" si="9"/>
        <v>986.51592169804803</v>
      </c>
      <c r="AF39" s="501"/>
      <c r="AG39" s="519"/>
      <c r="AH39" s="421"/>
      <c r="AI39" s="422">
        <f>AI38+AH39</f>
        <v>1870.6123418817324</v>
      </c>
      <c r="AJ39" s="446" t="e">
        <f t="shared" si="22"/>
        <v>#DIV/0!</v>
      </c>
      <c r="AK39" s="446">
        <f t="shared" si="23"/>
        <v>0.85269190429667641</v>
      </c>
    </row>
    <row r="40" spans="1:37" s="426" customFormat="1" ht="12.75" customHeight="1" thickBot="1">
      <c r="A40" s="440"/>
      <c r="B40" s="428"/>
      <c r="C40" s="428"/>
      <c r="D40" s="428"/>
      <c r="E40" s="428"/>
      <c r="F40" s="442"/>
      <c r="G40" s="445"/>
      <c r="H40" s="441"/>
      <c r="I40" s="441"/>
      <c r="J40" s="446"/>
      <c r="K40" s="451"/>
      <c r="L40" s="429"/>
      <c r="M40" s="430"/>
      <c r="N40" s="430"/>
      <c r="O40" s="430"/>
      <c r="P40" s="430"/>
      <c r="Q40" s="430"/>
      <c r="R40" s="430"/>
      <c r="S40" s="430"/>
      <c r="T40" s="431"/>
      <c r="U40" s="431"/>
      <c r="V40" s="432"/>
      <c r="W40" s="432"/>
      <c r="X40" s="429"/>
      <c r="Y40" s="432"/>
      <c r="Z40" s="431"/>
      <c r="AA40" s="431"/>
      <c r="AB40" s="432"/>
      <c r="AC40" s="432"/>
      <c r="AD40" s="432"/>
      <c r="AE40" s="432"/>
      <c r="AF40" s="501"/>
      <c r="AG40" s="519"/>
      <c r="AH40" s="429"/>
      <c r="AI40" s="430"/>
      <c r="AJ40" s="446"/>
      <c r="AK40" s="451"/>
    </row>
    <row r="41" spans="1:37" s="426" customFormat="1" ht="12.75" customHeight="1" thickTop="1" thickBot="1">
      <c r="A41" s="433"/>
      <c r="B41" s="434"/>
      <c r="C41" s="434"/>
      <c r="D41" s="434"/>
      <c r="E41" s="434"/>
      <c r="F41" s="443"/>
      <c r="G41" s="445">
        <f t="shared" si="11"/>
        <v>0.9353466349215912</v>
      </c>
      <c r="H41" s="441">
        <f t="shared" si="12"/>
        <v>0.88337597427467129</v>
      </c>
      <c r="I41" s="441">
        <f t="shared" si="13"/>
        <v>0.96526499376079444</v>
      </c>
      <c r="J41" s="446">
        <f t="shared" si="14"/>
        <v>0.85269190429667641</v>
      </c>
      <c r="K41" s="451"/>
      <c r="L41" s="435">
        <f>SUM(L9:L39)</f>
        <v>1870.6123418817324</v>
      </c>
      <c r="M41" s="436"/>
      <c r="N41" s="435">
        <f>SUM(N9:N39)</f>
        <v>1766.6755171878315</v>
      </c>
      <c r="O41" s="436"/>
      <c r="P41" s="435">
        <f>SUM(P9:P39)</f>
        <v>1652.454</v>
      </c>
      <c r="Q41" s="436"/>
      <c r="R41" s="435">
        <f>SUM(R9:R39)</f>
        <v>1595.0559999999998</v>
      </c>
      <c r="S41" s="436"/>
      <c r="T41" s="437">
        <f>SUM(T9:T40)</f>
        <v>3798.9330000000004</v>
      </c>
      <c r="U41" s="437"/>
      <c r="V41" s="438">
        <f>T41/P41</f>
        <v>2.2989644492373165</v>
      </c>
      <c r="W41" s="438"/>
      <c r="X41" s="439">
        <f>T41/R41</f>
        <v>2.381692554994935</v>
      </c>
      <c r="Y41" s="438"/>
      <c r="Z41" s="437">
        <f>SUM(Z9:Z39)</f>
        <v>1573548.1400000015</v>
      </c>
      <c r="AA41" s="437"/>
      <c r="AB41" s="438">
        <f>Z41/P41</f>
        <v>952.24928500279077</v>
      </c>
      <c r="AC41" s="438"/>
      <c r="AD41" s="438">
        <f>Z41/R41</f>
        <v>986.51592169804803</v>
      </c>
      <c r="AE41" s="438"/>
      <c r="AF41" s="501"/>
      <c r="AG41" s="519"/>
      <c r="AH41" s="435">
        <f>SUM(AH9:AH39)</f>
        <v>1870.6123418817324</v>
      </c>
      <c r="AI41" s="436"/>
      <c r="AJ41" s="446">
        <f t="shared" si="22"/>
        <v>0.85269190429667641</v>
      </c>
      <c r="AK41" s="451"/>
    </row>
    <row r="42" spans="1:37" ht="12.75" customHeight="1" thickTop="1">
      <c r="S42" s="292"/>
      <c r="T42" s="292"/>
      <c r="U42" s="292"/>
      <c r="X42" s="292"/>
      <c r="Z42" s="292"/>
      <c r="AA42" s="292"/>
    </row>
    <row r="43" spans="1:37" ht="12.75" customHeight="1">
      <c r="S43" s="292"/>
      <c r="T43" s="292"/>
      <c r="U43" s="292"/>
      <c r="X43" s="292"/>
      <c r="Z43" s="292"/>
      <c r="AA43" s="292"/>
    </row>
    <row r="44" spans="1:37">
      <c r="S44" s="292"/>
      <c r="T44" s="292"/>
      <c r="U44" s="292"/>
      <c r="X44" s="292"/>
      <c r="Z44" s="292"/>
      <c r="AA44" s="292"/>
    </row>
    <row r="45" spans="1:37">
      <c r="R45" s="301"/>
      <c r="S45" s="302"/>
    </row>
    <row r="46" spans="1:37">
      <c r="R46" s="303"/>
    </row>
    <row r="47" spans="1:37">
      <c r="R47" s="303"/>
    </row>
    <row r="48" spans="1:37">
      <c r="R48" s="303"/>
    </row>
    <row r="49" spans="18:37">
      <c r="R49" s="303"/>
      <c r="AJ49"/>
      <c r="AK49"/>
    </row>
    <row r="50" spans="18:37">
      <c r="R50" s="303"/>
      <c r="AJ50"/>
      <c r="AK50"/>
    </row>
    <row r="51" spans="18:37">
      <c r="R51" s="303"/>
      <c r="AJ51"/>
      <c r="AK51"/>
    </row>
    <row r="52" spans="18:37">
      <c r="R52" s="303"/>
      <c r="AJ52"/>
      <c r="AK52"/>
    </row>
    <row r="53" spans="18:37">
      <c r="R53" s="303"/>
      <c r="AJ53"/>
      <c r="AK53"/>
    </row>
    <row r="54" spans="18:37">
      <c r="R54" s="303"/>
      <c r="AJ54"/>
      <c r="AK54"/>
    </row>
    <row r="55" spans="18:37">
      <c r="R55" s="303"/>
      <c r="AJ55"/>
      <c r="AK55"/>
    </row>
    <row r="56" spans="18:37">
      <c r="R56" s="303"/>
      <c r="AJ56"/>
      <c r="AK56"/>
    </row>
    <row r="57" spans="18:37">
      <c r="R57" s="303"/>
      <c r="AJ57"/>
      <c r="AK57"/>
    </row>
    <row r="58" spans="18:37">
      <c r="R58" s="303"/>
      <c r="AJ58"/>
      <c r="AK58"/>
    </row>
    <row r="59" spans="18:37">
      <c r="R59" s="303"/>
      <c r="AJ59"/>
      <c r="AK59"/>
    </row>
    <row r="60" spans="18:37">
      <c r="AJ60"/>
      <c r="AK60"/>
    </row>
    <row r="65536" spans="3:35">
      <c r="C65536" s="304"/>
      <c r="AH65536"/>
      <c r="AI65536"/>
    </row>
  </sheetData>
  <mergeCells count="26">
    <mergeCell ref="J6:K7"/>
    <mergeCell ref="AF6:AG7"/>
    <mergeCell ref="N6:O7"/>
    <mergeCell ref="T7:U7"/>
    <mergeCell ref="V7:W7"/>
    <mergeCell ref="X7:Y7"/>
    <mergeCell ref="T6:Y6"/>
    <mergeCell ref="P6:Q7"/>
    <mergeCell ref="R6:S7"/>
    <mergeCell ref="Z6:AE6"/>
    <mergeCell ref="AH6:AI7"/>
    <mergeCell ref="AJ6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  <ignoredErrors>
    <ignoredError sqref="AF22:AF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5"/>
  <sheetViews>
    <sheetView zoomScaleNormal="100" workbookViewId="0">
      <pane xSplit="3" ySplit="6" topLeftCell="AN24" activePane="bottomRight" state="frozen"/>
      <selection pane="topRight" activeCell="D1" sqref="D1"/>
      <selection pane="bottomLeft" activeCell="A7" sqref="A7"/>
      <selection pane="bottomRight" activeCell="AR42" sqref="AR42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8.85546875" customWidth="1"/>
    <col min="9" max="9" width="12.85546875" customWidth="1"/>
    <col min="10" max="10" width="11.5703125" customWidth="1"/>
    <col min="11" max="11" width="12" customWidth="1"/>
    <col min="12" max="12" width="12.28515625" bestFit="1" customWidth="1"/>
    <col min="13" max="13" width="13" bestFit="1" customWidth="1"/>
    <col min="14" max="15" width="11" bestFit="1" customWidth="1"/>
    <col min="16" max="16" width="13.5703125" customWidth="1"/>
    <col min="17" max="17" width="12.42578125" customWidth="1"/>
    <col min="18" max="19" width="13.140625" customWidth="1"/>
    <col min="20" max="20" width="13" bestFit="1" customWidth="1"/>
    <col min="21" max="21" width="13.7109375" bestFit="1" customWidth="1"/>
    <col min="22" max="43" width="13.5703125" customWidth="1"/>
    <col min="44" max="44" width="13.85546875" bestFit="1" customWidth="1"/>
    <col min="45" max="46" width="10.85546875" bestFit="1" customWidth="1"/>
    <col min="49" max="49" width="39" bestFit="1" customWidth="1"/>
  </cols>
  <sheetData>
    <row r="2" spans="1:51" ht="24.75" customHeight="1">
      <c r="A2" s="827" t="s">
        <v>20</v>
      </c>
      <c r="B2" s="827"/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  <c r="P2" s="827"/>
      <c r="Q2" s="827"/>
      <c r="R2" s="827"/>
      <c r="S2" s="827"/>
      <c r="T2" s="827"/>
      <c r="U2" s="827"/>
      <c r="V2" s="827"/>
      <c r="W2" s="827"/>
      <c r="X2" s="827"/>
      <c r="Y2" s="827"/>
      <c r="Z2" s="827"/>
      <c r="AA2" s="827"/>
      <c r="AB2" s="827"/>
      <c r="AC2" s="827"/>
      <c r="AD2" s="827"/>
      <c r="AE2" s="827"/>
      <c r="AF2" s="827"/>
      <c r="AG2" s="827"/>
      <c r="AH2" s="827"/>
      <c r="AI2" s="827"/>
      <c r="AJ2" s="827"/>
      <c r="AK2" s="827"/>
      <c r="AL2" s="827"/>
      <c r="AM2" s="827"/>
      <c r="AN2" s="827"/>
      <c r="AO2" s="827"/>
      <c r="AP2" s="827"/>
      <c r="AQ2" s="827"/>
      <c r="AR2" s="827"/>
      <c r="AS2" s="305"/>
      <c r="AT2" s="305"/>
      <c r="AU2" s="305"/>
      <c r="AV2" s="305"/>
      <c r="AW2" s="305"/>
    </row>
    <row r="3" spans="1:51" ht="12.75" customHeight="1">
      <c r="A3" s="305"/>
      <c r="B3" s="305"/>
      <c r="C3" s="305"/>
      <c r="D3" s="306"/>
      <c r="E3" s="307"/>
      <c r="F3" s="308"/>
      <c r="G3" s="309"/>
      <c r="H3" s="310"/>
      <c r="I3" s="311"/>
      <c r="J3" s="311"/>
      <c r="K3" s="311"/>
      <c r="L3" s="312"/>
      <c r="M3" s="311"/>
      <c r="N3" s="311"/>
      <c r="O3" s="311"/>
      <c r="P3" s="313"/>
      <c r="Q3" s="311"/>
      <c r="R3" s="311"/>
      <c r="S3" s="311"/>
      <c r="T3" s="314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1"/>
      <c r="AP3" s="311"/>
      <c r="AQ3" s="311"/>
      <c r="AR3" s="311"/>
      <c r="AS3" s="5"/>
      <c r="AT3" s="5"/>
      <c r="AU3" s="305"/>
      <c r="AV3" s="305"/>
      <c r="AW3" s="305"/>
    </row>
    <row r="4" spans="1:51">
      <c r="A4" s="828" t="s">
        <v>7</v>
      </c>
      <c r="B4" s="831" t="s">
        <v>21</v>
      </c>
      <c r="C4" s="831" t="s">
        <v>22</v>
      </c>
      <c r="D4" s="869"/>
      <c r="E4" s="870"/>
      <c r="F4" s="870"/>
      <c r="G4" s="870"/>
      <c r="H4" s="870"/>
      <c r="I4" s="870"/>
      <c r="J4" s="870"/>
      <c r="K4" s="870"/>
      <c r="L4" s="870"/>
      <c r="M4" s="870"/>
      <c r="N4" s="870"/>
      <c r="O4" s="870"/>
      <c r="P4" s="870"/>
      <c r="Q4" s="870"/>
      <c r="R4" s="870"/>
      <c r="S4" s="870"/>
      <c r="T4" s="870"/>
      <c r="U4" s="870"/>
      <c r="V4" s="870"/>
      <c r="W4" s="870"/>
      <c r="X4" s="870"/>
      <c r="Y4" s="870"/>
      <c r="Z4" s="870"/>
      <c r="AA4" s="870"/>
      <c r="AB4" s="870"/>
      <c r="AC4" s="870"/>
      <c r="AD4" s="870"/>
      <c r="AE4" s="870"/>
      <c r="AF4" s="870"/>
      <c r="AG4" s="870"/>
      <c r="AH4" s="870"/>
      <c r="AI4" s="870"/>
      <c r="AJ4" s="870"/>
      <c r="AK4" s="870"/>
      <c r="AL4" s="870"/>
      <c r="AM4" s="870"/>
      <c r="AN4" s="870"/>
      <c r="AO4" s="870"/>
      <c r="AP4" s="870"/>
      <c r="AQ4" s="871"/>
      <c r="AR4" s="849" t="s">
        <v>146</v>
      </c>
      <c r="AS4" s="850"/>
      <c r="AT4" s="851"/>
    </row>
    <row r="5" spans="1:51" ht="14.25" customHeight="1">
      <c r="A5" s="829"/>
      <c r="B5" s="832"/>
      <c r="C5" s="832"/>
      <c r="D5" s="834" t="s">
        <v>174</v>
      </c>
      <c r="E5" s="835"/>
      <c r="F5" s="835"/>
      <c r="G5" s="836"/>
      <c r="H5" s="846" t="s">
        <v>175</v>
      </c>
      <c r="I5" s="847"/>
      <c r="J5" s="847"/>
      <c r="K5" s="848"/>
      <c r="L5" s="858" t="s">
        <v>416</v>
      </c>
      <c r="M5" s="859"/>
      <c r="N5" s="859"/>
      <c r="O5" s="860"/>
      <c r="P5" s="855" t="s">
        <v>176</v>
      </c>
      <c r="Q5" s="856"/>
      <c r="R5" s="856"/>
      <c r="S5" s="857"/>
      <c r="T5" s="861" t="s">
        <v>178</v>
      </c>
      <c r="U5" s="862"/>
      <c r="V5" s="862"/>
      <c r="W5" s="862"/>
      <c r="X5" s="863" t="s">
        <v>179</v>
      </c>
      <c r="Y5" s="864"/>
      <c r="Z5" s="864"/>
      <c r="AA5" s="865"/>
      <c r="AB5" s="837" t="s">
        <v>180</v>
      </c>
      <c r="AC5" s="838"/>
      <c r="AD5" s="838"/>
      <c r="AE5" s="839"/>
      <c r="AF5" s="840" t="s">
        <v>181</v>
      </c>
      <c r="AG5" s="841"/>
      <c r="AH5" s="841"/>
      <c r="AI5" s="842"/>
      <c r="AJ5" s="866" t="s">
        <v>182</v>
      </c>
      <c r="AK5" s="867"/>
      <c r="AL5" s="867"/>
      <c r="AM5" s="868"/>
      <c r="AN5" s="843" t="s">
        <v>183</v>
      </c>
      <c r="AO5" s="844"/>
      <c r="AP5" s="844"/>
      <c r="AQ5" s="845"/>
      <c r="AR5" s="852"/>
      <c r="AS5" s="853"/>
      <c r="AT5" s="854"/>
    </row>
    <row r="6" spans="1:51" ht="14.25" customHeight="1">
      <c r="A6" s="830"/>
      <c r="B6" s="833"/>
      <c r="C6" s="833"/>
      <c r="D6" s="386" t="s">
        <v>23</v>
      </c>
      <c r="E6" s="387" t="s">
        <v>24</v>
      </c>
      <c r="F6" s="388" t="s">
        <v>25</v>
      </c>
      <c r="G6" s="388" t="s">
        <v>26</v>
      </c>
      <c r="H6" s="389" t="s">
        <v>23</v>
      </c>
      <c r="I6" s="390" t="s">
        <v>24</v>
      </c>
      <c r="J6" s="391" t="s">
        <v>25</v>
      </c>
      <c r="K6" s="391" t="s">
        <v>26</v>
      </c>
      <c r="L6" s="399" t="s">
        <v>23</v>
      </c>
      <c r="M6" s="400" t="s">
        <v>24</v>
      </c>
      <c r="N6" s="401" t="s">
        <v>25</v>
      </c>
      <c r="O6" s="401" t="s">
        <v>26</v>
      </c>
      <c r="P6" s="395" t="s">
        <v>23</v>
      </c>
      <c r="Q6" s="396" t="s">
        <v>24</v>
      </c>
      <c r="R6" s="397" t="s">
        <v>25</v>
      </c>
      <c r="S6" s="397" t="s">
        <v>26</v>
      </c>
      <c r="T6" s="392" t="s">
        <v>23</v>
      </c>
      <c r="U6" s="393" t="s">
        <v>24</v>
      </c>
      <c r="V6" s="394" t="s">
        <v>25</v>
      </c>
      <c r="W6" s="394" t="s">
        <v>26</v>
      </c>
      <c r="X6" s="403" t="s">
        <v>23</v>
      </c>
      <c r="Y6" s="403" t="s">
        <v>24</v>
      </c>
      <c r="Z6" s="403" t="s">
        <v>25</v>
      </c>
      <c r="AA6" s="403" t="s">
        <v>26</v>
      </c>
      <c r="AB6" s="398" t="s">
        <v>23</v>
      </c>
      <c r="AC6" s="398" t="s">
        <v>24</v>
      </c>
      <c r="AD6" s="398" t="s">
        <v>25</v>
      </c>
      <c r="AE6" s="398" t="s">
        <v>26</v>
      </c>
      <c r="AF6" s="402" t="s">
        <v>23</v>
      </c>
      <c r="AG6" s="402" t="s">
        <v>24</v>
      </c>
      <c r="AH6" s="402" t="s">
        <v>25</v>
      </c>
      <c r="AI6" s="402" t="s">
        <v>26</v>
      </c>
      <c r="AJ6" s="404" t="s">
        <v>23</v>
      </c>
      <c r="AK6" s="404" t="s">
        <v>24</v>
      </c>
      <c r="AL6" s="404" t="s">
        <v>25</v>
      </c>
      <c r="AM6" s="404" t="s">
        <v>26</v>
      </c>
      <c r="AN6" s="405" t="s">
        <v>23</v>
      </c>
      <c r="AO6" s="405" t="s">
        <v>24</v>
      </c>
      <c r="AP6" s="405" t="s">
        <v>25</v>
      </c>
      <c r="AQ6" s="405" t="s">
        <v>26</v>
      </c>
      <c r="AR6" s="406" t="s">
        <v>24</v>
      </c>
      <c r="AS6" s="407" t="s">
        <v>25</v>
      </c>
      <c r="AT6" s="407" t="s">
        <v>26</v>
      </c>
      <c r="AV6" s="345"/>
    </row>
    <row r="7" spans="1:51">
      <c r="A7" s="315">
        <f>A8-1</f>
        <v>45961</v>
      </c>
      <c r="B7" s="316">
        <v>0</v>
      </c>
      <c r="C7" s="316">
        <v>0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347"/>
      <c r="AS7" s="107"/>
      <c r="AT7" s="107"/>
    </row>
    <row r="8" spans="1:51" ht="15">
      <c r="A8" s="315">
        <f>+Report1!A9</f>
        <v>45962</v>
      </c>
      <c r="B8" s="323">
        <f>+Report1!P9</f>
        <v>65.826999999999998</v>
      </c>
      <c r="C8" s="323">
        <f>+Report1!R9</f>
        <v>59.673000000000002</v>
      </c>
      <c r="D8" s="324">
        <f>+D7+E8</f>
        <v>0</v>
      </c>
      <c r="E8" s="324">
        <f>+[16]DailyNov!D7</f>
        <v>0</v>
      </c>
      <c r="F8" s="324">
        <f t="shared" ref="F8:F38" si="0">E8/B8</f>
        <v>0</v>
      </c>
      <c r="G8" s="324">
        <f t="shared" ref="G8:G38" si="1">E8/C8</f>
        <v>0</v>
      </c>
      <c r="H8" s="324">
        <f>+H7+I8</f>
        <v>0</v>
      </c>
      <c r="I8" s="324">
        <f>+[16]DailyNov!E7</f>
        <v>0</v>
      </c>
      <c r="J8" s="324">
        <f t="shared" ref="J8:J38" si="2">I8/B8</f>
        <v>0</v>
      </c>
      <c r="K8" s="324">
        <f t="shared" ref="K8:K38" si="3">I8/C8</f>
        <v>0</v>
      </c>
      <c r="L8" s="324">
        <f>+L7+M8</f>
        <v>6300</v>
      </c>
      <c r="M8" s="324">
        <f>+[16]DailyNov!F7</f>
        <v>6300</v>
      </c>
      <c r="N8" s="324">
        <f t="shared" ref="N8:N38" si="4">M8/B8</f>
        <v>95.705409634344576</v>
      </c>
      <c r="O8" s="324">
        <f t="shared" ref="O8:O38" si="5">M8/C8</f>
        <v>105.57538585289829</v>
      </c>
      <c r="P8" s="324">
        <f>+P7+Q8</f>
        <v>8002.0000000014988</v>
      </c>
      <c r="Q8" s="324">
        <f>+[16]DailyNov!G7</f>
        <v>8002.0000000014988</v>
      </c>
      <c r="R8" s="324">
        <f t="shared" ref="R8:R38" si="6">Q8/B8</f>
        <v>121.56106157050297</v>
      </c>
      <c r="S8" s="324">
        <f t="shared" ref="S8:S38" si="7">Q8/C8</f>
        <v>134.09749803096037</v>
      </c>
      <c r="T8" s="324">
        <f>+T7+U8</f>
        <v>4800.0000000001819</v>
      </c>
      <c r="U8" s="324">
        <f>+[16]DailyNov!H7</f>
        <v>4800.0000000001819</v>
      </c>
      <c r="V8" s="324">
        <f t="shared" ref="V8:V38" si="8">U8/B8</f>
        <v>72.918407340455772</v>
      </c>
      <c r="W8" s="324">
        <f t="shared" ref="W8:W38" si="9">U8/C8</f>
        <v>80.438389221258888</v>
      </c>
      <c r="X8" s="324">
        <f>+X7+Y8</f>
        <v>10730.649999999272</v>
      </c>
      <c r="Y8" s="324">
        <f>+[16]DailyNov!I7</f>
        <v>10730.649999999272</v>
      </c>
      <c r="Z8" s="324">
        <f>Y8/B8</f>
        <v>163.0128974432873</v>
      </c>
      <c r="AA8" s="324">
        <f>Y8/C8</f>
        <v>179.82420860354384</v>
      </c>
      <c r="AB8" s="324">
        <f>+AB7+AC8</f>
        <v>5720.6500000000769</v>
      </c>
      <c r="AC8" s="324">
        <f>+[16]DailyNov!J7</f>
        <v>5720.6500000000769</v>
      </c>
      <c r="AD8" s="324">
        <f>AC8/B8</f>
        <v>86.904309781701684</v>
      </c>
      <c r="AE8" s="416">
        <f>AC8/C8</f>
        <v>95.866639853871547</v>
      </c>
      <c r="AF8" s="324">
        <f>+AF7+AG8</f>
        <v>14100.000000000364</v>
      </c>
      <c r="AG8" s="324">
        <f>+[16]DailyNov!K7</f>
        <v>14100.000000000364</v>
      </c>
      <c r="AH8" s="324">
        <f>AG8/B8</f>
        <v>214.19782156258623</v>
      </c>
      <c r="AI8" s="444">
        <f>AG8/C8</f>
        <v>236.28776833744513</v>
      </c>
      <c r="AJ8" s="324">
        <f>+AJ7+AK8</f>
        <v>460</v>
      </c>
      <c r="AK8" s="324">
        <f>+[16]DailyNov!L7</f>
        <v>460</v>
      </c>
      <c r="AL8" s="324">
        <f>AK8/B8</f>
        <v>6.9880140367934134</v>
      </c>
      <c r="AM8" s="444">
        <f>AK8/C8</f>
        <v>7.7086789670370184</v>
      </c>
      <c r="AN8" s="324">
        <f>+AN7+AO8</f>
        <v>700</v>
      </c>
      <c r="AO8" s="324">
        <f>+[16]DailyNov!M7</f>
        <v>700</v>
      </c>
      <c r="AP8" s="324">
        <f>AO8/B8</f>
        <v>10.633934403816063</v>
      </c>
      <c r="AQ8" s="444">
        <f>AO8/C8</f>
        <v>11.73059842809981</v>
      </c>
      <c r="AR8" s="324">
        <f>+E8+I8+M8+Q8+U8+Y8+AC8+AG8+AK8+AO8</f>
        <v>50813.300000001393</v>
      </c>
      <c r="AS8" s="6">
        <f t="shared" ref="AS8:AS38" si="10">AR8/B8</f>
        <v>771.92185577348801</v>
      </c>
      <c r="AT8" s="322">
        <f t="shared" ref="AT8:AT38" si="11">AR8/C8</f>
        <v>851.52916729511492</v>
      </c>
      <c r="AX8" s="409" t="s">
        <v>185</v>
      </c>
      <c r="AY8" s="409" t="s">
        <v>186</v>
      </c>
    </row>
    <row r="9" spans="1:51" ht="15">
      <c r="A9" s="315">
        <f t="shared" ref="A9:A38" si="12">A8+1</f>
        <v>45963</v>
      </c>
      <c r="B9" s="323">
        <f>+Report1!P10</f>
        <v>65.826999999999998</v>
      </c>
      <c r="C9" s="323">
        <f>+Report1!R10</f>
        <v>62.746000000000002</v>
      </c>
      <c r="D9" s="324">
        <f t="shared" ref="D9:D38" si="13">+D8+E9</f>
        <v>0</v>
      </c>
      <c r="E9" s="324">
        <f>+[16]DailyNov!D8</f>
        <v>0</v>
      </c>
      <c r="F9" s="324">
        <f t="shared" si="0"/>
        <v>0</v>
      </c>
      <c r="G9" s="324">
        <f t="shared" si="1"/>
        <v>0</v>
      </c>
      <c r="H9" s="324">
        <f t="shared" ref="H9:H38" si="14">+H8+I9</f>
        <v>0</v>
      </c>
      <c r="I9" s="324">
        <f>+[16]DailyNov!E8</f>
        <v>0</v>
      </c>
      <c r="J9" s="324">
        <f t="shared" si="2"/>
        <v>0</v>
      </c>
      <c r="K9" s="324">
        <f t="shared" si="3"/>
        <v>0</v>
      </c>
      <c r="L9" s="324">
        <f t="shared" ref="L9:L38" si="15">+L8+M9</f>
        <v>12400</v>
      </c>
      <c r="M9" s="324">
        <f>+[16]DailyNov!F8</f>
        <v>6100</v>
      </c>
      <c r="N9" s="324">
        <f t="shared" si="4"/>
        <v>92.667142661825693</v>
      </c>
      <c r="O9" s="324">
        <f t="shared" si="5"/>
        <v>97.217352500557794</v>
      </c>
      <c r="P9" s="324">
        <f t="shared" ref="P9:P38" si="16">+P8+Q9</f>
        <v>16200.000000000364</v>
      </c>
      <c r="Q9" s="324">
        <f>+[16]DailyNov!G8</f>
        <v>8197.999999998865</v>
      </c>
      <c r="R9" s="324">
        <f t="shared" si="6"/>
        <v>124.53856320353145</v>
      </c>
      <c r="S9" s="324">
        <f t="shared" si="7"/>
        <v>130.65374685237092</v>
      </c>
      <c r="T9" s="324">
        <f t="shared" ref="T9:T38" si="17">+T8+U9</f>
        <v>9599.9999999994543</v>
      </c>
      <c r="U9" s="324">
        <f>+[16]DailyNov!H8</f>
        <v>4799.9999999992724</v>
      </c>
      <c r="V9" s="324">
        <f t="shared" si="8"/>
        <v>72.918407340441959</v>
      </c>
      <c r="W9" s="324">
        <f t="shared" si="9"/>
        <v>76.498900328296187</v>
      </c>
      <c r="X9" s="324">
        <f t="shared" ref="X9:X38" si="18">+X8+Y9</f>
        <v>24910.540000000365</v>
      </c>
      <c r="Y9" s="324">
        <f>+[16]DailyNov!I8</f>
        <v>14179.890000001091</v>
      </c>
      <c r="Z9" s="324">
        <f t="shared" ref="Z9:Z38" si="19">Y9/B9</f>
        <v>215.41145730476995</v>
      </c>
      <c r="AA9" s="324">
        <f t="shared" ref="AA9:AA38" si="20">Y9/C9</f>
        <v>225.98874828676077</v>
      </c>
      <c r="AB9" s="324">
        <f t="shared" ref="AB9:AB38" si="21">+AB8+AC9</f>
        <v>14960.540000000728</v>
      </c>
      <c r="AC9" s="324">
        <f>+[16]DailyNov!J8</f>
        <v>9239.8900000006506</v>
      </c>
      <c r="AD9" s="324">
        <f t="shared" ref="AD9:AD38" si="22">AC9/B9</f>
        <v>140.36626308354704</v>
      </c>
      <c r="AE9" s="416">
        <f t="shared" ref="AE9:AE38" si="23">AC9/C9</f>
        <v>147.25863003220365</v>
      </c>
      <c r="AF9" s="324">
        <f t="shared" ref="AF9:AF38" si="24">+AF8+AG9</f>
        <v>29000</v>
      </c>
      <c r="AG9" s="324">
        <f>+[16]DailyNov!K8</f>
        <v>14899.999999999636</v>
      </c>
      <c r="AH9" s="324">
        <f t="shared" ref="AH9:AH38" si="25">AG9/B9</f>
        <v>226.35088945265068</v>
      </c>
      <c r="AI9" s="444">
        <f t="shared" ref="AI9:AI38" si="26">AG9/C9</f>
        <v>237.46533643578292</v>
      </c>
      <c r="AJ9" s="324">
        <f t="shared" ref="AJ9:AJ38" si="27">+AJ8+AK9</f>
        <v>940</v>
      </c>
      <c r="AK9" s="324">
        <f>+[16]DailyNov!L8</f>
        <v>480</v>
      </c>
      <c r="AL9" s="324">
        <f t="shared" ref="AL9:AL38" si="28">AK9/B9</f>
        <v>7.2918407340453006</v>
      </c>
      <c r="AM9" s="444">
        <f t="shared" ref="AM9:AM38" si="29">AK9/C9</f>
        <v>7.6498900328307782</v>
      </c>
      <c r="AN9" s="324">
        <f t="shared" ref="AN9:AN38" si="30">+AN8+AO9</f>
        <v>1430</v>
      </c>
      <c r="AO9" s="324">
        <f>+[16]DailyNov!M8</f>
        <v>730</v>
      </c>
      <c r="AP9" s="324">
        <f t="shared" ref="AP9:AP38" si="31">AO9/B9</f>
        <v>11.089674449693895</v>
      </c>
      <c r="AQ9" s="444">
        <f t="shared" ref="AQ9:AQ38" si="32">AO9/C9</f>
        <v>11.634207758263475</v>
      </c>
      <c r="AR9" s="324">
        <f t="shared" ref="AR9:AR38" si="33">+E9+I9+M9+Q9+U9+Y9+AC9+AG9+AK9+AO9</f>
        <v>58627.779999999519</v>
      </c>
      <c r="AS9" s="321">
        <f>AR9/B9</f>
        <v>890.63423823050607</v>
      </c>
      <c r="AT9" s="322">
        <f t="shared" si="11"/>
        <v>934.36681222706648</v>
      </c>
      <c r="AX9" s="409" t="s">
        <v>187</v>
      </c>
      <c r="AY9" s="409" t="s">
        <v>187</v>
      </c>
    </row>
    <row r="10" spans="1:51">
      <c r="A10" s="315">
        <f t="shared" si="12"/>
        <v>45964</v>
      </c>
      <c r="B10" s="323">
        <f>+Report1!P11</f>
        <v>70.057000000000002</v>
      </c>
      <c r="C10" s="323">
        <f>+Report1!R11</f>
        <v>65.622</v>
      </c>
      <c r="D10" s="324">
        <f t="shared" si="13"/>
        <v>0</v>
      </c>
      <c r="E10" s="324">
        <f>+[16]DailyNov!D9</f>
        <v>0</v>
      </c>
      <c r="F10" s="324">
        <f t="shared" si="0"/>
        <v>0</v>
      </c>
      <c r="G10" s="324">
        <f t="shared" si="1"/>
        <v>0</v>
      </c>
      <c r="H10" s="324">
        <f t="shared" si="14"/>
        <v>0</v>
      </c>
      <c r="I10" s="324">
        <f>+[16]DailyNov!E9</f>
        <v>0</v>
      </c>
      <c r="J10" s="324">
        <f t="shared" si="2"/>
        <v>0</v>
      </c>
      <c r="K10" s="324">
        <f t="shared" si="3"/>
        <v>0</v>
      </c>
      <c r="L10" s="324">
        <f t="shared" si="15"/>
        <v>18500</v>
      </c>
      <c r="M10" s="324">
        <f>+[16]DailyNov!F9</f>
        <v>6100</v>
      </c>
      <c r="N10" s="324">
        <f t="shared" si="4"/>
        <v>87.071955693221227</v>
      </c>
      <c r="O10" s="324">
        <f t="shared" si="5"/>
        <v>92.956630398342014</v>
      </c>
      <c r="P10" s="324">
        <f t="shared" si="16"/>
        <v>23800.000000001091</v>
      </c>
      <c r="Q10" s="324">
        <f>+[16]DailyNov!G9</f>
        <v>7600.0000000007276</v>
      </c>
      <c r="R10" s="324">
        <f t="shared" si="6"/>
        <v>108.4830923391057</v>
      </c>
      <c r="S10" s="324">
        <f t="shared" si="7"/>
        <v>115.8148182012241</v>
      </c>
      <c r="T10" s="324">
        <f t="shared" si="17"/>
        <v>14000</v>
      </c>
      <c r="U10" s="324">
        <f>+[16]DailyNov!H9</f>
        <v>4400.0000000005457</v>
      </c>
      <c r="V10" s="324">
        <f t="shared" si="8"/>
        <v>62.806000827905073</v>
      </c>
      <c r="W10" s="324">
        <f t="shared" si="9"/>
        <v>67.05068422176322</v>
      </c>
      <c r="X10" s="324">
        <f t="shared" si="18"/>
        <v>35484.080000000729</v>
      </c>
      <c r="Y10" s="324">
        <f>+[16]DailyNov!I9</f>
        <v>10573.540000000365</v>
      </c>
      <c r="Z10" s="324">
        <f t="shared" si="19"/>
        <v>150.92767318041544</v>
      </c>
      <c r="AA10" s="324">
        <f t="shared" si="20"/>
        <v>161.12797537411791</v>
      </c>
      <c r="AB10" s="324">
        <f t="shared" si="21"/>
        <v>21654.079999999278</v>
      </c>
      <c r="AC10" s="324">
        <f>+[16]DailyNov!J9</f>
        <v>6693.5399999985502</v>
      </c>
      <c r="AD10" s="324">
        <f t="shared" si="22"/>
        <v>95.544199723061936</v>
      </c>
      <c r="AE10" s="416">
        <f t="shared" si="23"/>
        <v>102.00146292399729</v>
      </c>
      <c r="AF10" s="324">
        <f t="shared" si="24"/>
        <v>42600.000000000364</v>
      </c>
      <c r="AG10" s="324">
        <f>+[16]DailyNov!K9</f>
        <v>13600.000000000364</v>
      </c>
      <c r="AH10" s="324">
        <f t="shared" si="25"/>
        <v>194.12763892259679</v>
      </c>
      <c r="AI10" s="444">
        <f t="shared" si="26"/>
        <v>207.24756941270252</v>
      </c>
      <c r="AJ10" s="324">
        <f t="shared" si="27"/>
        <v>1400</v>
      </c>
      <c r="AK10" s="324">
        <f>+[16]DailyNov!L9</f>
        <v>460</v>
      </c>
      <c r="AL10" s="324">
        <f t="shared" si="28"/>
        <v>6.5660819047347161</v>
      </c>
      <c r="AM10" s="444">
        <f t="shared" si="29"/>
        <v>7.0098442595471031</v>
      </c>
      <c r="AN10" s="324">
        <f t="shared" si="30"/>
        <v>2080</v>
      </c>
      <c r="AO10" s="324">
        <f>+[16]DailyNov!M9</f>
        <v>650</v>
      </c>
      <c r="AP10" s="324">
        <f t="shared" si="31"/>
        <v>9.2781592132120991</v>
      </c>
      <c r="AQ10" s="444">
        <f t="shared" si="32"/>
        <v>9.9052147145774292</v>
      </c>
      <c r="AR10" s="324">
        <f t="shared" si="33"/>
        <v>50077.080000000555</v>
      </c>
      <c r="AS10" s="321">
        <f t="shared" si="10"/>
        <v>714.80480180425297</v>
      </c>
      <c r="AT10" s="322">
        <f t="shared" si="11"/>
        <v>763.11419950627158</v>
      </c>
      <c r="AV10" s="19" t="s">
        <v>28</v>
      </c>
      <c r="AW10" t="s">
        <v>174</v>
      </c>
      <c r="AX10" s="12">
        <f>+F39</f>
        <v>0</v>
      </c>
      <c r="AY10" s="12">
        <f>+G39</f>
        <v>0</v>
      </c>
    </row>
    <row r="11" spans="1:51">
      <c r="A11" s="315">
        <f t="shared" si="12"/>
        <v>45965</v>
      </c>
      <c r="B11" s="323">
        <f>+Report1!P12</f>
        <v>68.326000000000008</v>
      </c>
      <c r="C11" s="323">
        <f>+Report1!R12</f>
        <v>59.649000000000001</v>
      </c>
      <c r="D11" s="324">
        <f t="shared" si="13"/>
        <v>0</v>
      </c>
      <c r="E11" s="324">
        <f>+[16]DailyNov!D10</f>
        <v>0</v>
      </c>
      <c r="F11" s="324">
        <f t="shared" si="0"/>
        <v>0</v>
      </c>
      <c r="G11" s="324">
        <f t="shared" si="1"/>
        <v>0</v>
      </c>
      <c r="H11" s="324">
        <f t="shared" si="14"/>
        <v>0</v>
      </c>
      <c r="I11" s="324">
        <f>+[16]DailyNov!E10</f>
        <v>0</v>
      </c>
      <c r="J11" s="324">
        <f t="shared" si="2"/>
        <v>0</v>
      </c>
      <c r="K11" s="324">
        <f t="shared" si="3"/>
        <v>0</v>
      </c>
      <c r="L11" s="324">
        <f t="shared" si="15"/>
        <v>25000</v>
      </c>
      <c r="M11" s="324">
        <f>+[16]DailyNov!F10</f>
        <v>6500</v>
      </c>
      <c r="N11" s="324">
        <f t="shared" si="4"/>
        <v>95.132160524544091</v>
      </c>
      <c r="O11" s="324">
        <f t="shared" si="5"/>
        <v>108.97081258696709</v>
      </c>
      <c r="P11" s="324">
        <f t="shared" si="16"/>
        <v>32100.000000000364</v>
      </c>
      <c r="Q11" s="324">
        <f>+[16]DailyNov!G10</f>
        <v>8299.9999999992724</v>
      </c>
      <c r="R11" s="324">
        <f t="shared" si="6"/>
        <v>121.47645113133026</v>
      </c>
      <c r="S11" s="324">
        <f t="shared" si="7"/>
        <v>139.14734530334579</v>
      </c>
      <c r="T11" s="324">
        <f t="shared" si="17"/>
        <v>18599.999999999454</v>
      </c>
      <c r="U11" s="324">
        <f>+[16]DailyNov!H10</f>
        <v>4599.9999999994543</v>
      </c>
      <c r="V11" s="324">
        <f t="shared" si="8"/>
        <v>67.324298217361672</v>
      </c>
      <c r="W11" s="324">
        <f t="shared" si="9"/>
        <v>77.117805830767566</v>
      </c>
      <c r="X11" s="324">
        <f t="shared" si="18"/>
        <v>46924.950000000732</v>
      </c>
      <c r="Y11" s="324">
        <f>+[16]DailyNov!I10</f>
        <v>11440.87</v>
      </c>
      <c r="Z11" s="324">
        <f t="shared" si="19"/>
        <v>167.4453355969909</v>
      </c>
      <c r="AA11" s="324">
        <f t="shared" si="20"/>
        <v>191.80321547720834</v>
      </c>
      <c r="AB11" s="324">
        <f t="shared" si="21"/>
        <v>28964.949999999193</v>
      </c>
      <c r="AC11" s="324">
        <f>+[16]DailyNov!J10</f>
        <v>7310.8699999999144</v>
      </c>
      <c r="AD11" s="324">
        <f t="shared" si="22"/>
        <v>106.99982437139469</v>
      </c>
      <c r="AE11" s="416">
        <f t="shared" si="23"/>
        <v>122.56483763348781</v>
      </c>
      <c r="AF11" s="324">
        <f t="shared" si="24"/>
        <v>56799.999999999272</v>
      </c>
      <c r="AG11" s="324">
        <f>+[16]DailyNov!K10</f>
        <v>14199.999999998909</v>
      </c>
      <c r="AH11" s="324">
        <f t="shared" si="25"/>
        <v>207.82718145360343</v>
      </c>
      <c r="AI11" s="444">
        <f t="shared" si="26"/>
        <v>238.0593136515098</v>
      </c>
      <c r="AJ11" s="324">
        <f t="shared" si="27"/>
        <v>1830</v>
      </c>
      <c r="AK11" s="324">
        <f>+[16]DailyNov!L10</f>
        <v>430</v>
      </c>
      <c r="AL11" s="324">
        <f t="shared" si="28"/>
        <v>6.2933583116236855</v>
      </c>
      <c r="AM11" s="444">
        <f t="shared" si="29"/>
        <v>7.2088383711378228</v>
      </c>
      <c r="AN11" s="324">
        <f t="shared" si="30"/>
        <v>2770</v>
      </c>
      <c r="AO11" s="324">
        <f>+[16]DailyNov!M10</f>
        <v>690</v>
      </c>
      <c r="AP11" s="324">
        <f t="shared" si="31"/>
        <v>10.098644732605448</v>
      </c>
      <c r="AQ11" s="444">
        <f t="shared" si="32"/>
        <v>11.567670874616507</v>
      </c>
      <c r="AR11" s="324">
        <f t="shared" si="33"/>
        <v>53471.739999997553</v>
      </c>
      <c r="AS11" s="321">
        <f t="shared" si="10"/>
        <v>782.59725433945414</v>
      </c>
      <c r="AT11" s="322">
        <f t="shared" si="11"/>
        <v>896.43983972904073</v>
      </c>
      <c r="AV11" s="19"/>
      <c r="AW11" t="s">
        <v>175</v>
      </c>
      <c r="AX11" s="12">
        <f>+J39</f>
        <v>0</v>
      </c>
      <c r="AY11" s="12">
        <f>+K39</f>
        <v>0</v>
      </c>
    </row>
    <row r="12" spans="1:51">
      <c r="A12" s="315">
        <f t="shared" si="12"/>
        <v>45966</v>
      </c>
      <c r="B12" s="323">
        <f>+Report1!P13</f>
        <v>45.849000000000004</v>
      </c>
      <c r="C12" s="323">
        <f>+Report1!R13</f>
        <v>55.176000000000002</v>
      </c>
      <c r="D12" s="324">
        <f t="shared" si="13"/>
        <v>0</v>
      </c>
      <c r="E12" s="324">
        <f>+[16]DailyNov!D11</f>
        <v>0</v>
      </c>
      <c r="F12" s="324">
        <f t="shared" si="0"/>
        <v>0</v>
      </c>
      <c r="G12" s="324">
        <f t="shared" si="1"/>
        <v>0</v>
      </c>
      <c r="H12" s="324">
        <f t="shared" si="14"/>
        <v>0</v>
      </c>
      <c r="I12" s="324">
        <f>+[16]DailyNov!E11</f>
        <v>0</v>
      </c>
      <c r="J12" s="324">
        <f t="shared" si="2"/>
        <v>0</v>
      </c>
      <c r="K12" s="324">
        <f t="shared" si="3"/>
        <v>0</v>
      </c>
      <c r="L12" s="324">
        <f t="shared" si="15"/>
        <v>31100</v>
      </c>
      <c r="M12" s="324">
        <f>+[16]DailyNov!F11</f>
        <v>6100</v>
      </c>
      <c r="N12" s="324">
        <f t="shared" si="4"/>
        <v>133.04543174333136</v>
      </c>
      <c r="O12" s="324">
        <f t="shared" si="5"/>
        <v>110.5553139045962</v>
      </c>
      <c r="P12" s="324">
        <f t="shared" si="16"/>
        <v>39600.000000000728</v>
      </c>
      <c r="Q12" s="324">
        <f>+[16]DailyNov!G11</f>
        <v>7500.0000000003638</v>
      </c>
      <c r="R12" s="324">
        <f t="shared" si="6"/>
        <v>163.5804488647596</v>
      </c>
      <c r="S12" s="324">
        <f t="shared" si="7"/>
        <v>135.92866463680519</v>
      </c>
      <c r="T12" s="324">
        <f t="shared" si="17"/>
        <v>24199.999999999818</v>
      </c>
      <c r="U12" s="324">
        <f>+[16]DailyNov!H11</f>
        <v>5600.0000000003638</v>
      </c>
      <c r="V12" s="324">
        <f t="shared" si="8"/>
        <v>122.14006848568918</v>
      </c>
      <c r="W12" s="324">
        <f>U12/C12</f>
        <v>101.49340292881622</v>
      </c>
      <c r="X12" s="324">
        <f t="shared" si="18"/>
        <v>59057.230000000367</v>
      </c>
      <c r="Y12" s="324">
        <f>+[16]DailyNov!I11</f>
        <v>12132.279999999637</v>
      </c>
      <c r="Z12" s="324">
        <f t="shared" si="19"/>
        <v>264.61384108703868</v>
      </c>
      <c r="AA12" s="324">
        <f t="shared" si="20"/>
        <v>219.88328258662528</v>
      </c>
      <c r="AB12" s="324">
        <f t="shared" si="21"/>
        <v>35677.229999999348</v>
      </c>
      <c r="AC12" s="324">
        <f>+[16]DailyNov!J11</f>
        <v>6712.2800000001553</v>
      </c>
      <c r="AD12" s="324">
        <f t="shared" si="22"/>
        <v>146.39970337412277</v>
      </c>
      <c r="AE12" s="416">
        <f t="shared" si="23"/>
        <v>121.65216760910822</v>
      </c>
      <c r="AF12" s="324">
        <f t="shared" si="24"/>
        <v>66799.999999999272</v>
      </c>
      <c r="AG12" s="324">
        <f>+[16]DailyNov!K11</f>
        <v>10000</v>
      </c>
      <c r="AH12" s="324">
        <f t="shared" si="25"/>
        <v>218.10726515300223</v>
      </c>
      <c r="AI12" s="444">
        <f t="shared" si="26"/>
        <v>181.23821951573146</v>
      </c>
      <c r="AJ12" s="324">
        <f t="shared" si="27"/>
        <v>2270</v>
      </c>
      <c r="AK12" s="324">
        <f>+[16]DailyNov!L11</f>
        <v>440</v>
      </c>
      <c r="AL12" s="324">
        <f t="shared" si="28"/>
        <v>9.5967196667320973</v>
      </c>
      <c r="AM12" s="444">
        <f t="shared" si="29"/>
        <v>7.9744816586921852</v>
      </c>
      <c r="AN12" s="324">
        <f t="shared" si="30"/>
        <v>3400</v>
      </c>
      <c r="AO12" s="324">
        <f>+[16]DailyNov!M11</f>
        <v>630</v>
      </c>
      <c r="AP12" s="324">
        <f t="shared" si="31"/>
        <v>13.74075770463914</v>
      </c>
      <c r="AQ12" s="444">
        <f t="shared" si="32"/>
        <v>11.418007829491083</v>
      </c>
      <c r="AR12" s="324">
        <f>+E12+I12+M12+Q12+U12+Y12+AC12+AG12+AK12+AO12</f>
        <v>49114.560000000522</v>
      </c>
      <c r="AS12" s="321">
        <f t="shared" si="10"/>
        <v>1071.224236079315</v>
      </c>
      <c r="AT12" s="322">
        <f t="shared" si="11"/>
        <v>890.14354066986584</v>
      </c>
      <c r="AV12" s="19"/>
      <c r="AW12" t="s">
        <v>176</v>
      </c>
      <c r="AX12" s="12">
        <f>+N39</f>
        <v>0</v>
      </c>
      <c r="AY12" s="12">
        <f>+O39</f>
        <v>0</v>
      </c>
    </row>
    <row r="13" spans="1:51">
      <c r="A13" s="315">
        <f t="shared" si="12"/>
        <v>45967</v>
      </c>
      <c r="B13" s="323">
        <f>+Report1!P14</f>
        <v>50.673000000000002</v>
      </c>
      <c r="C13" s="323">
        <f>+Report1!R14</f>
        <v>44.353000000000002</v>
      </c>
      <c r="D13" s="324">
        <f t="shared" si="13"/>
        <v>0</v>
      </c>
      <c r="E13" s="324">
        <f>+[16]DailyNov!D12</f>
        <v>0</v>
      </c>
      <c r="F13" s="324">
        <f t="shared" si="0"/>
        <v>0</v>
      </c>
      <c r="G13" s="324">
        <f t="shared" si="1"/>
        <v>0</v>
      </c>
      <c r="H13" s="324">
        <f t="shared" si="14"/>
        <v>0</v>
      </c>
      <c r="I13" s="324">
        <f>+[16]DailyNov!E12</f>
        <v>0</v>
      </c>
      <c r="J13" s="324">
        <f t="shared" si="2"/>
        <v>0</v>
      </c>
      <c r="K13" s="324">
        <f t="shared" si="3"/>
        <v>0</v>
      </c>
      <c r="L13" s="324">
        <f t="shared" si="15"/>
        <v>37400</v>
      </c>
      <c r="M13" s="324">
        <f>+[16]DailyNov!F12</f>
        <v>6300</v>
      </c>
      <c r="N13" s="324">
        <f t="shared" si="4"/>
        <v>124.32656444260256</v>
      </c>
      <c r="O13" s="324">
        <f t="shared" si="5"/>
        <v>142.04225193335287</v>
      </c>
      <c r="P13" s="324">
        <f t="shared" si="16"/>
        <v>48100</v>
      </c>
      <c r="Q13" s="324">
        <f>+[16]DailyNov!G12</f>
        <v>8499.9999999992724</v>
      </c>
      <c r="R13" s="324">
        <f t="shared" si="6"/>
        <v>167.74219012095736</v>
      </c>
      <c r="S13" s="324">
        <f t="shared" si="7"/>
        <v>191.64430816403112</v>
      </c>
      <c r="T13" s="324">
        <f t="shared" si="17"/>
        <v>31300.000000000182</v>
      </c>
      <c r="U13" s="324">
        <f>+[16]DailyNov!H12</f>
        <v>7100.0000000003638</v>
      </c>
      <c r="V13" s="324">
        <f t="shared" si="8"/>
        <v>140.11406468928942</v>
      </c>
      <c r="W13" s="324">
        <f t="shared" si="9"/>
        <v>160.07936328997729</v>
      </c>
      <c r="X13" s="324">
        <f t="shared" si="18"/>
        <v>74852.120000000723</v>
      </c>
      <c r="Y13" s="324">
        <f>+[16]DailyNov!I12</f>
        <v>15794.890000000363</v>
      </c>
      <c r="Z13" s="324">
        <f t="shared" si="19"/>
        <v>311.70228721410541</v>
      </c>
      <c r="AA13" s="324">
        <f t="shared" si="20"/>
        <v>356.11773724438848</v>
      </c>
      <c r="AB13" s="324">
        <f t="shared" si="21"/>
        <v>43752.119999999981</v>
      </c>
      <c r="AC13" s="324">
        <f>+[16]DailyNov!J12</f>
        <v>8074.8900000006315</v>
      </c>
      <c r="AD13" s="324">
        <f t="shared" si="22"/>
        <v>159.35290983365167</v>
      </c>
      <c r="AE13" s="416">
        <f t="shared" si="23"/>
        <v>182.05961265304785</v>
      </c>
      <c r="AF13" s="324">
        <f t="shared" si="24"/>
        <v>74699.999999998909</v>
      </c>
      <c r="AG13" s="324">
        <f>+[16]DailyNov!K12</f>
        <v>7899.9999999996362</v>
      </c>
      <c r="AH13" s="324">
        <f t="shared" si="25"/>
        <v>155.90156493595478</v>
      </c>
      <c r="AI13" s="444">
        <f t="shared" si="26"/>
        <v>178.11647464657713</v>
      </c>
      <c r="AJ13" s="324">
        <f t="shared" si="27"/>
        <v>2620</v>
      </c>
      <c r="AK13" s="324">
        <f>+[16]DailyNov!L12</f>
        <v>350</v>
      </c>
      <c r="AL13" s="324">
        <f t="shared" si="28"/>
        <v>6.9070313579223646</v>
      </c>
      <c r="AM13" s="444">
        <f t="shared" si="29"/>
        <v>7.8912362185196034</v>
      </c>
      <c r="AN13" s="324">
        <f t="shared" si="30"/>
        <v>3910</v>
      </c>
      <c r="AO13" s="324">
        <f>+[16]DailyNov!M12</f>
        <v>510</v>
      </c>
      <c r="AP13" s="324">
        <f t="shared" si="31"/>
        <v>10.064531407258302</v>
      </c>
      <c r="AQ13" s="444">
        <f t="shared" si="32"/>
        <v>11.498658489842851</v>
      </c>
      <c r="AR13" s="324">
        <f t="shared" si="33"/>
        <v>54529.780000000268</v>
      </c>
      <c r="AS13" s="321">
        <f t="shared" si="10"/>
        <v>1076.1111440017419</v>
      </c>
      <c r="AT13" s="322">
        <f t="shared" si="11"/>
        <v>1229.4496426397372</v>
      </c>
      <c r="AV13" s="19"/>
      <c r="AW13" t="s">
        <v>177</v>
      </c>
      <c r="AX13" s="12">
        <f>+R39</f>
        <v>0</v>
      </c>
      <c r="AY13" s="12">
        <f>+S39</f>
        <v>0</v>
      </c>
    </row>
    <row r="14" spans="1:51">
      <c r="A14" s="315">
        <f t="shared" si="12"/>
        <v>45968</v>
      </c>
      <c r="B14" s="323">
        <f>+Report1!P15</f>
        <v>51.206000000000003</v>
      </c>
      <c r="C14" s="323">
        <f>+Report1!R15</f>
        <v>48.692</v>
      </c>
      <c r="D14" s="324">
        <f t="shared" si="13"/>
        <v>0</v>
      </c>
      <c r="E14" s="324">
        <f>+[16]DailyNov!D13</f>
        <v>0</v>
      </c>
      <c r="F14" s="324">
        <f t="shared" si="0"/>
        <v>0</v>
      </c>
      <c r="G14" s="324">
        <f t="shared" si="1"/>
        <v>0</v>
      </c>
      <c r="H14" s="324">
        <f t="shared" si="14"/>
        <v>0</v>
      </c>
      <c r="I14" s="324">
        <f>+[16]DailyNov!E13</f>
        <v>0</v>
      </c>
      <c r="J14" s="324">
        <f t="shared" si="2"/>
        <v>0</v>
      </c>
      <c r="K14" s="324">
        <f t="shared" si="3"/>
        <v>0</v>
      </c>
      <c r="L14" s="324">
        <f t="shared" si="15"/>
        <v>43400</v>
      </c>
      <c r="M14" s="324">
        <f>+[16]DailyNov!F13</f>
        <v>6000</v>
      </c>
      <c r="N14" s="324">
        <f t="shared" si="4"/>
        <v>117.17376869898058</v>
      </c>
      <c r="O14" s="324">
        <f t="shared" si="5"/>
        <v>123.22352747884663</v>
      </c>
      <c r="P14" s="324">
        <f t="shared" si="16"/>
        <v>56500.000000001455</v>
      </c>
      <c r="Q14" s="324">
        <f>+[16]DailyNov!G13</f>
        <v>8400.0000000014552</v>
      </c>
      <c r="R14" s="324">
        <f t="shared" si="6"/>
        <v>164.04327617860122</v>
      </c>
      <c r="S14" s="324">
        <f t="shared" si="7"/>
        <v>172.51293847041515</v>
      </c>
      <c r="T14" s="324">
        <f t="shared" si="17"/>
        <v>38199.999999999818</v>
      </c>
      <c r="U14" s="324">
        <f>+[16]DailyNov!H13</f>
        <v>6899.9999999996362</v>
      </c>
      <c r="V14" s="324">
        <f t="shared" si="8"/>
        <v>134.74983400382055</v>
      </c>
      <c r="W14" s="324">
        <f t="shared" si="9"/>
        <v>141.70705660066616</v>
      </c>
      <c r="X14" s="324">
        <f t="shared" si="18"/>
        <v>88835.170000000726</v>
      </c>
      <c r="Y14" s="324">
        <f>+[16]DailyNov!I13</f>
        <v>13983.05</v>
      </c>
      <c r="Z14" s="324">
        <f t="shared" si="19"/>
        <v>273.07444440104672</v>
      </c>
      <c r="AA14" s="324">
        <f t="shared" si="20"/>
        <v>287.17345765218101</v>
      </c>
      <c r="AB14" s="324">
        <f t="shared" si="21"/>
        <v>50335.169999999664</v>
      </c>
      <c r="AC14" s="324">
        <f>+[16]DailyNov!J13</f>
        <v>6583.0499999996809</v>
      </c>
      <c r="AD14" s="324">
        <f t="shared" si="22"/>
        <v>128.56012967229779</v>
      </c>
      <c r="AE14" s="416">
        <f t="shared" si="23"/>
        <v>135.19777376159701</v>
      </c>
      <c r="AF14" s="324">
        <f t="shared" si="24"/>
        <v>83199.999999998909</v>
      </c>
      <c r="AG14" s="324">
        <f>+[16]DailyNov!K13</f>
        <v>8500</v>
      </c>
      <c r="AH14" s="324">
        <f t="shared" si="25"/>
        <v>165.99617232355581</v>
      </c>
      <c r="AI14" s="444">
        <f t="shared" si="26"/>
        <v>174.56666392836607</v>
      </c>
      <c r="AJ14" s="324">
        <f t="shared" si="27"/>
        <v>2960</v>
      </c>
      <c r="AK14" s="324">
        <f>+[16]DailyNov!L13</f>
        <v>340</v>
      </c>
      <c r="AL14" s="324">
        <f t="shared" si="28"/>
        <v>6.6398468929422325</v>
      </c>
      <c r="AM14" s="444">
        <f t="shared" si="29"/>
        <v>6.9826665571346425</v>
      </c>
      <c r="AN14" s="324">
        <f t="shared" si="30"/>
        <v>4480</v>
      </c>
      <c r="AO14" s="324">
        <f>+[16]DailyNov!M13</f>
        <v>570</v>
      </c>
      <c r="AP14" s="324">
        <f t="shared" si="31"/>
        <v>11.131508026403155</v>
      </c>
      <c r="AQ14" s="444">
        <f t="shared" si="32"/>
        <v>11.706235110490429</v>
      </c>
      <c r="AR14" s="324">
        <f t="shared" si="33"/>
        <v>51276.100000000777</v>
      </c>
      <c r="AS14" s="321">
        <f t="shared" si="10"/>
        <v>1001.3689801976482</v>
      </c>
      <c r="AT14" s="322">
        <f t="shared" si="11"/>
        <v>1053.0703195596973</v>
      </c>
      <c r="AV14" s="19"/>
      <c r="AW14" t="s">
        <v>178</v>
      </c>
      <c r="AX14" s="12">
        <f>+V39</f>
        <v>0</v>
      </c>
      <c r="AY14" s="12">
        <f>+W39</f>
        <v>0</v>
      </c>
    </row>
    <row r="15" spans="1:51">
      <c r="A15" s="315">
        <f t="shared" si="12"/>
        <v>45969</v>
      </c>
      <c r="B15" s="323">
        <f>+Report1!P16</f>
        <v>46.725999999999999</v>
      </c>
      <c r="C15" s="323">
        <f>+Report1!R16</f>
        <v>47.743000000000002</v>
      </c>
      <c r="D15" s="324">
        <f t="shared" si="13"/>
        <v>0</v>
      </c>
      <c r="E15" s="324">
        <f>+[16]DailyNov!D14</f>
        <v>0</v>
      </c>
      <c r="F15" s="324">
        <f t="shared" si="0"/>
        <v>0</v>
      </c>
      <c r="G15" s="324">
        <f t="shared" si="1"/>
        <v>0</v>
      </c>
      <c r="H15" s="324">
        <f t="shared" si="14"/>
        <v>0</v>
      </c>
      <c r="I15" s="324">
        <f>+[16]DailyNov!E14</f>
        <v>0</v>
      </c>
      <c r="J15" s="324">
        <f t="shared" si="2"/>
        <v>0</v>
      </c>
      <c r="K15" s="324">
        <f t="shared" si="3"/>
        <v>0</v>
      </c>
      <c r="L15" s="324">
        <f t="shared" si="15"/>
        <v>49800</v>
      </c>
      <c r="M15" s="324">
        <f>+[16]DailyNov!F14</f>
        <v>6400</v>
      </c>
      <c r="N15" s="324">
        <f t="shared" si="4"/>
        <v>136.96871121003295</v>
      </c>
      <c r="O15" s="324">
        <f t="shared" si="5"/>
        <v>134.051065077603</v>
      </c>
      <c r="P15" s="324">
        <f t="shared" si="16"/>
        <v>65200</v>
      </c>
      <c r="Q15" s="324">
        <f>+[16]DailyNov!G14</f>
        <v>8699.9999999985448</v>
      </c>
      <c r="R15" s="324">
        <f t="shared" si="6"/>
        <v>186.19184180110742</v>
      </c>
      <c r="S15" s="324">
        <f t="shared" si="7"/>
        <v>182.22566658983609</v>
      </c>
      <c r="T15" s="324">
        <f t="shared" si="17"/>
        <v>45399.999999999636</v>
      </c>
      <c r="U15" s="324">
        <f>+[16]DailyNov!H14</f>
        <v>7199.9999999998181</v>
      </c>
      <c r="V15" s="324">
        <f t="shared" si="8"/>
        <v>154.08980011128318</v>
      </c>
      <c r="W15" s="324">
        <f t="shared" si="9"/>
        <v>150.80744821229956</v>
      </c>
      <c r="X15" s="324">
        <f t="shared" si="18"/>
        <v>103919.41999999927</v>
      </c>
      <c r="Y15" s="324">
        <f>+[16]DailyNov!I14</f>
        <v>15084.249999998545</v>
      </c>
      <c r="Z15" s="324">
        <f t="shared" si="19"/>
        <v>322.82348157339692</v>
      </c>
      <c r="AA15" s="324">
        <f t="shared" si="20"/>
        <v>315.94684037447468</v>
      </c>
      <c r="AB15" s="324">
        <f t="shared" si="21"/>
        <v>59069.420000000755</v>
      </c>
      <c r="AC15" s="324">
        <f>+[16]DailyNov!J14</f>
        <v>8734.2500000010914</v>
      </c>
      <c r="AD15" s="324">
        <f t="shared" si="22"/>
        <v>186.92483841974686</v>
      </c>
      <c r="AE15" s="416">
        <f t="shared" si="23"/>
        <v>182.94304924284378</v>
      </c>
      <c r="AF15" s="324">
        <f t="shared" si="24"/>
        <v>92299.999999999272</v>
      </c>
      <c r="AG15" s="324">
        <f>+[16]DailyNov!K14</f>
        <v>9100.0000000003638</v>
      </c>
      <c r="AH15" s="324">
        <f t="shared" si="25"/>
        <v>194.7523862517734</v>
      </c>
      <c r="AI15" s="444">
        <f t="shared" si="26"/>
        <v>190.60385815722438</v>
      </c>
      <c r="AJ15" s="324">
        <f t="shared" si="27"/>
        <v>3330</v>
      </c>
      <c r="AK15" s="324">
        <f>+[16]DailyNov!L14</f>
        <v>370</v>
      </c>
      <c r="AL15" s="324">
        <f t="shared" si="28"/>
        <v>7.9185036168300309</v>
      </c>
      <c r="AM15" s="444">
        <f t="shared" si="29"/>
        <v>7.749827199798923</v>
      </c>
      <c r="AN15" s="324">
        <f t="shared" si="30"/>
        <v>5090</v>
      </c>
      <c r="AO15" s="324">
        <f>+[16]DailyNov!M14</f>
        <v>610</v>
      </c>
      <c r="AP15" s="324">
        <f t="shared" si="31"/>
        <v>13.054830287206267</v>
      </c>
      <c r="AQ15" s="444">
        <f t="shared" si="32"/>
        <v>12.776742140209036</v>
      </c>
      <c r="AR15" s="324">
        <f t="shared" si="33"/>
        <v>56198.499999998363</v>
      </c>
      <c r="AS15" s="321">
        <f t="shared" si="10"/>
        <v>1202.724393271377</v>
      </c>
      <c r="AT15" s="322">
        <f t="shared" si="11"/>
        <v>1177.1044969942893</v>
      </c>
      <c r="AV15" s="19"/>
      <c r="AW15" t="s">
        <v>179</v>
      </c>
      <c r="AX15" s="12">
        <f>+Z39</f>
        <v>0</v>
      </c>
      <c r="AY15" s="12">
        <f>+AA39</f>
        <v>0</v>
      </c>
    </row>
    <row r="16" spans="1:51">
      <c r="A16" s="315">
        <f t="shared" si="12"/>
        <v>45970</v>
      </c>
      <c r="B16" s="323">
        <f>+Report1!P17</f>
        <v>54.628999999999998</v>
      </c>
      <c r="C16" s="323">
        <f>+Report1!R17</f>
        <v>53.112000000000002</v>
      </c>
      <c r="D16" s="324">
        <f t="shared" si="13"/>
        <v>0</v>
      </c>
      <c r="E16" s="324">
        <f>+[16]DailyNov!D15</f>
        <v>0</v>
      </c>
      <c r="F16" s="324">
        <f t="shared" si="0"/>
        <v>0</v>
      </c>
      <c r="G16" s="324">
        <f t="shared" si="1"/>
        <v>0</v>
      </c>
      <c r="H16" s="324">
        <f t="shared" si="14"/>
        <v>0</v>
      </c>
      <c r="I16" s="324">
        <f>+[16]DailyNov!E15</f>
        <v>0</v>
      </c>
      <c r="J16" s="324">
        <f t="shared" si="2"/>
        <v>0</v>
      </c>
      <c r="K16" s="324">
        <f t="shared" si="3"/>
        <v>0</v>
      </c>
      <c r="L16" s="324">
        <f t="shared" si="15"/>
        <v>56000</v>
      </c>
      <c r="M16" s="324">
        <f>+[16]DailyNov!F15</f>
        <v>6200</v>
      </c>
      <c r="N16" s="324">
        <f t="shared" si="4"/>
        <v>113.49283347672483</v>
      </c>
      <c r="O16" s="324">
        <f t="shared" si="5"/>
        <v>116.73444795902996</v>
      </c>
      <c r="P16" s="324">
        <f t="shared" si="16"/>
        <v>74000</v>
      </c>
      <c r="Q16" s="324">
        <f>+[16]DailyNov!G15</f>
        <v>8800</v>
      </c>
      <c r="R16" s="324">
        <f t="shared" si="6"/>
        <v>161.08660235406103</v>
      </c>
      <c r="S16" s="324">
        <f t="shared" si="7"/>
        <v>165.68760355475223</v>
      </c>
      <c r="T16" s="324">
        <f t="shared" si="17"/>
        <v>52699.999999999818</v>
      </c>
      <c r="U16" s="324">
        <f>+[16]DailyNov!H15</f>
        <v>7300.0000000001819</v>
      </c>
      <c r="V16" s="324">
        <f t="shared" si="8"/>
        <v>133.62865877098579</v>
      </c>
      <c r="W16" s="324">
        <f t="shared" si="9"/>
        <v>137.44539840337742</v>
      </c>
      <c r="X16" s="324">
        <f t="shared" si="18"/>
        <v>118578.39000000073</v>
      </c>
      <c r="Y16" s="324">
        <f>+[16]DailyNov!I15</f>
        <v>14658.970000001455</v>
      </c>
      <c r="Z16" s="324">
        <f t="shared" si="19"/>
        <v>268.33678083072095</v>
      </c>
      <c r="AA16" s="324">
        <f t="shared" si="20"/>
        <v>276.0010920319599</v>
      </c>
      <c r="AB16" s="324">
        <f t="shared" si="21"/>
        <v>67388.389999999577</v>
      </c>
      <c r="AC16" s="324">
        <f>+[16]DailyNov!J15</f>
        <v>8318.9699999988297</v>
      </c>
      <c r="AD16" s="324">
        <f t="shared" si="22"/>
        <v>152.28120595286074</v>
      </c>
      <c r="AE16" s="416">
        <f t="shared" si="23"/>
        <v>156.63070492541854</v>
      </c>
      <c r="AF16" s="324">
        <f t="shared" si="24"/>
        <v>101399.99999999964</v>
      </c>
      <c r="AG16" s="324">
        <f>+[16]DailyNov!K15</f>
        <v>9100.0000000003638</v>
      </c>
      <c r="AH16" s="324">
        <f t="shared" si="25"/>
        <v>166.5781910706834</v>
      </c>
      <c r="AI16" s="444">
        <f t="shared" si="26"/>
        <v>171.3360445850347</v>
      </c>
      <c r="AJ16" s="324">
        <f t="shared" si="27"/>
        <v>3720</v>
      </c>
      <c r="AK16" s="324">
        <f>+[16]DailyNov!L15</f>
        <v>390</v>
      </c>
      <c r="AL16" s="324">
        <f t="shared" si="28"/>
        <v>7.139065331600432</v>
      </c>
      <c r="AM16" s="444">
        <f t="shared" si="29"/>
        <v>7.3429733393583367</v>
      </c>
      <c r="AN16" s="324">
        <f t="shared" si="30"/>
        <v>5720</v>
      </c>
      <c r="AO16" s="324">
        <f>+[16]DailyNov!M15</f>
        <v>630</v>
      </c>
      <c r="AP16" s="324">
        <f t="shared" si="31"/>
        <v>11.532336304893006</v>
      </c>
      <c r="AQ16" s="444">
        <f t="shared" si="32"/>
        <v>11.861726163578853</v>
      </c>
      <c r="AR16" s="324">
        <f t="shared" si="33"/>
        <v>55397.940000000832</v>
      </c>
      <c r="AS16" s="321">
        <f t="shared" si="10"/>
        <v>1014.0756740925302</v>
      </c>
      <c r="AT16" s="322">
        <f t="shared" si="11"/>
        <v>1043.03999096251</v>
      </c>
      <c r="AV16" s="19"/>
      <c r="AX16" s="17">
        <f>SUM(AX10:AX15)</f>
        <v>0</v>
      </c>
      <c r="AY16" s="17">
        <f>SUM(AY10:AY15)</f>
        <v>0</v>
      </c>
    </row>
    <row r="17" spans="1:51">
      <c r="A17" s="315">
        <f t="shared" si="12"/>
        <v>45971</v>
      </c>
      <c r="B17" s="323">
        <f>+Report1!P18</f>
        <v>48.67</v>
      </c>
      <c r="C17" s="323">
        <f>+Report1!R18</f>
        <v>43.384999999999998</v>
      </c>
      <c r="D17" s="324">
        <f t="shared" si="13"/>
        <v>0</v>
      </c>
      <c r="E17" s="324">
        <f>+[16]DailyNov!D16</f>
        <v>0</v>
      </c>
      <c r="F17" s="324">
        <f t="shared" si="0"/>
        <v>0</v>
      </c>
      <c r="G17" s="324">
        <f t="shared" si="1"/>
        <v>0</v>
      </c>
      <c r="H17" s="324">
        <f t="shared" si="14"/>
        <v>0</v>
      </c>
      <c r="I17" s="324">
        <f>+[16]DailyNov!E16</f>
        <v>0</v>
      </c>
      <c r="J17" s="324">
        <f t="shared" si="2"/>
        <v>0</v>
      </c>
      <c r="K17" s="324">
        <f t="shared" si="3"/>
        <v>0</v>
      </c>
      <c r="L17" s="324">
        <f t="shared" si="15"/>
        <v>62000</v>
      </c>
      <c r="M17" s="324">
        <f>+[16]DailyNov!F16</f>
        <v>6000</v>
      </c>
      <c r="N17" s="324">
        <f t="shared" si="4"/>
        <v>123.27922745017464</v>
      </c>
      <c r="O17" s="324">
        <f t="shared" si="5"/>
        <v>138.29664630632709</v>
      </c>
      <c r="P17" s="324">
        <f t="shared" si="16"/>
        <v>82400.000000001455</v>
      </c>
      <c r="Q17" s="324">
        <f>+[16]DailyNov!G16</f>
        <v>8400.0000000014552</v>
      </c>
      <c r="R17" s="324">
        <f t="shared" si="6"/>
        <v>172.5909184302744</v>
      </c>
      <c r="S17" s="324">
        <f t="shared" si="7"/>
        <v>193.61530482889145</v>
      </c>
      <c r="T17" s="324">
        <f t="shared" si="17"/>
        <v>58800.000000000182</v>
      </c>
      <c r="U17" s="324">
        <f>+[16]DailyNov!H16</f>
        <v>6100.0000000003638</v>
      </c>
      <c r="V17" s="324">
        <f t="shared" si="8"/>
        <v>125.33388124101836</v>
      </c>
      <c r="W17" s="324">
        <f t="shared" si="9"/>
        <v>140.60159041144092</v>
      </c>
      <c r="X17" s="324">
        <f t="shared" si="18"/>
        <v>131649.51000000036</v>
      </c>
      <c r="Y17" s="324">
        <f>+[16]DailyNov!I16</f>
        <v>13071.119999999637</v>
      </c>
      <c r="Z17" s="324">
        <f t="shared" si="19"/>
        <v>268.56626258474699</v>
      </c>
      <c r="AA17" s="324">
        <f t="shared" si="20"/>
        <v>301.28200991125129</v>
      </c>
      <c r="AB17" s="324">
        <f t="shared" si="21"/>
        <v>75909.509999999194</v>
      </c>
      <c r="AC17" s="324">
        <f>+[16]DailyNov!J16</f>
        <v>8521.1199999996134</v>
      </c>
      <c r="AD17" s="324">
        <f t="shared" si="22"/>
        <v>175.07951510169741</v>
      </c>
      <c r="AE17" s="416">
        <f t="shared" si="23"/>
        <v>196.40705312895273</v>
      </c>
      <c r="AF17" s="324">
        <f t="shared" si="24"/>
        <v>112500</v>
      </c>
      <c r="AG17" s="324">
        <f>+[16]DailyNov!K16</f>
        <v>11100.000000000364</v>
      </c>
      <c r="AH17" s="324">
        <f t="shared" si="25"/>
        <v>228.06657078283055</v>
      </c>
      <c r="AI17" s="444">
        <f t="shared" si="26"/>
        <v>255.84879566671347</v>
      </c>
      <c r="AJ17" s="324">
        <f t="shared" si="27"/>
        <v>4090</v>
      </c>
      <c r="AK17" s="324">
        <f>+[16]DailyNov!L16</f>
        <v>370</v>
      </c>
      <c r="AL17" s="324">
        <f t="shared" si="28"/>
        <v>7.6022190260941027</v>
      </c>
      <c r="AM17" s="444">
        <f t="shared" si="29"/>
        <v>8.528293188890169</v>
      </c>
      <c r="AN17" s="324">
        <f t="shared" si="30"/>
        <v>6360</v>
      </c>
      <c r="AO17" s="324">
        <f>+[16]DailyNov!M16</f>
        <v>640</v>
      </c>
      <c r="AP17" s="324">
        <f t="shared" si="31"/>
        <v>13.149784261351961</v>
      </c>
      <c r="AQ17" s="444">
        <f t="shared" si="32"/>
        <v>14.751642272674887</v>
      </c>
      <c r="AR17" s="324">
        <f t="shared" si="33"/>
        <v>54202.240000001431</v>
      </c>
      <c r="AS17" s="321">
        <f t="shared" si="10"/>
        <v>1113.6683788781884</v>
      </c>
      <c r="AT17" s="322">
        <f t="shared" si="11"/>
        <v>1249.3313357151419</v>
      </c>
      <c r="AV17" s="19" t="s">
        <v>188</v>
      </c>
      <c r="AW17" t="s">
        <v>180</v>
      </c>
      <c r="AX17" s="12">
        <f>+AD39</f>
        <v>0</v>
      </c>
      <c r="AY17" s="12">
        <f>+AE39</f>
        <v>0</v>
      </c>
    </row>
    <row r="18" spans="1:51">
      <c r="A18" s="315">
        <f t="shared" si="12"/>
        <v>45972</v>
      </c>
      <c r="B18" s="323">
        <f>+Report1!P19</f>
        <v>53.982999999999997</v>
      </c>
      <c r="C18" s="323">
        <f>+Report1!R19</f>
        <v>51.335000000000001</v>
      </c>
      <c r="D18" s="324">
        <f t="shared" si="13"/>
        <v>0</v>
      </c>
      <c r="E18" s="324">
        <f>+[16]DailyNov!D17</f>
        <v>0</v>
      </c>
      <c r="F18" s="318">
        <f t="shared" si="0"/>
        <v>0</v>
      </c>
      <c r="G18" s="318">
        <f t="shared" si="1"/>
        <v>0</v>
      </c>
      <c r="H18" s="324">
        <f t="shared" si="14"/>
        <v>0</v>
      </c>
      <c r="I18" s="324">
        <f>+[16]DailyNov!E17</f>
        <v>0</v>
      </c>
      <c r="J18" s="318">
        <f t="shared" si="2"/>
        <v>0</v>
      </c>
      <c r="K18" s="318">
        <f t="shared" si="3"/>
        <v>0</v>
      </c>
      <c r="L18" s="324">
        <f t="shared" si="15"/>
        <v>68000</v>
      </c>
      <c r="M18" s="324">
        <f>+[16]DailyNov!F17</f>
        <v>6000</v>
      </c>
      <c r="N18" s="318">
        <f t="shared" si="4"/>
        <v>111.14610155048813</v>
      </c>
      <c r="O18" s="318">
        <f t="shared" si="5"/>
        <v>116.87932209993181</v>
      </c>
      <c r="P18" s="324">
        <f t="shared" si="16"/>
        <v>90700.000000000728</v>
      </c>
      <c r="Q18" s="324">
        <f>+[16]DailyNov!G17</f>
        <v>8299.9999999992724</v>
      </c>
      <c r="R18" s="318">
        <f t="shared" si="6"/>
        <v>153.75210714482841</v>
      </c>
      <c r="S18" s="318">
        <f t="shared" si="7"/>
        <v>161.68306223822484</v>
      </c>
      <c r="T18" s="324">
        <f t="shared" si="17"/>
        <v>64899.999999999636</v>
      </c>
      <c r="U18" s="324">
        <f>+[16]DailyNov!H17</f>
        <v>6099.9999999994543</v>
      </c>
      <c r="V18" s="318">
        <f t="shared" si="8"/>
        <v>112.99853657631948</v>
      </c>
      <c r="W18" s="318">
        <f t="shared" si="9"/>
        <v>118.82731080158672</v>
      </c>
      <c r="X18" s="324">
        <f t="shared" si="18"/>
        <v>144552.38000000073</v>
      </c>
      <c r="Y18" s="324">
        <f>+[16]DailyNov!I17</f>
        <v>12902.870000000365</v>
      </c>
      <c r="Z18" s="324">
        <f t="shared" si="19"/>
        <v>239.01728321879787</v>
      </c>
      <c r="AA18" s="324">
        <f t="shared" si="20"/>
        <v>251.34644979059831</v>
      </c>
      <c r="AB18" s="324">
        <f t="shared" si="21"/>
        <v>84262.379999999263</v>
      </c>
      <c r="AC18" s="324">
        <f>+[16]DailyNov!J17</f>
        <v>8352.8700000000681</v>
      </c>
      <c r="AD18" s="324">
        <f t="shared" si="22"/>
        <v>154.73148954300555</v>
      </c>
      <c r="AE18" s="416">
        <f t="shared" si="23"/>
        <v>162.71296386481092</v>
      </c>
      <c r="AF18" s="324">
        <f t="shared" si="24"/>
        <v>124500</v>
      </c>
      <c r="AG18" s="324">
        <f>+[16]DailyNov!K17</f>
        <v>12000</v>
      </c>
      <c r="AH18" s="324">
        <f t="shared" si="25"/>
        <v>222.29220310097625</v>
      </c>
      <c r="AI18" s="444">
        <f t="shared" si="26"/>
        <v>233.75864419986362</v>
      </c>
      <c r="AJ18" s="324">
        <f t="shared" si="27"/>
        <v>4460</v>
      </c>
      <c r="AK18" s="324">
        <f>+[16]DailyNov!L17</f>
        <v>370</v>
      </c>
      <c r="AL18" s="324">
        <f t="shared" si="28"/>
        <v>6.8540095956134346</v>
      </c>
      <c r="AM18" s="444">
        <f t="shared" si="29"/>
        <v>7.207558196162462</v>
      </c>
      <c r="AN18" s="324">
        <f t="shared" si="30"/>
        <v>7060</v>
      </c>
      <c r="AO18" s="324">
        <f>+[16]DailyNov!M17</f>
        <v>700</v>
      </c>
      <c r="AP18" s="324">
        <f t="shared" si="31"/>
        <v>12.967045180890281</v>
      </c>
      <c r="AQ18" s="444">
        <f t="shared" si="32"/>
        <v>13.635920911658712</v>
      </c>
      <c r="AR18" s="324">
        <f t="shared" si="33"/>
        <v>54725.739999999161</v>
      </c>
      <c r="AS18" s="321">
        <f t="shared" si="10"/>
        <v>1013.7587759109194</v>
      </c>
      <c r="AT18" s="322">
        <f t="shared" si="11"/>
        <v>1066.0512321028375</v>
      </c>
      <c r="AV18" s="19"/>
      <c r="AW18" t="s">
        <v>181</v>
      </c>
      <c r="AX18" s="12">
        <f>+AH39</f>
        <v>0</v>
      </c>
      <c r="AY18" s="12">
        <f>+AI39</f>
        <v>0</v>
      </c>
    </row>
    <row r="19" spans="1:51">
      <c r="A19" s="315">
        <f t="shared" si="12"/>
        <v>45973</v>
      </c>
      <c r="B19" s="323">
        <f>+Report1!P20</f>
        <v>55.837000000000003</v>
      </c>
      <c r="C19" s="323">
        <f>+Report1!R20</f>
        <v>48.634999999999998</v>
      </c>
      <c r="D19" s="324">
        <f t="shared" si="13"/>
        <v>0</v>
      </c>
      <c r="E19" s="324">
        <f>+[16]DailyNov!D18</f>
        <v>0</v>
      </c>
      <c r="F19" s="318">
        <f t="shared" si="0"/>
        <v>0</v>
      </c>
      <c r="G19" s="318">
        <f t="shared" si="1"/>
        <v>0</v>
      </c>
      <c r="H19" s="324">
        <f t="shared" si="14"/>
        <v>0</v>
      </c>
      <c r="I19" s="324">
        <f>+[16]DailyNov!E18</f>
        <v>0</v>
      </c>
      <c r="J19" s="318">
        <f t="shared" si="2"/>
        <v>0</v>
      </c>
      <c r="K19" s="318">
        <f t="shared" si="3"/>
        <v>0</v>
      </c>
      <c r="L19" s="324">
        <f t="shared" si="15"/>
        <v>74300</v>
      </c>
      <c r="M19" s="324">
        <f>+[16]DailyNov!F18</f>
        <v>6300</v>
      </c>
      <c r="N19" s="318">
        <f t="shared" si="4"/>
        <v>112.8284112685137</v>
      </c>
      <c r="O19" s="318">
        <f t="shared" si="5"/>
        <v>129.53634214043385</v>
      </c>
      <c r="P19" s="324">
        <f t="shared" si="16"/>
        <v>99400.000000000728</v>
      </c>
      <c r="Q19" s="324">
        <f>+[16]DailyNov!G18</f>
        <v>8700</v>
      </c>
      <c r="R19" s="318">
        <f t="shared" si="6"/>
        <v>155.81066318032845</v>
      </c>
      <c r="S19" s="318">
        <f t="shared" si="7"/>
        <v>178.88352009869436</v>
      </c>
      <c r="T19" s="324">
        <f t="shared" si="17"/>
        <v>70800.000000000175</v>
      </c>
      <c r="U19" s="324">
        <f>+[16]DailyNov!H18</f>
        <v>5900.0000000005457</v>
      </c>
      <c r="V19" s="318">
        <f t="shared" si="8"/>
        <v>105.66470261655435</v>
      </c>
      <c r="W19" s="318">
        <f t="shared" si="9"/>
        <v>121.31181248073499</v>
      </c>
      <c r="X19" s="324">
        <f t="shared" si="18"/>
        <v>157009.31</v>
      </c>
      <c r="Y19" s="324">
        <f>+[16]DailyNov!I18</f>
        <v>12456.929999999273</v>
      </c>
      <c r="Z19" s="324">
        <f t="shared" si="19"/>
        <v>223.09454304492132</v>
      </c>
      <c r="AA19" s="324">
        <f t="shared" si="20"/>
        <v>256.13097563481591</v>
      </c>
      <c r="AB19" s="324">
        <f t="shared" si="21"/>
        <v>93179.310000000056</v>
      </c>
      <c r="AC19" s="324">
        <f>+[16]DailyNov!J18</f>
        <v>8916.9300000007861</v>
      </c>
      <c r="AD19" s="324">
        <f t="shared" si="22"/>
        <v>159.69572147502168</v>
      </c>
      <c r="AE19" s="416">
        <f t="shared" si="23"/>
        <v>183.34388814641281</v>
      </c>
      <c r="AF19" s="324">
        <f t="shared" si="24"/>
        <v>135899.99999999965</v>
      </c>
      <c r="AG19" s="324">
        <f>+[16]DailyNov!K18</f>
        <v>11399.999999999636</v>
      </c>
      <c r="AH19" s="324">
        <f t="shared" si="25"/>
        <v>204.16569658111351</v>
      </c>
      <c r="AI19" s="444">
        <f t="shared" si="26"/>
        <v>234.39909530172997</v>
      </c>
      <c r="AJ19" s="324">
        <f t="shared" si="27"/>
        <v>4842.9200000000419</v>
      </c>
      <c r="AK19" s="324">
        <f>+[16]DailyNov!L18</f>
        <v>382.92000000004191</v>
      </c>
      <c r="AL19" s="324">
        <f t="shared" si="28"/>
        <v>6.8578182925307933</v>
      </c>
      <c r="AM19" s="444">
        <f t="shared" si="29"/>
        <v>7.8733422432413267</v>
      </c>
      <c r="AN19" s="324">
        <f t="shared" si="30"/>
        <v>7778.8800000000047</v>
      </c>
      <c r="AO19" s="324">
        <f>+[16]DailyNov!M18</f>
        <v>718.88000000000466</v>
      </c>
      <c r="AP19" s="324">
        <f t="shared" si="31"/>
        <v>12.874617189318993</v>
      </c>
      <c r="AQ19" s="444">
        <f t="shared" si="32"/>
        <v>14.781124704431061</v>
      </c>
      <c r="AR19" s="324">
        <f t="shared" si="33"/>
        <v>54775.660000000287</v>
      </c>
      <c r="AS19" s="321">
        <f t="shared" si="10"/>
        <v>980.99217364830281</v>
      </c>
      <c r="AT19" s="322">
        <f t="shared" si="11"/>
        <v>1126.2601007504943</v>
      </c>
      <c r="AV19" s="19"/>
      <c r="AX19" s="17">
        <f>SUM(AX17:AX18)</f>
        <v>0</v>
      </c>
      <c r="AY19" s="17">
        <f>SUM(AY17:AY18)</f>
        <v>0</v>
      </c>
    </row>
    <row r="20" spans="1:51">
      <c r="A20" s="315">
        <f t="shared" si="12"/>
        <v>45974</v>
      </c>
      <c r="B20" s="323">
        <f>+Report1!P21</f>
        <v>37.926000000000002</v>
      </c>
      <c r="C20" s="323">
        <f>+Report1!R21</f>
        <v>43.908999999999999</v>
      </c>
      <c r="D20" s="324">
        <f t="shared" si="13"/>
        <v>0</v>
      </c>
      <c r="E20" s="324">
        <f>+[16]DailyNov!D19</f>
        <v>0</v>
      </c>
      <c r="F20" s="318">
        <f t="shared" si="0"/>
        <v>0</v>
      </c>
      <c r="G20" s="318">
        <f t="shared" si="1"/>
        <v>0</v>
      </c>
      <c r="H20" s="324">
        <f t="shared" si="14"/>
        <v>0</v>
      </c>
      <c r="I20" s="324">
        <f>+[16]DailyNov!E19</f>
        <v>0</v>
      </c>
      <c r="J20" s="318">
        <f t="shared" si="2"/>
        <v>0</v>
      </c>
      <c r="K20" s="318">
        <f t="shared" si="3"/>
        <v>0</v>
      </c>
      <c r="L20" s="324">
        <f t="shared" si="15"/>
        <v>79600</v>
      </c>
      <c r="M20" s="324">
        <f>+[16]DailyNov!F19</f>
        <v>5300</v>
      </c>
      <c r="N20" s="318">
        <f t="shared" si="4"/>
        <v>139.74582080894373</v>
      </c>
      <c r="O20" s="318">
        <f t="shared" si="5"/>
        <v>120.70418365255415</v>
      </c>
      <c r="P20" s="324">
        <f t="shared" si="16"/>
        <v>106400</v>
      </c>
      <c r="Q20" s="324">
        <f>+[16]DailyNov!G19</f>
        <v>6999.9999999992724</v>
      </c>
      <c r="R20" s="318">
        <f t="shared" si="6"/>
        <v>184.56995201179328</v>
      </c>
      <c r="S20" s="318">
        <f t="shared" si="7"/>
        <v>159.42061991845117</v>
      </c>
      <c r="T20" s="324">
        <f t="shared" si="17"/>
        <v>74800.000000000175</v>
      </c>
      <c r="U20" s="324">
        <f>+[16]DailyNov!H19</f>
        <v>4000</v>
      </c>
      <c r="V20" s="318">
        <f t="shared" si="8"/>
        <v>105.46854400674998</v>
      </c>
      <c r="W20" s="318">
        <f t="shared" si="9"/>
        <v>91.097497096267276</v>
      </c>
      <c r="X20" s="324">
        <f t="shared" si="18"/>
        <v>165918.96</v>
      </c>
      <c r="Y20" s="324">
        <f>+[16]DailyNov!I19</f>
        <v>8909.65</v>
      </c>
      <c r="Z20" s="324">
        <f t="shared" si="19"/>
        <v>234.92195327743499</v>
      </c>
      <c r="AA20" s="324">
        <f t="shared" si="20"/>
        <v>202.91170375093944</v>
      </c>
      <c r="AB20" s="324">
        <f t="shared" si="21"/>
        <v>98548.959999999177</v>
      </c>
      <c r="AC20" s="324">
        <f>+[16]DailyNov!J19</f>
        <v>5369.6499999991265</v>
      </c>
      <c r="AD20" s="324">
        <f t="shared" si="22"/>
        <v>141.58229183143823</v>
      </c>
      <c r="AE20" s="416">
        <f t="shared" si="23"/>
        <v>122.290418820723</v>
      </c>
      <c r="AF20" s="324">
        <f t="shared" si="24"/>
        <v>143000</v>
      </c>
      <c r="AG20" s="324">
        <f>+[16]DailyNov!K19</f>
        <v>7100.0000000003638</v>
      </c>
      <c r="AH20" s="324">
        <f t="shared" si="25"/>
        <v>187.20666561199081</v>
      </c>
      <c r="AI20" s="444">
        <f t="shared" si="26"/>
        <v>161.69805734588272</v>
      </c>
      <c r="AJ20" s="324">
        <f t="shared" si="27"/>
        <v>5190</v>
      </c>
      <c r="AK20" s="324">
        <f>+[16]DailyNov!L19</f>
        <v>347.07999999995809</v>
      </c>
      <c r="AL20" s="324">
        <f t="shared" si="28"/>
        <v>9.1515055634645908</v>
      </c>
      <c r="AM20" s="444">
        <f t="shared" si="29"/>
        <v>7.9045298230421572</v>
      </c>
      <c r="AN20" s="324">
        <f t="shared" si="30"/>
        <v>8340</v>
      </c>
      <c r="AO20" s="324">
        <f>+[16]DailyNov!M19</f>
        <v>561.11999999999534</v>
      </c>
      <c r="AP20" s="324">
        <f t="shared" si="31"/>
        <v>14.795127353266764</v>
      </c>
      <c r="AQ20" s="444">
        <f t="shared" si="32"/>
        <v>12.779156892664268</v>
      </c>
      <c r="AR20" s="324">
        <f t="shared" si="33"/>
        <v>38587.499999998719</v>
      </c>
      <c r="AS20" s="321">
        <f t="shared" si="10"/>
        <v>1017.4418604650824</v>
      </c>
      <c r="AT20" s="322">
        <f t="shared" si="11"/>
        <v>878.80616730052429</v>
      </c>
      <c r="AV20" s="19" t="s">
        <v>189</v>
      </c>
      <c r="AW20" t="s">
        <v>182</v>
      </c>
      <c r="AX20" s="12">
        <f>+AL39</f>
        <v>0</v>
      </c>
      <c r="AY20" s="12">
        <f>+AM39</f>
        <v>0</v>
      </c>
    </row>
    <row r="21" spans="1:51">
      <c r="A21" s="315">
        <f t="shared" si="12"/>
        <v>45975</v>
      </c>
      <c r="B21" s="323">
        <f>+Report1!P22</f>
        <v>52.349000000000004</v>
      </c>
      <c r="C21" s="323">
        <f>+Report1!R22</f>
        <v>47.758000000000003</v>
      </c>
      <c r="D21" s="324">
        <f t="shared" si="13"/>
        <v>0</v>
      </c>
      <c r="E21" s="324">
        <f>+[16]DailyNov!D20</f>
        <v>0</v>
      </c>
      <c r="F21" s="318">
        <f t="shared" si="0"/>
        <v>0</v>
      </c>
      <c r="G21" s="318">
        <f t="shared" si="1"/>
        <v>0</v>
      </c>
      <c r="H21" s="324">
        <f t="shared" si="14"/>
        <v>0</v>
      </c>
      <c r="I21" s="324">
        <f>+[16]DailyNov!E20</f>
        <v>0</v>
      </c>
      <c r="J21" s="318">
        <f t="shared" si="2"/>
        <v>0</v>
      </c>
      <c r="K21" s="318">
        <f t="shared" si="3"/>
        <v>0</v>
      </c>
      <c r="L21" s="324">
        <f t="shared" si="15"/>
        <v>86000</v>
      </c>
      <c r="M21" s="324">
        <f>+[16]DailyNov!F20</f>
        <v>6400</v>
      </c>
      <c r="N21" s="318">
        <f t="shared" si="4"/>
        <v>122.25639458251351</v>
      </c>
      <c r="O21" s="318">
        <f t="shared" si="5"/>
        <v>134.00896184932367</v>
      </c>
      <c r="P21" s="324">
        <f t="shared" si="16"/>
        <v>114600.00000000036</v>
      </c>
      <c r="Q21" s="324">
        <f>+[16]DailyNov!G20</f>
        <v>8200.0000000003638</v>
      </c>
      <c r="R21" s="318">
        <f t="shared" si="6"/>
        <v>156.64100555885238</v>
      </c>
      <c r="S21" s="318">
        <f t="shared" si="7"/>
        <v>171.69898236945357</v>
      </c>
      <c r="T21" s="324">
        <f t="shared" si="17"/>
        <v>80000</v>
      </c>
      <c r="U21" s="324">
        <f>+[16]DailyNov!H20</f>
        <v>5199.9999999998181</v>
      </c>
      <c r="V21" s="318">
        <f t="shared" si="8"/>
        <v>99.333320598288751</v>
      </c>
      <c r="W21" s="318">
        <f t="shared" si="9"/>
        <v>108.88228150257167</v>
      </c>
      <c r="X21" s="324">
        <f t="shared" si="18"/>
        <v>177373.64999999927</v>
      </c>
      <c r="Y21" s="324">
        <f>+[16]DailyNov!I20</f>
        <v>11454.689999999273</v>
      </c>
      <c r="Z21" s="324">
        <f t="shared" si="19"/>
        <v>218.81392194691918</v>
      </c>
      <c r="AA21" s="324">
        <f t="shared" si="20"/>
        <v>239.8486117508956</v>
      </c>
      <c r="AB21" s="324">
        <f t="shared" si="21"/>
        <v>103553.65000000036</v>
      </c>
      <c r="AC21" s="324">
        <f>+[16]DailyNov!J20</f>
        <v>5004.6900000011829</v>
      </c>
      <c r="AD21" s="324">
        <f t="shared" si="22"/>
        <v>95.602399281766267</v>
      </c>
      <c r="AE21" s="416">
        <f t="shared" si="23"/>
        <v>104.79270488716409</v>
      </c>
      <c r="AF21" s="324">
        <f t="shared" si="24"/>
        <v>151299.99999999927</v>
      </c>
      <c r="AG21" s="324">
        <f>+[16]DailyNov!K20</f>
        <v>8299.9999999992724</v>
      </c>
      <c r="AH21" s="324">
        <f t="shared" si="25"/>
        <v>158.55126172418329</v>
      </c>
      <c r="AI21" s="444">
        <f t="shared" si="26"/>
        <v>173.79287239832638</v>
      </c>
      <c r="AJ21" s="324">
        <f t="shared" si="27"/>
        <v>5500</v>
      </c>
      <c r="AK21" s="324">
        <f>+[16]DailyNov!L20</f>
        <v>310</v>
      </c>
      <c r="AL21" s="324">
        <f t="shared" si="28"/>
        <v>5.921794112590498</v>
      </c>
      <c r="AM21" s="444">
        <f t="shared" si="29"/>
        <v>6.4910590895766154</v>
      </c>
      <c r="AN21" s="324">
        <f t="shared" si="30"/>
        <v>8950</v>
      </c>
      <c r="AO21" s="324">
        <f>+[16]DailyNov!M20</f>
        <v>610</v>
      </c>
      <c r="AP21" s="324">
        <f t="shared" si="31"/>
        <v>11.652562608645818</v>
      </c>
      <c r="AQ21" s="444">
        <f t="shared" si="32"/>
        <v>12.772729176263661</v>
      </c>
      <c r="AR21" s="324">
        <f t="shared" si="33"/>
        <v>45479.37999999991</v>
      </c>
      <c r="AS21" s="321">
        <f t="shared" si="10"/>
        <v>868.7726604137597</v>
      </c>
      <c r="AT21" s="322">
        <f t="shared" si="11"/>
        <v>952.28820302357531</v>
      </c>
      <c r="AW21" t="s">
        <v>183</v>
      </c>
      <c r="AX21" s="12">
        <f>+AP39</f>
        <v>0</v>
      </c>
      <c r="AY21" s="12">
        <f>+AQ39</f>
        <v>0</v>
      </c>
    </row>
    <row r="22" spans="1:51">
      <c r="A22" s="315">
        <f t="shared" si="12"/>
        <v>45976</v>
      </c>
      <c r="B22" s="323">
        <f>+Report1!P23</f>
        <v>51.089999999999996</v>
      </c>
      <c r="C22" s="323">
        <f>+Report1!R23</f>
        <v>46.701999999999998</v>
      </c>
      <c r="D22" s="324">
        <f>+D21+E22</f>
        <v>0</v>
      </c>
      <c r="E22" s="324">
        <f>+[16]DailyNov!D21</f>
        <v>0</v>
      </c>
      <c r="F22" s="318">
        <f>E22/B22</f>
        <v>0</v>
      </c>
      <c r="G22" s="318">
        <f>E22/C22</f>
        <v>0</v>
      </c>
      <c r="H22" s="324">
        <f>+H21+I22</f>
        <v>0</v>
      </c>
      <c r="I22" s="324">
        <f>+[16]DailyNov!E21</f>
        <v>0</v>
      </c>
      <c r="J22" s="318">
        <f>I22/B22</f>
        <v>0</v>
      </c>
      <c r="K22" s="318">
        <f>I22/C22</f>
        <v>0</v>
      </c>
      <c r="L22" s="324">
        <f>+L21+M22</f>
        <v>92400</v>
      </c>
      <c r="M22" s="324">
        <f>+[16]DailyNov!F21</f>
        <v>6400</v>
      </c>
      <c r="N22" s="318">
        <f>M22/B22</f>
        <v>125.2691329027207</v>
      </c>
      <c r="O22" s="318">
        <f>M22/C22</f>
        <v>137.0390989679243</v>
      </c>
      <c r="P22" s="324">
        <f>+P21+Q22</f>
        <v>123300.00000000073</v>
      </c>
      <c r="Q22" s="324">
        <f>+[16]DailyNov!G21</f>
        <v>8700.0000000003638</v>
      </c>
      <c r="R22" s="318">
        <f>Q22/B22</f>
        <v>170.28772753964307</v>
      </c>
      <c r="S22" s="318">
        <f>Q22/C22</f>
        <v>186.28752515952988</v>
      </c>
      <c r="T22" s="324">
        <f>+T21+U22</f>
        <v>86000</v>
      </c>
      <c r="U22" s="324">
        <f>+[16]DailyNov!H21</f>
        <v>6000</v>
      </c>
      <c r="V22" s="318">
        <f>U22/B22</f>
        <v>117.43981209630066</v>
      </c>
      <c r="W22" s="318">
        <f>U22/C22</f>
        <v>128.47415528242902</v>
      </c>
      <c r="X22" s="324">
        <f>+X21+Y22</f>
        <v>191508.40999999963</v>
      </c>
      <c r="Y22" s="324">
        <f>+[16]DailyNov!I21</f>
        <v>14134.760000000364</v>
      </c>
      <c r="Z22" s="324">
        <f>Y22/B22</f>
        <v>276.66392640439159</v>
      </c>
      <c r="AA22" s="324">
        <f>Y22/C22</f>
        <v>302.65855851998555</v>
      </c>
      <c r="AB22" s="324">
        <f>+AB21+AC22</f>
        <v>110218.41000000038</v>
      </c>
      <c r="AC22" s="324">
        <f>+[16]DailyNov!J21</f>
        <v>6664.7600000000184</v>
      </c>
      <c r="AD22" s="324">
        <f>AC22/B22</f>
        <v>130.4513603444905</v>
      </c>
      <c r="AE22" s="416">
        <f>AC22/C22</f>
        <v>142.708235193354</v>
      </c>
      <c r="AF22" s="324">
        <f>+AF21+AG22</f>
        <v>160000</v>
      </c>
      <c r="AG22" s="324">
        <f>+[16]DailyNov!K21</f>
        <v>8700.0000000007276</v>
      </c>
      <c r="AH22" s="324">
        <f>AG22/B22</f>
        <v>170.28772753965018</v>
      </c>
      <c r="AI22" s="444">
        <f>AG22/C22</f>
        <v>186.28752515953767</v>
      </c>
      <c r="AJ22" s="324">
        <f>+AJ21+AK22</f>
        <v>5850</v>
      </c>
      <c r="AK22" s="324">
        <f>+[16]DailyNov!L21</f>
        <v>350</v>
      </c>
      <c r="AL22" s="324">
        <f>AK22/B22</f>
        <v>6.8506557056175383</v>
      </c>
      <c r="AM22" s="444">
        <f>AK22/C22</f>
        <v>7.4943257248083599</v>
      </c>
      <c r="AN22" s="324">
        <f>+AN21+AO22</f>
        <v>9430</v>
      </c>
      <c r="AO22" s="324">
        <f>+[16]DailyNov!M21</f>
        <v>480</v>
      </c>
      <c r="AP22" s="324">
        <f>AO22/B22</f>
        <v>9.3951849677040524</v>
      </c>
      <c r="AQ22" s="444">
        <f>AO22/C22</f>
        <v>10.277932422594322</v>
      </c>
      <c r="AR22" s="324">
        <f>+E22+I22+M22+Q22+U22+Y22+AC22+AG22+AK22+AO22</f>
        <v>51429.520000001474</v>
      </c>
      <c r="AS22" s="321">
        <f>AR22/B22</f>
        <v>1006.6455275005183</v>
      </c>
      <c r="AT22" s="322">
        <f>AR22/C22</f>
        <v>1101.2273564301631</v>
      </c>
      <c r="AW22" t="s">
        <v>183</v>
      </c>
      <c r="AX22" s="12">
        <f>+AP40</f>
        <v>10.947354661612366</v>
      </c>
      <c r="AY22" s="12">
        <f>+AQ40</f>
        <v>11.341294600314974</v>
      </c>
    </row>
    <row r="23" spans="1:51">
      <c r="A23" s="315">
        <f t="shared" si="12"/>
        <v>45977</v>
      </c>
      <c r="B23" s="323">
        <f>+Report1!P24</f>
        <v>58.29</v>
      </c>
      <c r="C23" s="323">
        <f>+Report1!R24</f>
        <v>55.676000000000002</v>
      </c>
      <c r="D23" s="324">
        <f t="shared" si="13"/>
        <v>0</v>
      </c>
      <c r="E23" s="324">
        <f>+[16]DailyNov!D22</f>
        <v>0</v>
      </c>
      <c r="F23" s="318">
        <f t="shared" si="0"/>
        <v>0</v>
      </c>
      <c r="G23" s="318">
        <f t="shared" si="1"/>
        <v>0</v>
      </c>
      <c r="H23" s="324">
        <f t="shared" si="14"/>
        <v>0</v>
      </c>
      <c r="I23" s="324">
        <f>+[16]DailyNov!E22</f>
        <v>0</v>
      </c>
      <c r="J23" s="318">
        <f t="shared" si="2"/>
        <v>0</v>
      </c>
      <c r="K23" s="318">
        <f t="shared" si="3"/>
        <v>0</v>
      </c>
      <c r="L23" s="324">
        <f t="shared" si="15"/>
        <v>98500</v>
      </c>
      <c r="M23" s="324">
        <f>+[16]DailyNov!F22</f>
        <v>6100</v>
      </c>
      <c r="N23" s="318">
        <f t="shared" si="4"/>
        <v>104.64916795333677</v>
      </c>
      <c r="O23" s="318">
        <f t="shared" si="5"/>
        <v>109.56246856814425</v>
      </c>
      <c r="P23" s="324">
        <f t="shared" si="16"/>
        <v>131200.00000000073</v>
      </c>
      <c r="Q23" s="324">
        <f>+[16]DailyNov!G22</f>
        <v>7900</v>
      </c>
      <c r="R23" s="318">
        <f t="shared" si="6"/>
        <v>135.52925030022303</v>
      </c>
      <c r="S23" s="318">
        <f t="shared" si="7"/>
        <v>141.89237732595731</v>
      </c>
      <c r="T23" s="324">
        <f t="shared" si="17"/>
        <v>91800.000000000175</v>
      </c>
      <c r="U23" s="324">
        <f>+[16]DailyNov!H22</f>
        <v>5800.0000000001819</v>
      </c>
      <c r="V23" s="318">
        <f t="shared" si="8"/>
        <v>99.502487562192172</v>
      </c>
      <c r="W23" s="318">
        <f t="shared" si="9"/>
        <v>104.17415044184536</v>
      </c>
      <c r="X23" s="324">
        <f t="shared" si="18"/>
        <v>204370.82000000071</v>
      </c>
      <c r="Y23" s="324">
        <f>+[16]DailyNov!I22</f>
        <v>12862.410000001091</v>
      </c>
      <c r="Z23" s="324">
        <f t="shared" si="19"/>
        <v>220.66237776635944</v>
      </c>
      <c r="AA23" s="324">
        <f t="shared" si="20"/>
        <v>231.02252316978755</v>
      </c>
      <c r="AB23" s="324">
        <f t="shared" si="21"/>
        <v>115520.8199999996</v>
      </c>
      <c r="AC23" s="324">
        <f>+[16]DailyNov!J22</f>
        <v>5302.4099999992131</v>
      </c>
      <c r="AD23" s="324">
        <f t="shared" si="22"/>
        <v>90.966031909404933</v>
      </c>
      <c r="AE23" s="416">
        <f t="shared" si="23"/>
        <v>95.236906386938955</v>
      </c>
      <c r="AF23" s="324">
        <f t="shared" si="24"/>
        <v>168600.00000000035</v>
      </c>
      <c r="AG23" s="324">
        <f>+[16]DailyNov!K22</f>
        <v>8600.0000000003638</v>
      </c>
      <c r="AH23" s="324">
        <f t="shared" si="25"/>
        <v>147.53817121290726</v>
      </c>
      <c r="AI23" s="444">
        <f t="shared" si="26"/>
        <v>154.46511962066893</v>
      </c>
      <c r="AJ23" s="324">
        <f t="shared" si="27"/>
        <v>6170</v>
      </c>
      <c r="AK23" s="324">
        <f>+[16]DailyNov!L22</f>
        <v>320</v>
      </c>
      <c r="AL23" s="324">
        <f t="shared" si="28"/>
        <v>5.4897924172242236</v>
      </c>
      <c r="AM23" s="444">
        <f t="shared" si="29"/>
        <v>5.7475393347223216</v>
      </c>
      <c r="AN23" s="324">
        <f t="shared" si="30"/>
        <v>9950</v>
      </c>
      <c r="AO23" s="324">
        <f>+[16]DailyNov!M22</f>
        <v>520</v>
      </c>
      <c r="AP23" s="324">
        <f t="shared" si="31"/>
        <v>8.9209126779893637</v>
      </c>
      <c r="AQ23" s="444">
        <f t="shared" si="32"/>
        <v>9.3397514189237736</v>
      </c>
      <c r="AR23" s="324">
        <f t="shared" si="33"/>
        <v>47404.820000000851</v>
      </c>
      <c r="AS23" s="321">
        <f t="shared" si="10"/>
        <v>813.25819179963719</v>
      </c>
      <c r="AT23" s="322">
        <f t="shared" si="11"/>
        <v>851.44083626698841</v>
      </c>
    </row>
    <row r="24" spans="1:51">
      <c r="A24" s="315">
        <f t="shared" si="12"/>
        <v>45978</v>
      </c>
      <c r="B24" s="323">
        <f>+Report1!P25</f>
        <v>47.358000000000004</v>
      </c>
      <c r="C24" s="323">
        <f>+Report1!R25</f>
        <v>45.265999999999998</v>
      </c>
      <c r="D24" s="324">
        <f t="shared" si="13"/>
        <v>0</v>
      </c>
      <c r="E24" s="324">
        <f>+[16]DailyNov!D23</f>
        <v>0</v>
      </c>
      <c r="F24" s="318">
        <f t="shared" si="0"/>
        <v>0</v>
      </c>
      <c r="G24" s="318">
        <f t="shared" si="1"/>
        <v>0</v>
      </c>
      <c r="H24" s="324">
        <f t="shared" si="14"/>
        <v>0</v>
      </c>
      <c r="I24" s="324">
        <f>+[16]DailyNov!E23</f>
        <v>0</v>
      </c>
      <c r="J24" s="318">
        <f t="shared" si="2"/>
        <v>0</v>
      </c>
      <c r="K24" s="318">
        <f t="shared" si="3"/>
        <v>0</v>
      </c>
      <c r="L24" s="324">
        <f t="shared" si="15"/>
        <v>104500</v>
      </c>
      <c r="M24" s="324">
        <f>+[16]DailyNov!F23</f>
        <v>6000</v>
      </c>
      <c r="N24" s="318">
        <f t="shared" si="4"/>
        <v>126.69453946534904</v>
      </c>
      <c r="O24" s="318">
        <f t="shared" si="5"/>
        <v>132.54981663942033</v>
      </c>
      <c r="P24" s="324">
        <f t="shared" si="16"/>
        <v>139200.00000000073</v>
      </c>
      <c r="Q24" s="324">
        <f>+[16]DailyNov!G23</f>
        <v>8000</v>
      </c>
      <c r="R24" s="318">
        <f t="shared" si="6"/>
        <v>168.92605262046538</v>
      </c>
      <c r="S24" s="318">
        <f t="shared" si="7"/>
        <v>176.73308885256043</v>
      </c>
      <c r="T24" s="324">
        <f t="shared" si="17"/>
        <v>97399.999999999622</v>
      </c>
      <c r="U24" s="324">
        <f>+[16]DailyNov!H23</f>
        <v>5599.9999999994543</v>
      </c>
      <c r="V24" s="318">
        <f t="shared" si="8"/>
        <v>118.24823683431424</v>
      </c>
      <c r="W24" s="318">
        <f t="shared" si="9"/>
        <v>123.71316219678025</v>
      </c>
      <c r="X24" s="324">
        <f t="shared" si="18"/>
        <v>218410.35000000036</v>
      </c>
      <c r="Y24" s="324">
        <f>+[16]DailyNov!I23</f>
        <v>14039.529999999637</v>
      </c>
      <c r="Z24" s="324">
        <f t="shared" si="19"/>
        <v>296.45529794331759</v>
      </c>
      <c r="AA24" s="324">
        <f t="shared" si="20"/>
        <v>310.15618786726543</v>
      </c>
      <c r="AB24" s="324">
        <f t="shared" si="21"/>
        <v>122000.35000000068</v>
      </c>
      <c r="AC24" s="324">
        <f>+[16]DailyNov!J23</f>
        <v>6479.5300000010784</v>
      </c>
      <c r="AD24" s="324">
        <f t="shared" si="22"/>
        <v>136.82017821700828</v>
      </c>
      <c r="AE24" s="416">
        <f t="shared" si="23"/>
        <v>143.14341890162768</v>
      </c>
      <c r="AF24" s="324">
        <f t="shared" si="24"/>
        <v>176600.00000000035</v>
      </c>
      <c r="AG24" s="324">
        <f>+[16]DailyNov!K23</f>
        <v>8000</v>
      </c>
      <c r="AH24" s="324">
        <f t="shared" si="25"/>
        <v>168.92605262046538</v>
      </c>
      <c r="AI24" s="444">
        <f t="shared" si="26"/>
        <v>176.73308885256043</v>
      </c>
      <c r="AJ24" s="324">
        <f t="shared" si="27"/>
        <v>6510</v>
      </c>
      <c r="AK24" s="324">
        <f>+[16]DailyNov!L23</f>
        <v>340</v>
      </c>
      <c r="AL24" s="324">
        <f t="shared" si="28"/>
        <v>7.1793572363697784</v>
      </c>
      <c r="AM24" s="444">
        <f t="shared" si="29"/>
        <v>7.5111562762338178</v>
      </c>
      <c r="AN24" s="324">
        <f t="shared" si="30"/>
        <v>10470</v>
      </c>
      <c r="AO24" s="324">
        <f>+[16]DailyNov!M23</f>
        <v>520</v>
      </c>
      <c r="AP24" s="324">
        <f t="shared" si="31"/>
        <v>10.980193420330249</v>
      </c>
      <c r="AQ24" s="444">
        <f t="shared" si="32"/>
        <v>11.487650775416428</v>
      </c>
      <c r="AR24" s="324">
        <f t="shared" si="33"/>
        <v>48979.060000000165</v>
      </c>
      <c r="AS24" s="321">
        <f t="shared" si="10"/>
        <v>1034.2299083576199</v>
      </c>
      <c r="AT24" s="322">
        <f t="shared" si="11"/>
        <v>1082.0275703618647</v>
      </c>
      <c r="AW24" s="19" t="s">
        <v>2</v>
      </c>
      <c r="AX24" s="17">
        <f>+AX16+AX19+AX22</f>
        <v>10.947354661612366</v>
      </c>
      <c r="AY24" s="17">
        <f>+AY16+AY19+AY22</f>
        <v>11.341294600314974</v>
      </c>
    </row>
    <row r="25" spans="1:51">
      <c r="A25" s="315">
        <f t="shared" si="12"/>
        <v>45979</v>
      </c>
      <c r="B25" s="323">
        <f>+Report1!P26</f>
        <v>51.094999999999999</v>
      </c>
      <c r="C25" s="323">
        <f>+Report1!R26</f>
        <v>45.436</v>
      </c>
      <c r="D25" s="324">
        <f t="shared" si="13"/>
        <v>5</v>
      </c>
      <c r="E25" s="324">
        <f>+[16]DailyNov!D24</f>
        <v>5</v>
      </c>
      <c r="F25" s="318">
        <f t="shared" si="0"/>
        <v>9.7856933163714646E-2</v>
      </c>
      <c r="G25" s="318">
        <f t="shared" si="1"/>
        <v>0.11004489831851395</v>
      </c>
      <c r="H25" s="324">
        <f t="shared" si="14"/>
        <v>0</v>
      </c>
      <c r="I25" s="324">
        <f>+[16]DailyNov!E24</f>
        <v>0</v>
      </c>
      <c r="J25" s="318">
        <f t="shared" si="2"/>
        <v>0</v>
      </c>
      <c r="K25" s="318">
        <f t="shared" si="3"/>
        <v>0</v>
      </c>
      <c r="L25" s="324">
        <f t="shared" si="15"/>
        <v>110800</v>
      </c>
      <c r="M25" s="324">
        <f>+[16]DailyNov!F24</f>
        <v>6300</v>
      </c>
      <c r="N25" s="318">
        <f t="shared" si="4"/>
        <v>123.29973578628046</v>
      </c>
      <c r="O25" s="318">
        <f t="shared" si="5"/>
        <v>138.65657188132758</v>
      </c>
      <c r="P25" s="324">
        <f t="shared" si="16"/>
        <v>147895.00000000073</v>
      </c>
      <c r="Q25" s="324">
        <f>+[16]DailyNov!G24</f>
        <v>8695</v>
      </c>
      <c r="R25" s="318">
        <f t="shared" si="6"/>
        <v>170.17320677169977</v>
      </c>
      <c r="S25" s="318">
        <f t="shared" si="7"/>
        <v>191.36807817589576</v>
      </c>
      <c r="T25" s="324">
        <f t="shared" si="17"/>
        <v>102999.99999999999</v>
      </c>
      <c r="U25" s="324">
        <f>+[16]DailyNov!H24</f>
        <v>5600.0000000003638</v>
      </c>
      <c r="V25" s="318">
        <f t="shared" si="8"/>
        <v>109.59976514336753</v>
      </c>
      <c r="W25" s="318">
        <f t="shared" si="9"/>
        <v>123.25028611674364</v>
      </c>
      <c r="X25" s="324">
        <f t="shared" si="18"/>
        <v>233777.29000000036</v>
      </c>
      <c r="Y25" s="324">
        <f>+[16]DailyNov!I24</f>
        <v>15366.94</v>
      </c>
      <c r="Z25" s="324">
        <f t="shared" si="19"/>
        <v>300.75232410216267</v>
      </c>
      <c r="AA25" s="324">
        <f t="shared" si="20"/>
        <v>338.21066995334098</v>
      </c>
      <c r="AB25" s="324">
        <f t="shared" si="21"/>
        <v>127597.2900000004</v>
      </c>
      <c r="AC25" s="324">
        <f>+[16]DailyNov!J24</f>
        <v>5596.9399999997231</v>
      </c>
      <c r="AD25" s="324">
        <f t="shared" si="22"/>
        <v>109.5398767002588</v>
      </c>
      <c r="AE25" s="416">
        <f t="shared" si="23"/>
        <v>123.1829386389586</v>
      </c>
      <c r="AF25" s="324">
        <f t="shared" si="24"/>
        <v>185100.00000000035</v>
      </c>
      <c r="AG25" s="324">
        <f>+[16]DailyNov!K24</f>
        <v>8500</v>
      </c>
      <c r="AH25" s="324">
        <f t="shared" si="25"/>
        <v>166.35678637831489</v>
      </c>
      <c r="AI25" s="444">
        <f t="shared" si="26"/>
        <v>187.07632714147371</v>
      </c>
      <c r="AJ25" s="324">
        <f t="shared" si="27"/>
        <v>6820</v>
      </c>
      <c r="AK25" s="324">
        <f>+[16]DailyNov!L24</f>
        <v>310</v>
      </c>
      <c r="AL25" s="324">
        <f t="shared" si="28"/>
        <v>6.0671298561503084</v>
      </c>
      <c r="AM25" s="444">
        <f t="shared" si="29"/>
        <v>6.8227836957478649</v>
      </c>
      <c r="AN25" s="324">
        <f t="shared" si="30"/>
        <v>11030</v>
      </c>
      <c r="AO25" s="324">
        <f>+[16]DailyNov!M24</f>
        <v>560</v>
      </c>
      <c r="AP25" s="324">
        <f t="shared" si="31"/>
        <v>10.959976514336041</v>
      </c>
      <c r="AQ25" s="444">
        <f t="shared" si="32"/>
        <v>12.325028611673563</v>
      </c>
      <c r="AR25" s="324">
        <f t="shared" si="33"/>
        <v>50933.880000000092</v>
      </c>
      <c r="AS25" s="321">
        <f t="shared" si="10"/>
        <v>996.84665818573433</v>
      </c>
      <c r="AT25" s="322">
        <f t="shared" si="11"/>
        <v>1121.0027291134804</v>
      </c>
    </row>
    <row r="26" spans="1:51">
      <c r="A26" s="315">
        <f t="shared" si="12"/>
        <v>45980</v>
      </c>
      <c r="B26" s="323">
        <f>+Report1!P27</f>
        <v>64</v>
      </c>
      <c r="C26" s="323">
        <f>+Report1!R27</f>
        <v>62.713000000000001</v>
      </c>
      <c r="D26" s="324">
        <f t="shared" si="13"/>
        <v>5</v>
      </c>
      <c r="E26" s="324">
        <f>+[16]DailyNov!D25</f>
        <v>0</v>
      </c>
      <c r="F26" s="318">
        <f t="shared" si="0"/>
        <v>0</v>
      </c>
      <c r="G26" s="318">
        <f t="shared" si="1"/>
        <v>0</v>
      </c>
      <c r="H26" s="324">
        <f t="shared" si="14"/>
        <v>0</v>
      </c>
      <c r="I26" s="324">
        <f>+[16]DailyNov!E25</f>
        <v>0</v>
      </c>
      <c r="J26" s="318">
        <f t="shared" si="2"/>
        <v>0</v>
      </c>
      <c r="K26" s="318">
        <f t="shared" si="3"/>
        <v>0</v>
      </c>
      <c r="L26" s="324">
        <f t="shared" si="15"/>
        <v>117400</v>
      </c>
      <c r="M26" s="324">
        <f>+[16]DailyNov!F25</f>
        <v>6600</v>
      </c>
      <c r="N26" s="318">
        <f t="shared" si="4"/>
        <v>103.125</v>
      </c>
      <c r="O26" s="318">
        <f t="shared" si="5"/>
        <v>105.24133752172595</v>
      </c>
      <c r="P26" s="324">
        <f t="shared" si="16"/>
        <v>155295.00000000073</v>
      </c>
      <c r="Q26" s="324">
        <f>+[16]DailyNov!G25</f>
        <v>7400</v>
      </c>
      <c r="R26" s="318">
        <f t="shared" si="6"/>
        <v>115.625</v>
      </c>
      <c r="S26" s="318">
        <f t="shared" si="7"/>
        <v>117.99786328193517</v>
      </c>
      <c r="T26" s="324">
        <f t="shared" si="17"/>
        <v>109199.9999999998</v>
      </c>
      <c r="U26" s="324">
        <f>+[16]DailyNov!H25</f>
        <v>6199.9999999998181</v>
      </c>
      <c r="V26" s="318">
        <f t="shared" si="8"/>
        <v>96.874999999997158</v>
      </c>
      <c r="W26" s="318">
        <f t="shared" si="9"/>
        <v>98.863074641618454</v>
      </c>
      <c r="X26" s="324">
        <f t="shared" si="18"/>
        <v>253185.28999999998</v>
      </c>
      <c r="Y26" s="324">
        <f>+[16]DailyNov!I25</f>
        <v>19407.999999999636</v>
      </c>
      <c r="Z26" s="324">
        <f t="shared" si="19"/>
        <v>303.24999999999432</v>
      </c>
      <c r="AA26" s="324">
        <f t="shared" si="20"/>
        <v>309.47331494266956</v>
      </c>
      <c r="AB26" s="324">
        <f t="shared" si="21"/>
        <v>133645.29000000074</v>
      </c>
      <c r="AC26" s="324">
        <f>+[16]DailyNov!J25</f>
        <v>6048.0000000003274</v>
      </c>
      <c r="AD26" s="324">
        <f t="shared" si="22"/>
        <v>94.500000000005116</v>
      </c>
      <c r="AE26" s="416">
        <f t="shared" si="23"/>
        <v>96.43933474718682</v>
      </c>
      <c r="AF26" s="324">
        <f t="shared" si="24"/>
        <v>194299.99999999924</v>
      </c>
      <c r="AG26" s="324">
        <f>+[16]DailyNov!K25</f>
        <v>9199.9999999989086</v>
      </c>
      <c r="AH26" s="324">
        <f t="shared" si="25"/>
        <v>143.74999999998295</v>
      </c>
      <c r="AI26" s="444">
        <f t="shared" si="26"/>
        <v>146.70004624238848</v>
      </c>
      <c r="AJ26" s="324">
        <f t="shared" si="27"/>
        <v>7150</v>
      </c>
      <c r="AK26" s="324">
        <f>+[16]DailyNov!L25</f>
        <v>330</v>
      </c>
      <c r="AL26" s="324">
        <f t="shared" si="28"/>
        <v>5.15625</v>
      </c>
      <c r="AM26" s="444">
        <f t="shared" si="29"/>
        <v>5.2620668760862976</v>
      </c>
      <c r="AN26" s="324">
        <f t="shared" si="30"/>
        <v>11640</v>
      </c>
      <c r="AO26" s="324">
        <f>+[16]DailyNov!M25</f>
        <v>610</v>
      </c>
      <c r="AP26" s="324">
        <f t="shared" si="31"/>
        <v>9.53125</v>
      </c>
      <c r="AQ26" s="444">
        <f t="shared" si="32"/>
        <v>9.7268508921595203</v>
      </c>
      <c r="AR26" s="324">
        <f t="shared" si="33"/>
        <v>55795.99999999869</v>
      </c>
      <c r="AS26" s="321">
        <f t="shared" si="10"/>
        <v>871.81249999997954</v>
      </c>
      <c r="AT26" s="322">
        <f t="shared" si="11"/>
        <v>889.70388914577029</v>
      </c>
      <c r="AW26" s="19" t="s">
        <v>190</v>
      </c>
      <c r="AY26" s="410">
        <f>+AY24/AX24-1</f>
        <v>3.5984943475338982E-2</v>
      </c>
    </row>
    <row r="27" spans="1:51">
      <c r="A27" s="315">
        <f t="shared" si="12"/>
        <v>45981</v>
      </c>
      <c r="B27" s="323">
        <f>+Report1!P28</f>
        <v>58.091000000000001</v>
      </c>
      <c r="C27" s="323">
        <f>+Report1!R28</f>
        <v>57.715000000000003</v>
      </c>
      <c r="D27" s="324">
        <f t="shared" si="13"/>
        <v>5</v>
      </c>
      <c r="E27" s="324">
        <f>+[16]DailyNov!D26</f>
        <v>0</v>
      </c>
      <c r="F27" s="318">
        <f t="shared" si="0"/>
        <v>0</v>
      </c>
      <c r="G27" s="318">
        <f t="shared" si="1"/>
        <v>0</v>
      </c>
      <c r="H27" s="324">
        <f t="shared" si="14"/>
        <v>0</v>
      </c>
      <c r="I27" s="324">
        <f>+[16]DailyNov!E26</f>
        <v>0</v>
      </c>
      <c r="J27" s="318">
        <f t="shared" si="2"/>
        <v>0</v>
      </c>
      <c r="K27" s="318">
        <f t="shared" si="3"/>
        <v>0</v>
      </c>
      <c r="L27" s="324">
        <f t="shared" si="15"/>
        <v>124100</v>
      </c>
      <c r="M27" s="324">
        <f>+[16]DailyNov!F26</f>
        <v>6700</v>
      </c>
      <c r="N27" s="318">
        <f t="shared" si="4"/>
        <v>115.33628272882201</v>
      </c>
      <c r="O27" s="318">
        <f t="shared" si="5"/>
        <v>116.08767218227497</v>
      </c>
      <c r="P27" s="324">
        <f t="shared" si="16"/>
        <v>163995.00000000035</v>
      </c>
      <c r="Q27" s="324">
        <f>+[16]DailyNov!G26</f>
        <v>8699.9999999996362</v>
      </c>
      <c r="R27" s="318">
        <f t="shared" si="6"/>
        <v>149.76502384189695</v>
      </c>
      <c r="S27" s="318">
        <f t="shared" si="7"/>
        <v>150.74070865458955</v>
      </c>
      <c r="T27" s="324">
        <f t="shared" si="17"/>
        <v>115599.99999999943</v>
      </c>
      <c r="U27" s="324">
        <f>+[16]DailyNov!H26</f>
        <v>6399.9999999996362</v>
      </c>
      <c r="V27" s="318">
        <f t="shared" si="8"/>
        <v>110.17197156185358</v>
      </c>
      <c r="W27" s="318">
        <f t="shared" si="9"/>
        <v>110.88971671142053</v>
      </c>
      <c r="X27" s="324">
        <f t="shared" si="18"/>
        <v>271279.81999999995</v>
      </c>
      <c r="Y27" s="324">
        <f>+[16]DailyNov!I26</f>
        <v>18094.53</v>
      </c>
      <c r="Z27" s="324">
        <f t="shared" si="19"/>
        <v>311.48594446644057</v>
      </c>
      <c r="AA27" s="324">
        <f t="shared" si="20"/>
        <v>313.51520401975222</v>
      </c>
      <c r="AB27" s="324">
        <f t="shared" si="21"/>
        <v>139289.82000000079</v>
      </c>
      <c r="AC27" s="324">
        <f>+[16]DailyNov!J26</f>
        <v>5644.5300000000689</v>
      </c>
      <c r="AD27" s="324">
        <f t="shared" si="22"/>
        <v>97.167031037511293</v>
      </c>
      <c r="AE27" s="416">
        <f t="shared" si="23"/>
        <v>97.800051979555903</v>
      </c>
      <c r="AF27" s="324">
        <f t="shared" si="24"/>
        <v>203299.99999999924</v>
      </c>
      <c r="AG27" s="324">
        <f>+[16]DailyNov!K26</f>
        <v>9000</v>
      </c>
      <c r="AH27" s="324">
        <f t="shared" si="25"/>
        <v>154.92933500886539</v>
      </c>
      <c r="AI27" s="444">
        <f t="shared" si="26"/>
        <v>155.93866412544398</v>
      </c>
      <c r="AJ27" s="324">
        <f t="shared" si="27"/>
        <v>7460</v>
      </c>
      <c r="AK27" s="324">
        <f>+[16]DailyNov!L26</f>
        <v>310</v>
      </c>
      <c r="AL27" s="324">
        <f t="shared" si="28"/>
        <v>5.336454872527586</v>
      </c>
      <c r="AM27" s="444">
        <f t="shared" si="29"/>
        <v>5.3712206532097371</v>
      </c>
      <c r="AN27" s="324">
        <f t="shared" si="30"/>
        <v>12230</v>
      </c>
      <c r="AO27" s="324">
        <f>+[16]DailyNov!M26</f>
        <v>590</v>
      </c>
      <c r="AP27" s="324">
        <f t="shared" si="31"/>
        <v>10.156478628358954</v>
      </c>
      <c r="AQ27" s="444">
        <f t="shared" si="32"/>
        <v>10.222645759334661</v>
      </c>
      <c r="AR27" s="324">
        <f t="shared" si="33"/>
        <v>55439.059999999343</v>
      </c>
      <c r="AS27" s="321">
        <f t="shared" si="10"/>
        <v>954.34852214627642</v>
      </c>
      <c r="AT27" s="322">
        <f t="shared" si="11"/>
        <v>960.5658840855815</v>
      </c>
    </row>
    <row r="28" spans="1:51">
      <c r="A28" s="315">
        <f t="shared" si="12"/>
        <v>45982</v>
      </c>
      <c r="B28" s="323">
        <f>+Report1!P29</f>
        <v>60.528999999999996</v>
      </c>
      <c r="C28" s="323">
        <f>+Report1!R29</f>
        <v>56.137999999999998</v>
      </c>
      <c r="D28" s="324">
        <f t="shared" si="13"/>
        <v>5</v>
      </c>
      <c r="E28" s="324">
        <f>+[16]DailyNov!D27</f>
        <v>0</v>
      </c>
      <c r="F28" s="319">
        <f t="shared" si="0"/>
        <v>0</v>
      </c>
      <c r="G28" s="318">
        <f t="shared" si="1"/>
        <v>0</v>
      </c>
      <c r="H28" s="324">
        <f t="shared" si="14"/>
        <v>0</v>
      </c>
      <c r="I28" s="324">
        <f>+[16]DailyNov!E27</f>
        <v>0</v>
      </c>
      <c r="J28" s="318">
        <f t="shared" si="2"/>
        <v>0</v>
      </c>
      <c r="K28" s="318">
        <f t="shared" si="3"/>
        <v>0</v>
      </c>
      <c r="L28" s="324">
        <f t="shared" si="15"/>
        <v>130700</v>
      </c>
      <c r="M28" s="324">
        <f>+[16]DailyNov!F27</f>
        <v>6600</v>
      </c>
      <c r="N28" s="318">
        <f t="shared" si="4"/>
        <v>109.03864263410928</v>
      </c>
      <c r="O28" s="318">
        <f t="shared" si="5"/>
        <v>117.56742313584381</v>
      </c>
      <c r="P28" s="324">
        <f t="shared" si="16"/>
        <v>172195.00000000146</v>
      </c>
      <c r="Q28" s="324">
        <f>+[16]DailyNov!G27</f>
        <v>8200.0000000010914</v>
      </c>
      <c r="R28" s="318">
        <f t="shared" si="6"/>
        <v>135.47225296966894</v>
      </c>
      <c r="S28" s="318">
        <f t="shared" si="7"/>
        <v>146.06861662334055</v>
      </c>
      <c r="T28" s="324">
        <f t="shared" si="17"/>
        <v>121899.99999999962</v>
      </c>
      <c r="U28" s="324">
        <f>+[16]DailyNov!H27</f>
        <v>6300.0000000001819</v>
      </c>
      <c r="V28" s="318">
        <f t="shared" si="8"/>
        <v>104.08234069619823</v>
      </c>
      <c r="W28" s="318">
        <f t="shared" si="9"/>
        <v>112.22344935694507</v>
      </c>
      <c r="X28" s="324">
        <f t="shared" si="18"/>
        <v>289062.83000000066</v>
      </c>
      <c r="Y28" s="324">
        <f>+[16]DailyNov!I27</f>
        <v>17783.010000000726</v>
      </c>
      <c r="Z28" s="324">
        <f t="shared" si="19"/>
        <v>293.79322308316222</v>
      </c>
      <c r="AA28" s="324">
        <f t="shared" si="20"/>
        <v>316.77313049985264</v>
      </c>
      <c r="AB28" s="324">
        <f t="shared" si="21"/>
        <v>144802.83000000042</v>
      </c>
      <c r="AC28" s="324">
        <f>+[16]DailyNov!J27</f>
        <v>5513.0099999996319</v>
      </c>
      <c r="AD28" s="324">
        <f t="shared" si="22"/>
        <v>91.080473822459183</v>
      </c>
      <c r="AE28" s="416">
        <f t="shared" si="23"/>
        <v>98.204602942741673</v>
      </c>
      <c r="AF28" s="324">
        <f t="shared" si="24"/>
        <v>212299.99999999924</v>
      </c>
      <c r="AG28" s="324">
        <f>+[16]DailyNov!K27</f>
        <v>9000</v>
      </c>
      <c r="AH28" s="324">
        <f t="shared" si="25"/>
        <v>148.68905813742174</v>
      </c>
      <c r="AI28" s="444">
        <f t="shared" si="26"/>
        <v>160.31921336705975</v>
      </c>
      <c r="AJ28" s="324">
        <f t="shared" si="27"/>
        <v>7790</v>
      </c>
      <c r="AK28" s="324">
        <f>+[16]DailyNov!L27</f>
        <v>330</v>
      </c>
      <c r="AL28" s="324">
        <f t="shared" si="28"/>
        <v>5.4519321317054636</v>
      </c>
      <c r="AM28" s="444">
        <f t="shared" si="29"/>
        <v>5.8783711567921912</v>
      </c>
      <c r="AN28" s="324">
        <f t="shared" si="30"/>
        <v>12800</v>
      </c>
      <c r="AO28" s="324">
        <f>+[16]DailyNov!M27</f>
        <v>570</v>
      </c>
      <c r="AP28" s="324">
        <f t="shared" si="31"/>
        <v>9.4169736820367103</v>
      </c>
      <c r="AQ28" s="444">
        <f t="shared" si="32"/>
        <v>10.153550179913784</v>
      </c>
      <c r="AR28" s="324">
        <f t="shared" si="33"/>
        <v>54296.020000001634</v>
      </c>
      <c r="AS28" s="321">
        <f t="shared" si="10"/>
        <v>897.02489715676188</v>
      </c>
      <c r="AT28" s="322">
        <f t="shared" si="11"/>
        <v>967.18835726248949</v>
      </c>
    </row>
    <row r="29" spans="1:51">
      <c r="A29" s="315">
        <f t="shared" si="12"/>
        <v>45983</v>
      </c>
      <c r="B29" s="323">
        <f>+Report1!P30</f>
        <v>52.583999999999996</v>
      </c>
      <c r="C29" s="323">
        <f>+Report1!R30</f>
        <v>54.898000000000003</v>
      </c>
      <c r="D29" s="324">
        <f t="shared" si="13"/>
        <v>5</v>
      </c>
      <c r="E29" s="324">
        <f>+[16]DailyNov!D28</f>
        <v>0</v>
      </c>
      <c r="F29" s="318">
        <f t="shared" si="0"/>
        <v>0</v>
      </c>
      <c r="G29" s="318">
        <f t="shared" si="1"/>
        <v>0</v>
      </c>
      <c r="H29" s="324">
        <f t="shared" si="14"/>
        <v>0</v>
      </c>
      <c r="I29" s="324">
        <f>+[16]DailyNov!E28</f>
        <v>0</v>
      </c>
      <c r="J29" s="318">
        <f t="shared" si="2"/>
        <v>0</v>
      </c>
      <c r="K29" s="318">
        <f t="shared" si="3"/>
        <v>0</v>
      </c>
      <c r="L29" s="324">
        <f t="shared" si="15"/>
        <v>137200</v>
      </c>
      <c r="M29" s="324">
        <f>+[16]DailyNov!F28</f>
        <v>6500</v>
      </c>
      <c r="N29" s="318">
        <f t="shared" si="4"/>
        <v>123.61174501749582</v>
      </c>
      <c r="O29" s="318">
        <f t="shared" si="5"/>
        <v>118.40139895806769</v>
      </c>
      <c r="P29" s="324">
        <f t="shared" si="16"/>
        <v>180395.00000000035</v>
      </c>
      <c r="Q29" s="324">
        <f>+[16]DailyNov!G28</f>
        <v>8199.9999999989086</v>
      </c>
      <c r="R29" s="318">
        <f t="shared" si="6"/>
        <v>155.94097063743553</v>
      </c>
      <c r="S29" s="318">
        <f t="shared" si="7"/>
        <v>149.36791868554243</v>
      </c>
      <c r="T29" s="324">
        <f t="shared" si="17"/>
        <v>128199.9999999998</v>
      </c>
      <c r="U29" s="324">
        <f>+[16]DailyNov!H28</f>
        <v>6300.0000000001819</v>
      </c>
      <c r="V29" s="318">
        <f t="shared" si="8"/>
        <v>119.80830670926865</v>
      </c>
      <c r="W29" s="318">
        <f t="shared" si="9"/>
        <v>114.75827899013045</v>
      </c>
      <c r="X29" s="324">
        <f t="shared" si="18"/>
        <v>307408.67999999918</v>
      </c>
      <c r="Y29" s="324">
        <f>+[16]DailyNov!I28</f>
        <v>18345.849999998543</v>
      </c>
      <c r="Z29" s="324">
        <f t="shared" si="19"/>
        <v>348.8865434352378</v>
      </c>
      <c r="AA29" s="324">
        <f t="shared" si="20"/>
        <v>334.18066231918363</v>
      </c>
      <c r="AB29" s="324">
        <f t="shared" si="21"/>
        <v>149978.67999999973</v>
      </c>
      <c r="AC29" s="324">
        <f>+[16]DailyNov!J28</f>
        <v>5175.8499999993137</v>
      </c>
      <c r="AD29" s="324">
        <f t="shared" si="22"/>
        <v>98.430130838264759</v>
      </c>
      <c r="AE29" s="416">
        <f t="shared" si="23"/>
        <v>94.28121243031282</v>
      </c>
      <c r="AF29" s="324">
        <f t="shared" si="24"/>
        <v>221399.99999999959</v>
      </c>
      <c r="AG29" s="324">
        <f>+[16]DailyNov!K28</f>
        <v>9100.0000000003638</v>
      </c>
      <c r="AH29" s="324">
        <f t="shared" si="25"/>
        <v>173.05644302450108</v>
      </c>
      <c r="AI29" s="444">
        <f t="shared" si="26"/>
        <v>165.76195854130137</v>
      </c>
      <c r="AJ29" s="324">
        <f t="shared" si="27"/>
        <v>8120</v>
      </c>
      <c r="AK29" s="324">
        <f>+[16]DailyNov!L28</f>
        <v>330</v>
      </c>
      <c r="AL29" s="324">
        <f t="shared" si="28"/>
        <v>6.2756732085805575</v>
      </c>
      <c r="AM29" s="444">
        <f t="shared" si="29"/>
        <v>6.0111479471018976</v>
      </c>
      <c r="AN29" s="324">
        <f t="shared" si="30"/>
        <v>13360</v>
      </c>
      <c r="AO29" s="324">
        <f>+[16]DailyNov!M28</f>
        <v>560</v>
      </c>
      <c r="AP29" s="324">
        <f t="shared" si="31"/>
        <v>10.649627263045794</v>
      </c>
      <c r="AQ29" s="444">
        <f t="shared" si="32"/>
        <v>10.200735910233524</v>
      </c>
      <c r="AR29" s="324">
        <f t="shared" si="33"/>
        <v>54511.699999997312</v>
      </c>
      <c r="AS29" s="321">
        <f t="shared" si="10"/>
        <v>1036.65944013383</v>
      </c>
      <c r="AT29" s="322">
        <f t="shared" si="11"/>
        <v>992.96331378187381</v>
      </c>
    </row>
    <row r="30" spans="1:51">
      <c r="A30" s="315">
        <f t="shared" si="12"/>
        <v>45984</v>
      </c>
      <c r="B30" s="323">
        <f>+Report1!P31</f>
        <v>59.129999999999995</v>
      </c>
      <c r="C30" s="323">
        <f>+Report1!R31</f>
        <v>51.46</v>
      </c>
      <c r="D30" s="324">
        <f t="shared" si="13"/>
        <v>5</v>
      </c>
      <c r="E30" s="324">
        <f>+[16]DailyNov!D29</f>
        <v>0</v>
      </c>
      <c r="F30" s="318">
        <f t="shared" si="0"/>
        <v>0</v>
      </c>
      <c r="G30" s="318">
        <f t="shared" si="1"/>
        <v>0</v>
      </c>
      <c r="H30" s="324">
        <f t="shared" si="14"/>
        <v>0</v>
      </c>
      <c r="I30" s="324">
        <f>+[16]DailyNov!E29</f>
        <v>0</v>
      </c>
      <c r="J30" s="318">
        <f t="shared" si="2"/>
        <v>0</v>
      </c>
      <c r="K30" s="318">
        <f t="shared" si="3"/>
        <v>0</v>
      </c>
      <c r="L30" s="324">
        <f t="shared" si="15"/>
        <v>143700</v>
      </c>
      <c r="M30" s="324">
        <f>+[16]DailyNov!F29</f>
        <v>6500</v>
      </c>
      <c r="N30" s="318">
        <f t="shared" si="4"/>
        <v>109.92727887705057</v>
      </c>
      <c r="O30" s="318">
        <f t="shared" si="5"/>
        <v>126.31169840652935</v>
      </c>
      <c r="P30" s="324">
        <f t="shared" si="16"/>
        <v>188595.00000000108</v>
      </c>
      <c r="Q30" s="324">
        <f>+[16]DailyNov!G29</f>
        <v>8200.0000000007276</v>
      </c>
      <c r="R30" s="318">
        <f t="shared" si="6"/>
        <v>138.67749027567612</v>
      </c>
      <c r="S30" s="318">
        <f t="shared" si="7"/>
        <v>159.34706568209731</v>
      </c>
      <c r="T30" s="324">
        <f t="shared" si="17"/>
        <v>134199.9999999998</v>
      </c>
      <c r="U30" s="324">
        <f>+[16]DailyNov!H29</f>
        <v>6000</v>
      </c>
      <c r="V30" s="318">
        <f t="shared" si="8"/>
        <v>101.47133434804668</v>
      </c>
      <c r="W30" s="318">
        <f t="shared" si="9"/>
        <v>116.5954139137194</v>
      </c>
      <c r="X30" s="324">
        <f t="shared" si="18"/>
        <v>325109.47999999952</v>
      </c>
      <c r="Y30" s="324">
        <f>+[16]DailyNov!I29</f>
        <v>17700.800000000363</v>
      </c>
      <c r="Z30" s="324">
        <f t="shared" si="19"/>
        <v>299.35396583799024</v>
      </c>
      <c r="AA30" s="324">
        <f t="shared" si="20"/>
        <v>343.97201710066776</v>
      </c>
      <c r="AB30" s="324">
        <f t="shared" si="21"/>
        <v>155999.47999999995</v>
      </c>
      <c r="AC30" s="324">
        <f>+[16]DailyNov!J29</f>
        <v>6020.8000000002085</v>
      </c>
      <c r="AD30" s="324">
        <f t="shared" si="22"/>
        <v>101.82310164045677</v>
      </c>
      <c r="AE30" s="416">
        <f t="shared" si="23"/>
        <v>116.99961134862434</v>
      </c>
      <c r="AF30" s="324">
        <f t="shared" si="24"/>
        <v>230299.99999999924</v>
      </c>
      <c r="AG30" s="324">
        <f>+[16]DailyNov!K29</f>
        <v>8899.9999999996362</v>
      </c>
      <c r="AH30" s="324">
        <f t="shared" si="25"/>
        <v>150.5158126162631</v>
      </c>
      <c r="AI30" s="444">
        <f t="shared" si="26"/>
        <v>172.94986397201004</v>
      </c>
      <c r="AJ30" s="324">
        <f t="shared" si="27"/>
        <v>8450</v>
      </c>
      <c r="AK30" s="324">
        <f>+[16]DailyNov!L29</f>
        <v>330</v>
      </c>
      <c r="AL30" s="324">
        <f t="shared" si="28"/>
        <v>5.5809233891425674</v>
      </c>
      <c r="AM30" s="444">
        <f t="shared" si="29"/>
        <v>6.4127477652545668</v>
      </c>
      <c r="AN30" s="324">
        <f t="shared" si="30"/>
        <v>13890</v>
      </c>
      <c r="AO30" s="324">
        <f>+[16]DailyNov!M29</f>
        <v>530</v>
      </c>
      <c r="AP30" s="324">
        <f t="shared" si="31"/>
        <v>8.9633012007441231</v>
      </c>
      <c r="AQ30" s="444">
        <f t="shared" si="32"/>
        <v>10.299261562378547</v>
      </c>
      <c r="AR30" s="324">
        <f t="shared" si="33"/>
        <v>54181.600000000937</v>
      </c>
      <c r="AS30" s="321">
        <f t="shared" si="10"/>
        <v>916.31320818537017</v>
      </c>
      <c r="AT30" s="322">
        <f t="shared" si="11"/>
        <v>1052.8876797512812</v>
      </c>
    </row>
    <row r="31" spans="1:51">
      <c r="A31" s="315">
        <f t="shared" si="12"/>
        <v>45985</v>
      </c>
      <c r="B31" s="323">
        <f>+Report1!P32</f>
        <v>56.805999999999997</v>
      </c>
      <c r="C31" s="323">
        <f>+Report1!R32</f>
        <v>55.963999999999999</v>
      </c>
      <c r="D31" s="324">
        <f t="shared" si="13"/>
        <v>5</v>
      </c>
      <c r="E31" s="324">
        <f>+[16]DailyNov!D30</f>
        <v>0</v>
      </c>
      <c r="F31" s="318">
        <f t="shared" si="0"/>
        <v>0</v>
      </c>
      <c r="G31" s="318">
        <f t="shared" si="1"/>
        <v>0</v>
      </c>
      <c r="H31" s="324">
        <f t="shared" si="14"/>
        <v>0</v>
      </c>
      <c r="I31" s="324">
        <f>+[16]DailyNov!E30</f>
        <v>0</v>
      </c>
      <c r="J31" s="318">
        <f t="shared" si="2"/>
        <v>0</v>
      </c>
      <c r="K31" s="318">
        <f t="shared" si="3"/>
        <v>0</v>
      </c>
      <c r="L31" s="324">
        <f t="shared" si="15"/>
        <v>150100</v>
      </c>
      <c r="M31" s="324">
        <f>+[16]DailyNov!F30</f>
        <v>6400</v>
      </c>
      <c r="N31" s="318">
        <f t="shared" si="4"/>
        <v>112.66415519487379</v>
      </c>
      <c r="O31" s="318">
        <f t="shared" si="5"/>
        <v>114.35923093417198</v>
      </c>
      <c r="P31" s="324">
        <f t="shared" si="16"/>
        <v>196795.00000000146</v>
      </c>
      <c r="Q31" s="324">
        <f>+[16]DailyNov!G30</f>
        <v>8200.0000000003638</v>
      </c>
      <c r="R31" s="318">
        <f t="shared" si="6"/>
        <v>144.35094884343843</v>
      </c>
      <c r="S31" s="318">
        <f t="shared" si="7"/>
        <v>146.52276463441433</v>
      </c>
      <c r="T31" s="324">
        <f t="shared" si="17"/>
        <v>140099.99999999942</v>
      </c>
      <c r="U31" s="324">
        <f>+[16]DailyNov!H30</f>
        <v>5899.9999999996362</v>
      </c>
      <c r="V31" s="318">
        <f t="shared" si="8"/>
        <v>103.86226807026787</v>
      </c>
      <c r="W31" s="318">
        <f t="shared" si="9"/>
        <v>105.42491601743329</v>
      </c>
      <c r="X31" s="324">
        <f t="shared" si="18"/>
        <v>342005.32000000024</v>
      </c>
      <c r="Y31" s="324">
        <f>+[16]DailyNov!I30</f>
        <v>16895.840000000728</v>
      </c>
      <c r="Z31" s="324">
        <f t="shared" si="19"/>
        <v>297.43055311059976</v>
      </c>
      <c r="AA31" s="324">
        <f t="shared" si="20"/>
        <v>301.90551068545363</v>
      </c>
      <c r="AB31" s="324">
        <f t="shared" si="21"/>
        <v>163255.32</v>
      </c>
      <c r="AC31" s="324">
        <f>+[16]DailyNov!J30</f>
        <v>7255.8400000000593</v>
      </c>
      <c r="AD31" s="324">
        <f t="shared" si="22"/>
        <v>127.73016934830933</v>
      </c>
      <c r="AE31" s="416">
        <f t="shared" si="23"/>
        <v>129.65191909084518</v>
      </c>
      <c r="AF31" s="324">
        <f t="shared" si="24"/>
        <v>239499.99999999997</v>
      </c>
      <c r="AG31" s="324">
        <f>+[16]DailyNov!K30</f>
        <v>9200.0000000007276</v>
      </c>
      <c r="AH31" s="324">
        <f t="shared" si="25"/>
        <v>161.95472309264389</v>
      </c>
      <c r="AI31" s="444">
        <f t="shared" si="26"/>
        <v>164.39139446788522</v>
      </c>
      <c r="AJ31" s="324">
        <f t="shared" si="27"/>
        <v>8770</v>
      </c>
      <c r="AK31" s="324">
        <f>+[16]DailyNov!L30</f>
        <v>320</v>
      </c>
      <c r="AL31" s="324">
        <f t="shared" si="28"/>
        <v>5.6332077597436889</v>
      </c>
      <c r="AM31" s="444">
        <f t="shared" si="29"/>
        <v>5.7179615467085982</v>
      </c>
      <c r="AN31" s="324">
        <f t="shared" si="30"/>
        <v>14490</v>
      </c>
      <c r="AO31" s="324">
        <f>+[16]DailyNov!M30</f>
        <v>600</v>
      </c>
      <c r="AP31" s="324">
        <f t="shared" si="31"/>
        <v>10.562264549519417</v>
      </c>
      <c r="AQ31" s="444">
        <f t="shared" si="32"/>
        <v>10.721177900078622</v>
      </c>
      <c r="AR31" s="324">
        <f t="shared" si="33"/>
        <v>54771.680000001514</v>
      </c>
      <c r="AS31" s="321">
        <f t="shared" si="10"/>
        <v>964.18828996939612</v>
      </c>
      <c r="AT31" s="322">
        <f t="shared" si="11"/>
        <v>978.69487527699084</v>
      </c>
    </row>
    <row r="32" spans="1:51">
      <c r="A32" s="315">
        <f t="shared" si="12"/>
        <v>45986</v>
      </c>
      <c r="B32" s="323">
        <f>+Report1!P33</f>
        <v>51.827000000000005</v>
      </c>
      <c r="C32" s="323">
        <f>+Report1!R33</f>
        <v>53.747</v>
      </c>
      <c r="D32" s="324">
        <f t="shared" si="13"/>
        <v>5</v>
      </c>
      <c r="E32" s="324">
        <f>+[16]DailyNov!D31</f>
        <v>0</v>
      </c>
      <c r="F32" s="318">
        <f t="shared" si="0"/>
        <v>0</v>
      </c>
      <c r="G32" s="318">
        <f t="shared" si="1"/>
        <v>0</v>
      </c>
      <c r="H32" s="324">
        <f t="shared" si="14"/>
        <v>0</v>
      </c>
      <c r="I32" s="324">
        <f>+[16]DailyNov!E31</f>
        <v>0</v>
      </c>
      <c r="J32" s="318">
        <f t="shared" si="2"/>
        <v>0</v>
      </c>
      <c r="K32" s="318">
        <f t="shared" si="3"/>
        <v>0</v>
      </c>
      <c r="L32" s="324">
        <f t="shared" si="15"/>
        <v>157100</v>
      </c>
      <c r="M32" s="324">
        <f>+[16]DailyNov!F31</f>
        <v>7000</v>
      </c>
      <c r="N32" s="318">
        <f t="shared" si="4"/>
        <v>135.0647345977965</v>
      </c>
      <c r="O32" s="318">
        <f t="shared" si="5"/>
        <v>130.23982733920033</v>
      </c>
      <c r="P32" s="324">
        <f t="shared" si="16"/>
        <v>205295.00000000146</v>
      </c>
      <c r="Q32" s="324">
        <f>+[16]DailyNov!G31</f>
        <v>8500</v>
      </c>
      <c r="R32" s="318">
        <f t="shared" si="6"/>
        <v>164.00717772589576</v>
      </c>
      <c r="S32" s="318">
        <f t="shared" si="7"/>
        <v>158.14836176902898</v>
      </c>
      <c r="T32" s="324">
        <f t="shared" si="17"/>
        <v>146399.99999999959</v>
      </c>
      <c r="U32" s="324">
        <f>+[16]DailyNov!H31</f>
        <v>6300.0000000001819</v>
      </c>
      <c r="V32" s="318">
        <f t="shared" si="8"/>
        <v>121.55826113802036</v>
      </c>
      <c r="W32" s="318">
        <f t="shared" si="9"/>
        <v>117.21584460528368</v>
      </c>
      <c r="X32" s="324">
        <f t="shared" si="18"/>
        <v>356688.64000000025</v>
      </c>
      <c r="Y32" s="324">
        <f>+[16]DailyNov!I31</f>
        <v>14683.32</v>
      </c>
      <c r="Z32" s="324">
        <f t="shared" si="19"/>
        <v>283.31410268778819</v>
      </c>
      <c r="AA32" s="324">
        <f t="shared" si="20"/>
        <v>273.193294509461</v>
      </c>
      <c r="AB32" s="324">
        <f t="shared" si="21"/>
        <v>169658.63999999964</v>
      </c>
      <c r="AC32" s="324">
        <f>+[16]DailyNov!J31</f>
        <v>6403.3199999996177</v>
      </c>
      <c r="AD32" s="324">
        <f t="shared" si="22"/>
        <v>123.55181662067295</v>
      </c>
      <c r="AE32" s="416">
        <f t="shared" si="23"/>
        <v>119.13818445679978</v>
      </c>
      <c r="AF32" s="324">
        <f t="shared" si="24"/>
        <v>250100.00000000035</v>
      </c>
      <c r="AG32" s="324">
        <f>+[16]DailyNov!K31</f>
        <v>10600.000000000364</v>
      </c>
      <c r="AH32" s="324">
        <f t="shared" si="25"/>
        <v>204.52659810524173</v>
      </c>
      <c r="AI32" s="444">
        <f t="shared" si="26"/>
        <v>197.22030997079582</v>
      </c>
      <c r="AJ32" s="324">
        <f t="shared" si="27"/>
        <v>9160</v>
      </c>
      <c r="AK32" s="324">
        <f>+[16]DailyNov!L31</f>
        <v>390</v>
      </c>
      <c r="AL32" s="324">
        <f t="shared" si="28"/>
        <v>7.5250352133058049</v>
      </c>
      <c r="AM32" s="444">
        <f t="shared" si="29"/>
        <v>7.2562189517554465</v>
      </c>
      <c r="AN32" s="324">
        <f t="shared" si="30"/>
        <v>15120</v>
      </c>
      <c r="AO32" s="324">
        <f>+[16]DailyNov!M31</f>
        <v>630</v>
      </c>
      <c r="AP32" s="324">
        <f t="shared" si="31"/>
        <v>12.155826113801686</v>
      </c>
      <c r="AQ32" s="444">
        <f t="shared" si="32"/>
        <v>11.72158446052803</v>
      </c>
      <c r="AR32" s="324">
        <f t="shared" si="33"/>
        <v>54506.640000000159</v>
      </c>
      <c r="AS32" s="321">
        <f t="shared" si="10"/>
        <v>1051.7035522025228</v>
      </c>
      <c r="AT32" s="322">
        <f t="shared" si="11"/>
        <v>1014.133626062853</v>
      </c>
    </row>
    <row r="33" spans="1:46">
      <c r="A33" s="315">
        <f t="shared" si="12"/>
        <v>45987</v>
      </c>
      <c r="B33" s="323">
        <f>+Report1!P34</f>
        <v>56.914000000000001</v>
      </c>
      <c r="C33" s="323">
        <f>+Report1!R34</f>
        <v>51.795999999999999</v>
      </c>
      <c r="D33" s="324">
        <f t="shared" si="13"/>
        <v>5</v>
      </c>
      <c r="E33" s="324">
        <f>+[16]DailyNov!D32</f>
        <v>0</v>
      </c>
      <c r="F33" s="318">
        <f t="shared" si="0"/>
        <v>0</v>
      </c>
      <c r="G33" s="318">
        <f t="shared" si="1"/>
        <v>0</v>
      </c>
      <c r="H33" s="324">
        <f t="shared" si="14"/>
        <v>0</v>
      </c>
      <c r="I33" s="324">
        <f>+[16]DailyNov!E32</f>
        <v>0</v>
      </c>
      <c r="J33" s="318">
        <f t="shared" si="2"/>
        <v>0</v>
      </c>
      <c r="K33" s="318">
        <f t="shared" si="3"/>
        <v>0</v>
      </c>
      <c r="L33" s="324">
        <f t="shared" si="15"/>
        <v>163800</v>
      </c>
      <c r="M33" s="324">
        <f>+[16]DailyNov!F32</f>
        <v>6700</v>
      </c>
      <c r="N33" s="318">
        <f t="shared" si="4"/>
        <v>117.7214745053941</v>
      </c>
      <c r="O33" s="318">
        <f t="shared" si="5"/>
        <v>129.35361804000308</v>
      </c>
      <c r="P33" s="324">
        <f t="shared" si="16"/>
        <v>213595.00000000146</v>
      </c>
      <c r="Q33" s="324">
        <f>+[16]DailyNov!G32</f>
        <v>8300</v>
      </c>
      <c r="R33" s="318">
        <f t="shared" si="6"/>
        <v>145.83406543205538</v>
      </c>
      <c r="S33" s="318">
        <f t="shared" si="7"/>
        <v>160.24403428836203</v>
      </c>
      <c r="T33" s="324">
        <f t="shared" si="17"/>
        <v>152499.99999999994</v>
      </c>
      <c r="U33" s="324">
        <f>+[16]DailyNov!H32</f>
        <v>6100.0000000003638</v>
      </c>
      <c r="V33" s="318">
        <f t="shared" si="8"/>
        <v>107.17925290790251</v>
      </c>
      <c r="W33" s="318">
        <f t="shared" si="9"/>
        <v>117.7697119468755</v>
      </c>
      <c r="X33" s="324">
        <f t="shared" si="18"/>
        <v>371955.86999999918</v>
      </c>
      <c r="Y33" s="324">
        <f>+[16]DailyNov!I32</f>
        <v>15267.229999998908</v>
      </c>
      <c r="Z33" s="324">
        <f t="shared" si="19"/>
        <v>268.25086973326262</v>
      </c>
      <c r="AA33" s="324">
        <f t="shared" si="20"/>
        <v>294.75693103712467</v>
      </c>
      <c r="AB33" s="324">
        <f t="shared" si="21"/>
        <v>177265.86999999959</v>
      </c>
      <c r="AC33" s="324">
        <f>+[16]DailyNov!J32</f>
        <v>7607.2299999999632</v>
      </c>
      <c r="AD33" s="324">
        <f t="shared" si="22"/>
        <v>133.66184067189027</v>
      </c>
      <c r="AE33" s="416">
        <f t="shared" si="23"/>
        <v>146.86906324812657</v>
      </c>
      <c r="AF33" s="324">
        <f t="shared" si="24"/>
        <v>258399.99999999962</v>
      </c>
      <c r="AG33" s="324">
        <f>+[16]DailyNov!K32</f>
        <v>8299.9999999992724</v>
      </c>
      <c r="AH33" s="324">
        <f t="shared" si="25"/>
        <v>145.83406543204259</v>
      </c>
      <c r="AI33" s="444">
        <f t="shared" si="26"/>
        <v>160.24403428834799</v>
      </c>
      <c r="AJ33" s="324">
        <f t="shared" si="27"/>
        <v>9540</v>
      </c>
      <c r="AK33" s="324">
        <f>+[16]DailyNov!L32</f>
        <v>380</v>
      </c>
      <c r="AL33" s="324">
        <f t="shared" si="28"/>
        <v>6.6767403450820533</v>
      </c>
      <c r="AM33" s="444">
        <f t="shared" si="29"/>
        <v>7.3364738589852498</v>
      </c>
      <c r="AN33" s="324">
        <f t="shared" si="30"/>
        <v>15680</v>
      </c>
      <c r="AO33" s="324">
        <f>+[16]DailyNov!M32</f>
        <v>560</v>
      </c>
      <c r="AP33" s="324">
        <f t="shared" si="31"/>
        <v>9.8394068243314479</v>
      </c>
      <c r="AQ33" s="444">
        <f t="shared" si="32"/>
        <v>10.811645686925631</v>
      </c>
      <c r="AR33" s="324">
        <f t="shared" si="33"/>
        <v>53214.459999998508</v>
      </c>
      <c r="AS33" s="321">
        <f t="shared" si="10"/>
        <v>934.99771585196095</v>
      </c>
      <c r="AT33" s="322">
        <f t="shared" si="11"/>
        <v>1027.3855123947508</v>
      </c>
    </row>
    <row r="34" spans="1:46">
      <c r="A34" s="315">
        <f t="shared" si="12"/>
        <v>45988</v>
      </c>
      <c r="B34" s="323">
        <f>+Report1!P35</f>
        <v>54.878999999999998</v>
      </c>
      <c r="C34" s="323">
        <f>+Report1!R35</f>
        <v>60.527000000000001</v>
      </c>
      <c r="D34" s="324">
        <f t="shared" si="13"/>
        <v>5</v>
      </c>
      <c r="E34" s="324">
        <f>+[16]DailyNov!D33</f>
        <v>0</v>
      </c>
      <c r="F34" s="318">
        <f t="shared" si="0"/>
        <v>0</v>
      </c>
      <c r="G34" s="318">
        <f t="shared" si="1"/>
        <v>0</v>
      </c>
      <c r="H34" s="324">
        <f t="shared" si="14"/>
        <v>0</v>
      </c>
      <c r="I34" s="324">
        <f>+[16]DailyNov!E33</f>
        <v>0</v>
      </c>
      <c r="J34" s="318">
        <f t="shared" si="2"/>
        <v>0</v>
      </c>
      <c r="K34" s="318">
        <f t="shared" si="3"/>
        <v>0</v>
      </c>
      <c r="L34" s="324">
        <f t="shared" si="15"/>
        <v>170200</v>
      </c>
      <c r="M34" s="324">
        <f>+[16]DailyNov!F33</f>
        <v>6400</v>
      </c>
      <c r="N34" s="318">
        <f t="shared" si="4"/>
        <v>116.62020080540826</v>
      </c>
      <c r="O34" s="318">
        <f t="shared" si="5"/>
        <v>105.73793513638542</v>
      </c>
      <c r="P34" s="324">
        <f t="shared" si="16"/>
        <v>221595.00000000111</v>
      </c>
      <c r="Q34" s="324">
        <f>+[16]DailyNov!G33</f>
        <v>7999.9999999996362</v>
      </c>
      <c r="R34" s="318">
        <f t="shared" si="6"/>
        <v>145.77525100675371</v>
      </c>
      <c r="S34" s="318">
        <f t="shared" si="7"/>
        <v>132.17241892047576</v>
      </c>
      <c r="T34" s="324">
        <f t="shared" si="17"/>
        <v>158499.99999999994</v>
      </c>
      <c r="U34" s="324">
        <f>+[16]DailyNov!H33</f>
        <v>6000</v>
      </c>
      <c r="V34" s="318">
        <f t="shared" si="8"/>
        <v>109.33143825507025</v>
      </c>
      <c r="W34" s="318">
        <f t="shared" si="9"/>
        <v>99.129314190361328</v>
      </c>
      <c r="X34" s="324">
        <f t="shared" si="18"/>
        <v>386974.75999999919</v>
      </c>
      <c r="Y34" s="324">
        <f>+[16]DailyNov!I33</f>
        <v>15018.89</v>
      </c>
      <c r="Z34" s="324">
        <f t="shared" si="19"/>
        <v>273.67280744911534</v>
      </c>
      <c r="AA34" s="324">
        <f t="shared" si="20"/>
        <v>248.13537760007929</v>
      </c>
      <c r="AB34" s="324">
        <f t="shared" si="21"/>
        <v>184144.76000000074</v>
      </c>
      <c r="AC34" s="324">
        <f>+[16]DailyNov!J33</f>
        <v>6878.8900000011499</v>
      </c>
      <c r="AD34" s="324">
        <f t="shared" si="22"/>
        <v>125.34648954975765</v>
      </c>
      <c r="AE34" s="416">
        <f t="shared" si="23"/>
        <v>113.64994134850811</v>
      </c>
      <c r="AF34" s="324">
        <f t="shared" si="24"/>
        <v>267000</v>
      </c>
      <c r="AG34" s="324">
        <f>+[16]DailyNov!K33</f>
        <v>8600.0000000003638</v>
      </c>
      <c r="AH34" s="324">
        <f t="shared" si="25"/>
        <v>156.708394832274</v>
      </c>
      <c r="AI34" s="444">
        <f t="shared" si="26"/>
        <v>142.0853503395239</v>
      </c>
      <c r="AJ34" s="324">
        <f t="shared" si="27"/>
        <v>9950</v>
      </c>
      <c r="AK34" s="324">
        <f>+[16]DailyNov!L33</f>
        <v>410</v>
      </c>
      <c r="AL34" s="324">
        <f t="shared" si="28"/>
        <v>7.4709816140964671</v>
      </c>
      <c r="AM34" s="444">
        <f t="shared" si="29"/>
        <v>6.7738364696746904</v>
      </c>
      <c r="AN34" s="324">
        <f t="shared" si="30"/>
        <v>16300</v>
      </c>
      <c r="AO34" s="324">
        <f>+[16]DailyNov!M33</f>
        <v>620</v>
      </c>
      <c r="AP34" s="324">
        <f t="shared" si="31"/>
        <v>11.297581953023926</v>
      </c>
      <c r="AQ34" s="444">
        <f t="shared" si="32"/>
        <v>10.243362466337336</v>
      </c>
      <c r="AR34" s="324">
        <f t="shared" si="33"/>
        <v>51927.780000001148</v>
      </c>
      <c r="AS34" s="321">
        <f t="shared" si="10"/>
        <v>946.22314546549956</v>
      </c>
      <c r="AT34" s="322">
        <f t="shared" si="11"/>
        <v>857.92753647134577</v>
      </c>
    </row>
    <row r="35" spans="1:46">
      <c r="A35" s="315">
        <f t="shared" si="12"/>
        <v>45989</v>
      </c>
      <c r="B35" s="323">
        <f>+Report1!P36</f>
        <v>54.030999999999992</v>
      </c>
      <c r="C35" s="323">
        <f>+Report1!R36</f>
        <v>51.81</v>
      </c>
      <c r="D35" s="324">
        <f t="shared" si="13"/>
        <v>5</v>
      </c>
      <c r="E35" s="324">
        <f>+[16]DailyNov!D34</f>
        <v>0</v>
      </c>
      <c r="F35" s="318">
        <f t="shared" si="0"/>
        <v>0</v>
      </c>
      <c r="G35" s="318">
        <f t="shared" si="1"/>
        <v>0</v>
      </c>
      <c r="H35" s="324">
        <f t="shared" si="14"/>
        <v>0</v>
      </c>
      <c r="I35" s="324">
        <f>+[16]DailyNov!E34</f>
        <v>0</v>
      </c>
      <c r="J35" s="318">
        <f t="shared" si="2"/>
        <v>0</v>
      </c>
      <c r="K35" s="318">
        <f t="shared" si="3"/>
        <v>0</v>
      </c>
      <c r="L35" s="324">
        <f t="shared" si="15"/>
        <v>176900</v>
      </c>
      <c r="M35" s="324">
        <f>+[16]DailyNov!F34</f>
        <v>6700</v>
      </c>
      <c r="N35" s="318">
        <f t="shared" si="4"/>
        <v>124.00288723140422</v>
      </c>
      <c r="O35" s="318">
        <f t="shared" si="5"/>
        <v>129.31866435051148</v>
      </c>
      <c r="P35" s="324">
        <f t="shared" si="16"/>
        <v>229895.00000000111</v>
      </c>
      <c r="Q35" s="324">
        <f>+[16]DailyNov!G34</f>
        <v>8300</v>
      </c>
      <c r="R35" s="318">
        <f t="shared" si="6"/>
        <v>153.61551701800821</v>
      </c>
      <c r="S35" s="318">
        <f t="shared" si="7"/>
        <v>160.2007334491411</v>
      </c>
      <c r="T35" s="324">
        <f t="shared" si="17"/>
        <v>164399.99999999959</v>
      </c>
      <c r="U35" s="324">
        <f>+[16]DailyNov!H34</f>
        <v>5899.9999999996362</v>
      </c>
      <c r="V35" s="318">
        <f t="shared" si="8"/>
        <v>109.19657233809548</v>
      </c>
      <c r="W35" s="318">
        <f t="shared" si="9"/>
        <v>113.87762980118966</v>
      </c>
      <c r="X35" s="324">
        <f t="shared" si="18"/>
        <v>402225.15999999992</v>
      </c>
      <c r="Y35" s="324">
        <f>+[16]DailyNov!I34</f>
        <v>15250.400000000727</v>
      </c>
      <c r="Z35" s="324">
        <f t="shared" si="19"/>
        <v>282.25278081102942</v>
      </c>
      <c r="AA35" s="324">
        <f t="shared" si="20"/>
        <v>294.35244161360214</v>
      </c>
      <c r="AB35" s="324">
        <f t="shared" si="21"/>
        <v>191045.16000000029</v>
      </c>
      <c r="AC35" s="324">
        <f>+[16]DailyNov!J34</f>
        <v>6900.3999999995676</v>
      </c>
      <c r="AD35" s="324">
        <f t="shared" si="22"/>
        <v>127.71186911216836</v>
      </c>
      <c r="AE35" s="416">
        <f t="shared" si="23"/>
        <v>133.1866435051065</v>
      </c>
      <c r="AF35" s="324">
        <f t="shared" si="24"/>
        <v>275600.00000000035</v>
      </c>
      <c r="AG35" s="324">
        <f>+[16]DailyNov!K34</f>
        <v>8600.0000000003638</v>
      </c>
      <c r="AH35" s="324">
        <f t="shared" si="25"/>
        <v>159.16788510300319</v>
      </c>
      <c r="AI35" s="444">
        <f t="shared" si="26"/>
        <v>165.99112140514117</v>
      </c>
      <c r="AJ35" s="324">
        <f t="shared" si="27"/>
        <v>10180</v>
      </c>
      <c r="AK35" s="324">
        <f>+[16]DailyNov!L34</f>
        <v>230</v>
      </c>
      <c r="AL35" s="324">
        <f t="shared" si="28"/>
        <v>4.2568155318243237</v>
      </c>
      <c r="AM35" s="444">
        <f t="shared" si="29"/>
        <v>4.4392974329280062</v>
      </c>
      <c r="AN35" s="324">
        <f t="shared" si="30"/>
        <v>16960</v>
      </c>
      <c r="AO35" s="324">
        <f>+[16]DailyNov!M34</f>
        <v>660</v>
      </c>
      <c r="AP35" s="324">
        <f t="shared" si="31"/>
        <v>12.215209786974146</v>
      </c>
      <c r="AQ35" s="444">
        <f t="shared" si="32"/>
        <v>12.738853503184712</v>
      </c>
      <c r="AR35" s="324">
        <f t="shared" si="33"/>
        <v>52540.800000000294</v>
      </c>
      <c r="AS35" s="321">
        <f t="shared" si="10"/>
        <v>972.4195369325073</v>
      </c>
      <c r="AT35" s="322">
        <f t="shared" si="11"/>
        <v>1014.1053850608047</v>
      </c>
    </row>
    <row r="36" spans="1:46">
      <c r="A36" s="315">
        <f t="shared" si="12"/>
        <v>45990</v>
      </c>
      <c r="B36" s="323">
        <f>+Report1!P37</f>
        <v>53.108000000000004</v>
      </c>
      <c r="C36" s="323">
        <f>+Report1!R37</f>
        <v>55.331000000000003</v>
      </c>
      <c r="D36" s="324">
        <f t="shared" si="13"/>
        <v>5</v>
      </c>
      <c r="E36" s="324">
        <f>+[16]DailyNov!D35</f>
        <v>0</v>
      </c>
      <c r="F36" s="318">
        <f t="shared" si="0"/>
        <v>0</v>
      </c>
      <c r="G36" s="318">
        <f t="shared" si="1"/>
        <v>0</v>
      </c>
      <c r="H36" s="324">
        <f t="shared" si="14"/>
        <v>0</v>
      </c>
      <c r="I36" s="324">
        <f>+[16]DailyNov!E35</f>
        <v>0</v>
      </c>
      <c r="J36" s="318">
        <f t="shared" si="2"/>
        <v>0</v>
      </c>
      <c r="K36" s="318">
        <f t="shared" si="3"/>
        <v>0</v>
      </c>
      <c r="L36" s="324">
        <f t="shared" si="15"/>
        <v>183800</v>
      </c>
      <c r="M36" s="324">
        <f>+[16]DailyNov!F35</f>
        <v>6900</v>
      </c>
      <c r="N36" s="318">
        <f t="shared" si="4"/>
        <v>129.92392859832793</v>
      </c>
      <c r="O36" s="318">
        <f t="shared" si="5"/>
        <v>124.70405378540059</v>
      </c>
      <c r="P36" s="324">
        <f t="shared" si="16"/>
        <v>238295.00000000038</v>
      </c>
      <c r="Q36" s="324">
        <f>+[16]DailyNov!G35</f>
        <v>8399.9999999992724</v>
      </c>
      <c r="R36" s="318">
        <f t="shared" si="6"/>
        <v>158.16826090229856</v>
      </c>
      <c r="S36" s="318">
        <f t="shared" si="7"/>
        <v>151.81363069525713</v>
      </c>
      <c r="T36" s="324">
        <f t="shared" si="17"/>
        <v>170699.99999999977</v>
      </c>
      <c r="U36" s="324">
        <f>+[16]DailyNov!H35</f>
        <v>6300.0000000001819</v>
      </c>
      <c r="V36" s="318">
        <f t="shared" si="8"/>
        <v>118.62619567673762</v>
      </c>
      <c r="W36" s="318">
        <f t="shared" si="9"/>
        <v>113.86022302145599</v>
      </c>
      <c r="X36" s="324">
        <f t="shared" si="18"/>
        <v>418200.77000000066</v>
      </c>
      <c r="Y36" s="324">
        <f>+[16]DailyNov!I35</f>
        <v>15975.610000000728</v>
      </c>
      <c r="Z36" s="324">
        <f t="shared" si="19"/>
        <v>300.81362506591711</v>
      </c>
      <c r="AA36" s="324">
        <f t="shared" si="20"/>
        <v>288.72801865140207</v>
      </c>
      <c r="AB36" s="324">
        <f t="shared" si="21"/>
        <v>198140.76999999923</v>
      </c>
      <c r="AC36" s="324">
        <f>+[16]DailyNov!J35</f>
        <v>7095.6099999989365</v>
      </c>
      <c r="AD36" s="324">
        <f t="shared" si="22"/>
        <v>133.60717782629615</v>
      </c>
      <c r="AE36" s="416">
        <f t="shared" si="23"/>
        <v>128.23932334494111</v>
      </c>
      <c r="AF36" s="324">
        <f t="shared" si="24"/>
        <v>284199.99999999889</v>
      </c>
      <c r="AG36" s="324">
        <f>+[16]DailyNov!K35</f>
        <v>8599.9999999985448</v>
      </c>
      <c r="AH36" s="324">
        <f t="shared" si="25"/>
        <v>161.93417187614943</v>
      </c>
      <c r="AI36" s="444">
        <f t="shared" si="26"/>
        <v>155.42824094989328</v>
      </c>
      <c r="AJ36" s="324">
        <f t="shared" si="27"/>
        <v>10560</v>
      </c>
      <c r="AK36" s="324">
        <f>+[16]DailyNov!L35</f>
        <v>380</v>
      </c>
      <c r="AL36" s="324">
        <f t="shared" si="28"/>
        <v>7.1552308503426971</v>
      </c>
      <c r="AM36" s="444">
        <f t="shared" si="29"/>
        <v>6.8677594838336553</v>
      </c>
      <c r="AN36" s="324">
        <f t="shared" si="30"/>
        <v>17520</v>
      </c>
      <c r="AO36" s="324">
        <f>+[16]DailyNov!M35</f>
        <v>560</v>
      </c>
      <c r="AP36" s="324">
        <f t="shared" si="31"/>
        <v>10.544550726820818</v>
      </c>
      <c r="AQ36" s="444">
        <f t="shared" si="32"/>
        <v>10.120908713018018</v>
      </c>
      <c r="AR36" s="324">
        <f t="shared" si="33"/>
        <v>54211.219999997666</v>
      </c>
      <c r="AS36" s="321">
        <f t="shared" si="10"/>
        <v>1020.7731415228903</v>
      </c>
      <c r="AT36" s="322">
        <f t="shared" si="11"/>
        <v>979.76215864520179</v>
      </c>
    </row>
    <row r="37" spans="1:46">
      <c r="A37" s="315">
        <f t="shared" si="12"/>
        <v>45991</v>
      </c>
      <c r="B37" s="323">
        <f>+Report1!P38</f>
        <v>54.837000000000003</v>
      </c>
      <c r="C37" s="323">
        <f>+Report1!R38</f>
        <v>58.088999999999999</v>
      </c>
      <c r="D37" s="324">
        <f t="shared" si="13"/>
        <v>5</v>
      </c>
      <c r="E37" s="324">
        <f>+[16]DailyNov!D36</f>
        <v>0</v>
      </c>
      <c r="F37" s="318">
        <f t="shared" si="0"/>
        <v>0</v>
      </c>
      <c r="G37" s="318">
        <f t="shared" si="1"/>
        <v>0</v>
      </c>
      <c r="H37" s="324">
        <f t="shared" si="14"/>
        <v>0</v>
      </c>
      <c r="I37" s="324">
        <f>+[16]DailyNov!E36</f>
        <v>0</v>
      </c>
      <c r="J37" s="318">
        <f t="shared" si="2"/>
        <v>0</v>
      </c>
      <c r="K37" s="318">
        <f t="shared" si="3"/>
        <v>0</v>
      </c>
      <c r="L37" s="324">
        <f t="shared" si="15"/>
        <v>190300</v>
      </c>
      <c r="M37" s="324">
        <f>+[16]DailyNov!F36</f>
        <v>6500</v>
      </c>
      <c r="N37" s="318">
        <f t="shared" si="4"/>
        <v>118.53310720863649</v>
      </c>
      <c r="O37" s="318">
        <f t="shared" si="5"/>
        <v>111.89726109934756</v>
      </c>
      <c r="P37" s="324">
        <f t="shared" si="16"/>
        <v>246595.00000000146</v>
      </c>
      <c r="Q37" s="324">
        <f>+[16]DailyNov!G36</f>
        <v>8300.0000000010914</v>
      </c>
      <c r="R37" s="318">
        <f t="shared" si="6"/>
        <v>151.35765997412497</v>
      </c>
      <c r="S37" s="318">
        <f t="shared" si="7"/>
        <v>142.88419494226258</v>
      </c>
      <c r="T37" s="324">
        <f t="shared" si="17"/>
        <v>176599.99999999942</v>
      </c>
      <c r="U37" s="324">
        <f>+[16]DailyNov!H36</f>
        <v>5899.9999999996362</v>
      </c>
      <c r="V37" s="318">
        <f t="shared" si="8"/>
        <v>107.59158962014034</v>
      </c>
      <c r="W37" s="318">
        <f t="shared" si="9"/>
        <v>101.56828315170921</v>
      </c>
      <c r="X37" s="324">
        <f t="shared" si="18"/>
        <v>433379.06999999995</v>
      </c>
      <c r="Y37" s="324">
        <f>+[16]DailyNov!I36</f>
        <v>15178.299999999272</v>
      </c>
      <c r="Z37" s="324">
        <f t="shared" si="19"/>
        <v>276.78939402227093</v>
      </c>
      <c r="AA37" s="324">
        <f t="shared" si="20"/>
        <v>261.29387663756086</v>
      </c>
      <c r="AB37" s="324">
        <f t="shared" si="21"/>
        <v>205169.07000000036</v>
      </c>
      <c r="AC37" s="324">
        <f>+[16]DailyNov!J36</f>
        <v>7028.3000000011361</v>
      </c>
      <c r="AD37" s="324">
        <f t="shared" si="22"/>
        <v>128.16711344532223</v>
      </c>
      <c r="AE37" s="416">
        <f t="shared" si="23"/>
        <v>120.99192618225716</v>
      </c>
      <c r="AF37" s="324">
        <f t="shared" si="24"/>
        <v>292500</v>
      </c>
      <c r="AG37" s="324">
        <f>+[16]DailyNov!K36</f>
        <v>8300.0000000010914</v>
      </c>
      <c r="AH37" s="324">
        <f t="shared" si="25"/>
        <v>151.35765997412497</v>
      </c>
      <c r="AI37" s="444">
        <f t="shared" si="26"/>
        <v>142.88419494226258</v>
      </c>
      <c r="AJ37" s="324">
        <f t="shared" si="27"/>
        <v>10910</v>
      </c>
      <c r="AK37" s="324">
        <f>+[16]DailyNov!L36</f>
        <v>350</v>
      </c>
      <c r="AL37" s="324">
        <f t="shared" si="28"/>
        <v>6.3825519266188886</v>
      </c>
      <c r="AM37" s="444">
        <f t="shared" si="29"/>
        <v>6.0252371361187143</v>
      </c>
      <c r="AN37" s="324">
        <f t="shared" si="30"/>
        <v>18090</v>
      </c>
      <c r="AO37" s="324">
        <f>+[16]DailyNov!M36</f>
        <v>570</v>
      </c>
      <c r="AP37" s="324">
        <f t="shared" si="31"/>
        <v>10.394441709065047</v>
      </c>
      <c r="AQ37" s="444">
        <f t="shared" si="32"/>
        <v>9.8125290502504772</v>
      </c>
      <c r="AR37" s="324">
        <f t="shared" si="33"/>
        <v>52126.600000002232</v>
      </c>
      <c r="AS37" s="321">
        <f t="shared" si="10"/>
        <v>950.57351788030394</v>
      </c>
      <c r="AT37" s="322">
        <f t="shared" si="11"/>
        <v>897.35750314176926</v>
      </c>
    </row>
    <row r="38" spans="1:46">
      <c r="A38" s="315">
        <f t="shared" si="12"/>
        <v>45992</v>
      </c>
      <c r="B38" s="323">
        <f>+Report1!P39</f>
        <v>0</v>
      </c>
      <c r="C38" s="323">
        <f>+Report1!R39</f>
        <v>0</v>
      </c>
      <c r="D38" s="324">
        <f t="shared" si="13"/>
        <v>5</v>
      </c>
      <c r="E38" s="324">
        <f>+[16]DailyNov!D37</f>
        <v>0</v>
      </c>
      <c r="F38" s="318" t="e">
        <f t="shared" si="0"/>
        <v>#DIV/0!</v>
      </c>
      <c r="G38" s="318" t="e">
        <f t="shared" si="1"/>
        <v>#DIV/0!</v>
      </c>
      <c r="H38" s="324">
        <f t="shared" si="14"/>
        <v>0</v>
      </c>
      <c r="I38" s="324">
        <f>+[16]DailyNov!E37</f>
        <v>0</v>
      </c>
      <c r="J38" s="318" t="e">
        <f t="shared" si="2"/>
        <v>#DIV/0!</v>
      </c>
      <c r="K38" s="318" t="e">
        <f t="shared" si="3"/>
        <v>#DIV/0!</v>
      </c>
      <c r="L38" s="324">
        <f t="shared" si="15"/>
        <v>190300</v>
      </c>
      <c r="M38" s="324">
        <f>+[16]DailyNov!F37</f>
        <v>0</v>
      </c>
      <c r="N38" s="318" t="e">
        <f t="shared" si="4"/>
        <v>#DIV/0!</v>
      </c>
      <c r="O38" s="318" t="e">
        <f t="shared" si="5"/>
        <v>#DIV/0!</v>
      </c>
      <c r="P38" s="324">
        <f t="shared" si="16"/>
        <v>246595.00000000146</v>
      </c>
      <c r="Q38" s="324">
        <f>+[16]DailyNov!G37</f>
        <v>0</v>
      </c>
      <c r="R38" s="319" t="e">
        <f t="shared" si="6"/>
        <v>#DIV/0!</v>
      </c>
      <c r="S38" s="319" t="e">
        <f t="shared" si="7"/>
        <v>#DIV/0!</v>
      </c>
      <c r="T38" s="324">
        <f t="shared" si="17"/>
        <v>176599.99999999942</v>
      </c>
      <c r="U38" s="324">
        <f>+[16]DailyNov!H37</f>
        <v>0</v>
      </c>
      <c r="V38" s="318" t="e">
        <f t="shared" si="8"/>
        <v>#DIV/0!</v>
      </c>
      <c r="W38" s="318" t="e">
        <f t="shared" si="9"/>
        <v>#DIV/0!</v>
      </c>
      <c r="X38" s="324">
        <f t="shared" si="18"/>
        <v>433379.06999999995</v>
      </c>
      <c r="Y38" s="324">
        <f>+[16]DailyNov!I37</f>
        <v>0</v>
      </c>
      <c r="Z38" s="324" t="e">
        <f t="shared" si="19"/>
        <v>#DIV/0!</v>
      </c>
      <c r="AA38" s="324" t="e">
        <f t="shared" si="20"/>
        <v>#DIV/0!</v>
      </c>
      <c r="AB38" s="324">
        <f t="shared" si="21"/>
        <v>205169.07000000036</v>
      </c>
      <c r="AC38" s="324">
        <f>+[16]DailyNov!J37</f>
        <v>0</v>
      </c>
      <c r="AD38" s="324" t="e">
        <f t="shared" si="22"/>
        <v>#DIV/0!</v>
      </c>
      <c r="AE38" s="416" t="e">
        <f t="shared" si="23"/>
        <v>#DIV/0!</v>
      </c>
      <c r="AF38" s="324">
        <f t="shared" si="24"/>
        <v>292500</v>
      </c>
      <c r="AG38" s="324">
        <f>+[16]DailyNov!K37</f>
        <v>0</v>
      </c>
      <c r="AH38" s="324" t="e">
        <f t="shared" si="25"/>
        <v>#DIV/0!</v>
      </c>
      <c r="AI38" s="444" t="e">
        <f t="shared" si="26"/>
        <v>#DIV/0!</v>
      </c>
      <c r="AJ38" s="324">
        <f t="shared" si="27"/>
        <v>10910</v>
      </c>
      <c r="AK38" s="324">
        <f>+[16]DailyNov!L37</f>
        <v>0</v>
      </c>
      <c r="AL38" s="324" t="e">
        <f t="shared" si="28"/>
        <v>#DIV/0!</v>
      </c>
      <c r="AM38" s="444" t="e">
        <f t="shared" si="29"/>
        <v>#DIV/0!</v>
      </c>
      <c r="AN38" s="324">
        <f t="shared" si="30"/>
        <v>18090</v>
      </c>
      <c r="AO38" s="324">
        <f>+[16]DailyNov!M37</f>
        <v>0</v>
      </c>
      <c r="AP38" s="324" t="e">
        <f t="shared" si="31"/>
        <v>#DIV/0!</v>
      </c>
      <c r="AQ38" s="444" t="e">
        <f t="shared" si="32"/>
        <v>#DIV/0!</v>
      </c>
      <c r="AR38" s="324">
        <f t="shared" si="33"/>
        <v>0</v>
      </c>
      <c r="AS38" s="321" t="e">
        <f t="shared" si="10"/>
        <v>#DIV/0!</v>
      </c>
      <c r="AT38" s="322" t="e">
        <f t="shared" si="11"/>
        <v>#DIV/0!</v>
      </c>
    </row>
    <row r="39" spans="1:46">
      <c r="A39" s="315"/>
      <c r="B39" s="323"/>
      <c r="C39" s="323"/>
      <c r="D39" s="306"/>
      <c r="E39" s="317"/>
      <c r="F39" s="318"/>
      <c r="G39" s="318"/>
      <c r="H39" s="310"/>
      <c r="I39" s="312"/>
      <c r="J39" s="318"/>
      <c r="K39" s="318"/>
      <c r="L39" s="312"/>
      <c r="M39" s="317"/>
      <c r="N39" s="318"/>
      <c r="O39" s="318"/>
      <c r="P39" s="313"/>
      <c r="Q39" s="317"/>
      <c r="R39" s="319"/>
      <c r="S39" s="319"/>
      <c r="T39" s="314"/>
      <c r="U39" s="317"/>
      <c r="V39" s="318"/>
      <c r="W39" s="318"/>
      <c r="X39" s="324"/>
      <c r="Y39" s="324"/>
      <c r="Z39" s="324"/>
      <c r="AA39" s="324"/>
      <c r="AB39" s="324"/>
      <c r="AC39" s="324"/>
      <c r="AD39" s="324"/>
      <c r="AE39" s="324"/>
      <c r="AF39" s="324"/>
      <c r="AG39" s="324"/>
      <c r="AH39" s="324"/>
      <c r="AI39" s="324"/>
      <c r="AJ39" s="324"/>
      <c r="AK39" s="324"/>
      <c r="AL39" s="324"/>
      <c r="AM39" s="324"/>
      <c r="AN39" s="324"/>
      <c r="AO39" s="324"/>
      <c r="AP39" s="324"/>
      <c r="AQ39" s="324"/>
      <c r="AR39" s="320"/>
      <c r="AS39" s="321"/>
      <c r="AT39" s="322"/>
    </row>
    <row r="40" spans="1:46">
      <c r="A40" s="325" t="s">
        <v>27</v>
      </c>
      <c r="B40" s="326">
        <f>SUM(B8:B38)</f>
        <v>1652.454</v>
      </c>
      <c r="C40" s="326">
        <f>SUM(C8:C38)</f>
        <v>1595.0559999999998</v>
      </c>
      <c r="D40" s="320"/>
      <c r="E40" s="326">
        <f>SUM(E8:E38)</f>
        <v>5</v>
      </c>
      <c r="F40" s="327">
        <f>E40/B40</f>
        <v>3.0258028362665466E-3</v>
      </c>
      <c r="G40" s="327">
        <f>E40/C40</f>
        <v>3.1346861802971186E-3</v>
      </c>
      <c r="H40" s="328"/>
      <c r="I40" s="326">
        <f>SUM(I8:I38)</f>
        <v>0</v>
      </c>
      <c r="J40" s="327">
        <f>I40/B40</f>
        <v>0</v>
      </c>
      <c r="K40" s="327">
        <f>I40/C40</f>
        <v>0</v>
      </c>
      <c r="L40" s="329"/>
      <c r="M40" s="326">
        <f>SUM(M8:M38)</f>
        <v>190300</v>
      </c>
      <c r="N40" s="327">
        <f>M40/B40</f>
        <v>115.16205594830477</v>
      </c>
      <c r="O40" s="327">
        <f>M40/C40</f>
        <v>119.30615602210833</v>
      </c>
      <c r="P40" s="330"/>
      <c r="Q40" s="326">
        <f>SUM(Q8:Q38)</f>
        <v>246595.00000000146</v>
      </c>
      <c r="R40" s="327">
        <f>Q40/B40</f>
        <v>149.2295700818307</v>
      </c>
      <c r="S40" s="327">
        <f>Q40/C40</f>
        <v>154.5995877260745</v>
      </c>
      <c r="T40" s="331"/>
      <c r="U40" s="332">
        <f>SUM(U8:U38)</f>
        <v>176599.99999999942</v>
      </c>
      <c r="V40" s="327">
        <f>U40/B40</f>
        <v>106.87135617693407</v>
      </c>
      <c r="W40" s="327">
        <f>U40/C40</f>
        <v>110.71711588809386</v>
      </c>
      <c r="X40" s="333"/>
      <c r="Y40" s="332">
        <f>SUM(Y8:Y38)</f>
        <v>433379.06999999995</v>
      </c>
      <c r="Z40" s="327">
        <f>Y40/B40</f>
        <v>262.2639238369116</v>
      </c>
      <c r="AA40" s="327">
        <f>Y40/C40</f>
        <v>271.70147631180345</v>
      </c>
      <c r="AB40" s="333"/>
      <c r="AC40" s="332">
        <f>SUM(AC8:AC38)</f>
        <v>205169.07000000036</v>
      </c>
      <c r="AD40" s="408">
        <f>AC40/B40</f>
        <v>124.16023078403414</v>
      </c>
      <c r="AE40" s="327">
        <f>AC40/C40</f>
        <v>128.62812967068265</v>
      </c>
      <c r="AF40" s="333"/>
      <c r="AG40" s="332">
        <f>SUM(AG8:AG38)</f>
        <v>292500</v>
      </c>
      <c r="AH40" s="327">
        <f>AG40/B40</f>
        <v>177.00946592159298</v>
      </c>
      <c r="AI40" s="327">
        <f>AG40/C40</f>
        <v>183.37914154738144</v>
      </c>
      <c r="AJ40" s="333"/>
      <c r="AK40" s="332">
        <f>SUM(AK8:AK38)</f>
        <v>10910</v>
      </c>
      <c r="AL40" s="327">
        <f>AK40/B40</f>
        <v>6.6023017887336053</v>
      </c>
      <c r="AM40" s="327">
        <f>AK40/C40</f>
        <v>6.8398852454083121</v>
      </c>
      <c r="AN40" s="333"/>
      <c r="AO40" s="332">
        <f>SUM(AO8:AO38)</f>
        <v>18090</v>
      </c>
      <c r="AP40" s="327">
        <f>AO40/B40</f>
        <v>10.947354661612366</v>
      </c>
      <c r="AQ40" s="327">
        <f>AO40/C40</f>
        <v>11.341294600314974</v>
      </c>
      <c r="AR40" s="320">
        <f>E40+I40+M40+Q40+U40+Y40+AC40+AG40+AK40+AO40</f>
        <v>1573548.1400000013</v>
      </c>
      <c r="AS40" s="408">
        <f>AR40/B40</f>
        <v>952.24928500279066</v>
      </c>
      <c r="AT40" s="329">
        <f>AR40/C40</f>
        <v>986.51592169804792</v>
      </c>
    </row>
    <row r="41" spans="1:46">
      <c r="T41" s="334"/>
      <c r="AP41" s="382"/>
    </row>
    <row r="42" spans="1:46">
      <c r="AR42" s="4">
        <f>+AR40-[16]DailyNov!$N$38</f>
        <v>0</v>
      </c>
    </row>
    <row r="43" spans="1:46">
      <c r="G43" s="335"/>
      <c r="H43" s="336"/>
    </row>
    <row r="44" spans="1:46">
      <c r="G44" s="335"/>
      <c r="I44" s="335"/>
      <c r="L44" s="335"/>
    </row>
    <row r="45" spans="1:46">
      <c r="E45" t="s">
        <v>0</v>
      </c>
      <c r="G45" s="335"/>
    </row>
  </sheetData>
  <mergeCells count="16">
    <mergeCell ref="A2:AR2"/>
    <mergeCell ref="A4:A6"/>
    <mergeCell ref="B4:B6"/>
    <mergeCell ref="C4:C6"/>
    <mergeCell ref="D5:G5"/>
    <mergeCell ref="AB5:AE5"/>
    <mergeCell ref="AF5:AI5"/>
    <mergeCell ref="AN5:AQ5"/>
    <mergeCell ref="H5:K5"/>
    <mergeCell ref="AR4:AT5"/>
    <mergeCell ref="P5:S5"/>
    <mergeCell ref="L5:O5"/>
    <mergeCell ref="T5:W5"/>
    <mergeCell ref="X5:AA5"/>
    <mergeCell ref="AJ5:AM5"/>
    <mergeCell ref="D4:AQ4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topLeftCell="A88" zoomScale="90" zoomScaleNormal="90" workbookViewId="0">
      <selection activeCell="I111" sqref="I111"/>
    </sheetView>
  </sheetViews>
  <sheetFormatPr defaultRowHeight="12.75"/>
  <cols>
    <col min="1" max="1" width="10.140625" bestFit="1" customWidth="1"/>
    <col min="2" max="2" width="11.85546875" bestFit="1" customWidth="1"/>
    <col min="4" max="4" width="22.28515625" customWidth="1"/>
  </cols>
  <sheetData>
    <row r="1" spans="1:12">
      <c r="A1" s="101" t="s">
        <v>148</v>
      </c>
      <c r="B1" s="341">
        <f>+Report1!A9</f>
        <v>45962</v>
      </c>
      <c r="C1" s="102"/>
      <c r="G1" s="103"/>
      <c r="H1" s="104"/>
    </row>
    <row r="2" spans="1:12" ht="13.5" thickBot="1">
      <c r="A2" s="101"/>
      <c r="B2" s="102"/>
      <c r="C2" s="102"/>
      <c r="G2" s="103"/>
      <c r="H2" s="104"/>
    </row>
    <row r="3" spans="1:12" ht="26.25" thickBot="1">
      <c r="A3" s="551" t="s">
        <v>120</v>
      </c>
      <c r="B3" s="552" t="s">
        <v>8</v>
      </c>
      <c r="C3" s="552" t="s">
        <v>93</v>
      </c>
      <c r="D3" s="552" t="s">
        <v>121</v>
      </c>
      <c r="E3" s="552" t="s">
        <v>122</v>
      </c>
      <c r="F3" s="552" t="s">
        <v>123</v>
      </c>
      <c r="G3" s="553" t="s">
        <v>124</v>
      </c>
      <c r="H3" s="554" t="s">
        <v>125</v>
      </c>
      <c r="I3" s="581" t="s">
        <v>421</v>
      </c>
    </row>
    <row r="4" spans="1:12">
      <c r="A4" s="550">
        <f>+B1</f>
        <v>45962</v>
      </c>
      <c r="B4" s="591" t="s">
        <v>450</v>
      </c>
      <c r="C4">
        <v>1</v>
      </c>
      <c r="D4" s="382" t="s">
        <v>452</v>
      </c>
      <c r="E4" s="382">
        <f>42*2+61*3</f>
        <v>267</v>
      </c>
      <c r="F4">
        <f>12+13+13+15+13+13</f>
        <v>79</v>
      </c>
      <c r="G4">
        <f t="shared" ref="G4" si="0">+E4*F4</f>
        <v>21093</v>
      </c>
      <c r="H4" s="555">
        <f>+G4/F4</f>
        <v>267</v>
      </c>
      <c r="I4" s="412">
        <f>+'1'!I38</f>
        <v>65.826999999999998</v>
      </c>
    </row>
    <row r="5" spans="1:12" ht="13.5" thickBot="1">
      <c r="A5" s="383"/>
      <c r="B5" s="411"/>
      <c r="C5" s="384"/>
      <c r="D5" s="385"/>
      <c r="E5" s="384"/>
      <c r="F5" s="384"/>
      <c r="G5" s="384"/>
      <c r="H5" s="413"/>
      <c r="I5" s="413"/>
      <c r="L5">
        <f>+SUM(I:I)</f>
        <v>1652.4539999999995</v>
      </c>
    </row>
    <row r="6" spans="1:12">
      <c r="A6" s="550">
        <v>45963</v>
      </c>
      <c r="B6" s="591" t="s">
        <v>450</v>
      </c>
      <c r="C6">
        <v>1</v>
      </c>
      <c r="D6" s="382" t="s">
        <v>452</v>
      </c>
      <c r="E6" s="382">
        <f>42*2+61*3</f>
        <v>267</v>
      </c>
      <c r="F6">
        <f>9+3+15+9</f>
        <v>36</v>
      </c>
      <c r="G6">
        <f t="shared" ref="G6" si="1">+E6*F6</f>
        <v>9612</v>
      </c>
      <c r="H6" s="555">
        <f>+(E6*F6+E7*F7)/(SUM(F6:F7))</f>
        <v>268.91304347826087</v>
      </c>
      <c r="I6" s="412">
        <f>+'2'!N37</f>
        <v>39.418999999999997</v>
      </c>
      <c r="L6">
        <f>+L5-'31'!J38</f>
        <v>0</v>
      </c>
    </row>
    <row r="7" spans="1:12">
      <c r="A7" s="550"/>
      <c r="B7" s="591" t="s">
        <v>450</v>
      </c>
      <c r="C7">
        <v>1</v>
      </c>
      <c r="D7" s="382" t="s">
        <v>451</v>
      </c>
      <c r="E7" s="382">
        <f>42*5+61</f>
        <v>271</v>
      </c>
      <c r="F7">
        <v>33</v>
      </c>
      <c r="G7">
        <f t="shared" ref="G7" si="2">+E7*F7</f>
        <v>8943</v>
      </c>
      <c r="H7" s="555"/>
      <c r="I7" s="412"/>
    </row>
    <row r="8" spans="1:12">
      <c r="A8" s="550"/>
      <c r="B8" s="591" t="s">
        <v>453</v>
      </c>
      <c r="C8">
        <v>1</v>
      </c>
      <c r="D8" s="382" t="s">
        <v>451</v>
      </c>
      <c r="E8" s="382">
        <f>42*5+61</f>
        <v>271</v>
      </c>
      <c r="F8">
        <v>13</v>
      </c>
      <c r="G8">
        <f t="shared" ref="G8" si="3">+E8*F8</f>
        <v>3523</v>
      </c>
      <c r="H8" s="555">
        <f>+G8/F8</f>
        <v>271</v>
      </c>
      <c r="I8" s="412">
        <f>+'2'!N38</f>
        <v>26.408000000000001</v>
      </c>
    </row>
    <row r="9" spans="1:12" ht="13.5" thickBot="1">
      <c r="A9" s="383"/>
      <c r="B9" s="411"/>
      <c r="C9" s="384"/>
      <c r="D9" s="385"/>
      <c r="E9" s="384"/>
      <c r="F9" s="384"/>
      <c r="G9" s="384"/>
      <c r="H9" s="413"/>
      <c r="I9" s="413"/>
    </row>
    <row r="10" spans="1:12">
      <c r="A10" s="550">
        <v>45964</v>
      </c>
      <c r="B10" s="591" t="s">
        <v>450</v>
      </c>
      <c r="C10">
        <v>1</v>
      </c>
      <c r="D10" s="382" t="s">
        <v>451</v>
      </c>
      <c r="E10" s="382">
        <f>42*5+61</f>
        <v>271</v>
      </c>
      <c r="F10">
        <v>33</v>
      </c>
      <c r="G10">
        <f t="shared" ref="G10" si="4">+E10*F10</f>
        <v>8943</v>
      </c>
      <c r="H10" s="555">
        <f>+G10/F10</f>
        <v>271</v>
      </c>
      <c r="I10" s="412" t="s">
        <v>328</v>
      </c>
    </row>
    <row r="11" spans="1:12">
      <c r="B11" s="591" t="s">
        <v>453</v>
      </c>
      <c r="C11">
        <v>1</v>
      </c>
      <c r="D11" s="382" t="s">
        <v>468</v>
      </c>
      <c r="E11" s="382">
        <f>100*2+61</f>
        <v>261</v>
      </c>
      <c r="F11">
        <f>43+4</f>
        <v>47</v>
      </c>
      <c r="G11">
        <f t="shared" ref="G11:G14" si="5">+E11*F11</f>
        <v>12267</v>
      </c>
      <c r="H11" s="555">
        <f>+(E11*F11+E12*F12+E13*F13+E14*F14)/(SUM(F11:F14))</f>
        <v>261.99404761904759</v>
      </c>
      <c r="I11" s="412">
        <f>+'3'!I38</f>
        <v>70.057000000000002</v>
      </c>
    </row>
    <row r="12" spans="1:12">
      <c r="B12" s="591" t="s">
        <v>453</v>
      </c>
      <c r="C12">
        <v>1</v>
      </c>
      <c r="D12" s="382" t="s">
        <v>451</v>
      </c>
      <c r="E12" s="382">
        <f>42*5+61</f>
        <v>271</v>
      </c>
      <c r="F12">
        <v>1</v>
      </c>
      <c r="G12">
        <f t="shared" si="5"/>
        <v>271</v>
      </c>
      <c r="H12" s="555"/>
      <c r="I12" s="412"/>
    </row>
    <row r="13" spans="1:12">
      <c r="B13" s="591" t="s">
        <v>453</v>
      </c>
      <c r="C13">
        <v>1</v>
      </c>
      <c r="D13" s="382" t="s">
        <v>469</v>
      </c>
      <c r="E13" s="382">
        <f>86.5*3</f>
        <v>259.5</v>
      </c>
      <c r="F13">
        <f>14+5</f>
        <v>19</v>
      </c>
      <c r="G13">
        <f t="shared" si="5"/>
        <v>4930.5</v>
      </c>
      <c r="H13" s="555"/>
      <c r="I13" s="412"/>
    </row>
    <row r="14" spans="1:12">
      <c r="B14" s="591" t="s">
        <v>453</v>
      </c>
      <c r="C14">
        <v>1</v>
      </c>
      <c r="D14" s="382" t="s">
        <v>470</v>
      </c>
      <c r="E14">
        <f>61*3+42*2</f>
        <v>267</v>
      </c>
      <c r="F14">
        <f>9+8</f>
        <v>17</v>
      </c>
      <c r="G14">
        <f t="shared" si="5"/>
        <v>4539</v>
      </c>
      <c r="H14" s="555"/>
      <c r="I14" s="412"/>
    </row>
    <row r="15" spans="1:12" ht="13.5" thickBot="1">
      <c r="A15" s="383"/>
      <c r="B15" s="411"/>
      <c r="C15" s="384"/>
      <c r="D15" s="385"/>
      <c r="E15" s="384"/>
      <c r="F15" s="384"/>
      <c r="G15" s="384"/>
      <c r="H15" s="413"/>
      <c r="I15" s="413"/>
    </row>
    <row r="16" spans="1:12">
      <c r="A16" s="550">
        <v>45965</v>
      </c>
      <c r="B16" s="591" t="s">
        <v>453</v>
      </c>
      <c r="C16">
        <v>1</v>
      </c>
      <c r="D16" s="382" t="s">
        <v>468</v>
      </c>
      <c r="E16" s="382">
        <f>100*2+61</f>
        <v>261</v>
      </c>
      <c r="F16">
        <v>26</v>
      </c>
      <c r="G16">
        <f t="shared" ref="G16" si="6">+E16*F16</f>
        <v>6786</v>
      </c>
      <c r="H16" s="555">
        <f>+G16/F16</f>
        <v>261</v>
      </c>
      <c r="I16" s="412">
        <f>+'4'!N37</f>
        <v>10.956000000000007</v>
      </c>
    </row>
    <row r="17" spans="1:9">
      <c r="B17" s="591" t="s">
        <v>496</v>
      </c>
      <c r="C17">
        <v>1</v>
      </c>
      <c r="D17" s="382" t="s">
        <v>497</v>
      </c>
      <c r="E17" s="382">
        <f>127+90</f>
        <v>217</v>
      </c>
      <c r="F17">
        <v>5</v>
      </c>
      <c r="G17">
        <f t="shared" ref="G17" si="7">+E17*F17</f>
        <v>1085</v>
      </c>
      <c r="H17" s="555">
        <f>+(E17*F17+E18*F18)/(SUM(F17:F18))</f>
        <v>232.14285714285714</v>
      </c>
      <c r="I17" s="412">
        <f>+'4'!N38</f>
        <v>5.3360000000000003</v>
      </c>
    </row>
    <row r="18" spans="1:9">
      <c r="B18" s="591" t="s">
        <v>496</v>
      </c>
      <c r="C18">
        <v>1</v>
      </c>
      <c r="D18" s="382" t="s">
        <v>498</v>
      </c>
      <c r="E18" s="382">
        <f>90*3</f>
        <v>270</v>
      </c>
      <c r="F18">
        <v>2</v>
      </c>
      <c r="G18">
        <f t="shared" ref="G18" si="8">+E18*F18</f>
        <v>540</v>
      </c>
      <c r="H18" s="555"/>
      <c r="I18" s="412"/>
    </row>
    <row r="19" spans="1:9">
      <c r="B19" s="591" t="s">
        <v>494</v>
      </c>
      <c r="C19">
        <v>1</v>
      </c>
      <c r="D19" s="382" t="s">
        <v>495</v>
      </c>
      <c r="E19" s="382">
        <f>101.5*2+61</f>
        <v>264</v>
      </c>
      <c r="F19">
        <f>2+11</f>
        <v>13</v>
      </c>
      <c r="G19">
        <f t="shared" ref="G19:G20" si="9">+E19*F19</f>
        <v>3432</v>
      </c>
      <c r="H19" s="555">
        <f>+(E19*F19+E20*F20)/(SUM(F19:F20))</f>
        <v>263.23809523809524</v>
      </c>
      <c r="I19" s="412">
        <f>+'4'!N39</f>
        <v>5.923</v>
      </c>
    </row>
    <row r="20" spans="1:9">
      <c r="B20" s="591" t="s">
        <v>494</v>
      </c>
      <c r="C20">
        <v>1</v>
      </c>
      <c r="D20" s="382" t="s">
        <v>501</v>
      </c>
      <c r="E20" s="382">
        <f>22+60*4</f>
        <v>262</v>
      </c>
      <c r="F20">
        <v>8</v>
      </c>
      <c r="G20">
        <f t="shared" si="9"/>
        <v>2096</v>
      </c>
      <c r="H20" s="555"/>
      <c r="I20" s="412"/>
    </row>
    <row r="21" spans="1:9">
      <c r="B21" s="591" t="s">
        <v>499</v>
      </c>
      <c r="C21">
        <v>1</v>
      </c>
      <c r="D21" s="382" t="s">
        <v>500</v>
      </c>
      <c r="E21" s="382">
        <f>28*9+20</f>
        <v>272</v>
      </c>
      <c r="F21">
        <f>5+13</f>
        <v>18</v>
      </c>
      <c r="G21">
        <f t="shared" ref="G21:G23" si="10">+E21*F21</f>
        <v>4896</v>
      </c>
      <c r="H21" s="555">
        <f>+G21/F21</f>
        <v>272</v>
      </c>
      <c r="I21" s="412">
        <f>+'4'!N40</f>
        <v>29.605</v>
      </c>
    </row>
    <row r="22" spans="1:9">
      <c r="B22" s="591" t="s">
        <v>450</v>
      </c>
      <c r="C22">
        <v>1</v>
      </c>
      <c r="D22" s="382" t="s">
        <v>502</v>
      </c>
      <c r="E22" s="382">
        <f>79*2+109</f>
        <v>267</v>
      </c>
      <c r="F22">
        <v>1</v>
      </c>
      <c r="G22">
        <f t="shared" si="10"/>
        <v>267</v>
      </c>
      <c r="H22" s="555">
        <f>+G22/F22</f>
        <v>267</v>
      </c>
      <c r="I22" s="412">
        <f>+'4'!N41</f>
        <v>16.506</v>
      </c>
    </row>
    <row r="23" spans="1:9">
      <c r="B23" s="591" t="s">
        <v>492</v>
      </c>
      <c r="C23">
        <v>1</v>
      </c>
      <c r="D23" s="382" t="s">
        <v>493</v>
      </c>
      <c r="E23" s="382">
        <f>62.5*4</f>
        <v>250</v>
      </c>
      <c r="F23">
        <v>1</v>
      </c>
      <c r="G23">
        <f t="shared" si="10"/>
        <v>250</v>
      </c>
      <c r="H23" s="555">
        <f>+G23/F23</f>
        <v>250</v>
      </c>
      <c r="I23" s="412" t="s">
        <v>328</v>
      </c>
    </row>
    <row r="24" spans="1:9" ht="13.5" thickBot="1">
      <c r="A24" s="383"/>
      <c r="B24" s="411"/>
      <c r="C24" s="384"/>
      <c r="D24" s="385"/>
      <c r="E24" s="384"/>
      <c r="F24" s="384"/>
      <c r="G24" s="384"/>
      <c r="H24" s="413"/>
      <c r="I24" s="413"/>
    </row>
    <row r="25" spans="1:9">
      <c r="A25" s="550">
        <v>45966</v>
      </c>
      <c r="B25" s="591" t="s">
        <v>450</v>
      </c>
      <c r="C25">
        <v>1</v>
      </c>
      <c r="D25" s="382" t="s">
        <v>530</v>
      </c>
      <c r="E25" s="382">
        <f>109+79*2</f>
        <v>267</v>
      </c>
      <c r="F25">
        <f>11+13+6</f>
        <v>30</v>
      </c>
      <c r="G25">
        <f t="shared" ref="G25" si="11">+E25*F25</f>
        <v>8010</v>
      </c>
      <c r="H25" s="555">
        <f>+G25/F25</f>
        <v>267</v>
      </c>
      <c r="I25" s="412">
        <f>+'5'!N37</f>
        <v>15.952999999999999</v>
      </c>
    </row>
    <row r="26" spans="1:9">
      <c r="B26" s="591" t="s">
        <v>529</v>
      </c>
      <c r="C26">
        <v>1</v>
      </c>
      <c r="D26" s="382" t="s">
        <v>531</v>
      </c>
      <c r="E26" s="382">
        <f>126+144</f>
        <v>270</v>
      </c>
      <c r="F26">
        <f>4+17</f>
        <v>21</v>
      </c>
      <c r="G26">
        <f t="shared" ref="G26" si="12">+E26*F26</f>
        <v>5670</v>
      </c>
      <c r="H26" s="555">
        <f>+G26/F26</f>
        <v>270</v>
      </c>
      <c r="I26" s="412">
        <f>+'5'!N38</f>
        <v>29.896000000000004</v>
      </c>
    </row>
    <row r="27" spans="1:9">
      <c r="B27" s="591" t="s">
        <v>499</v>
      </c>
      <c r="C27">
        <v>1</v>
      </c>
      <c r="D27" s="382" t="s">
        <v>500</v>
      </c>
      <c r="E27" s="382">
        <f>28*9+20</f>
        <v>272</v>
      </c>
      <c r="F27">
        <v>10</v>
      </c>
      <c r="G27">
        <f t="shared" ref="G27" si="13">+E27*F27</f>
        <v>2720</v>
      </c>
      <c r="H27" s="555">
        <f>+G27/F27</f>
        <v>272</v>
      </c>
      <c r="I27" s="412" t="s">
        <v>328</v>
      </c>
    </row>
    <row r="28" spans="1:9" ht="13.5" thickBot="1">
      <c r="A28" s="383"/>
      <c r="B28" s="411"/>
      <c r="C28" s="384"/>
      <c r="D28" s="385"/>
      <c r="E28" s="384"/>
      <c r="F28" s="384"/>
      <c r="G28" s="384"/>
      <c r="H28" s="413"/>
      <c r="I28" s="413"/>
    </row>
    <row r="29" spans="1:9">
      <c r="A29" s="550">
        <v>45967</v>
      </c>
      <c r="B29" s="591" t="s">
        <v>529</v>
      </c>
      <c r="C29">
        <v>1</v>
      </c>
      <c r="D29" s="382" t="s">
        <v>531</v>
      </c>
      <c r="E29" s="382">
        <f>126+144</f>
        <v>270</v>
      </c>
      <c r="F29">
        <v>2</v>
      </c>
      <c r="G29">
        <f t="shared" ref="G29" si="14">+E29*F29</f>
        <v>540</v>
      </c>
      <c r="H29" s="555">
        <f>+G29/F29</f>
        <v>270</v>
      </c>
      <c r="I29" s="412" t="s">
        <v>328</v>
      </c>
    </row>
    <row r="30" spans="1:9">
      <c r="B30" s="591" t="s">
        <v>553</v>
      </c>
      <c r="C30">
        <v>1</v>
      </c>
      <c r="D30" s="382" t="s">
        <v>554</v>
      </c>
      <c r="E30" s="382">
        <f>120+150</f>
        <v>270</v>
      </c>
      <c r="F30">
        <f>17+28+4</f>
        <v>49</v>
      </c>
      <c r="G30">
        <f t="shared" ref="G30:G33" si="15">+E30*F30</f>
        <v>13230</v>
      </c>
      <c r="H30" s="555">
        <f>+(E30*F30+E31*F31+E32*F32)/(SUM(F30:F32))</f>
        <v>267.9220779220779</v>
      </c>
      <c r="I30" s="412">
        <f>+'6'!I38</f>
        <v>50.673000000000002</v>
      </c>
    </row>
    <row r="31" spans="1:9">
      <c r="B31" s="591" t="s">
        <v>553</v>
      </c>
      <c r="C31">
        <v>1</v>
      </c>
      <c r="D31" s="382" t="s">
        <v>555</v>
      </c>
      <c r="E31" s="382">
        <f>133*2</f>
        <v>266</v>
      </c>
      <c r="F31">
        <v>20</v>
      </c>
      <c r="G31">
        <f t="shared" si="15"/>
        <v>5320</v>
      </c>
      <c r="H31" s="555"/>
      <c r="I31" s="412"/>
    </row>
    <row r="32" spans="1:9">
      <c r="B32" s="591" t="s">
        <v>553</v>
      </c>
      <c r="C32">
        <v>1</v>
      </c>
      <c r="D32" s="382" t="s">
        <v>556</v>
      </c>
      <c r="E32" s="382">
        <f>130*2</f>
        <v>260</v>
      </c>
      <c r="F32">
        <v>8</v>
      </c>
      <c r="G32">
        <f t="shared" si="15"/>
        <v>2080</v>
      </c>
      <c r="H32" s="555"/>
      <c r="I32" s="412"/>
    </row>
    <row r="33" spans="1:9">
      <c r="B33" s="591" t="s">
        <v>557</v>
      </c>
      <c r="C33">
        <v>1</v>
      </c>
      <c r="D33" s="382" t="s">
        <v>558</v>
      </c>
      <c r="E33" s="382">
        <f>128.5*2+15</f>
        <v>272</v>
      </c>
      <c r="F33">
        <v>0</v>
      </c>
      <c r="G33">
        <f t="shared" si="15"/>
        <v>0</v>
      </c>
      <c r="H33" s="555">
        <f>+E33</f>
        <v>272</v>
      </c>
      <c r="I33" s="412">
        <v>0</v>
      </c>
    </row>
    <row r="34" spans="1:9" ht="13.5" thickBot="1">
      <c r="A34" s="383"/>
      <c r="B34" s="411"/>
      <c r="C34" s="384"/>
      <c r="D34" s="385"/>
      <c r="E34" s="384"/>
      <c r="F34" s="384"/>
      <c r="G34" s="384"/>
      <c r="H34" s="413"/>
      <c r="I34" s="413"/>
    </row>
    <row r="35" spans="1:9">
      <c r="A35" s="550">
        <v>45968</v>
      </c>
      <c r="B35" s="591" t="s">
        <v>557</v>
      </c>
      <c r="C35">
        <v>1</v>
      </c>
      <c r="D35" s="382" t="s">
        <v>558</v>
      </c>
      <c r="E35" s="382">
        <f>128.5*2+15</f>
        <v>272</v>
      </c>
      <c r="F35">
        <f>21+34+3</f>
        <v>58</v>
      </c>
      <c r="G35">
        <f t="shared" ref="G35" si="16">+E35*F35</f>
        <v>15776</v>
      </c>
      <c r="H35" s="555">
        <f>+G35/F35</f>
        <v>272</v>
      </c>
      <c r="I35" s="412">
        <f>+'7'!N37</f>
        <v>35.566000000000003</v>
      </c>
    </row>
    <row r="36" spans="1:9">
      <c r="B36" s="591" t="s">
        <v>529</v>
      </c>
      <c r="C36">
        <v>1</v>
      </c>
      <c r="D36" s="382" t="s">
        <v>576</v>
      </c>
      <c r="E36" s="382">
        <f>266*1</f>
        <v>266</v>
      </c>
      <c r="F36">
        <v>15</v>
      </c>
      <c r="G36">
        <f t="shared" ref="G36" si="17">+E36*F36</f>
        <v>3990</v>
      </c>
      <c r="H36" s="555">
        <f>+G36/F36</f>
        <v>266</v>
      </c>
      <c r="I36" s="412">
        <f>+'7'!N38</f>
        <v>15.64</v>
      </c>
    </row>
    <row r="37" spans="1:9">
      <c r="B37" s="591" t="s">
        <v>553</v>
      </c>
      <c r="C37">
        <v>1</v>
      </c>
      <c r="D37" s="382" t="s">
        <v>556</v>
      </c>
      <c r="E37" s="382">
        <f>130*2</f>
        <v>260</v>
      </c>
      <c r="F37">
        <v>7</v>
      </c>
      <c r="G37">
        <f t="shared" ref="G37" si="18">+E37*F37</f>
        <v>1820</v>
      </c>
      <c r="H37" s="555">
        <f>+G37/F37</f>
        <v>260</v>
      </c>
      <c r="I37" s="412" t="s">
        <v>328</v>
      </c>
    </row>
    <row r="38" spans="1:9" ht="13.5" thickBot="1">
      <c r="A38" s="383"/>
      <c r="B38" s="411"/>
      <c r="C38" s="384"/>
      <c r="D38" s="385"/>
      <c r="E38" s="384"/>
      <c r="F38" s="384"/>
      <c r="G38" s="384"/>
      <c r="H38" s="413"/>
      <c r="I38" s="413"/>
    </row>
    <row r="39" spans="1:9">
      <c r="A39" s="550">
        <v>45969</v>
      </c>
      <c r="B39" s="591" t="s">
        <v>529</v>
      </c>
      <c r="C39">
        <v>1</v>
      </c>
      <c r="D39" s="382" t="s">
        <v>576</v>
      </c>
      <c r="E39" s="382">
        <f>266*1</f>
        <v>266</v>
      </c>
      <c r="F39">
        <f>18+2+20</f>
        <v>40</v>
      </c>
      <c r="G39">
        <f t="shared" ref="G39" si="19">+E39*F39</f>
        <v>10640</v>
      </c>
      <c r="H39" s="555">
        <f>+(E39*F39+E40*F40)/(SUM(F39:F40))</f>
        <v>266</v>
      </c>
      <c r="I39" s="412">
        <f>+'8'!I38</f>
        <v>46.725999999999999</v>
      </c>
    </row>
    <row r="40" spans="1:9">
      <c r="B40" s="591" t="s">
        <v>529</v>
      </c>
      <c r="C40">
        <v>1</v>
      </c>
      <c r="D40" s="382" t="s">
        <v>555</v>
      </c>
      <c r="E40" s="382">
        <f>133*2</f>
        <v>266</v>
      </c>
      <c r="F40">
        <f>38/2</f>
        <v>19</v>
      </c>
      <c r="G40">
        <f t="shared" ref="G40" si="20">+E40*F40</f>
        <v>5054</v>
      </c>
      <c r="H40" s="555"/>
      <c r="I40" s="412"/>
    </row>
    <row r="41" spans="1:9" ht="13.5" thickBot="1">
      <c r="A41" s="383"/>
      <c r="B41" s="411"/>
      <c r="C41" s="384"/>
      <c r="D41" s="385"/>
      <c r="E41" s="384"/>
      <c r="F41" s="384"/>
      <c r="G41" s="384"/>
      <c r="H41" s="413"/>
      <c r="I41" s="413"/>
    </row>
    <row r="42" spans="1:9">
      <c r="A42" s="550">
        <v>45970</v>
      </c>
      <c r="B42" s="591" t="s">
        <v>529</v>
      </c>
      <c r="C42">
        <v>1</v>
      </c>
      <c r="D42" s="382" t="s">
        <v>576</v>
      </c>
      <c r="E42" s="382">
        <f>266*1</f>
        <v>266</v>
      </c>
      <c r="F42">
        <f>21+21+6</f>
        <v>48</v>
      </c>
      <c r="G42">
        <f t="shared" ref="G42:G43" si="21">+E42*F42</f>
        <v>12768</v>
      </c>
      <c r="H42" s="555">
        <f>+G42/F42</f>
        <v>266</v>
      </c>
      <c r="I42" s="412">
        <f>+'9'!N37</f>
        <v>33.324999999999996</v>
      </c>
    </row>
    <row r="43" spans="1:9">
      <c r="B43" s="591" t="s">
        <v>597</v>
      </c>
      <c r="C43">
        <v>1</v>
      </c>
      <c r="D43" s="382" t="s">
        <v>596</v>
      </c>
      <c r="E43" s="382">
        <f>60+68+140</f>
        <v>268</v>
      </c>
      <c r="F43">
        <v>29</v>
      </c>
      <c r="G43">
        <f t="shared" si="21"/>
        <v>7772</v>
      </c>
      <c r="H43" s="555">
        <f>+G43/F43</f>
        <v>268</v>
      </c>
      <c r="I43" s="412">
        <f>+'9'!N38</f>
        <v>21.304000000000002</v>
      </c>
    </row>
    <row r="44" spans="1:9" ht="13.5" thickBot="1">
      <c r="A44" s="383"/>
      <c r="B44" s="411"/>
      <c r="C44" s="384"/>
      <c r="D44" s="385"/>
      <c r="E44" s="384"/>
      <c r="F44" s="384"/>
      <c r="G44" s="384"/>
      <c r="H44" s="413"/>
      <c r="I44" s="413"/>
    </row>
    <row r="45" spans="1:9">
      <c r="A45" s="550">
        <v>45971</v>
      </c>
      <c r="B45" s="591" t="s">
        <v>597</v>
      </c>
      <c r="C45">
        <v>1</v>
      </c>
      <c r="D45" s="382" t="s">
        <v>596</v>
      </c>
      <c r="E45" s="382">
        <f>60+68+140</f>
        <v>268</v>
      </c>
      <c r="F45">
        <v>12</v>
      </c>
      <c r="G45">
        <f t="shared" ref="G45:G46" si="22">+E45*F45</f>
        <v>3216</v>
      </c>
      <c r="H45" s="555">
        <f>+G45/F45</f>
        <v>268</v>
      </c>
      <c r="I45" s="412">
        <f>+'10'!N37</f>
        <v>5.7269999999999994</v>
      </c>
    </row>
    <row r="46" spans="1:9">
      <c r="B46" s="591" t="s">
        <v>608</v>
      </c>
      <c r="C46">
        <v>1</v>
      </c>
      <c r="D46" s="382" t="s">
        <v>609</v>
      </c>
      <c r="E46" s="382">
        <f>48*3+58*2</f>
        <v>260</v>
      </c>
      <c r="F46">
        <f>19+27+24+22+23</f>
        <v>115</v>
      </c>
      <c r="G46">
        <f t="shared" si="22"/>
        <v>29900</v>
      </c>
      <c r="H46" s="555">
        <f>+G46/F46</f>
        <v>260</v>
      </c>
      <c r="I46" s="412">
        <f>+'10'!N38</f>
        <v>42.943000000000005</v>
      </c>
    </row>
    <row r="47" spans="1:9" ht="13.5" thickBot="1">
      <c r="A47" s="383"/>
      <c r="B47" s="411"/>
      <c r="C47" s="384"/>
      <c r="D47" s="385"/>
      <c r="E47" s="384"/>
      <c r="F47" s="384"/>
      <c r="G47" s="384"/>
      <c r="H47" s="413"/>
      <c r="I47" s="413"/>
    </row>
    <row r="48" spans="1:9">
      <c r="A48" s="550">
        <v>45972</v>
      </c>
      <c r="B48" s="591" t="s">
        <v>608</v>
      </c>
      <c r="C48">
        <v>1</v>
      </c>
      <c r="D48" s="382" t="s">
        <v>609</v>
      </c>
      <c r="E48" s="382">
        <f>48*3+58*2</f>
        <v>260</v>
      </c>
      <c r="F48">
        <v>161</v>
      </c>
      <c r="G48">
        <f t="shared" ref="G48" si="23">+E48*F48</f>
        <v>41860</v>
      </c>
      <c r="H48" s="555">
        <f>+G48/F48</f>
        <v>260</v>
      </c>
      <c r="I48" s="412">
        <f>+'11'!I38</f>
        <v>53.982999999999997</v>
      </c>
    </row>
    <row r="49" spans="1:9" ht="13.5" thickBot="1">
      <c r="A49" s="383"/>
      <c r="B49" s="411"/>
      <c r="C49" s="384"/>
      <c r="D49" s="385"/>
      <c r="E49" s="384"/>
      <c r="F49" s="384"/>
      <c r="G49" s="384"/>
      <c r="H49" s="413"/>
      <c r="I49" s="413"/>
    </row>
    <row r="50" spans="1:9">
      <c r="A50" s="550">
        <v>45973</v>
      </c>
      <c r="B50" s="591" t="s">
        <v>608</v>
      </c>
      <c r="C50">
        <v>1</v>
      </c>
      <c r="D50" s="382" t="s">
        <v>609</v>
      </c>
      <c r="E50" s="382">
        <f>48*3+58*2</f>
        <v>260</v>
      </c>
      <c r="F50">
        <f>19+12</f>
        <v>31</v>
      </c>
      <c r="G50">
        <f t="shared" ref="G50" si="24">+E50*F50</f>
        <v>8060</v>
      </c>
      <c r="H50" s="555">
        <f>+(E50*F50+E51*F51)/(SUM(F50:F51))</f>
        <v>266.39534883720933</v>
      </c>
      <c r="I50" s="412">
        <f>+'12'!L37</f>
        <v>18.876999999999999</v>
      </c>
    </row>
    <row r="51" spans="1:9">
      <c r="B51" s="591" t="s">
        <v>608</v>
      </c>
      <c r="C51">
        <v>1</v>
      </c>
      <c r="D51" s="382" t="s">
        <v>638</v>
      </c>
      <c r="E51" s="382">
        <f>54*5</f>
        <v>270</v>
      </c>
      <c r="F51">
        <f>27+18+8+2</f>
        <v>55</v>
      </c>
      <c r="G51">
        <f t="shared" ref="G51" si="25">+E51*F51</f>
        <v>14850</v>
      </c>
      <c r="H51" s="555"/>
      <c r="I51" s="412"/>
    </row>
    <row r="52" spans="1:9">
      <c r="B52" s="591" t="s">
        <v>636</v>
      </c>
      <c r="C52">
        <v>1</v>
      </c>
      <c r="D52" s="382" t="s">
        <v>639</v>
      </c>
      <c r="E52" s="382">
        <f>39*6+26</f>
        <v>260</v>
      </c>
      <c r="F52">
        <f>26+35</f>
        <v>61</v>
      </c>
      <c r="G52">
        <f t="shared" ref="G52:G53" si="26">+E52*F52</f>
        <v>15860</v>
      </c>
      <c r="H52" s="555">
        <f>+G52/F52</f>
        <v>260</v>
      </c>
      <c r="I52" s="412">
        <f>+'12'!L38</f>
        <v>16.718</v>
      </c>
    </row>
    <row r="53" spans="1:9">
      <c r="B53" s="591" t="s">
        <v>637</v>
      </c>
      <c r="C53">
        <v>1</v>
      </c>
      <c r="D53" s="382" t="s">
        <v>640</v>
      </c>
      <c r="E53" s="382">
        <f>23*4+28*6</f>
        <v>260</v>
      </c>
      <c r="F53">
        <v>24</v>
      </c>
      <c r="G53">
        <f t="shared" si="26"/>
        <v>6240</v>
      </c>
      <c r="H53" s="555">
        <f>+G53/F53</f>
        <v>260</v>
      </c>
      <c r="I53" s="412">
        <f>+'12'!L39</f>
        <v>20.242000000000008</v>
      </c>
    </row>
    <row r="54" spans="1:9" ht="13.5" thickBot="1">
      <c r="A54" s="383"/>
      <c r="B54" s="411"/>
      <c r="C54" s="384"/>
      <c r="D54" s="385"/>
      <c r="E54" s="384"/>
      <c r="F54" s="384"/>
      <c r="G54" s="384"/>
      <c r="H54" s="413"/>
      <c r="I54" s="413"/>
    </row>
    <row r="55" spans="1:9">
      <c r="A55" s="550">
        <v>45974</v>
      </c>
      <c r="B55" s="591" t="s">
        <v>637</v>
      </c>
      <c r="C55">
        <v>1</v>
      </c>
      <c r="D55" s="382" t="s">
        <v>640</v>
      </c>
      <c r="E55" s="382">
        <f>23*4+28*6</f>
        <v>260</v>
      </c>
      <c r="F55">
        <f>41+17</f>
        <v>58</v>
      </c>
      <c r="G55">
        <f t="shared" ref="G55:G56" si="27">+E55*F55</f>
        <v>15080</v>
      </c>
      <c r="H55" s="555">
        <f>+(E55*F55+E56*F56+E57*F57)/(SUM(F55:F57))</f>
        <v>262.74193548387098</v>
      </c>
      <c r="I55" s="412">
        <f>+'13'!N37</f>
        <v>10.51</v>
      </c>
    </row>
    <row r="56" spans="1:9">
      <c r="B56" s="591" t="s">
        <v>637</v>
      </c>
      <c r="C56">
        <v>1</v>
      </c>
      <c r="D56" s="382" t="s">
        <v>658</v>
      </c>
      <c r="E56" s="382">
        <f>20+27.5*9</f>
        <v>267.5</v>
      </c>
      <c r="F56">
        <f>27+5</f>
        <v>32</v>
      </c>
      <c r="G56">
        <f t="shared" si="27"/>
        <v>8560</v>
      </c>
      <c r="H56" s="555"/>
      <c r="I56" s="412"/>
    </row>
    <row r="57" spans="1:9">
      <c r="B57" s="591" t="s">
        <v>637</v>
      </c>
      <c r="C57">
        <v>1</v>
      </c>
      <c r="D57" s="382" t="s">
        <v>659</v>
      </c>
      <c r="E57" s="382">
        <f>16*7+25.5*6</f>
        <v>265</v>
      </c>
      <c r="F57">
        <v>3</v>
      </c>
      <c r="G57">
        <f t="shared" ref="G57" si="28">+E57*F57</f>
        <v>795</v>
      </c>
      <c r="H57" s="555"/>
      <c r="I57" s="412"/>
    </row>
    <row r="58" spans="1:9">
      <c r="B58" s="591" t="s">
        <v>636</v>
      </c>
      <c r="C58">
        <v>1</v>
      </c>
      <c r="D58" s="382" t="s">
        <v>639</v>
      </c>
      <c r="E58" s="382">
        <f>39*6+26</f>
        <v>260</v>
      </c>
      <c r="F58">
        <v>3</v>
      </c>
      <c r="G58">
        <f t="shared" ref="G58:G59" si="29">+E58*F58</f>
        <v>780</v>
      </c>
      <c r="H58" s="555">
        <f>+G58/F58</f>
        <v>260</v>
      </c>
      <c r="I58" s="412" t="s">
        <v>328</v>
      </c>
    </row>
    <row r="59" spans="1:9">
      <c r="B59" s="591" t="s">
        <v>608</v>
      </c>
      <c r="C59">
        <v>1</v>
      </c>
      <c r="D59" s="382" t="s">
        <v>638</v>
      </c>
      <c r="E59" s="382">
        <f>54*5</f>
        <v>270</v>
      </c>
      <c r="F59">
        <v>2</v>
      </c>
      <c r="G59">
        <f t="shared" si="29"/>
        <v>540</v>
      </c>
      <c r="H59" s="555">
        <f>+G59/F59</f>
        <v>270</v>
      </c>
      <c r="I59" s="412" t="s">
        <v>328</v>
      </c>
    </row>
    <row r="60" spans="1:9">
      <c r="B60" s="591" t="s">
        <v>597</v>
      </c>
      <c r="C60">
        <v>1</v>
      </c>
      <c r="D60" s="382" t="s">
        <v>660</v>
      </c>
      <c r="E60" s="382">
        <f>140+116+16</f>
        <v>272</v>
      </c>
      <c r="F60">
        <v>6</v>
      </c>
      <c r="G60">
        <f t="shared" ref="G60" si="30">+E60*F60</f>
        <v>1632</v>
      </c>
      <c r="H60" s="555">
        <f>+(E60*F60+E61*F61)/(SUM(F60:F61))</f>
        <v>272</v>
      </c>
      <c r="I60" s="412">
        <f>+'13'!N38</f>
        <v>2.9500000000000011</v>
      </c>
    </row>
    <row r="61" spans="1:9">
      <c r="B61" s="591" t="s">
        <v>557</v>
      </c>
      <c r="C61">
        <v>1</v>
      </c>
      <c r="D61" s="382" t="s">
        <v>660</v>
      </c>
      <c r="E61" s="382">
        <f>140+116+16</f>
        <v>272</v>
      </c>
      <c r="F61">
        <v>32</v>
      </c>
      <c r="G61">
        <f t="shared" ref="G61" si="31">+E61*F61</f>
        <v>8704</v>
      </c>
      <c r="H61" s="555">
        <f>+(E61*F61+E62*F62)/(SUM(F61:F62))</f>
        <v>272.09090909090907</v>
      </c>
      <c r="I61" s="412">
        <f>+'13'!N39</f>
        <v>24.466000000000001</v>
      </c>
    </row>
    <row r="62" spans="1:9">
      <c r="B62" s="591" t="s">
        <v>557</v>
      </c>
      <c r="C62">
        <v>1</v>
      </c>
      <c r="D62" s="382" t="s">
        <v>661</v>
      </c>
      <c r="E62" s="382">
        <f>140+135</f>
        <v>275</v>
      </c>
      <c r="F62">
        <v>1</v>
      </c>
      <c r="G62">
        <f t="shared" ref="G62" si="32">+E62*F62</f>
        <v>275</v>
      </c>
      <c r="H62" s="555"/>
      <c r="I62" s="412"/>
    </row>
    <row r="63" spans="1:9" ht="13.5" thickBot="1">
      <c r="A63" s="383"/>
      <c r="B63" s="411"/>
      <c r="C63" s="384"/>
      <c r="D63" s="385"/>
      <c r="E63" s="384"/>
      <c r="F63" s="384"/>
      <c r="G63" s="384"/>
      <c r="H63" s="413"/>
      <c r="I63" s="413"/>
    </row>
    <row r="64" spans="1:9">
      <c r="A64" s="550">
        <v>45975</v>
      </c>
      <c r="B64" s="591" t="s">
        <v>557</v>
      </c>
      <c r="C64">
        <v>1</v>
      </c>
      <c r="D64" s="382" t="s">
        <v>660</v>
      </c>
      <c r="E64" s="382">
        <f>140+116+16</f>
        <v>272</v>
      </c>
      <c r="F64">
        <v>4</v>
      </c>
      <c r="G64">
        <f t="shared" ref="G64:G67" si="33">+E64*F64</f>
        <v>1088</v>
      </c>
      <c r="H64" s="555">
        <f>+(E64*F64+E65*F65)/(SUM(F64:F65))</f>
        <v>270.73076923076923</v>
      </c>
      <c r="I64" s="412">
        <f>+'14'!N37</f>
        <v>8.3350000000000009</v>
      </c>
    </row>
    <row r="65" spans="1:9">
      <c r="B65" s="591" t="s">
        <v>557</v>
      </c>
      <c r="C65">
        <v>1</v>
      </c>
      <c r="D65" s="382" t="s">
        <v>676</v>
      </c>
      <c r="E65" s="382">
        <f>130.5+140</f>
        <v>270.5</v>
      </c>
      <c r="F65">
        <f>5+12+5</f>
        <v>22</v>
      </c>
      <c r="G65">
        <f t="shared" si="33"/>
        <v>5951</v>
      </c>
      <c r="H65" s="555"/>
      <c r="I65" s="412"/>
    </row>
    <row r="66" spans="1:9">
      <c r="B66" s="591" t="s">
        <v>597</v>
      </c>
      <c r="C66">
        <v>1</v>
      </c>
      <c r="D66" s="382" t="s">
        <v>677</v>
      </c>
      <c r="E66" s="382">
        <f>140+68+60</f>
        <v>268</v>
      </c>
      <c r="F66">
        <f>8+9+16+1+7</f>
        <v>41</v>
      </c>
      <c r="G66">
        <f t="shared" si="33"/>
        <v>10988</v>
      </c>
      <c r="H66" s="555">
        <f>+(E66*F66+E67*F67)/(SUM(F66:F67))</f>
        <v>265.04615384615386</v>
      </c>
      <c r="I66" s="412">
        <f>+'14'!N38</f>
        <v>44.014000000000003</v>
      </c>
    </row>
    <row r="67" spans="1:9">
      <c r="B67" s="591" t="s">
        <v>597</v>
      </c>
      <c r="C67">
        <v>1</v>
      </c>
      <c r="D67" s="382" t="s">
        <v>678</v>
      </c>
      <c r="E67">
        <f>120+140</f>
        <v>260</v>
      </c>
      <c r="F67">
        <f>12+12</f>
        <v>24</v>
      </c>
      <c r="G67">
        <f t="shared" si="33"/>
        <v>6240</v>
      </c>
      <c r="H67" s="555"/>
      <c r="I67" s="412"/>
    </row>
    <row r="68" spans="1:9" ht="13.5" thickBot="1">
      <c r="A68" s="383"/>
      <c r="B68" s="411"/>
      <c r="C68" s="384"/>
      <c r="D68" s="385"/>
      <c r="E68" s="384"/>
      <c r="F68" s="384"/>
      <c r="G68" s="384"/>
      <c r="H68" s="413"/>
      <c r="I68" s="413"/>
    </row>
    <row r="69" spans="1:9">
      <c r="A69" s="550">
        <v>45976</v>
      </c>
      <c r="B69" s="591" t="s">
        <v>597</v>
      </c>
      <c r="C69">
        <v>1</v>
      </c>
      <c r="D69" s="382" t="s">
        <v>678</v>
      </c>
      <c r="E69">
        <f>120+140</f>
        <v>260</v>
      </c>
      <c r="F69">
        <f>27+25</f>
        <v>52</v>
      </c>
      <c r="G69">
        <f t="shared" ref="G69" si="34">+E69*F69</f>
        <v>13520</v>
      </c>
      <c r="H69" s="555">
        <f>+G69/F69</f>
        <v>260</v>
      </c>
      <c r="I69" s="412">
        <f>+'15'!N37</f>
        <v>29.184999999999995</v>
      </c>
    </row>
    <row r="70" spans="1:9">
      <c r="B70" s="591" t="s">
        <v>553</v>
      </c>
      <c r="C70">
        <v>1</v>
      </c>
      <c r="D70" s="382" t="s">
        <v>704</v>
      </c>
      <c r="E70" s="382">
        <f>140+122.5</f>
        <v>262.5</v>
      </c>
      <c r="F70">
        <f>6+34</f>
        <v>40</v>
      </c>
      <c r="G70">
        <f t="shared" ref="G70" si="35">+E70*F70</f>
        <v>10500</v>
      </c>
      <c r="H70" s="555">
        <f>+G70/F70</f>
        <v>262.5</v>
      </c>
      <c r="I70" s="412">
        <f>+'15'!N38</f>
        <v>21.905000000000001</v>
      </c>
    </row>
    <row r="71" spans="1:9" ht="13.5" thickBot="1">
      <c r="A71" s="383"/>
      <c r="B71" s="411"/>
      <c r="C71" s="384"/>
      <c r="D71" s="385"/>
      <c r="E71" s="384"/>
      <c r="F71" s="384"/>
      <c r="G71" s="384"/>
      <c r="H71" s="413"/>
      <c r="I71" s="413"/>
    </row>
    <row r="72" spans="1:9">
      <c r="A72" s="550">
        <v>45977</v>
      </c>
      <c r="B72" s="591" t="s">
        <v>553</v>
      </c>
      <c r="C72">
        <v>1</v>
      </c>
      <c r="D72" s="382" t="s">
        <v>704</v>
      </c>
      <c r="E72" s="382">
        <f>140+122.5</f>
        <v>262.5</v>
      </c>
      <c r="F72">
        <v>22</v>
      </c>
      <c r="G72">
        <f t="shared" ref="G72" si="36">+E72*F72</f>
        <v>5775</v>
      </c>
      <c r="H72" s="555">
        <f>+G72/F72</f>
        <v>262.5</v>
      </c>
      <c r="I72" s="412">
        <f>+'16'!L37</f>
        <v>7.6530000000000005</v>
      </c>
    </row>
    <row r="73" spans="1:9">
      <c r="B73" s="591" t="s">
        <v>557</v>
      </c>
      <c r="C73">
        <v>1</v>
      </c>
      <c r="D73" s="382" t="s">
        <v>558</v>
      </c>
      <c r="E73" s="382">
        <f>128.5*2+15</f>
        <v>272</v>
      </c>
      <c r="F73">
        <f>9+38+35</f>
        <v>82</v>
      </c>
      <c r="G73">
        <f t="shared" ref="G73" si="37">+E73*F73</f>
        <v>22304</v>
      </c>
      <c r="H73" s="555">
        <f>+G73/F73</f>
        <v>272</v>
      </c>
      <c r="I73" s="412">
        <f>+'16'!L38</f>
        <v>50.637</v>
      </c>
    </row>
    <row r="74" spans="1:9" ht="13.5" thickBot="1">
      <c r="A74" s="383"/>
      <c r="B74" s="411"/>
      <c r="C74" s="384"/>
      <c r="D74" s="385"/>
      <c r="E74" s="384"/>
      <c r="F74" s="384"/>
      <c r="G74" s="384"/>
      <c r="H74" s="413"/>
      <c r="I74" s="413"/>
    </row>
    <row r="75" spans="1:9">
      <c r="A75" s="550">
        <v>45978</v>
      </c>
      <c r="B75" s="591" t="s">
        <v>557</v>
      </c>
      <c r="C75">
        <v>1</v>
      </c>
      <c r="D75" s="382" t="s">
        <v>558</v>
      </c>
      <c r="E75" s="382">
        <f>128.5*2+15</f>
        <v>272</v>
      </c>
      <c r="F75">
        <f>33+8</f>
        <v>41</v>
      </c>
      <c r="G75">
        <f t="shared" ref="G75:G77" si="38">+E75*F75</f>
        <v>11152</v>
      </c>
      <c r="H75" s="555">
        <f>+G75/F75</f>
        <v>272</v>
      </c>
      <c r="I75" s="412">
        <f>+'17'!L37</f>
        <v>20.715</v>
      </c>
    </row>
    <row r="76" spans="1:9">
      <c r="B76" s="591" t="s">
        <v>553</v>
      </c>
      <c r="C76">
        <v>1</v>
      </c>
      <c r="D76" s="382" t="s">
        <v>727</v>
      </c>
      <c r="E76" s="382">
        <f>146+122.5</f>
        <v>268.5</v>
      </c>
      <c r="F76">
        <f>5+33</f>
        <v>38</v>
      </c>
      <c r="G76">
        <f t="shared" si="38"/>
        <v>10203</v>
      </c>
      <c r="H76" s="555">
        <f>+(E76*F76+E77*F77)/(SUM(F76:F77))</f>
        <v>264.41304347826087</v>
      </c>
      <c r="I76" s="412">
        <f>+'17'!L38</f>
        <v>26.643000000000004</v>
      </c>
    </row>
    <row r="77" spans="1:9">
      <c r="B77" s="591" t="s">
        <v>553</v>
      </c>
      <c r="C77">
        <v>1</v>
      </c>
      <c r="D77" s="382" t="s">
        <v>728</v>
      </c>
      <c r="E77" s="382">
        <f>122.5*2</f>
        <v>245</v>
      </c>
      <c r="F77">
        <v>8</v>
      </c>
      <c r="G77">
        <f t="shared" si="38"/>
        <v>1960</v>
      </c>
      <c r="H77" s="555"/>
      <c r="I77" s="412"/>
    </row>
    <row r="78" spans="1:9" ht="13.5" thickBot="1">
      <c r="A78" s="383"/>
      <c r="B78" s="411"/>
      <c r="C78" s="384"/>
      <c r="D78" s="385"/>
      <c r="E78" s="384"/>
      <c r="F78" s="384"/>
      <c r="G78" s="384"/>
      <c r="H78" s="413"/>
      <c r="I78" s="413"/>
    </row>
    <row r="79" spans="1:9">
      <c r="A79" s="550">
        <v>45979</v>
      </c>
      <c r="B79" s="591" t="s">
        <v>553</v>
      </c>
      <c r="C79">
        <v>1</v>
      </c>
      <c r="D79" s="382" t="s">
        <v>727</v>
      </c>
      <c r="E79" s="382">
        <f>146+122.5</f>
        <v>268.5</v>
      </c>
      <c r="F79">
        <v>27</v>
      </c>
      <c r="G79">
        <f t="shared" ref="G79" si="39">+E79*F79</f>
        <v>7249.5</v>
      </c>
      <c r="H79" s="555">
        <f>+G79/F79</f>
        <v>268.5</v>
      </c>
      <c r="I79" s="412">
        <f>+'18'!N37</f>
        <v>10.180000000000001</v>
      </c>
    </row>
    <row r="80" spans="1:9">
      <c r="B80" s="591" t="s">
        <v>557</v>
      </c>
      <c r="C80">
        <v>1</v>
      </c>
      <c r="D80" s="382" t="s">
        <v>558</v>
      </c>
      <c r="E80" s="382">
        <f>128.5*2+15</f>
        <v>272</v>
      </c>
      <c r="F80">
        <f>18+33+6</f>
        <v>57</v>
      </c>
      <c r="G80">
        <f t="shared" ref="G80" si="40">+E80*F80</f>
        <v>15504</v>
      </c>
      <c r="H80" s="555">
        <f>+G80/F80</f>
        <v>272</v>
      </c>
      <c r="I80" s="412">
        <f>+'18'!N38</f>
        <v>40.914999999999999</v>
      </c>
    </row>
    <row r="81" spans="1:9" ht="13.5" thickBot="1">
      <c r="A81" s="383"/>
      <c r="B81" s="411"/>
      <c r="C81" s="384"/>
      <c r="D81" s="385"/>
      <c r="E81" s="384"/>
      <c r="F81" s="384"/>
      <c r="G81" s="384"/>
      <c r="H81" s="413"/>
      <c r="I81" s="413"/>
    </row>
    <row r="82" spans="1:9">
      <c r="A82" s="550">
        <v>45980</v>
      </c>
      <c r="B82" s="591" t="s">
        <v>557</v>
      </c>
      <c r="C82">
        <v>1</v>
      </c>
      <c r="D82" s="382" t="s">
        <v>558</v>
      </c>
      <c r="E82" s="382">
        <f>128.5*2+15</f>
        <v>272</v>
      </c>
      <c r="F82">
        <f>35+39+36</f>
        <v>110</v>
      </c>
      <c r="G82">
        <f t="shared" ref="G82" si="41">+E82*F82</f>
        <v>29920</v>
      </c>
      <c r="H82" s="555">
        <f>+G82/F82</f>
        <v>272</v>
      </c>
      <c r="I82" s="412">
        <f>+'19'!I38</f>
        <v>64</v>
      </c>
    </row>
    <row r="83" spans="1:9" ht="13.5" thickBot="1">
      <c r="A83" s="383"/>
      <c r="B83" s="411"/>
      <c r="C83" s="384"/>
      <c r="D83" s="385"/>
      <c r="E83" s="384"/>
      <c r="F83" s="384"/>
      <c r="G83" s="384"/>
      <c r="H83" s="413"/>
      <c r="I83" s="413"/>
    </row>
    <row r="84" spans="1:9">
      <c r="A84" s="550">
        <v>45981</v>
      </c>
      <c r="B84" s="591" t="s">
        <v>557</v>
      </c>
      <c r="C84">
        <v>1</v>
      </c>
      <c r="D84" s="382" t="s">
        <v>558</v>
      </c>
      <c r="E84" s="382">
        <f>128.5*2+15</f>
        <v>272</v>
      </c>
      <c r="F84">
        <f>32+38+36</f>
        <v>106</v>
      </c>
      <c r="G84">
        <f t="shared" ref="G84" si="42">+E84*F84</f>
        <v>28832</v>
      </c>
      <c r="H84" s="555">
        <f>+G84/F84</f>
        <v>272</v>
      </c>
      <c r="I84" s="412">
        <f>+'20'!I38</f>
        <v>58.091000000000001</v>
      </c>
    </row>
    <row r="85" spans="1:9" ht="13.5" thickBot="1">
      <c r="A85" s="383"/>
      <c r="B85" s="411"/>
      <c r="C85" s="384"/>
      <c r="D85" s="385"/>
      <c r="E85" s="384"/>
      <c r="F85" s="384"/>
      <c r="G85" s="384"/>
      <c r="H85" s="413"/>
      <c r="I85" s="413"/>
    </row>
    <row r="86" spans="1:9">
      <c r="A86" s="550">
        <v>45982</v>
      </c>
      <c r="B86" s="591" t="s">
        <v>557</v>
      </c>
      <c r="C86">
        <v>1</v>
      </c>
      <c r="D86" s="382" t="s">
        <v>558</v>
      </c>
      <c r="E86" s="382">
        <f>128.5*2+15</f>
        <v>272</v>
      </c>
      <c r="F86">
        <f>35+36+29</f>
        <v>100</v>
      </c>
      <c r="G86">
        <f t="shared" ref="G86" si="43">+E86*F86</f>
        <v>27200</v>
      </c>
      <c r="H86" s="555">
        <f>+G86/F86</f>
        <v>272</v>
      </c>
      <c r="I86" s="412">
        <f>+'21'!I38</f>
        <v>60.528999999999996</v>
      </c>
    </row>
    <row r="87" spans="1:9" ht="13.5" thickBot="1">
      <c r="A87" s="383"/>
      <c r="B87" s="411"/>
      <c r="C87" s="384"/>
      <c r="D87" s="385"/>
      <c r="E87" s="384"/>
      <c r="F87" s="384"/>
      <c r="G87" s="384"/>
      <c r="H87" s="413"/>
      <c r="I87" s="413"/>
    </row>
    <row r="88" spans="1:9">
      <c r="A88" s="550">
        <v>45983</v>
      </c>
      <c r="B88" s="591" t="s">
        <v>557</v>
      </c>
      <c r="C88">
        <v>1</v>
      </c>
      <c r="D88" s="382" t="s">
        <v>558</v>
      </c>
      <c r="E88" s="382">
        <f>128.5*2+15</f>
        <v>272</v>
      </c>
      <c r="F88">
        <v>102</v>
      </c>
      <c r="G88">
        <f t="shared" ref="G88" si="44">+E88*F88</f>
        <v>27744</v>
      </c>
      <c r="H88" s="555">
        <f>+G88/F88</f>
        <v>272</v>
      </c>
      <c r="I88" s="412">
        <f>+'22'!I38</f>
        <v>52.583999999999996</v>
      </c>
    </row>
    <row r="89" spans="1:9" ht="13.5" thickBot="1">
      <c r="A89" s="383"/>
      <c r="B89" s="411"/>
      <c r="C89" s="384"/>
      <c r="D89" s="385"/>
      <c r="E89" s="384"/>
      <c r="F89" s="384"/>
      <c r="G89" s="384"/>
      <c r="H89" s="413"/>
      <c r="I89" s="413"/>
    </row>
    <row r="90" spans="1:9">
      <c r="A90" s="550">
        <v>45984</v>
      </c>
      <c r="B90" s="591" t="s">
        <v>557</v>
      </c>
      <c r="C90">
        <v>1</v>
      </c>
      <c r="D90" s="382" t="s">
        <v>558</v>
      </c>
      <c r="E90" s="382">
        <f>128.5*2+15</f>
        <v>272</v>
      </c>
      <c r="F90">
        <f>32+37+22</f>
        <v>91</v>
      </c>
      <c r="G90">
        <f t="shared" ref="G90" si="45">+E90*F90</f>
        <v>24752</v>
      </c>
      <c r="H90" s="555">
        <f>+G90/F90</f>
        <v>272</v>
      </c>
      <c r="I90" s="412">
        <f>+'23'!I38</f>
        <v>59.129999999999995</v>
      </c>
    </row>
    <row r="91" spans="1:9" ht="13.5" thickBot="1">
      <c r="A91" s="383"/>
      <c r="B91" s="411"/>
      <c r="C91" s="384"/>
      <c r="D91" s="385"/>
      <c r="E91" s="384"/>
      <c r="F91" s="384"/>
      <c r="G91" s="384"/>
      <c r="H91" s="413"/>
      <c r="I91" s="413"/>
    </row>
    <row r="92" spans="1:9">
      <c r="A92" s="550">
        <v>45985</v>
      </c>
      <c r="B92" s="591" t="s">
        <v>557</v>
      </c>
      <c r="C92">
        <v>1</v>
      </c>
      <c r="D92" s="382" t="s">
        <v>558</v>
      </c>
      <c r="E92" s="382">
        <f t="shared" ref="E92" si="46">128.5*2+15</f>
        <v>272</v>
      </c>
      <c r="F92">
        <v>70</v>
      </c>
      <c r="G92">
        <f t="shared" ref="G92:G94" si="47">+E92*F92</f>
        <v>19040</v>
      </c>
      <c r="H92" s="555">
        <f>+(E92*F92+E93*F93)/(SUM(F92:F93))</f>
        <v>271.60000000000002</v>
      </c>
      <c r="I92" s="412">
        <f>+'24'!L37</f>
        <v>38.405000000000001</v>
      </c>
    </row>
    <row r="93" spans="1:9">
      <c r="A93" s="550"/>
      <c r="B93" s="591" t="s">
        <v>553</v>
      </c>
      <c r="C93">
        <v>1</v>
      </c>
      <c r="D93" s="382" t="s">
        <v>555</v>
      </c>
      <c r="E93" s="382">
        <f>133*2</f>
        <v>266</v>
      </c>
      <c r="F93">
        <v>5</v>
      </c>
      <c r="G93">
        <f t="shared" si="47"/>
        <v>1330</v>
      </c>
      <c r="H93" s="555"/>
      <c r="I93" s="412" t="s">
        <v>808</v>
      </c>
    </row>
    <row r="94" spans="1:9">
      <c r="B94" s="591" t="s">
        <v>529</v>
      </c>
      <c r="C94">
        <v>1</v>
      </c>
      <c r="D94" s="382" t="s">
        <v>555</v>
      </c>
      <c r="E94" s="382">
        <f>133*2</f>
        <v>266</v>
      </c>
      <c r="F94">
        <v>17</v>
      </c>
      <c r="G94">
        <f t="shared" si="47"/>
        <v>4522</v>
      </c>
      <c r="H94" s="555">
        <f>+G94/F94</f>
        <v>266</v>
      </c>
      <c r="I94" s="412">
        <f>+'24'!L38</f>
        <v>18.401</v>
      </c>
    </row>
    <row r="95" spans="1:9" ht="13.5" thickBot="1">
      <c r="A95" s="383"/>
      <c r="B95" s="411"/>
      <c r="C95" s="384"/>
      <c r="D95" s="385"/>
      <c r="E95" s="384"/>
      <c r="F95" s="384"/>
      <c r="G95" s="384"/>
      <c r="H95" s="413"/>
      <c r="I95" s="413"/>
    </row>
    <row r="96" spans="1:9">
      <c r="A96" s="550">
        <v>45986</v>
      </c>
      <c r="B96" s="591" t="s">
        <v>529</v>
      </c>
      <c r="C96">
        <v>1</v>
      </c>
      <c r="D96" s="382" t="s">
        <v>555</v>
      </c>
      <c r="E96" s="382">
        <f>133*2</f>
        <v>266</v>
      </c>
      <c r="F96">
        <v>31</v>
      </c>
      <c r="G96">
        <f t="shared" ref="G96" si="48">+E96*F96</f>
        <v>8246</v>
      </c>
      <c r="H96" s="555">
        <f>+(E96*F96+E97*F97)/(SUM(F96:F97))</f>
        <v>266</v>
      </c>
      <c r="I96" s="412">
        <f>+'25'!I38</f>
        <v>51.827000000000005</v>
      </c>
    </row>
    <row r="97" spans="1:9">
      <c r="B97" s="591" t="s">
        <v>529</v>
      </c>
      <c r="C97">
        <v>1</v>
      </c>
      <c r="D97" s="382" t="s">
        <v>576</v>
      </c>
      <c r="E97" s="382">
        <v>266</v>
      </c>
      <c r="F97">
        <f>12+25</f>
        <v>37</v>
      </c>
      <c r="G97">
        <f t="shared" ref="G97" si="49">+E97*F97</f>
        <v>9842</v>
      </c>
      <c r="H97" s="555"/>
      <c r="I97" s="412"/>
    </row>
    <row r="98" spans="1:9" ht="13.5" thickBot="1">
      <c r="A98" s="383"/>
      <c r="B98" s="411"/>
      <c r="C98" s="384"/>
      <c r="D98" s="385"/>
      <c r="E98" s="384"/>
      <c r="F98" s="384"/>
      <c r="G98" s="384"/>
      <c r="H98" s="413"/>
      <c r="I98" s="413"/>
    </row>
    <row r="99" spans="1:9">
      <c r="A99" s="550">
        <v>45987</v>
      </c>
      <c r="B99" s="591" t="s">
        <v>529</v>
      </c>
      <c r="C99">
        <v>1</v>
      </c>
      <c r="D99" s="382" t="s">
        <v>576</v>
      </c>
      <c r="E99" s="382">
        <v>266</v>
      </c>
      <c r="F99">
        <v>66</v>
      </c>
      <c r="G99">
        <f t="shared" ref="G99" si="50">+E99*F99</f>
        <v>17556</v>
      </c>
      <c r="H99" s="555">
        <f>+G99/F99</f>
        <v>266</v>
      </c>
      <c r="I99" s="412">
        <f>+'26'!I38</f>
        <v>56.914000000000001</v>
      </c>
    </row>
    <row r="100" spans="1:9" ht="13.5" thickBot="1">
      <c r="A100" s="383"/>
      <c r="B100" s="411"/>
      <c r="C100" s="384"/>
      <c r="D100" s="385"/>
      <c r="E100" s="384"/>
      <c r="F100" s="384"/>
      <c r="G100" s="384"/>
      <c r="H100" s="413"/>
      <c r="I100" s="413"/>
    </row>
    <row r="101" spans="1:9">
      <c r="A101" s="550">
        <v>45988</v>
      </c>
      <c r="B101" s="591" t="s">
        <v>529</v>
      </c>
      <c r="C101">
        <v>1</v>
      </c>
      <c r="D101" s="382" t="s">
        <v>555</v>
      </c>
      <c r="E101" s="382">
        <v>266</v>
      </c>
      <c r="F101">
        <f>12+2</f>
        <v>14</v>
      </c>
      <c r="G101">
        <f t="shared" ref="G101" si="51">+E101*F101</f>
        <v>3724</v>
      </c>
      <c r="H101" s="555">
        <f>+(E101*F101+E102*F102+E103*F103)/(SUM(F101:F103))</f>
        <v>267.82456140350877</v>
      </c>
      <c r="I101" s="412">
        <f>+'27'!L37</f>
        <v>34.625999999999998</v>
      </c>
    </row>
    <row r="102" spans="1:9">
      <c r="A102" s="607"/>
      <c r="B102" s="591" t="s">
        <v>529</v>
      </c>
      <c r="C102">
        <v>1</v>
      </c>
      <c r="D102" s="382" t="s">
        <v>576</v>
      </c>
      <c r="E102" s="382">
        <v>266</v>
      </c>
      <c r="F102">
        <f>13+4</f>
        <v>17</v>
      </c>
      <c r="G102">
        <f t="shared" ref="G102" si="52">+E102*F102</f>
        <v>4522</v>
      </c>
      <c r="H102" s="555"/>
      <c r="I102" s="412"/>
    </row>
    <row r="103" spans="1:9">
      <c r="B103" s="591" t="s">
        <v>529</v>
      </c>
      <c r="C103">
        <v>1</v>
      </c>
      <c r="D103" s="382" t="s">
        <v>531</v>
      </c>
      <c r="E103" s="382">
        <f>126+144</f>
        <v>270</v>
      </c>
      <c r="F103">
        <v>26</v>
      </c>
      <c r="G103">
        <f t="shared" ref="G103" si="53">+E103*F103</f>
        <v>7020</v>
      </c>
      <c r="H103" s="555"/>
      <c r="I103" s="412"/>
    </row>
    <row r="104" spans="1:9">
      <c r="B104" s="591" t="s">
        <v>553</v>
      </c>
      <c r="C104">
        <v>1</v>
      </c>
      <c r="D104" s="382" t="s">
        <v>704</v>
      </c>
      <c r="E104" s="382">
        <f>140+122.5</f>
        <v>262.5</v>
      </c>
      <c r="F104">
        <v>31</v>
      </c>
      <c r="G104">
        <f t="shared" ref="G104" si="54">+E104*F104</f>
        <v>8137.5</v>
      </c>
      <c r="H104" s="555">
        <f>+G104/F104</f>
        <v>262.5</v>
      </c>
      <c r="I104" s="412">
        <f>+'27'!L38</f>
        <v>20.253</v>
      </c>
    </row>
    <row r="105" spans="1:9" ht="13.5" thickBot="1">
      <c r="A105" s="383"/>
      <c r="B105" s="411"/>
      <c r="C105" s="384"/>
      <c r="D105" s="385"/>
      <c r="E105" s="384"/>
      <c r="F105" s="384"/>
      <c r="G105" s="384"/>
      <c r="H105" s="413"/>
      <c r="I105" s="413"/>
    </row>
    <row r="106" spans="1:9">
      <c r="A106" s="550">
        <v>45989</v>
      </c>
      <c r="B106" s="591" t="s">
        <v>553</v>
      </c>
      <c r="C106">
        <v>1</v>
      </c>
      <c r="D106" s="382" t="s">
        <v>704</v>
      </c>
      <c r="E106" s="382">
        <f>140+122.5</f>
        <v>262.5</v>
      </c>
      <c r="F106">
        <f>29+36+37</f>
        <v>102</v>
      </c>
      <c r="G106">
        <f t="shared" ref="G106" si="55">+E106*F106</f>
        <v>26775</v>
      </c>
      <c r="H106" s="555">
        <f>+G106/F106</f>
        <v>262.5</v>
      </c>
      <c r="I106" s="412">
        <f>+'28'!I38</f>
        <v>54.030999999999992</v>
      </c>
    </row>
    <row r="107" spans="1:9" ht="13.5" thickBot="1">
      <c r="A107" s="383"/>
      <c r="B107" s="411"/>
      <c r="C107" s="384"/>
      <c r="D107" s="385"/>
      <c r="E107" s="384"/>
      <c r="F107" s="384"/>
      <c r="G107" s="384"/>
      <c r="H107" s="413"/>
      <c r="I107" s="413"/>
    </row>
    <row r="108" spans="1:9">
      <c r="A108" s="550">
        <v>45990</v>
      </c>
      <c r="B108" s="591" t="s">
        <v>553</v>
      </c>
      <c r="C108">
        <v>1</v>
      </c>
      <c r="D108" s="382" t="s">
        <v>704</v>
      </c>
      <c r="E108" s="382">
        <f>140+128</f>
        <v>268</v>
      </c>
      <c r="F108">
        <f>40+36+35</f>
        <v>111</v>
      </c>
      <c r="G108">
        <f t="shared" ref="G108" si="56">+E108*F108</f>
        <v>29748</v>
      </c>
      <c r="H108" s="555">
        <f>+G108/F108</f>
        <v>268</v>
      </c>
      <c r="I108" s="412">
        <f>+'29'!I38</f>
        <v>53.108000000000004</v>
      </c>
    </row>
    <row r="109" spans="1:9" ht="13.5" thickBot="1">
      <c r="A109" s="383"/>
      <c r="B109" s="411"/>
      <c r="C109" s="384"/>
      <c r="D109" s="385"/>
      <c r="E109" s="384"/>
      <c r="F109" s="384"/>
      <c r="G109" s="384"/>
      <c r="H109" s="413"/>
      <c r="I109" s="413"/>
    </row>
    <row r="110" spans="1:9">
      <c r="A110" s="550">
        <v>45991</v>
      </c>
      <c r="B110" s="591" t="s">
        <v>553</v>
      </c>
      <c r="C110">
        <v>1</v>
      </c>
      <c r="D110" s="382" t="s">
        <v>704</v>
      </c>
      <c r="E110" s="382">
        <f>140+128</f>
        <v>268</v>
      </c>
      <c r="F110">
        <f>37+32+4</f>
        <v>73</v>
      </c>
      <c r="G110">
        <f t="shared" ref="G110" si="57">+E110*F110</f>
        <v>19564</v>
      </c>
      <c r="H110" s="555">
        <f>+G110/F110</f>
        <v>268</v>
      </c>
      <c r="I110" s="412">
        <f>+'30'!L37</f>
        <v>32.679000000000002</v>
      </c>
    </row>
    <row r="111" spans="1:9">
      <c r="A111" s="550"/>
      <c r="B111" s="591" t="s">
        <v>557</v>
      </c>
      <c r="C111">
        <v>1</v>
      </c>
      <c r="D111" s="382" t="s">
        <v>850</v>
      </c>
      <c r="E111" s="382">
        <f>135*2</f>
        <v>270</v>
      </c>
      <c r="F111">
        <v>40</v>
      </c>
      <c r="G111">
        <f t="shared" ref="G111" si="58">+E111*F111</f>
        <v>10800</v>
      </c>
      <c r="H111" s="555">
        <f>+G111/F111</f>
        <v>270</v>
      </c>
      <c r="I111" s="412">
        <f>+'30'!L38</f>
        <v>22.158000000000001</v>
      </c>
    </row>
    <row r="112" spans="1:9" ht="13.5" thickBot="1">
      <c r="A112" s="383"/>
      <c r="B112" s="411"/>
      <c r="C112" s="384"/>
      <c r="D112" s="385"/>
      <c r="E112" s="384"/>
      <c r="F112" s="384"/>
      <c r="G112" s="384"/>
      <c r="H112" s="413"/>
      <c r="I112" s="413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6"/>
  <sheetViews>
    <sheetView tabSelected="1" zoomScale="90" zoomScaleNormal="90" workbookViewId="0">
      <pane xSplit="6" ySplit="6" topLeftCell="V7" activePane="bottomRight" state="frozen"/>
      <selection pane="topRight" activeCell="F1" sqref="F1"/>
      <selection pane="bottomLeft" activeCell="A7" sqref="A7"/>
      <selection pane="bottomRight" activeCell="B15" sqref="B15:W15"/>
    </sheetView>
  </sheetViews>
  <sheetFormatPr defaultColWidth="10.28515625" defaultRowHeight="12"/>
  <cols>
    <col min="1" max="1" width="12.28515625" style="31" customWidth="1"/>
    <col min="2" max="3" width="14.140625" style="31" customWidth="1"/>
    <col min="4" max="4" width="10.28515625" style="31" customWidth="1"/>
    <col min="5" max="5" width="7.5703125" style="31" bestFit="1" customWidth="1"/>
    <col min="6" max="6" width="7" style="60" customWidth="1"/>
    <col min="7" max="9" width="10.28515625" style="31" customWidth="1"/>
    <col min="10" max="11" width="10.28515625" style="89" customWidth="1"/>
    <col min="12" max="13" width="12.7109375" style="61" customWidth="1"/>
    <col min="14" max="15" width="10.28515625" style="31" customWidth="1"/>
    <col min="16" max="16" width="16.85546875" style="31" bestFit="1" customWidth="1"/>
    <col min="17" max="17" width="12.7109375" style="349" customWidth="1"/>
    <col min="18" max="19" width="10.28515625" style="31" customWidth="1"/>
    <col min="20" max="20" width="10.7109375" style="31" customWidth="1"/>
    <col min="21" max="21" width="10.28515625" style="31" customWidth="1"/>
    <col min="22" max="22" width="12.28515625" style="31" customWidth="1"/>
    <col min="23" max="23" width="13" style="31" customWidth="1"/>
    <col min="24" max="24" width="10.28515625" style="31" customWidth="1"/>
    <col min="25" max="25" width="10.140625" style="31" customWidth="1"/>
    <col min="26" max="28" width="10.28515625" style="31" customWidth="1"/>
    <col min="29" max="29" width="12" style="31" customWidth="1"/>
    <col min="30" max="30" width="11.42578125" style="31" bestFit="1" customWidth="1"/>
    <col min="31" max="31" width="41.42578125" style="31" customWidth="1"/>
    <col min="32" max="38" width="10.28515625" style="31" customWidth="1"/>
    <col min="39" max="39" width="11.7109375" style="31" customWidth="1"/>
    <col min="40" max="41" width="10.28515625" style="31" customWidth="1"/>
    <col min="42" max="43" width="12.42578125" style="31" customWidth="1"/>
    <col min="44" max="44" width="29.7109375" style="31" bestFit="1" customWidth="1"/>
    <col min="45" max="16384" width="10.28515625" style="31"/>
  </cols>
  <sheetData>
    <row r="1" spans="1:58" s="24" customFormat="1" ht="15.75">
      <c r="A1" s="23" t="s">
        <v>149</v>
      </c>
      <c r="G1" s="25"/>
      <c r="H1" s="25"/>
      <c r="I1" s="25"/>
      <c r="J1" s="86"/>
      <c r="K1" s="86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0"/>
      <c r="G2" s="25"/>
      <c r="H2" s="25"/>
      <c r="I2" s="25"/>
      <c r="J2" s="86"/>
      <c r="K2" s="86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78" t="s">
        <v>7</v>
      </c>
      <c r="B3" s="878" t="s">
        <v>8</v>
      </c>
      <c r="C3" s="878" t="s">
        <v>201</v>
      </c>
      <c r="D3" s="878" t="s">
        <v>91</v>
      </c>
      <c r="E3" s="878" t="s">
        <v>92</v>
      </c>
      <c r="F3" s="878" t="s">
        <v>93</v>
      </c>
      <c r="G3" s="909" t="s">
        <v>94</v>
      </c>
      <c r="H3" s="910"/>
      <c r="I3" s="910"/>
      <c r="J3" s="910"/>
      <c r="K3" s="911"/>
      <c r="L3" s="915" t="s">
        <v>95</v>
      </c>
      <c r="M3" s="916"/>
      <c r="N3" s="917"/>
      <c r="O3" s="921" t="s">
        <v>96</v>
      </c>
      <c r="P3" s="895" t="s">
        <v>108</v>
      </c>
      <c r="Q3" s="921" t="s">
        <v>97</v>
      </c>
      <c r="R3" s="890" t="s">
        <v>98</v>
      </c>
      <c r="S3" s="890" t="s">
        <v>99</v>
      </c>
      <c r="T3" s="878" t="s">
        <v>158</v>
      </c>
      <c r="U3" s="878" t="s">
        <v>157</v>
      </c>
      <c r="V3" s="878" t="s">
        <v>159</v>
      </c>
      <c r="W3" s="890" t="s">
        <v>143</v>
      </c>
      <c r="X3" s="926" t="s">
        <v>101</v>
      </c>
      <c r="Y3" s="926" t="s">
        <v>328</v>
      </c>
      <c r="Z3" s="890" t="s">
        <v>102</v>
      </c>
      <c r="AA3" s="878" t="s">
        <v>160</v>
      </c>
      <c r="AB3" s="878" t="s">
        <v>171</v>
      </c>
      <c r="AC3" s="878" t="s">
        <v>169</v>
      </c>
      <c r="AD3" s="878" t="s">
        <v>126</v>
      </c>
      <c r="AE3" s="902" t="s">
        <v>127</v>
      </c>
      <c r="AF3" s="904" t="s">
        <v>128</v>
      </c>
      <c r="AG3" s="904"/>
      <c r="AH3" s="904"/>
      <c r="AI3" s="904"/>
      <c r="AJ3" s="904"/>
      <c r="AK3" s="904"/>
      <c r="AL3" s="904"/>
      <c r="AM3" s="905" t="s">
        <v>129</v>
      </c>
      <c r="AN3" s="908" t="s">
        <v>103</v>
      </c>
      <c r="AO3" s="908"/>
      <c r="AP3" s="908"/>
      <c r="AQ3" s="908"/>
      <c r="AR3" s="908"/>
      <c r="AS3" s="900" t="s">
        <v>104</v>
      </c>
      <c r="AT3" s="896" t="s">
        <v>248</v>
      </c>
      <c r="AU3" s="897"/>
      <c r="AV3" s="882" t="s">
        <v>130</v>
      </c>
      <c r="AW3" s="883"/>
      <c r="AX3" s="884" t="s">
        <v>130</v>
      </c>
      <c r="AY3" s="885"/>
      <c r="AZ3" s="886" t="s">
        <v>332</v>
      </c>
      <c r="BA3" s="889" t="s">
        <v>105</v>
      </c>
      <c r="BB3" s="881" t="s">
        <v>106</v>
      </c>
      <c r="BC3" s="881" t="s">
        <v>107</v>
      </c>
      <c r="BD3" s="872" t="s">
        <v>408</v>
      </c>
      <c r="BE3" s="875" t="s">
        <v>409</v>
      </c>
      <c r="BF3" s="878" t="s">
        <v>410</v>
      </c>
    </row>
    <row r="4" spans="1:58" ht="12" customHeight="1">
      <c r="A4" s="879"/>
      <c r="B4" s="879"/>
      <c r="C4" s="879"/>
      <c r="D4" s="879"/>
      <c r="E4" s="879"/>
      <c r="F4" s="879"/>
      <c r="G4" s="912"/>
      <c r="H4" s="913"/>
      <c r="I4" s="913"/>
      <c r="J4" s="913"/>
      <c r="K4" s="914"/>
      <c r="L4" s="918"/>
      <c r="M4" s="919"/>
      <c r="N4" s="920"/>
      <c r="O4" s="922"/>
      <c r="P4" s="923"/>
      <c r="Q4" s="922"/>
      <c r="R4" s="925"/>
      <c r="S4" s="925"/>
      <c r="T4" s="879"/>
      <c r="U4" s="879"/>
      <c r="V4" s="879"/>
      <c r="W4" s="925"/>
      <c r="X4" s="927"/>
      <c r="Y4" s="927"/>
      <c r="Z4" s="925"/>
      <c r="AA4" s="879"/>
      <c r="AB4" s="879"/>
      <c r="AC4" s="879"/>
      <c r="AD4" s="879"/>
      <c r="AE4" s="903"/>
      <c r="AF4" s="891" t="s">
        <v>131</v>
      </c>
      <c r="AG4" s="892"/>
      <c r="AH4" s="893"/>
      <c r="AI4" s="923" t="s">
        <v>202</v>
      </c>
      <c r="AJ4" s="923" t="s">
        <v>14</v>
      </c>
      <c r="AK4" s="923" t="s">
        <v>132</v>
      </c>
      <c r="AL4" s="923" t="s">
        <v>17</v>
      </c>
      <c r="AM4" s="906"/>
      <c r="AN4" s="894" t="s">
        <v>109</v>
      </c>
      <c r="AO4" s="894" t="s">
        <v>14</v>
      </c>
      <c r="AP4" s="894" t="s">
        <v>110</v>
      </c>
      <c r="AQ4" s="894" t="s">
        <v>17</v>
      </c>
      <c r="AR4" s="889" t="s">
        <v>111</v>
      </c>
      <c r="AS4" s="900"/>
      <c r="AT4" s="898"/>
      <c r="AU4" s="899"/>
      <c r="AV4" s="521" t="s">
        <v>6</v>
      </c>
      <c r="AW4" s="521" t="s">
        <v>133</v>
      </c>
      <c r="AX4" s="522" t="s">
        <v>6</v>
      </c>
      <c r="AY4" s="523" t="s">
        <v>133</v>
      </c>
      <c r="AZ4" s="887"/>
      <c r="BA4" s="889"/>
      <c r="BB4" s="879"/>
      <c r="BC4" s="879"/>
      <c r="BD4" s="873"/>
      <c r="BE4" s="876"/>
      <c r="BF4" s="879"/>
    </row>
    <row r="5" spans="1:58" s="34" customFormat="1" ht="48">
      <c r="A5" s="879"/>
      <c r="B5" s="879"/>
      <c r="C5" s="880"/>
      <c r="D5" s="879"/>
      <c r="E5" s="879"/>
      <c r="F5" s="879"/>
      <c r="G5" s="539" t="s">
        <v>112</v>
      </c>
      <c r="H5" s="536" t="s">
        <v>113</v>
      </c>
      <c r="I5" s="32" t="s">
        <v>114</v>
      </c>
      <c r="J5" s="87" t="s">
        <v>115</v>
      </c>
      <c r="K5" s="87" t="s">
        <v>100</v>
      </c>
      <c r="L5" s="33" t="s">
        <v>116</v>
      </c>
      <c r="M5" s="33" t="s">
        <v>117</v>
      </c>
      <c r="N5" s="536" t="s">
        <v>118</v>
      </c>
      <c r="O5" s="922"/>
      <c r="P5" s="924"/>
      <c r="Q5" s="922"/>
      <c r="R5" s="925"/>
      <c r="S5" s="925"/>
      <c r="T5" s="879"/>
      <c r="U5" s="879"/>
      <c r="V5" s="879"/>
      <c r="W5" s="925"/>
      <c r="X5" s="927"/>
      <c r="Y5" s="928"/>
      <c r="Z5" s="925"/>
      <c r="AA5" s="879"/>
      <c r="AB5" s="880"/>
      <c r="AC5" s="879"/>
      <c r="AD5" s="880"/>
      <c r="AE5" s="903"/>
      <c r="AF5" s="454" t="s">
        <v>203</v>
      </c>
      <c r="AG5" s="538" t="s">
        <v>204</v>
      </c>
      <c r="AH5" s="538" t="s">
        <v>205</v>
      </c>
      <c r="AI5" s="924"/>
      <c r="AJ5" s="924"/>
      <c r="AK5" s="924"/>
      <c r="AL5" s="924"/>
      <c r="AM5" s="907"/>
      <c r="AN5" s="895"/>
      <c r="AO5" s="895"/>
      <c r="AP5" s="895"/>
      <c r="AQ5" s="895"/>
      <c r="AR5" s="890"/>
      <c r="AS5" s="901"/>
      <c r="AT5" s="537" t="s">
        <v>326</v>
      </c>
      <c r="AU5" s="537" t="s">
        <v>327</v>
      </c>
      <c r="AV5" s="524" t="s">
        <v>325</v>
      </c>
      <c r="AW5" s="524" t="s">
        <v>325</v>
      </c>
      <c r="AX5" s="522" t="s">
        <v>16</v>
      </c>
      <c r="AY5" s="522" t="s">
        <v>16</v>
      </c>
      <c r="AZ5" s="888"/>
      <c r="BA5" s="890"/>
      <c r="BB5" s="880"/>
      <c r="BC5" s="880"/>
      <c r="BD5" s="874"/>
      <c r="BE5" s="877"/>
      <c r="BF5" s="880"/>
    </row>
    <row r="6" spans="1:58" ht="12.95" customHeight="1">
      <c r="A6" s="343">
        <f>+Report1!A9</f>
        <v>45962</v>
      </c>
      <c r="B6" s="43" t="s">
        <v>231</v>
      </c>
      <c r="C6" s="447">
        <f>(M6*E6*O6*Q6)/100000000</f>
        <v>59.309192736000007</v>
      </c>
      <c r="D6" s="43" t="s">
        <v>442</v>
      </c>
      <c r="E6" s="44">
        <v>12</v>
      </c>
      <c r="F6" s="44">
        <v>1</v>
      </c>
      <c r="G6" s="459">
        <v>1270</v>
      </c>
      <c r="H6" s="46">
        <v>0</v>
      </c>
      <c r="I6" s="47">
        <v>0.88</v>
      </c>
      <c r="J6" s="88">
        <f>E6*G6*(1-H6)*1440/1000000*2.77</f>
        <v>60.789311999999995</v>
      </c>
      <c r="K6" s="88">
        <f>(IF(G6&lt;L6,L6,G6)*(1-IF(H6&lt;N6,H6,N6))*E6*O6*Q6)/100000000</f>
        <v>59.517504000000002</v>
      </c>
      <c r="L6" s="37">
        <v>1290</v>
      </c>
      <c r="M6" s="37">
        <f>+L6-L6*0.0035</f>
        <v>1285.4849999999999</v>
      </c>
      <c r="N6" s="48">
        <f>1-(M6/L6)</f>
        <v>3.5000000000000586E-3</v>
      </c>
      <c r="O6" s="49">
        <f>+'Trim Rwd'!H4</f>
        <v>267</v>
      </c>
      <c r="P6" s="50">
        <f>O6*(Q6-R6-S6)</f>
        <v>371931</v>
      </c>
      <c r="Q6" s="49">
        <v>1440</v>
      </c>
      <c r="R6" s="417">
        <v>0</v>
      </c>
      <c r="S6" s="417">
        <v>47</v>
      </c>
      <c r="T6" s="39">
        <f>E6*M6*O6*Q6/100000000</f>
        <v>59.309192736000007</v>
      </c>
      <c r="U6" s="39">
        <f>E6*M6*O6*(Q6-R6-S6)/100000000</f>
        <v>57.373406584199998</v>
      </c>
      <c r="V6" s="39">
        <f>E6*G6*(1-N6)*O6/100*(R6+S6)/1000000</f>
        <v>1.9057739633999999</v>
      </c>
      <c r="W6" s="39">
        <f>+'1'!K34/1000</f>
        <v>59.673000000000002</v>
      </c>
      <c r="X6" s="414">
        <f>SUM(W6:W9)/SUM(K6:K9)</f>
        <v>1.0026126095610461</v>
      </c>
      <c r="Y6" s="220">
        <v>0</v>
      </c>
      <c r="Z6" s="39">
        <f>+'1'!D34/1000</f>
        <v>0.86199999999999999</v>
      </c>
      <c r="AA6" s="51">
        <f>SUM(U6:U9)-SUM(W6:W9)-SUM(Z6:Z9)-SUM(Y6:Y9)</f>
        <v>-3.1615934158000041</v>
      </c>
      <c r="AB6" s="51">
        <f>(SUM(K6:K9)-SUM(W6:W9)-SUM(Y6:Y9)-SUM(Z6:Z9)-SUM(AC6:AC9)-SUM(V6:V9))-AA6</f>
        <v>3.0012188400009521E-2</v>
      </c>
      <c r="AC6" s="39">
        <f>K6-T6</f>
        <v>0.20831126399999533</v>
      </c>
      <c r="AD6" s="39">
        <f>+AM6+BA6</f>
        <v>20</v>
      </c>
      <c r="AE6" s="238" t="s">
        <v>439</v>
      </c>
      <c r="AF6" s="39">
        <v>20</v>
      </c>
      <c r="AG6" s="39"/>
      <c r="AH6" s="39"/>
      <c r="AI6" s="455"/>
      <c r="AJ6" s="39"/>
      <c r="AK6" s="39"/>
      <c r="AL6" s="39"/>
      <c r="AM6" s="39">
        <f>SUM(AF6:AL6)+AT6+AV6+AX6</f>
        <v>20</v>
      </c>
      <c r="AN6" s="39"/>
      <c r="AO6" s="39"/>
      <c r="AP6" s="39"/>
      <c r="AQ6" s="39"/>
      <c r="AR6" s="39">
        <f>SUM(AN6:AQ6)</f>
        <v>0</v>
      </c>
      <c r="AS6" s="39"/>
      <c r="AT6" s="39"/>
      <c r="AU6" s="39"/>
      <c r="AV6" s="39"/>
      <c r="AW6" s="39"/>
      <c r="AX6" s="39"/>
      <c r="AY6" s="39"/>
      <c r="AZ6" s="39"/>
      <c r="BA6" s="39">
        <f>+AR6+AS6+AU6+AW6+AY6+AZ6</f>
        <v>0</v>
      </c>
      <c r="BB6" s="35">
        <v>4</v>
      </c>
      <c r="BC6" s="53"/>
      <c r="BD6" s="53"/>
      <c r="BE6" s="35"/>
      <c r="BF6" s="53"/>
    </row>
    <row r="7" spans="1:58" ht="12.95" customHeight="1">
      <c r="A7" s="343"/>
      <c r="B7" s="43"/>
      <c r="C7" s="447"/>
      <c r="D7" s="43"/>
      <c r="E7" s="44"/>
      <c r="F7" s="44"/>
      <c r="G7" s="459"/>
      <c r="H7" s="46"/>
      <c r="I7" s="47"/>
      <c r="J7" s="88"/>
      <c r="K7" s="88"/>
      <c r="L7" s="37"/>
      <c r="M7" s="37"/>
      <c r="N7" s="48"/>
      <c r="O7" s="49"/>
      <c r="P7" s="50"/>
      <c r="Q7" s="49"/>
      <c r="R7" s="417"/>
      <c r="S7" s="417"/>
      <c r="T7" s="39"/>
      <c r="U7" s="39"/>
      <c r="V7" s="39"/>
      <c r="W7" s="39"/>
      <c r="X7" s="40"/>
      <c r="Y7" s="220"/>
      <c r="Z7" s="39"/>
      <c r="AA7" s="39"/>
      <c r="AB7" s="39"/>
      <c r="AC7" s="39"/>
      <c r="AD7" s="39">
        <f>+AM7+BA7</f>
        <v>3</v>
      </c>
      <c r="AE7" s="238" t="s">
        <v>433</v>
      </c>
      <c r="AF7" s="39"/>
      <c r="AG7" s="39">
        <v>3</v>
      </c>
      <c r="AH7" s="39"/>
      <c r="AI7" s="455"/>
      <c r="AJ7" s="39"/>
      <c r="AK7" s="39"/>
      <c r="AL7" s="39"/>
      <c r="AM7" s="39">
        <f>SUM(AF7:AL7)+AT7+AV7+AX7</f>
        <v>3</v>
      </c>
      <c r="AN7" s="89"/>
      <c r="AO7" s="39"/>
      <c r="AP7" s="39"/>
      <c r="AQ7" s="39"/>
      <c r="AR7" s="39">
        <f>SUM(AN7:AQ7)</f>
        <v>0</v>
      </c>
      <c r="AS7" s="39"/>
      <c r="AT7" s="39"/>
      <c r="AU7" s="39"/>
      <c r="AV7" s="39"/>
      <c r="AW7" s="39"/>
      <c r="AX7" s="39"/>
      <c r="AY7" s="39"/>
      <c r="AZ7" s="39"/>
      <c r="BA7" s="39">
        <f>+AR7+AS7+AU7+AW7+AY7+AZ7</f>
        <v>0</v>
      </c>
      <c r="BB7" s="52"/>
      <c r="BC7" s="53">
        <v>2</v>
      </c>
      <c r="BD7" s="53"/>
      <c r="BE7" s="52"/>
      <c r="BF7" s="53"/>
    </row>
    <row r="8" spans="1:58" ht="12.95" customHeight="1">
      <c r="A8" s="42"/>
      <c r="B8" s="43"/>
      <c r="C8" s="447"/>
      <c r="D8" s="43"/>
      <c r="E8" s="44"/>
      <c r="F8" s="44"/>
      <c r="G8" s="45"/>
      <c r="H8" s="46"/>
      <c r="I8" s="47"/>
      <c r="J8" s="88"/>
      <c r="K8" s="88"/>
      <c r="L8" s="37"/>
      <c r="M8" s="37"/>
      <c r="N8" s="48"/>
      <c r="O8" s="49"/>
      <c r="P8" s="50"/>
      <c r="Q8" s="49"/>
      <c r="R8" s="417"/>
      <c r="S8" s="417"/>
      <c r="T8" s="39"/>
      <c r="U8" s="39"/>
      <c r="V8" s="39"/>
      <c r="W8" s="39"/>
      <c r="X8" s="40"/>
      <c r="Y8" s="220"/>
      <c r="Z8" s="39"/>
      <c r="AA8" s="39"/>
      <c r="AB8" s="39"/>
      <c r="AC8" s="39"/>
      <c r="AD8" s="39">
        <f>+AM8+BA8</f>
        <v>24</v>
      </c>
      <c r="AE8" s="238" t="s">
        <v>444</v>
      </c>
      <c r="AF8" s="35"/>
      <c r="AG8" s="35"/>
      <c r="AH8" s="35">
        <v>24</v>
      </c>
      <c r="AJ8" s="39"/>
      <c r="AK8" s="39"/>
      <c r="AL8" s="39"/>
      <c r="AM8" s="39">
        <f>SUM(AF8:AL8)+AT8+AV8+AX8</f>
        <v>24</v>
      </c>
      <c r="AN8" s="39"/>
      <c r="AO8" s="39"/>
      <c r="AP8" s="39"/>
      <c r="AQ8" s="39"/>
      <c r="AR8" s="39">
        <f>SUM(AN8:AQ8)</f>
        <v>0</v>
      </c>
      <c r="AS8" s="39"/>
      <c r="AT8" s="39"/>
      <c r="AU8" s="39"/>
      <c r="AV8" s="39"/>
      <c r="AW8" s="39"/>
      <c r="AX8" s="39"/>
      <c r="AY8" s="39"/>
      <c r="AZ8" s="39"/>
      <c r="BA8" s="39">
        <f>+AR8+AS8+AU8+AW8+AY8+AZ8</f>
        <v>0</v>
      </c>
      <c r="BB8" s="35"/>
      <c r="BC8" s="55"/>
      <c r="BD8" s="55"/>
      <c r="BE8" s="35"/>
      <c r="BF8" s="55"/>
    </row>
    <row r="9" spans="1:58" ht="12.95" customHeight="1">
      <c r="A9" s="343"/>
      <c r="B9" s="43"/>
      <c r="C9" s="447"/>
      <c r="D9" s="43"/>
      <c r="E9" s="44"/>
      <c r="F9" s="44"/>
      <c r="G9" s="459"/>
      <c r="H9" s="46"/>
      <c r="I9" s="47"/>
      <c r="J9" s="88"/>
      <c r="K9" s="88"/>
      <c r="L9" s="37"/>
      <c r="M9" s="37"/>
      <c r="N9" s="48"/>
      <c r="O9" s="49"/>
      <c r="P9" s="50"/>
      <c r="Q9" s="49"/>
      <c r="R9" s="417"/>
      <c r="S9" s="417"/>
      <c r="T9" s="39"/>
      <c r="U9" s="39"/>
      <c r="V9" s="39"/>
      <c r="W9" s="39"/>
      <c r="X9" s="414"/>
      <c r="Y9" s="220"/>
      <c r="Z9" s="39"/>
      <c r="AA9" s="51"/>
      <c r="AB9" s="51"/>
      <c r="AC9" s="39"/>
      <c r="AD9" s="39"/>
      <c r="AE9" s="238"/>
      <c r="AF9" s="39"/>
      <c r="AG9" s="39"/>
      <c r="AH9" s="39"/>
      <c r="AI9" s="455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5"/>
      <c r="BC9" s="53"/>
      <c r="BD9" s="53"/>
      <c r="BE9" s="53"/>
      <c r="BF9" s="53"/>
    </row>
    <row r="10" spans="1:58" ht="12.95" customHeight="1">
      <c r="A10" s="343">
        <v>45963</v>
      </c>
      <c r="B10" s="43" t="s">
        <v>231</v>
      </c>
      <c r="C10" s="447">
        <f>(M10*E10*O10*Q10)/100000000</f>
        <v>42.588229831304339</v>
      </c>
      <c r="D10" s="43" t="s">
        <v>442</v>
      </c>
      <c r="E10" s="44">
        <v>14</v>
      </c>
      <c r="F10" s="44">
        <v>1</v>
      </c>
      <c r="G10" s="459">
        <v>1270</v>
      </c>
      <c r="H10" s="46">
        <v>0</v>
      </c>
      <c r="I10" s="47">
        <v>0.88</v>
      </c>
      <c r="J10" s="88">
        <f>E10*G10*(1-H10)*1440/1000000*2.77</f>
        <v>70.920864000000009</v>
      </c>
      <c r="K10" s="88">
        <f>(IF(G10&lt;L10,L10,G10)*(1-IF(H10&lt;N10,H10,N10))*E10*O10*Q10)/100000000</f>
        <v>42.737812173913042</v>
      </c>
      <c r="L10" s="37">
        <v>1290</v>
      </c>
      <c r="M10" s="37">
        <v>1285.4849999999999</v>
      </c>
      <c r="N10" s="48">
        <f>1-(M10/L10)</f>
        <v>3.5000000000000586E-3</v>
      </c>
      <c r="O10" s="49">
        <f>+'Trim Rwd'!H6</f>
        <v>268.91304347826087</v>
      </c>
      <c r="P10" s="50">
        <f>O10*(Q10-R10-S10)</f>
        <v>229382.82608695651</v>
      </c>
      <c r="Q10" s="49">
        <v>880</v>
      </c>
      <c r="R10" s="417">
        <v>0</v>
      </c>
      <c r="S10" s="417">
        <v>27</v>
      </c>
      <c r="T10" s="39">
        <f>E10*M10*O10*Q10/100000000</f>
        <v>42.588229831304339</v>
      </c>
      <c r="U10" s="39">
        <f>E10*M10*O10*(Q10-R10-S10)/100000000</f>
        <v>41.281545506934776</v>
      </c>
      <c r="V10" s="39">
        <f>E10*G10*(1-N10)*O10/100*(R10+S10)/1000000</f>
        <v>1.2864256526739131</v>
      </c>
      <c r="W10" s="39">
        <f>+'2'!K7/1000</f>
        <v>51.575000000000003</v>
      </c>
      <c r="X10" s="414">
        <f>SUM(W10:W13)/SUM(K10:K13)</f>
        <v>0.85910238670422456</v>
      </c>
      <c r="Y10" s="220">
        <v>0</v>
      </c>
      <c r="Z10" s="39">
        <f>+'2'!D34/1000</f>
        <v>0.96699999999999997</v>
      </c>
      <c r="AA10" s="51">
        <f>SUM(U10:U13)-SUM(W10:W13)-SUM(Z10:Z13)-SUM(Y10:Y13)</f>
        <v>5.6216186319347718</v>
      </c>
      <c r="AB10" s="51">
        <f>(SUM(K10:K13)-SUM(W10:W13)-SUM(Y10:Y13)-SUM(Z10:Z13)-SUM(AC10:AC13)-SUM(V10:V13))-AA10</f>
        <v>4.6736310706512185E-3</v>
      </c>
      <c r="AC10" s="39">
        <f>K10-T10</f>
        <v>0.14958234260870285</v>
      </c>
      <c r="AD10" s="39">
        <f>+AM10+BA10</f>
        <v>25</v>
      </c>
      <c r="AE10" s="238" t="s">
        <v>443</v>
      </c>
      <c r="AF10" s="39">
        <v>25</v>
      </c>
      <c r="AG10" s="39"/>
      <c r="AH10" s="39"/>
      <c r="AI10" s="455"/>
      <c r="AJ10" s="39"/>
      <c r="AK10" s="39"/>
      <c r="AL10" s="39"/>
      <c r="AM10" s="39">
        <f>SUM(AF10:AL10)+AT10+AV10+AX10</f>
        <v>25</v>
      </c>
      <c r="AN10" s="39"/>
      <c r="AO10" s="39"/>
      <c r="AP10" s="39"/>
      <c r="AQ10" s="39"/>
      <c r="AR10" s="39">
        <f>SUM(AN10:AQ10)</f>
        <v>0</v>
      </c>
      <c r="AS10" s="39"/>
      <c r="AT10" s="39"/>
      <c r="AU10" s="39"/>
      <c r="AV10" s="39"/>
      <c r="AW10" s="39"/>
      <c r="AX10" s="39"/>
      <c r="AY10" s="39"/>
      <c r="AZ10" s="39"/>
      <c r="BA10" s="39">
        <f>+AR10+AS10+AU10+AW10+AY10+AZ10</f>
        <v>0</v>
      </c>
      <c r="BB10" s="35">
        <v>5</v>
      </c>
      <c r="BC10" s="53"/>
      <c r="BD10" s="53"/>
      <c r="BE10" s="35"/>
      <c r="BF10" s="53"/>
    </row>
    <row r="11" spans="1:58" ht="12.95" customHeight="1">
      <c r="A11" s="343"/>
      <c r="B11" s="43" t="s">
        <v>231</v>
      </c>
      <c r="C11" s="447">
        <f>(M11*E11*O11*Q11)/100000000</f>
        <v>29.923278</v>
      </c>
      <c r="D11" s="43" t="s">
        <v>442</v>
      </c>
      <c r="E11" s="44">
        <v>16.5</v>
      </c>
      <c r="F11" s="44">
        <v>1</v>
      </c>
      <c r="G11" s="459">
        <v>1210</v>
      </c>
      <c r="H11" s="46">
        <v>0</v>
      </c>
      <c r="I11" s="47">
        <v>0.88</v>
      </c>
      <c r="J11" s="88">
        <f>E11*G11*(1-H11)*1440/1000000*2.77</f>
        <v>79.636392000000001</v>
      </c>
      <c r="K11" s="88">
        <f>(IF(G11&lt;L11,L11,G11)*(1-IF(H11&lt;N11,H11,N11))*E11*O11*Q11)/100000000</f>
        <v>30.298884000000001</v>
      </c>
      <c r="L11" s="37">
        <v>1200</v>
      </c>
      <c r="M11" s="37">
        <v>1195</v>
      </c>
      <c r="N11" s="48">
        <f>1-(M11/L11)</f>
        <v>4.1666666666666519E-3</v>
      </c>
      <c r="O11" s="49">
        <f>+'Trim Rwd'!H8</f>
        <v>271</v>
      </c>
      <c r="P11" s="50">
        <f>O11*(Q11-R11-S11)</f>
        <v>142275</v>
      </c>
      <c r="Q11" s="49">
        <v>560</v>
      </c>
      <c r="R11" s="417">
        <v>0</v>
      </c>
      <c r="S11" s="417">
        <v>35</v>
      </c>
      <c r="T11" s="39">
        <f>E11*M11*O11*Q11/100000000</f>
        <v>29.923278</v>
      </c>
      <c r="U11" s="39">
        <f>E11*M11*O11*(Q11-R11-S11)/100000000</f>
        <v>28.053073125000001</v>
      </c>
      <c r="V11" s="39">
        <f>E11*G11*(1-N11)*O11/100*(R11+S11)/1000000</f>
        <v>1.8857899156250002</v>
      </c>
      <c r="W11" s="39">
        <f>+'2'!K8/1000</f>
        <v>11.170999999999999</v>
      </c>
      <c r="X11" s="40"/>
      <c r="Y11" s="220"/>
      <c r="Z11" s="39"/>
      <c r="AA11" s="39"/>
      <c r="AB11" s="39"/>
      <c r="AC11" s="39">
        <f>K11-T11</f>
        <v>0.37560600000000122</v>
      </c>
      <c r="AD11" s="39">
        <f>+AM11+BA11</f>
        <v>2</v>
      </c>
      <c r="AE11" s="238" t="s">
        <v>433</v>
      </c>
      <c r="AF11" s="39"/>
      <c r="AG11" s="39">
        <v>2</v>
      </c>
      <c r="AH11" s="39"/>
      <c r="AI11" s="455"/>
      <c r="AJ11" s="39"/>
      <c r="AK11" s="39"/>
      <c r="AL11" s="39"/>
      <c r="AM11" s="39">
        <f>SUM(AF11:AL11)+AT11+AV11+AX11</f>
        <v>2</v>
      </c>
      <c r="AN11" s="89"/>
      <c r="AO11" s="39"/>
      <c r="AP11" s="39"/>
      <c r="AQ11" s="39"/>
      <c r="AR11" s="39">
        <f>SUM(AN11:AQ11)</f>
        <v>0</v>
      </c>
      <c r="AS11" s="39"/>
      <c r="AT11" s="39"/>
      <c r="AU11" s="39"/>
      <c r="AV11" s="39"/>
      <c r="AW11" s="39"/>
      <c r="AX11" s="39"/>
      <c r="AY11" s="39"/>
      <c r="AZ11" s="39"/>
      <c r="BA11" s="39">
        <f>+AR11+AS11+AU11+AW11+AY11+AZ11</f>
        <v>0</v>
      </c>
      <c r="BB11" s="52"/>
      <c r="BC11" s="53">
        <v>2</v>
      </c>
      <c r="BD11" s="53"/>
      <c r="BE11" s="52"/>
      <c r="BF11" s="53"/>
    </row>
    <row r="12" spans="1:58" ht="12.95" customHeight="1">
      <c r="A12" s="42"/>
      <c r="B12" s="43"/>
      <c r="C12" s="447"/>
      <c r="D12" s="43"/>
      <c r="E12" s="44"/>
      <c r="F12" s="44"/>
      <c r="G12" s="45"/>
      <c r="H12" s="46"/>
      <c r="I12" s="47"/>
      <c r="J12" s="88"/>
      <c r="K12" s="88"/>
      <c r="L12" s="37"/>
      <c r="M12" s="37"/>
      <c r="N12" s="48"/>
      <c r="O12" s="49"/>
      <c r="P12" s="50"/>
      <c r="Q12" s="49"/>
      <c r="R12" s="417"/>
      <c r="S12" s="417"/>
      <c r="T12" s="39"/>
      <c r="U12" s="39"/>
      <c r="V12" s="39"/>
      <c r="W12" s="39"/>
      <c r="X12" s="40"/>
      <c r="Y12" s="220"/>
      <c r="Z12" s="39"/>
      <c r="AA12" s="39"/>
      <c r="AB12" s="39"/>
      <c r="AC12" s="39"/>
      <c r="AD12" s="39">
        <f>+AM12+BA12</f>
        <v>25</v>
      </c>
      <c r="AE12" s="238" t="s">
        <v>444</v>
      </c>
      <c r="AF12" s="35"/>
      <c r="AG12" s="35"/>
      <c r="AH12" s="35">
        <v>25</v>
      </c>
      <c r="AJ12" s="39"/>
      <c r="AK12" s="39"/>
      <c r="AL12" s="39"/>
      <c r="AM12" s="39">
        <f>SUM(AF12:AL12)+AT12+AV12+AX12</f>
        <v>25</v>
      </c>
      <c r="AN12" s="39"/>
      <c r="AO12" s="39"/>
      <c r="AP12" s="39"/>
      <c r="AQ12" s="39"/>
      <c r="AR12" s="39">
        <f>SUM(AN12:AQ12)</f>
        <v>0</v>
      </c>
      <c r="AS12" s="39"/>
      <c r="AT12" s="39"/>
      <c r="AU12" s="39"/>
      <c r="AV12" s="39"/>
      <c r="AW12" s="39"/>
      <c r="AX12" s="39"/>
      <c r="AY12" s="39"/>
      <c r="AZ12" s="39"/>
      <c r="BA12" s="39">
        <f>+AR12+AS12+AU12+AW12+AY12+AZ12</f>
        <v>0</v>
      </c>
      <c r="BB12" s="35"/>
      <c r="BC12" s="55"/>
      <c r="BD12" s="55"/>
      <c r="BE12" s="35"/>
      <c r="BF12" s="55"/>
    </row>
    <row r="13" spans="1:58" ht="12.95" customHeight="1">
      <c r="A13" s="42"/>
      <c r="B13" s="43"/>
      <c r="C13" s="447"/>
      <c r="D13" s="43"/>
      <c r="E13" s="44"/>
      <c r="F13" s="44"/>
      <c r="G13" s="45"/>
      <c r="H13" s="46"/>
      <c r="I13" s="47"/>
      <c r="J13" s="88"/>
      <c r="K13" s="88"/>
      <c r="L13" s="37"/>
      <c r="M13" s="37"/>
      <c r="N13" s="48"/>
      <c r="O13" s="49"/>
      <c r="P13" s="50"/>
      <c r="Q13" s="36"/>
      <c r="R13" s="417"/>
      <c r="S13" s="417"/>
      <c r="T13" s="39"/>
      <c r="U13" s="39"/>
      <c r="V13" s="39"/>
      <c r="W13" s="39"/>
      <c r="X13" s="40"/>
      <c r="Y13" s="220"/>
      <c r="Z13" s="39"/>
      <c r="AA13" s="39"/>
      <c r="AB13" s="39"/>
      <c r="AC13" s="39"/>
      <c r="AD13" s="39">
        <f>+AM13+BA13</f>
        <v>10</v>
      </c>
      <c r="AE13" s="241" t="s">
        <v>415</v>
      </c>
      <c r="AF13" s="39"/>
      <c r="AG13" s="39"/>
      <c r="AH13" s="39"/>
      <c r="AI13" s="455">
        <v>10</v>
      </c>
      <c r="AJ13" s="39"/>
      <c r="AK13" s="39"/>
      <c r="AL13" s="39"/>
      <c r="AM13" s="39">
        <f>SUM(AF13:AL13)+AT13+AV13+AX13</f>
        <v>10</v>
      </c>
      <c r="AN13" s="39"/>
      <c r="AO13" s="39"/>
      <c r="AP13" s="39"/>
      <c r="AQ13" s="39"/>
      <c r="AR13" s="39">
        <f>SUM(AN13:AQ13)</f>
        <v>0</v>
      </c>
      <c r="AS13" s="39"/>
      <c r="AT13" s="39"/>
      <c r="AU13" s="39"/>
      <c r="AV13" s="39"/>
      <c r="AW13" s="39"/>
      <c r="AX13" s="39"/>
      <c r="AY13" s="39"/>
      <c r="AZ13" s="39"/>
      <c r="BA13" s="39">
        <f>+AR13+AS13+AU13+AW13+AY13+AZ13</f>
        <v>0</v>
      </c>
      <c r="BB13" s="35"/>
      <c r="BC13" s="55"/>
      <c r="BD13" s="55"/>
      <c r="BE13" s="35"/>
      <c r="BF13" s="55"/>
    </row>
    <row r="14" spans="1:58" ht="12.95" customHeight="1">
      <c r="A14" s="343"/>
      <c r="B14" s="43"/>
      <c r="C14" s="447"/>
      <c r="D14" s="43"/>
      <c r="E14" s="44"/>
      <c r="F14" s="44"/>
      <c r="G14" s="459"/>
      <c r="H14" s="46"/>
      <c r="I14" s="47"/>
      <c r="J14" s="88"/>
      <c r="K14" s="88"/>
      <c r="L14" s="37"/>
      <c r="M14" s="37"/>
      <c r="N14" s="48"/>
      <c r="O14" s="49"/>
      <c r="P14" s="50"/>
      <c r="Q14" s="49"/>
      <c r="R14" s="417"/>
      <c r="S14" s="417"/>
      <c r="T14" s="39"/>
      <c r="U14" s="39"/>
      <c r="V14" s="39"/>
      <c r="W14" s="39"/>
      <c r="X14" s="40"/>
      <c r="Y14" s="220"/>
      <c r="Z14" s="39"/>
      <c r="AA14" s="39"/>
      <c r="AB14" s="39"/>
      <c r="AC14" s="39"/>
      <c r="AD14" s="39"/>
      <c r="AE14" s="241"/>
      <c r="AF14" s="39"/>
      <c r="AG14" s="39"/>
      <c r="AH14" s="39"/>
      <c r="AI14" s="455"/>
      <c r="AJ14" s="39"/>
      <c r="AK14" s="39"/>
      <c r="AL14" s="39"/>
      <c r="AM14" s="39"/>
      <c r="AN14" s="8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52"/>
      <c r="BC14" s="53"/>
      <c r="BD14" s="53"/>
      <c r="BE14" s="53"/>
      <c r="BF14" s="53"/>
    </row>
    <row r="15" spans="1:58" ht="12.95" customHeight="1">
      <c r="A15" s="343">
        <v>45964</v>
      </c>
      <c r="B15" s="43" t="s">
        <v>231</v>
      </c>
      <c r="C15" s="447">
        <f>(M15*E15*O15*Q15)/100000000</f>
        <v>73.345842871910719</v>
      </c>
      <c r="D15" s="43" t="s">
        <v>442</v>
      </c>
      <c r="E15" s="44">
        <v>16.5</v>
      </c>
      <c r="F15" s="44">
        <v>1</v>
      </c>
      <c r="G15" s="459">
        <v>1210</v>
      </c>
      <c r="H15" s="46">
        <v>0</v>
      </c>
      <c r="I15" s="47">
        <v>0.88</v>
      </c>
      <c r="J15" s="88">
        <f>E15*G15*(1-H15)*1440/1000000*2.77</f>
        <v>79.636392000000001</v>
      </c>
      <c r="K15" s="88">
        <f>(IF(G15&lt;L15,L15,G15)*(1-IF(H15&lt;N15,H15,N15))*E15*O15*Q15)/100000000</f>
        <v>75.322240714285712</v>
      </c>
      <c r="L15" s="37">
        <v>1182.3888888888889</v>
      </c>
      <c r="M15" s="37">
        <v>1178.250527777778</v>
      </c>
      <c r="N15" s="48">
        <f>1-(M15/L15)</f>
        <v>3.4999999999998366E-3</v>
      </c>
      <c r="O15" s="49">
        <f>+'Trim Rwd'!H11</f>
        <v>261.99404761904759</v>
      </c>
      <c r="P15" s="50">
        <f>O15*(Q15-R15-S15)</f>
        <v>358669.85119047615</v>
      </c>
      <c r="Q15" s="49">
        <v>1440</v>
      </c>
      <c r="R15" s="417">
        <v>0</v>
      </c>
      <c r="S15" s="417">
        <v>71</v>
      </c>
      <c r="T15" s="39">
        <f>E15*M15*O15*Q15/100000000</f>
        <v>73.345842871910719</v>
      </c>
      <c r="U15" s="39">
        <f>E15*M15*O15*(Q15-R15-S15)/100000000</f>
        <v>69.72948534142067</v>
      </c>
      <c r="V15" s="39">
        <f>E15*G15*(1-N15)*O15/100*(R15+S15)/1000000</f>
        <v>3.7008066068727681</v>
      </c>
      <c r="W15" s="39">
        <f>+'3'!K8/1000</f>
        <v>63.192999999999998</v>
      </c>
      <c r="X15" s="414">
        <f>SUM(W15:W18)/SUM(K15:K18)</f>
        <v>0.87121677976786538</v>
      </c>
      <c r="Y15" s="220">
        <v>0</v>
      </c>
      <c r="Z15" s="39">
        <f>+'3'!D34/1000</f>
        <v>0.84799999999999998</v>
      </c>
      <c r="AA15" s="51">
        <f>SUM(U15:U18)-SUM(W15:W18)-SUM(Z15:Z18)-SUM(Y15:Y18)</f>
        <v>3.2594853414206701</v>
      </c>
      <c r="AB15" s="51">
        <f>(SUM(K15:K18)-SUM(W15:W18)-SUM(Y15:Y18)-SUM(Z15:Z18)-SUM(AC15:AC18)-SUM(V15:V18))-AA15</f>
        <v>-8.4449076382719923E-2</v>
      </c>
      <c r="AC15" s="39">
        <f>K15-T15</f>
        <v>1.9763978423749933</v>
      </c>
      <c r="AD15" s="39">
        <f>+AM15+BA15</f>
        <v>30</v>
      </c>
      <c r="AE15" s="238" t="s">
        <v>464</v>
      </c>
      <c r="AF15" s="39">
        <v>30</v>
      </c>
      <c r="AG15" s="39"/>
      <c r="AH15" s="39"/>
      <c r="AI15" s="455"/>
      <c r="AJ15" s="39"/>
      <c r="AK15" s="39"/>
      <c r="AL15" s="39"/>
      <c r="AM15" s="39">
        <f>SUM(AF15:AL15)+AT15+AV15+AX15</f>
        <v>30</v>
      </c>
      <c r="AN15" s="39"/>
      <c r="AO15" s="39"/>
      <c r="AP15" s="39"/>
      <c r="AQ15" s="39"/>
      <c r="AR15" s="39">
        <f>SUM(AN15:AQ15)</f>
        <v>0</v>
      </c>
      <c r="AS15" s="39"/>
      <c r="AT15" s="39"/>
      <c r="AU15" s="39"/>
      <c r="AV15" s="39"/>
      <c r="AW15" s="39"/>
      <c r="AX15" s="39"/>
      <c r="AY15" s="39"/>
      <c r="AZ15" s="39"/>
      <c r="BA15" s="39">
        <f>+AR15+AS15+AU15+AW15+AY15+AZ15</f>
        <v>0</v>
      </c>
      <c r="BB15" s="35">
        <v>6</v>
      </c>
      <c r="BC15" s="53"/>
      <c r="BD15" s="53"/>
      <c r="BE15" s="35"/>
      <c r="BF15" s="53"/>
    </row>
    <row r="16" spans="1:58" ht="12.95" customHeight="1">
      <c r="A16" s="343"/>
      <c r="B16" s="43" t="s">
        <v>231</v>
      </c>
      <c r="C16" s="447"/>
      <c r="D16" s="43"/>
      <c r="E16" s="44">
        <v>14</v>
      </c>
      <c r="F16" s="44"/>
      <c r="G16" s="459"/>
      <c r="H16" s="46"/>
      <c r="I16" s="47"/>
      <c r="J16" s="88"/>
      <c r="K16" s="88"/>
      <c r="L16" s="37"/>
      <c r="M16" s="37"/>
      <c r="N16" s="48"/>
      <c r="O16" s="49"/>
      <c r="P16" s="50"/>
      <c r="Q16" s="49"/>
      <c r="R16" s="417"/>
      <c r="S16" s="417"/>
      <c r="T16" s="39"/>
      <c r="U16" s="39"/>
      <c r="V16" s="39"/>
      <c r="W16" s="39">
        <f>+'3'!K7/1000</f>
        <v>2.4289999999999998</v>
      </c>
      <c r="X16" s="40"/>
      <c r="Y16" s="220"/>
      <c r="Z16" s="39"/>
      <c r="AA16" s="39"/>
      <c r="AB16" s="39"/>
      <c r="AC16" s="39"/>
      <c r="AD16" s="39">
        <f>+AM16+BA16</f>
        <v>0</v>
      </c>
      <c r="AE16" s="238" t="s">
        <v>427</v>
      </c>
      <c r="AF16" s="39"/>
      <c r="AG16" s="39">
        <v>0</v>
      </c>
      <c r="AH16" s="39"/>
      <c r="AI16" s="455"/>
      <c r="AJ16" s="39"/>
      <c r="AK16" s="39"/>
      <c r="AL16" s="39"/>
      <c r="AM16" s="39">
        <f>SUM(AF16:AL16)+AT16+AV16+AX16</f>
        <v>0</v>
      </c>
      <c r="AN16" s="89"/>
      <c r="AO16" s="39"/>
      <c r="AP16" s="39"/>
      <c r="AQ16" s="39"/>
      <c r="AR16" s="39">
        <f>SUM(AN16:AQ16)</f>
        <v>0</v>
      </c>
      <c r="AS16" s="39"/>
      <c r="AT16" s="39"/>
      <c r="AU16" s="39"/>
      <c r="AV16" s="39"/>
      <c r="AW16" s="39"/>
      <c r="AX16" s="39"/>
      <c r="AY16" s="39"/>
      <c r="AZ16" s="39"/>
      <c r="BA16" s="39">
        <f>+AR16+AS16+AU16+AW16+AY16+AZ16</f>
        <v>0</v>
      </c>
      <c r="BB16" s="52"/>
      <c r="BC16" s="53">
        <v>0</v>
      </c>
      <c r="BD16" s="53"/>
      <c r="BE16" s="52"/>
      <c r="BF16" s="53"/>
    </row>
    <row r="17" spans="1:58" ht="12.95" customHeight="1">
      <c r="A17" s="42"/>
      <c r="B17" s="43"/>
      <c r="C17" s="447"/>
      <c r="D17" s="43"/>
      <c r="E17" s="44"/>
      <c r="F17" s="44"/>
      <c r="G17" s="45"/>
      <c r="H17" s="46"/>
      <c r="I17" s="47"/>
      <c r="J17" s="88"/>
      <c r="K17" s="88"/>
      <c r="L17" s="37"/>
      <c r="M17" s="37"/>
      <c r="N17" s="48"/>
      <c r="O17" s="49"/>
      <c r="P17" s="50"/>
      <c r="Q17" s="49"/>
      <c r="R17" s="417"/>
      <c r="S17" s="417"/>
      <c r="T17" s="39"/>
      <c r="U17" s="39"/>
      <c r="V17" s="39"/>
      <c r="W17" s="39"/>
      <c r="X17" s="40"/>
      <c r="Y17" s="220"/>
      <c r="Z17" s="39"/>
      <c r="AA17" s="39"/>
      <c r="AB17" s="39"/>
      <c r="AC17" s="39"/>
      <c r="AD17" s="39">
        <f>+AM17+BA17</f>
        <v>31</v>
      </c>
      <c r="AE17" s="238" t="s">
        <v>466</v>
      </c>
      <c r="AF17" s="35"/>
      <c r="AG17" s="35"/>
      <c r="AH17" s="35">
        <v>31</v>
      </c>
      <c r="AJ17" s="39"/>
      <c r="AK17" s="39"/>
      <c r="AL17" s="39"/>
      <c r="AM17" s="39">
        <f>SUM(AF17:AL17)+AT17+AV17+AX17</f>
        <v>31</v>
      </c>
      <c r="AN17" s="39"/>
      <c r="AO17" s="39"/>
      <c r="AP17" s="39"/>
      <c r="AQ17" s="39"/>
      <c r="AR17" s="39">
        <f>SUM(AN17:AQ17)</f>
        <v>0</v>
      </c>
      <c r="AS17" s="39"/>
      <c r="AT17" s="39"/>
      <c r="AU17" s="39"/>
      <c r="AV17" s="39"/>
      <c r="AW17" s="39"/>
      <c r="AX17" s="39"/>
      <c r="AY17" s="39"/>
      <c r="AZ17" s="39"/>
      <c r="BA17" s="39">
        <f>+AR17+AS17+AU17+AW17+AY17+AZ17</f>
        <v>0</v>
      </c>
      <c r="BB17" s="35"/>
      <c r="BC17" s="55"/>
      <c r="BD17" s="55"/>
      <c r="BE17" s="35"/>
      <c r="BF17" s="55"/>
    </row>
    <row r="18" spans="1:58" ht="12.95" customHeight="1">
      <c r="A18" s="42"/>
      <c r="B18" s="43"/>
      <c r="C18" s="447"/>
      <c r="D18" s="43"/>
      <c r="E18" s="44"/>
      <c r="F18" s="44"/>
      <c r="G18" s="45"/>
      <c r="H18" s="46"/>
      <c r="I18" s="47"/>
      <c r="J18" s="88"/>
      <c r="K18" s="88"/>
      <c r="L18" s="37"/>
      <c r="M18" s="37"/>
      <c r="N18" s="48"/>
      <c r="O18" s="49"/>
      <c r="P18" s="50"/>
      <c r="Q18" s="36"/>
      <c r="R18" s="417"/>
      <c r="S18" s="417"/>
      <c r="T18" s="39"/>
      <c r="U18" s="39"/>
      <c r="V18" s="39"/>
      <c r="W18" s="39"/>
      <c r="X18" s="40"/>
      <c r="Y18" s="220"/>
      <c r="Z18" s="39"/>
      <c r="AA18" s="39"/>
      <c r="AB18" s="39"/>
      <c r="AC18" s="39"/>
      <c r="AD18" s="39">
        <f>+AM18+BA18</f>
        <v>10</v>
      </c>
      <c r="AE18" s="241" t="s">
        <v>415</v>
      </c>
      <c r="AF18" s="39"/>
      <c r="AG18" s="39"/>
      <c r="AH18" s="39"/>
      <c r="AI18" s="455">
        <v>10</v>
      </c>
      <c r="AJ18" s="39"/>
      <c r="AK18" s="39"/>
      <c r="AL18" s="39"/>
      <c r="AM18" s="39">
        <f>SUM(AF18:AL18)+AT18+AV18+AX18</f>
        <v>10</v>
      </c>
      <c r="AN18" s="39"/>
      <c r="AO18" s="39"/>
      <c r="AP18" s="39"/>
      <c r="AQ18" s="39"/>
      <c r="AR18" s="39">
        <f>SUM(AN18:AQ18)</f>
        <v>0</v>
      </c>
      <c r="AS18" s="39"/>
      <c r="AT18" s="39"/>
      <c r="AU18" s="39"/>
      <c r="AV18" s="39"/>
      <c r="AW18" s="39"/>
      <c r="AX18" s="39"/>
      <c r="AY18" s="39"/>
      <c r="AZ18" s="39"/>
      <c r="BA18" s="39">
        <f>+AR18+AS18+AU18+AW18+AY18+AZ18</f>
        <v>0</v>
      </c>
      <c r="BB18" s="35"/>
      <c r="BC18" s="55"/>
      <c r="BD18" s="55"/>
      <c r="BE18" s="35"/>
      <c r="BF18" s="55"/>
    </row>
    <row r="19" spans="1:58" ht="12.95" customHeight="1">
      <c r="A19" s="343"/>
      <c r="B19" s="43"/>
      <c r="C19" s="447"/>
      <c r="D19" s="43"/>
      <c r="E19" s="44"/>
      <c r="F19" s="44"/>
      <c r="G19" s="459"/>
      <c r="H19" s="46"/>
      <c r="I19" s="47"/>
      <c r="J19" s="88"/>
      <c r="K19" s="88"/>
      <c r="L19" s="37"/>
      <c r="M19" s="37"/>
      <c r="N19" s="48"/>
      <c r="O19" s="49"/>
      <c r="P19" s="50"/>
      <c r="Q19" s="49"/>
      <c r="R19" s="417"/>
      <c r="S19" s="417"/>
      <c r="T19" s="39"/>
      <c r="U19" s="39"/>
      <c r="V19" s="39"/>
      <c r="W19" s="39"/>
      <c r="X19" s="40"/>
      <c r="Y19" s="220"/>
      <c r="Z19" s="39"/>
      <c r="AA19" s="39"/>
      <c r="AB19" s="39"/>
      <c r="AC19" s="39"/>
      <c r="AD19" s="39"/>
      <c r="AE19" s="241"/>
      <c r="AF19" s="39"/>
      <c r="AG19" s="39"/>
      <c r="AH19" s="39"/>
      <c r="AI19" s="455"/>
      <c r="AJ19" s="39"/>
      <c r="AK19" s="39"/>
      <c r="AL19" s="39"/>
      <c r="AM19" s="39"/>
      <c r="AN19" s="8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52"/>
      <c r="BC19" s="53"/>
      <c r="BD19" s="53"/>
      <c r="BE19" s="53"/>
      <c r="BF19" s="53"/>
    </row>
    <row r="20" spans="1:58" ht="12.95" customHeight="1">
      <c r="A20" s="343">
        <v>45965</v>
      </c>
      <c r="B20" s="43" t="s">
        <v>231</v>
      </c>
      <c r="C20" s="447">
        <f>(M20*E20*O20*Q20)/100000000</f>
        <v>10.7028195615</v>
      </c>
      <c r="D20" s="43" t="s">
        <v>442</v>
      </c>
      <c r="E20" s="44">
        <v>16.5</v>
      </c>
      <c r="F20" s="44">
        <v>1</v>
      </c>
      <c r="G20" s="459">
        <v>1210</v>
      </c>
      <c r="H20" s="46">
        <v>0</v>
      </c>
      <c r="I20" s="47">
        <v>0.88</v>
      </c>
      <c r="J20" s="88">
        <f>E20*G20*(1-H20)*1440/1000000*2.77</f>
        <v>79.636392000000001</v>
      </c>
      <c r="K20" s="88">
        <f>(IF(G20&lt;L20,L20,G20)*(1-IF(H20&lt;N20,H20,N20))*E20*O20*Q20)/100000000</f>
        <v>11.203359750000001</v>
      </c>
      <c r="L20" s="37">
        <v>1160</v>
      </c>
      <c r="M20" s="37">
        <f>+L20-L20*0.0035</f>
        <v>1155.94</v>
      </c>
      <c r="N20" s="48">
        <f>1-(M20/L20)</f>
        <v>3.4999999999999476E-3</v>
      </c>
      <c r="O20" s="49">
        <f>+'Trim Rwd'!H16</f>
        <v>261</v>
      </c>
      <c r="P20" s="50">
        <f>O20*(Q20-R20-S20)</f>
        <v>52200</v>
      </c>
      <c r="Q20" s="49">
        <v>215</v>
      </c>
      <c r="R20" s="417">
        <v>0</v>
      </c>
      <c r="S20" s="417">
        <v>15</v>
      </c>
      <c r="T20" s="39">
        <f>E20*M20*O20*Q20/100000000</f>
        <v>10.7028195615</v>
      </c>
      <c r="U20" s="39">
        <f>E20*M20*O20*(Q20-R20-S20)/100000000</f>
        <v>9.9561112200000004</v>
      </c>
      <c r="V20" s="39">
        <f>E20*G20*(1-N20)*O20/100*(R20+S20)/1000000</f>
        <v>0.778894045875</v>
      </c>
      <c r="W20" s="39">
        <f>+'4'!K8/1000</f>
        <v>19.001000000000001</v>
      </c>
      <c r="X20" s="414">
        <f>SUM(W20:W25)/SUM(K20:K25)</f>
        <v>0.79021126921829099</v>
      </c>
      <c r="Y20" s="220">
        <v>0</v>
      </c>
      <c r="Z20" s="39">
        <v>0</v>
      </c>
      <c r="AA20" s="51">
        <f>SUM(U20:U25)-SUM(W20:W25)-SUM(Z20:Z25)-SUM(Y20:Y25)</f>
        <v>8.3693381360714234</v>
      </c>
      <c r="AB20" s="51">
        <f>(SUM(K20:K25)-SUM(W20:W25)-SUM(Y20:Y25)-SUM(Z20:Z25)-SUM(AC20:AC25)-SUM(V20:V25))-AA20</f>
        <v>-1.8707187732152519E-2</v>
      </c>
      <c r="AC20" s="39">
        <f>K20-T20</f>
        <v>0.50054018850000048</v>
      </c>
      <c r="AD20" s="39">
        <f>+AM20+BA20</f>
        <v>33</v>
      </c>
      <c r="AE20" s="238" t="s">
        <v>490</v>
      </c>
      <c r="AF20" s="39">
        <v>33</v>
      </c>
      <c r="AG20" s="39"/>
      <c r="AH20" s="39"/>
      <c r="AI20" s="455"/>
      <c r="AJ20" s="39"/>
      <c r="AK20" s="39"/>
      <c r="AL20" s="39"/>
      <c r="AM20" s="39">
        <f>SUM(AF20:AL20)+AT20+AV20+AX20</f>
        <v>33</v>
      </c>
      <c r="AN20" s="39"/>
      <c r="AO20" s="39"/>
      <c r="AP20" s="39"/>
      <c r="AQ20" s="39"/>
      <c r="AR20" s="39">
        <f>SUM(AN20:AQ20)</f>
        <v>0</v>
      </c>
      <c r="AS20" s="39"/>
      <c r="AT20" s="39"/>
      <c r="AU20" s="39"/>
      <c r="AV20" s="39"/>
      <c r="AW20" s="39"/>
      <c r="AX20" s="39"/>
      <c r="AY20" s="39"/>
      <c r="AZ20" s="39"/>
      <c r="BA20" s="39">
        <f>+AR20+AS20+AU20+AW20+AY20+AZ20</f>
        <v>0</v>
      </c>
      <c r="BB20" s="35">
        <v>7</v>
      </c>
      <c r="BC20" s="53"/>
      <c r="BD20" s="53"/>
      <c r="BE20" s="35"/>
      <c r="BF20" s="53"/>
    </row>
    <row r="21" spans="1:58" ht="12.95" customHeight="1">
      <c r="A21" s="343"/>
      <c r="B21" s="43" t="s">
        <v>231</v>
      </c>
      <c r="C21" s="447">
        <f>(M21*E21*O21*Q21)/100000000</f>
        <v>6.0724218749999999</v>
      </c>
      <c r="D21" s="43" t="s">
        <v>442</v>
      </c>
      <c r="E21" s="44">
        <v>30</v>
      </c>
      <c r="F21" s="44">
        <v>1</v>
      </c>
      <c r="G21" s="459">
        <v>690</v>
      </c>
      <c r="H21" s="46">
        <v>0</v>
      </c>
      <c r="I21" s="47">
        <v>0.88</v>
      </c>
      <c r="J21" s="88">
        <f>E21*G21*(1-H21)*1440/1000000*2.77</f>
        <v>82.568160000000006</v>
      </c>
      <c r="K21" s="88">
        <f>(IF(G21&lt;L21,L21,G21)*(1-IF(H21&lt;N21,H21,N21))*E21*O21*Q21)/100000000</f>
        <v>6.09375</v>
      </c>
      <c r="L21" s="37">
        <v>700</v>
      </c>
      <c r="M21" s="37">
        <f>+L21-L21*0.0035</f>
        <v>697.55</v>
      </c>
      <c r="N21" s="48">
        <f>1-(M21/L21)</f>
        <v>3.5000000000000586E-3</v>
      </c>
      <c r="O21" s="49">
        <f>+'Trim Rwd'!H17</f>
        <v>232.14285714285714</v>
      </c>
      <c r="P21" s="50">
        <f>O21*(Q21-R21-S21)</f>
        <v>25535.714285714286</v>
      </c>
      <c r="Q21" s="49">
        <v>125</v>
      </c>
      <c r="R21" s="417">
        <v>0</v>
      </c>
      <c r="S21" s="417">
        <v>15</v>
      </c>
      <c r="T21" s="39">
        <f>E21*M21*O21*Q21/100000000</f>
        <v>6.0724218749999999</v>
      </c>
      <c r="U21" s="39">
        <f>E21*M21*O21*(Q21-R21-S21)/100000000</f>
        <v>5.3437312500000003</v>
      </c>
      <c r="V21" s="39">
        <f>E21*G21*(1-N21)*O21/100*(R21+S21)/1000000</f>
        <v>0.71828075892857135</v>
      </c>
      <c r="W21" s="39">
        <f>+'4'!K9/1000</f>
        <v>4.1929999999999996</v>
      </c>
      <c r="X21" s="40"/>
      <c r="Y21" s="220"/>
      <c r="Z21" s="39">
        <f>+'4'!D18/1000</f>
        <v>0.998</v>
      </c>
      <c r="AA21" s="39"/>
      <c r="AB21" s="39"/>
      <c r="AC21" s="39">
        <f>K21-T21</f>
        <v>2.1328125000000142E-2</v>
      </c>
      <c r="AD21" s="39">
        <f>+AM21+BA21</f>
        <v>0</v>
      </c>
      <c r="AE21" s="238" t="s">
        <v>427</v>
      </c>
      <c r="AF21" s="39"/>
      <c r="AG21" s="39">
        <v>0</v>
      </c>
      <c r="AH21" s="39"/>
      <c r="AI21" s="455"/>
      <c r="AJ21" s="39"/>
      <c r="AK21" s="39"/>
      <c r="AL21" s="39"/>
      <c r="AM21" s="39">
        <f>SUM(AF21:AL21)+AT21+AV21+AX21</f>
        <v>0</v>
      </c>
      <c r="AN21" s="89"/>
      <c r="AO21" s="39"/>
      <c r="AP21" s="39"/>
      <c r="AQ21" s="39"/>
      <c r="AR21" s="39">
        <f>SUM(AN21:AQ21)</f>
        <v>0</v>
      </c>
      <c r="AS21" s="39"/>
      <c r="AT21" s="39"/>
      <c r="AU21" s="39"/>
      <c r="AV21" s="39"/>
      <c r="AW21" s="39"/>
      <c r="AX21" s="39"/>
      <c r="AY21" s="39"/>
      <c r="AZ21" s="39"/>
      <c r="BA21" s="39">
        <f>+AR21+AS21+AU21+AW21+AY21+AZ21</f>
        <v>0</v>
      </c>
      <c r="BB21" s="52"/>
      <c r="BC21" s="53">
        <v>0</v>
      </c>
      <c r="BD21" s="53"/>
      <c r="BE21" s="52"/>
      <c r="BF21" s="53"/>
    </row>
    <row r="22" spans="1:58" ht="12.95" customHeight="1">
      <c r="A22" s="42"/>
      <c r="B22" s="43" t="s">
        <v>231</v>
      </c>
      <c r="C22" s="447">
        <f>(M22*E22*O22*Q22)/100000000</f>
        <v>7.4917667200000002</v>
      </c>
      <c r="D22" s="43" t="s">
        <v>442</v>
      </c>
      <c r="E22" s="44">
        <v>17</v>
      </c>
      <c r="F22" s="44">
        <v>1</v>
      </c>
      <c r="G22" s="459">
        <v>1210</v>
      </c>
      <c r="H22" s="46">
        <v>0</v>
      </c>
      <c r="I22" s="47">
        <v>0.88</v>
      </c>
      <c r="J22" s="88">
        <f>E22*G22*(1-H22)*1440/1000000*2.77</f>
        <v>82.049616</v>
      </c>
      <c r="K22" s="88">
        <f>(IF(G22&lt;L22,L22,G22)*(1-IF(H22&lt;N22,H22,N22))*E22*O22*Q22)/100000000</f>
        <v>7.5807306666666676</v>
      </c>
      <c r="L22" s="37">
        <v>1200</v>
      </c>
      <c r="M22" s="37">
        <f>+L22-L22*0.0035</f>
        <v>1195.8</v>
      </c>
      <c r="N22" s="48">
        <f>1-(M22/L22)</f>
        <v>3.5000000000000586E-3</v>
      </c>
      <c r="O22" s="49">
        <f>+'Trim Rwd'!H19</f>
        <v>263.23809523809524</v>
      </c>
      <c r="P22" s="50">
        <f>O22*(Q22-R22-S22)</f>
        <v>32904.761904761908</v>
      </c>
      <c r="Q22" s="49">
        <v>140</v>
      </c>
      <c r="R22" s="417">
        <v>0</v>
      </c>
      <c r="S22" s="417">
        <v>15</v>
      </c>
      <c r="T22" s="39">
        <f>E22*M22*O22*Q22/100000000</f>
        <v>7.4917667200000002</v>
      </c>
      <c r="U22" s="39">
        <f>E22*M22*O22*(Q22-R22-S22)/100000000</f>
        <v>6.6890774285714283</v>
      </c>
      <c r="V22" s="39">
        <f>E22*G22*(1-N22)*O22/100*(R22+S22)/1000000</f>
        <v>0.80937836885714276</v>
      </c>
      <c r="W22" s="39">
        <f>+'4'!K10/1000</f>
        <v>18.114000000000001</v>
      </c>
      <c r="X22" s="40"/>
      <c r="Y22" s="220"/>
      <c r="Z22" s="39">
        <f>+('4'!D17/1000)</f>
        <v>0.72399999999999998</v>
      </c>
      <c r="AA22" s="39"/>
      <c r="AB22" s="39"/>
      <c r="AC22" s="39">
        <f>K22-T22</f>
        <v>8.8963946666667404E-2</v>
      </c>
      <c r="AD22" s="39">
        <f>+AM22+BA22</f>
        <v>29</v>
      </c>
      <c r="AE22" s="238" t="s">
        <v>466</v>
      </c>
      <c r="AF22" s="35"/>
      <c r="AG22" s="35"/>
      <c r="AH22" s="35">
        <v>29</v>
      </c>
      <c r="AJ22" s="39"/>
      <c r="AK22" s="39"/>
      <c r="AL22" s="39"/>
      <c r="AM22" s="39">
        <f>SUM(AF22:AL22)+AT22+AV22+AX22</f>
        <v>29</v>
      </c>
      <c r="AN22" s="39"/>
      <c r="AO22" s="39"/>
      <c r="AP22" s="39"/>
      <c r="AQ22" s="39"/>
      <c r="AR22" s="39">
        <f>SUM(AN22:AQ22)</f>
        <v>0</v>
      </c>
      <c r="AS22" s="39"/>
      <c r="AT22" s="39"/>
      <c r="AU22" s="39"/>
      <c r="AV22" s="39"/>
      <c r="AW22" s="39"/>
      <c r="AX22" s="39"/>
      <c r="AY22" s="39"/>
      <c r="AZ22" s="39"/>
      <c r="BA22" s="39">
        <f>+AR22+AS22+AU22+AW22+AY22+AZ22</f>
        <v>0</v>
      </c>
      <c r="BB22" s="35"/>
      <c r="BC22" s="55"/>
      <c r="BD22" s="55"/>
      <c r="BE22" s="35"/>
      <c r="BF22" s="55"/>
    </row>
    <row r="23" spans="1:58" ht="12.95" customHeight="1">
      <c r="A23" s="42"/>
      <c r="B23" s="43" t="s">
        <v>231</v>
      </c>
      <c r="C23" s="447">
        <f>(M23*E23*O23*Q23)/100000000</f>
        <v>30.561204095999997</v>
      </c>
      <c r="D23" s="43" t="s">
        <v>442</v>
      </c>
      <c r="E23" s="44">
        <v>18</v>
      </c>
      <c r="F23" s="44">
        <v>1</v>
      </c>
      <c r="G23" s="459">
        <v>1150</v>
      </c>
      <c r="H23" s="46">
        <v>0</v>
      </c>
      <c r="I23" s="47">
        <v>0.88</v>
      </c>
      <c r="J23" s="88">
        <f>E23*G23*(1-H23)*1440/1000000*2.77</f>
        <v>82.568160000000006</v>
      </c>
      <c r="K23" s="88">
        <f>(IF(G23&lt;L23,L23,G23)*(1-IF(H23&lt;N23,H23,N23))*E23*O23*Q23)/100000000</f>
        <v>30.668544000000001</v>
      </c>
      <c r="L23" s="37">
        <v>1160</v>
      </c>
      <c r="M23" s="37">
        <f>+L23-L23*0.0035</f>
        <v>1155.94</v>
      </c>
      <c r="N23" s="48">
        <f>1-(M23/L23)</f>
        <v>3.4999999999999476E-3</v>
      </c>
      <c r="O23" s="49">
        <f>+'Trim Rwd'!H21</f>
        <v>272</v>
      </c>
      <c r="P23" s="50">
        <f>O23*(Q23-R23-S23)</f>
        <v>141440</v>
      </c>
      <c r="Q23" s="49">
        <v>540</v>
      </c>
      <c r="R23" s="417">
        <v>0</v>
      </c>
      <c r="S23" s="417">
        <v>20</v>
      </c>
      <c r="T23" s="39">
        <f>E23*M23*O23*Q23/100000000</f>
        <v>30.561204095999997</v>
      </c>
      <c r="U23" s="39">
        <f>E23*M23*O23*(Q23-R23-S23)/100000000</f>
        <v>29.429307648000002</v>
      </c>
      <c r="V23" s="39">
        <f>E23*G23*(1-N23)*O23/100*(R23+S23)/1000000</f>
        <v>1.1221387199999999</v>
      </c>
      <c r="W23" s="39">
        <f>+'4'!K11/1000</f>
        <v>16.696000000000002</v>
      </c>
      <c r="X23" s="40"/>
      <c r="Y23" s="220"/>
      <c r="Z23" s="39">
        <f>+('4'!D19+'4'!D25)/1000</f>
        <v>0.56399999999999995</v>
      </c>
      <c r="AA23" s="39"/>
      <c r="AB23" s="39"/>
      <c r="AC23" s="39">
        <f>K23-T23</f>
        <v>0.10733990400000337</v>
      </c>
      <c r="AD23" s="39">
        <f>+AM23+BA23</f>
        <v>18</v>
      </c>
      <c r="AE23" s="241" t="s">
        <v>415</v>
      </c>
      <c r="AF23" s="39"/>
      <c r="AG23" s="39"/>
      <c r="AH23" s="39"/>
      <c r="AI23" s="455">
        <v>18</v>
      </c>
      <c r="AJ23" s="39"/>
      <c r="AK23" s="39"/>
      <c r="AL23" s="39"/>
      <c r="AM23" s="39">
        <f>SUM(AF23:AL23)+AT23+AV23+AX23</f>
        <v>18</v>
      </c>
      <c r="AN23" s="39"/>
      <c r="AO23" s="39"/>
      <c r="AP23" s="39"/>
      <c r="AQ23" s="39"/>
      <c r="AR23" s="39">
        <f>SUM(AN23:AQ23)</f>
        <v>0</v>
      </c>
      <c r="AS23" s="39"/>
      <c r="AT23" s="39"/>
      <c r="AU23" s="39"/>
      <c r="AV23" s="39"/>
      <c r="AW23" s="39"/>
      <c r="AX23" s="39"/>
      <c r="AY23" s="39"/>
      <c r="AZ23" s="39"/>
      <c r="BA23" s="39">
        <f>+AR23+AS23+AU23+AW23+AY23+AZ23</f>
        <v>0</v>
      </c>
      <c r="BB23" s="35"/>
      <c r="BC23" s="55"/>
      <c r="BD23" s="55"/>
      <c r="BE23" s="35"/>
      <c r="BF23" s="55"/>
    </row>
    <row r="24" spans="1:58" ht="12.95" customHeight="1">
      <c r="A24" s="343"/>
      <c r="B24" s="43" t="s">
        <v>231</v>
      </c>
      <c r="C24" s="447">
        <f>(M24*E24*O24*Q24)/100000000</f>
        <v>19.868707277999999</v>
      </c>
      <c r="D24" s="43" t="s">
        <v>489</v>
      </c>
      <c r="E24" s="44">
        <v>14</v>
      </c>
      <c r="F24" s="44">
        <v>1</v>
      </c>
      <c r="G24" s="459">
        <v>1270</v>
      </c>
      <c r="H24" s="46">
        <v>0</v>
      </c>
      <c r="I24" s="47">
        <v>0.88</v>
      </c>
      <c r="J24" s="88">
        <f>E24*G24*(1-H24)*1440/1000000*2.77</f>
        <v>70.920864000000009</v>
      </c>
      <c r="K24" s="88">
        <f>(IF(G24&lt;L24,L24,G24)*(1-IF(H24&lt;N24,H24,N24))*E24*O24*Q24)/100000000</f>
        <v>19.938492</v>
      </c>
      <c r="L24" s="37">
        <v>1270</v>
      </c>
      <c r="M24" s="37">
        <f>+L24-L24*0.0035</f>
        <v>1265.5550000000001</v>
      </c>
      <c r="N24" s="48">
        <f>1-(M24/L24)</f>
        <v>3.4999999999999476E-3</v>
      </c>
      <c r="O24" s="49">
        <f>+'Trim Rwd'!H22</f>
        <v>267</v>
      </c>
      <c r="P24" s="50">
        <f>O24*(Q24-R24-S24)</f>
        <v>108135</v>
      </c>
      <c r="Q24" s="49">
        <v>420</v>
      </c>
      <c r="R24" s="417">
        <v>0</v>
      </c>
      <c r="S24" s="417">
        <v>15</v>
      </c>
      <c r="T24" s="39">
        <f>E24*M24*O24*Q24/100000000</f>
        <v>19.868707277999999</v>
      </c>
      <c r="U24" s="39">
        <f>E24*M24*O24*(Q24-R24-S24)/100000000</f>
        <v>19.159110589499999</v>
      </c>
      <c r="V24" s="39">
        <f>E24*G24*(1-N24)*O24/100*(R24+S24)/1000000</f>
        <v>0.70959668849999991</v>
      </c>
      <c r="W24" s="39">
        <f>+'4'!K7/1000</f>
        <v>0.65800000000000003</v>
      </c>
      <c r="X24" s="414"/>
      <c r="Y24" s="220"/>
      <c r="Z24" s="39">
        <f>+'4'!D27/1000</f>
        <v>0.27300000000000002</v>
      </c>
      <c r="AA24" s="51"/>
      <c r="AB24" s="51"/>
      <c r="AC24" s="39">
        <f>K24-T24</f>
        <v>6.9784722000001409E-2</v>
      </c>
      <c r="AD24" s="39"/>
      <c r="AE24" s="238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52"/>
      <c r="BC24" s="53"/>
      <c r="BD24" s="53"/>
      <c r="BE24" s="53"/>
      <c r="BF24" s="53"/>
    </row>
    <row r="25" spans="1:58" ht="12.95" customHeight="1">
      <c r="A25" s="343"/>
      <c r="B25" s="43" t="s">
        <v>231</v>
      </c>
      <c r="C25" s="447"/>
      <c r="D25" s="43"/>
      <c r="E25" s="44">
        <v>21.5</v>
      </c>
      <c r="F25" s="44"/>
      <c r="G25" s="459"/>
      <c r="H25" s="46"/>
      <c r="I25" s="47"/>
      <c r="J25" s="88"/>
      <c r="K25" s="88"/>
      <c r="L25" s="37"/>
      <c r="M25" s="37"/>
      <c r="N25" s="48"/>
      <c r="O25" s="49"/>
      <c r="P25" s="50"/>
      <c r="Q25" s="49"/>
      <c r="R25" s="417"/>
      <c r="S25" s="417"/>
      <c r="T25" s="39"/>
      <c r="U25" s="39"/>
      <c r="V25" s="39"/>
      <c r="W25" s="39">
        <f>+'4'!K12/1000</f>
        <v>0.98699999999999999</v>
      </c>
      <c r="X25" s="414"/>
      <c r="Y25" s="220"/>
      <c r="Z25" s="39"/>
      <c r="AA25" s="51"/>
      <c r="AB25" s="51"/>
      <c r="AC25" s="39"/>
      <c r="AD25" s="39"/>
      <c r="AE25" s="238"/>
      <c r="AF25" s="39"/>
      <c r="AG25" s="39"/>
      <c r="AH25" s="39"/>
      <c r="AI25" s="455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5"/>
      <c r="BC25" s="53"/>
      <c r="BD25" s="53"/>
      <c r="BE25" s="35"/>
      <c r="BF25" s="53"/>
    </row>
    <row r="26" spans="1:58" ht="12.95" customHeight="1">
      <c r="A26" s="343"/>
      <c r="B26" s="43"/>
      <c r="C26" s="447"/>
      <c r="D26" s="43"/>
      <c r="E26" s="44"/>
      <c r="F26" s="44"/>
      <c r="G26" s="459"/>
      <c r="H26" s="46"/>
      <c r="I26" s="47"/>
      <c r="J26" s="88"/>
      <c r="K26" s="88"/>
      <c r="L26" s="37"/>
      <c r="M26" s="37"/>
      <c r="N26" s="48"/>
      <c r="O26" s="49"/>
      <c r="P26" s="50"/>
      <c r="Q26" s="49"/>
      <c r="R26" s="417"/>
      <c r="S26" s="417"/>
      <c r="T26" s="39"/>
      <c r="U26" s="39"/>
      <c r="V26" s="39"/>
      <c r="W26" s="39"/>
      <c r="X26" s="40"/>
      <c r="Y26" s="220"/>
      <c r="Z26" s="39"/>
      <c r="AA26" s="39"/>
      <c r="AB26" s="39"/>
      <c r="AC26" s="39"/>
      <c r="AD26" s="39"/>
      <c r="AE26" s="238"/>
      <c r="AF26" s="39"/>
      <c r="AG26" s="39"/>
      <c r="AH26" s="39"/>
      <c r="AI26" s="455"/>
      <c r="AJ26" s="39"/>
      <c r="AK26" s="39"/>
      <c r="AL26" s="39"/>
      <c r="AM26" s="39"/>
      <c r="AN26" s="8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52"/>
      <c r="BC26" s="53"/>
      <c r="BD26" s="53"/>
      <c r="BE26" s="52"/>
      <c r="BF26" s="53"/>
    </row>
    <row r="27" spans="1:58" ht="12.95" customHeight="1">
      <c r="A27" s="343">
        <v>45966</v>
      </c>
      <c r="B27" s="43" t="s">
        <v>231</v>
      </c>
      <c r="C27" s="447">
        <f>(M27*E27*O27*Q27)/100000000</f>
        <v>18.900228858000002</v>
      </c>
      <c r="D27" s="43" t="s">
        <v>489</v>
      </c>
      <c r="E27" s="44">
        <v>14</v>
      </c>
      <c r="F27" s="44">
        <v>1</v>
      </c>
      <c r="G27" s="459">
        <v>1270</v>
      </c>
      <c r="H27" s="46">
        <v>0</v>
      </c>
      <c r="I27" s="47">
        <v>0.88</v>
      </c>
      <c r="J27" s="88">
        <f>E27*G27*(1-H27)*1440/1000000*2.77</f>
        <v>70.920864000000009</v>
      </c>
      <c r="K27" s="88">
        <f>(IF(G27&lt;L27,L27,G27)*(1-IF(H27&lt;N27,H27,N27))*E27*O27*Q27)/100000000</f>
        <v>20.413218000000001</v>
      </c>
      <c r="L27" s="37">
        <v>1180</v>
      </c>
      <c r="M27" s="37">
        <f>+L27-L27*0.0035</f>
        <v>1175.8699999999999</v>
      </c>
      <c r="N27" s="48">
        <f>1-(M27/L27)</f>
        <v>3.5000000000000586E-3</v>
      </c>
      <c r="O27" s="49">
        <f>+'Trim Rwd'!H25</f>
        <v>267</v>
      </c>
      <c r="P27" s="50">
        <f>O27*(Q27-R27-S27)</f>
        <v>93717</v>
      </c>
      <c r="Q27" s="49">
        <v>430</v>
      </c>
      <c r="R27" s="417">
        <v>60</v>
      </c>
      <c r="S27" s="417">
        <v>19</v>
      </c>
      <c r="T27" s="39">
        <f>E27*M27*O27*Q27/100000000</f>
        <v>18.900228858000002</v>
      </c>
      <c r="U27" s="39">
        <f>E27*M27*O27*(Q27-R27-S27)/100000000</f>
        <v>15.427861230600001</v>
      </c>
      <c r="V27" s="39">
        <f>E27*G27*(1-N27)*O27/100*(R27+S27)/1000000</f>
        <v>3.7372092261000001</v>
      </c>
      <c r="W27" s="39">
        <f>+'5'!K7/1000</f>
        <v>29.161000000000001</v>
      </c>
      <c r="X27" s="414">
        <f>SUM(W27:W30)/SUM(K27:K30)</f>
        <v>0.90111446399423623</v>
      </c>
      <c r="Y27" s="220">
        <v>0</v>
      </c>
      <c r="Z27" s="39">
        <f>+'5'!D16/1000</f>
        <v>0.44400000000000001</v>
      </c>
      <c r="AA27" s="51">
        <f>SUM(U27:U30)-SUM(W27:W30)-SUM(Z27:Z30)-SUM(Y27:Y30)</f>
        <v>-9.9001868797448296</v>
      </c>
      <c r="AB27" s="51">
        <f>(SUM(K27:K30)-SUM(W27:W30)-SUM(Y27:Y30)-SUM(Z27:Z30)-SUM(AC27:AC30)-SUM(V27:V30))-AA27</f>
        <v>-0.81123329938965227</v>
      </c>
      <c r="AC27" s="39">
        <f>K27-T27</f>
        <v>1.5129891419999986</v>
      </c>
      <c r="AD27" s="39">
        <f>+AM27+BA27</f>
        <v>50</v>
      </c>
      <c r="AE27" s="238" t="s">
        <v>520</v>
      </c>
      <c r="AF27" s="39">
        <v>50</v>
      </c>
      <c r="AG27" s="39"/>
      <c r="AH27" s="39"/>
      <c r="AI27" s="455"/>
      <c r="AJ27" s="39"/>
      <c r="AK27" s="39"/>
      <c r="AL27" s="39"/>
      <c r="AM27" s="39">
        <f>SUM(AF27:AL27)+AT27+AV27+AX27</f>
        <v>50</v>
      </c>
      <c r="AN27" s="39"/>
      <c r="AO27" s="39"/>
      <c r="AP27" s="39"/>
      <c r="AQ27" s="39"/>
      <c r="AR27" s="39">
        <f>SUM(AN27:AQ27)</f>
        <v>0</v>
      </c>
      <c r="AS27" s="39"/>
      <c r="AT27" s="39"/>
      <c r="AU27" s="39"/>
      <c r="AV27" s="39"/>
      <c r="AW27" s="39"/>
      <c r="AX27" s="39"/>
      <c r="AY27" s="39"/>
      <c r="AZ27" s="39"/>
      <c r="BA27" s="39">
        <f>+AR27+AS27+AU27+AW27+AY27+AZ27</f>
        <v>0</v>
      </c>
      <c r="BB27" s="35">
        <v>10</v>
      </c>
      <c r="BC27" s="53"/>
      <c r="BD27" s="53"/>
      <c r="BE27" s="35"/>
      <c r="BF27" s="53"/>
    </row>
    <row r="28" spans="1:58" ht="12.95" customHeight="1">
      <c r="A28" s="343"/>
      <c r="B28" s="43" t="s">
        <v>517</v>
      </c>
      <c r="C28" s="447">
        <f>(M28*E28*O28*Q28)/100000000</f>
        <v>37.913123668965518</v>
      </c>
      <c r="D28" s="43" t="s">
        <v>489</v>
      </c>
      <c r="E28" s="44">
        <v>10.3</v>
      </c>
      <c r="F28" s="44">
        <v>1</v>
      </c>
      <c r="G28" s="459">
        <v>1730</v>
      </c>
      <c r="H28" s="46">
        <v>0.16</v>
      </c>
      <c r="I28" s="47">
        <v>0.88</v>
      </c>
      <c r="J28" s="88">
        <f>E28*G28*(1-H28)*1440/1000000*2.77</f>
        <v>59.704198847999997</v>
      </c>
      <c r="K28" s="88">
        <f>(IF(G28&lt;L28,L28,G28)*(1-IF(H28&lt;N28,H28,N28))*E28*O28*Q28)/100000000</f>
        <v>40.817626920000002</v>
      </c>
      <c r="L28" s="37">
        <v>1606.8965517241379</v>
      </c>
      <c r="M28" s="37">
        <v>1349.7931034482758</v>
      </c>
      <c r="N28" s="48">
        <f>1-(M28/L28)</f>
        <v>0.16000000000000003</v>
      </c>
      <c r="O28" s="49">
        <f>+'Trim Rwd'!H26</f>
        <v>270</v>
      </c>
      <c r="P28" s="50">
        <f>O28*(Q28-R28-S28)</f>
        <v>221400</v>
      </c>
      <c r="Q28" s="49">
        <v>1010</v>
      </c>
      <c r="R28" s="417">
        <v>140</v>
      </c>
      <c r="S28" s="417">
        <v>50</v>
      </c>
      <c r="T28" s="39">
        <f>E28*M28*O28*Q28/100000000</f>
        <v>37.913123668965518</v>
      </c>
      <c r="U28" s="39">
        <f>E28*M28*O28*(Q28-R28-S28)/100000000</f>
        <v>30.780951889655171</v>
      </c>
      <c r="V28" s="39">
        <f>E28*G28*(1-N28)*O28/100*(R28+S28)/1000000</f>
        <v>7.6785634799999993</v>
      </c>
      <c r="W28" s="39">
        <f>+'5'!K13/1000</f>
        <v>17.317</v>
      </c>
      <c r="X28" s="40"/>
      <c r="Y28" s="220"/>
      <c r="Z28" s="39">
        <v>0</v>
      </c>
      <c r="AA28" s="39"/>
      <c r="AB28" s="39"/>
      <c r="AC28" s="39">
        <f>K28-T28</f>
        <v>2.9045032510344839</v>
      </c>
      <c r="AD28" s="39">
        <f>+AM28+BA28</f>
        <v>0</v>
      </c>
      <c r="AE28" s="238" t="s">
        <v>427</v>
      </c>
      <c r="AF28" s="39"/>
      <c r="AG28" s="39">
        <v>0</v>
      </c>
      <c r="AH28" s="39"/>
      <c r="AI28" s="455"/>
      <c r="AJ28" s="39"/>
      <c r="AK28" s="39"/>
      <c r="AL28" s="39"/>
      <c r="AM28" s="39">
        <f>SUM(AF28:AL28)+AT28+AV28+AX28</f>
        <v>0</v>
      </c>
      <c r="AN28" s="89"/>
      <c r="AO28" s="39"/>
      <c r="AP28" s="39"/>
      <c r="AQ28" s="39"/>
      <c r="AR28" s="39">
        <f>SUM(AN28:AQ28)</f>
        <v>0</v>
      </c>
      <c r="AS28" s="39"/>
      <c r="AT28" s="39"/>
      <c r="AU28" s="39"/>
      <c r="AV28" s="39"/>
      <c r="AW28" s="39"/>
      <c r="AX28" s="39"/>
      <c r="AY28" s="39"/>
      <c r="AZ28" s="39"/>
      <c r="BA28" s="39">
        <f>+AR28+AS28+AU28+AW28+AY28+AZ28</f>
        <v>0</v>
      </c>
      <c r="BB28" s="52"/>
      <c r="BC28" s="53">
        <v>0</v>
      </c>
      <c r="BD28" s="53"/>
      <c r="BE28" s="52"/>
      <c r="BF28" s="53"/>
    </row>
    <row r="29" spans="1:58" ht="12.95" customHeight="1">
      <c r="A29" s="42"/>
      <c r="B29" s="43" t="s">
        <v>231</v>
      </c>
      <c r="C29" s="447"/>
      <c r="D29" s="43"/>
      <c r="E29" s="44">
        <v>18</v>
      </c>
      <c r="F29" s="44"/>
      <c r="G29" s="45"/>
      <c r="H29" s="46"/>
      <c r="I29" s="47"/>
      <c r="J29" s="88"/>
      <c r="K29" s="88"/>
      <c r="L29" s="37"/>
      <c r="M29" s="37"/>
      <c r="N29" s="48"/>
      <c r="O29" s="49"/>
      <c r="P29" s="50"/>
      <c r="Q29" s="49"/>
      <c r="R29" s="417"/>
      <c r="S29" s="417"/>
      <c r="T29" s="39"/>
      <c r="U29" s="39"/>
      <c r="V29" s="39"/>
      <c r="W29" s="39">
        <f>+'5'!K11/1000</f>
        <v>8.6980000000000004</v>
      </c>
      <c r="X29" s="40"/>
      <c r="Y29" s="220"/>
      <c r="Z29" s="39">
        <f>+'5'!D8/1000</f>
        <v>0.48899999999999999</v>
      </c>
      <c r="AA29" s="39"/>
      <c r="AB29" s="39"/>
      <c r="AC29" s="39"/>
      <c r="AD29" s="39">
        <f>+AM29+BA29</f>
        <v>19</v>
      </c>
      <c r="AE29" s="238" t="s">
        <v>521</v>
      </c>
      <c r="AF29" s="35"/>
      <c r="AG29" s="35"/>
      <c r="AH29" s="35">
        <v>19</v>
      </c>
      <c r="AI29" s="455"/>
      <c r="AJ29" s="39"/>
      <c r="AK29" s="39"/>
      <c r="AL29" s="39"/>
      <c r="AM29" s="39">
        <f>SUM(AF29:AL29)+AT29+AV29+AX29</f>
        <v>19</v>
      </c>
      <c r="AN29" s="39"/>
      <c r="AO29" s="39"/>
      <c r="AP29" s="39"/>
      <c r="AQ29" s="39"/>
      <c r="AR29" s="39">
        <f>SUM(AN29:AQ29)</f>
        <v>0</v>
      </c>
      <c r="AS29" s="39"/>
      <c r="AT29" s="39"/>
      <c r="AU29" s="39"/>
      <c r="AV29" s="39"/>
      <c r="AW29" s="39"/>
      <c r="AX29" s="39"/>
      <c r="AY29" s="39"/>
      <c r="AZ29" s="39"/>
      <c r="BA29" s="39">
        <f>+AR29+AS29+AU29+AW29+AY29+AZ29</f>
        <v>0</v>
      </c>
      <c r="BB29" s="35"/>
      <c r="BC29" s="55"/>
      <c r="BD29" s="55"/>
      <c r="BE29" s="35"/>
      <c r="BF29" s="55"/>
    </row>
    <row r="30" spans="1:58" ht="12.95" customHeight="1">
      <c r="A30" s="343"/>
      <c r="B30" s="43"/>
      <c r="C30" s="447"/>
      <c r="D30" s="43"/>
      <c r="E30" s="44"/>
      <c r="F30" s="44"/>
      <c r="G30" s="459"/>
      <c r="H30" s="46"/>
      <c r="I30" s="47"/>
      <c r="J30" s="88"/>
      <c r="K30" s="88"/>
      <c r="L30" s="37"/>
      <c r="M30" s="37"/>
      <c r="N30" s="48"/>
      <c r="O30" s="49"/>
      <c r="P30" s="50"/>
      <c r="Q30" s="49"/>
      <c r="R30" s="417"/>
      <c r="S30" s="417"/>
      <c r="T30" s="39"/>
      <c r="U30" s="39"/>
      <c r="V30" s="39"/>
      <c r="W30" s="39"/>
      <c r="X30" s="414"/>
      <c r="Y30" s="220"/>
      <c r="Z30" s="39"/>
      <c r="AA30" s="51"/>
      <c r="AB30" s="51"/>
      <c r="AC30" s="39"/>
      <c r="AD30" s="39">
        <f>+AM30+BA30</f>
        <v>60</v>
      </c>
      <c r="AE30" s="241" t="s">
        <v>525</v>
      </c>
      <c r="AF30" s="39"/>
      <c r="AG30" s="39"/>
      <c r="AH30" s="39"/>
      <c r="AI30" s="455"/>
      <c r="AJ30" s="39"/>
      <c r="AK30" s="39"/>
      <c r="AL30" s="39"/>
      <c r="AM30" s="39">
        <f t="shared" ref="AM30:AM31" si="0">SUM(AF30:AL30)+AT30+AV30+AX30</f>
        <v>0</v>
      </c>
      <c r="AN30" s="39"/>
      <c r="AO30" s="39"/>
      <c r="AP30" s="39">
        <v>60</v>
      </c>
      <c r="AQ30" s="39"/>
      <c r="AR30" s="39">
        <f t="shared" ref="AR30:AR31" si="1">SUM(AN30:AQ30)</f>
        <v>60</v>
      </c>
      <c r="AS30" s="39"/>
      <c r="AT30" s="39"/>
      <c r="AU30" s="39"/>
      <c r="AV30" s="39"/>
      <c r="AW30" s="39"/>
      <c r="AX30" s="39"/>
      <c r="AY30" s="39"/>
      <c r="AZ30" s="39"/>
      <c r="BA30" s="39">
        <f t="shared" ref="BA30:BA31" si="2">+AR30+AS30+AU30+AW30+AY30+AZ30</f>
        <v>60</v>
      </c>
      <c r="BB30" s="35"/>
      <c r="BC30" s="55"/>
      <c r="BD30" s="55"/>
      <c r="BE30" s="35"/>
      <c r="BF30" s="55"/>
    </row>
    <row r="31" spans="1:58" ht="12.95" customHeight="1">
      <c r="A31" s="343"/>
      <c r="B31" s="43"/>
      <c r="C31" s="447"/>
      <c r="D31" s="43"/>
      <c r="E31" s="44"/>
      <c r="F31" s="44"/>
      <c r="G31" s="459"/>
      <c r="H31" s="46"/>
      <c r="I31" s="47"/>
      <c r="J31" s="88"/>
      <c r="K31" s="88"/>
      <c r="L31" s="37"/>
      <c r="M31" s="37"/>
      <c r="N31" s="48"/>
      <c r="O31" s="49"/>
      <c r="P31" s="50"/>
      <c r="Q31" s="49"/>
      <c r="R31" s="417"/>
      <c r="S31" s="417"/>
      <c r="T31" s="39"/>
      <c r="U31" s="39"/>
      <c r="V31" s="39"/>
      <c r="W31" s="39"/>
      <c r="X31" s="414"/>
      <c r="Y31" s="220"/>
      <c r="Z31" s="39"/>
      <c r="AA31" s="51"/>
      <c r="AB31" s="51"/>
      <c r="AC31" s="39"/>
      <c r="AD31" s="39">
        <f>+AM31+BA31</f>
        <v>140</v>
      </c>
      <c r="AE31" s="241" t="s">
        <v>524</v>
      </c>
      <c r="AF31" s="39"/>
      <c r="AG31" s="39"/>
      <c r="AH31" s="39"/>
      <c r="AJ31" s="39"/>
      <c r="AK31" s="39"/>
      <c r="AL31" s="39"/>
      <c r="AM31" s="39">
        <f t="shared" si="0"/>
        <v>0</v>
      </c>
      <c r="AN31" s="39"/>
      <c r="AO31" s="39">
        <v>140</v>
      </c>
      <c r="AP31" s="39"/>
      <c r="AQ31" s="39"/>
      <c r="AR31" s="39">
        <f t="shared" si="1"/>
        <v>140</v>
      </c>
      <c r="AS31" s="39"/>
      <c r="AT31" s="39"/>
      <c r="AU31" s="39"/>
      <c r="AV31" s="39"/>
      <c r="AW31" s="39"/>
      <c r="AX31" s="39"/>
      <c r="AY31" s="39"/>
      <c r="AZ31" s="39"/>
      <c r="BA31" s="39">
        <f t="shared" si="2"/>
        <v>140</v>
      </c>
      <c r="BB31" s="35"/>
      <c r="BC31" s="55"/>
      <c r="BD31" s="55"/>
      <c r="BE31" s="35"/>
      <c r="BF31" s="55"/>
    </row>
    <row r="32" spans="1:58" ht="12.95" customHeight="1">
      <c r="A32" s="42"/>
      <c r="B32" s="43"/>
      <c r="C32" s="447"/>
      <c r="D32" s="43"/>
      <c r="E32" s="44"/>
      <c r="F32" s="44"/>
      <c r="G32" s="45"/>
      <c r="H32" s="46"/>
      <c r="I32" s="47"/>
      <c r="J32" s="88"/>
      <c r="K32" s="88"/>
      <c r="L32" s="37"/>
      <c r="M32" s="37"/>
      <c r="N32" s="48"/>
      <c r="O32" s="49"/>
      <c r="P32" s="50"/>
      <c r="Q32" s="49"/>
      <c r="R32" s="417"/>
      <c r="S32" s="417"/>
      <c r="T32" s="39"/>
      <c r="U32" s="39"/>
      <c r="V32" s="39"/>
      <c r="W32" s="39"/>
      <c r="X32" s="40"/>
      <c r="Y32" s="220"/>
      <c r="Z32" s="39"/>
      <c r="AA32" s="39"/>
      <c r="AB32" s="39"/>
      <c r="AC32" s="39"/>
      <c r="AD32" s="39"/>
      <c r="AE32" s="238"/>
      <c r="AF32" s="35"/>
      <c r="AG32" s="35"/>
      <c r="AH32" s="35"/>
      <c r="AI32" s="455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5"/>
      <c r="BC32" s="55"/>
      <c r="BD32" s="55"/>
      <c r="BE32" s="35"/>
      <c r="BF32" s="55"/>
    </row>
    <row r="33" spans="1:58" ht="12.95" customHeight="1">
      <c r="A33" s="343">
        <v>45936</v>
      </c>
      <c r="B33" s="43" t="s">
        <v>517</v>
      </c>
      <c r="C33" s="447">
        <f>(M33*E33*O33*Q33)/100000000</f>
        <v>54.590484535194349</v>
      </c>
      <c r="D33" s="43" t="s">
        <v>489</v>
      </c>
      <c r="E33" s="44">
        <v>12</v>
      </c>
      <c r="F33" s="44">
        <v>1</v>
      </c>
      <c r="G33" s="459">
        <v>1700</v>
      </c>
      <c r="H33" s="46">
        <v>0.24</v>
      </c>
      <c r="I33" s="47">
        <v>0.88</v>
      </c>
      <c r="J33" s="88">
        <f>E33*G33*(1-H33)*1440/1000000*2.77</f>
        <v>61.8423552</v>
      </c>
      <c r="K33" s="88">
        <f>(IF(G33&lt;L33,L33,G33)*(1-IF(H33&lt;N33,H33,N33))*E33*O33*Q33)/100000000</f>
        <v>59.192560519480516</v>
      </c>
      <c r="L33" s="37">
        <v>1567.829181494662</v>
      </c>
      <c r="M33" s="37">
        <v>1191.5501779359431</v>
      </c>
      <c r="N33" s="48">
        <f>1-(M33/L33)</f>
        <v>0.24</v>
      </c>
      <c r="O33" s="49">
        <f>+'Trim Rwd'!H30</f>
        <v>267.9220779220779</v>
      </c>
      <c r="P33" s="50">
        <f>O33*(Q33-R33-S33)</f>
        <v>346423.24675324676</v>
      </c>
      <c r="Q33" s="49">
        <v>1425</v>
      </c>
      <c r="R33" s="417">
        <v>20</v>
      </c>
      <c r="S33" s="417">
        <f>85+27</f>
        <v>112</v>
      </c>
      <c r="T33" s="39">
        <f>E33*M33*O33*Q33/100000000</f>
        <v>54.590484535194349</v>
      </c>
      <c r="U33" s="39">
        <f>E33*M33*O33*(Q33-R33-S33)/100000000</f>
        <v>49.5336817571974</v>
      </c>
      <c r="V33" s="39">
        <f>E33*G33*(1-N33)*O33/100*(R33+S33)/1000000</f>
        <v>5.483100342857143</v>
      </c>
      <c r="W33" s="39">
        <f>+'6'!K14/1000</f>
        <v>43.052</v>
      </c>
      <c r="X33" s="414">
        <f>SUM(W33:W36)/SUM(K33:K36)</f>
        <v>0.74072481548311198</v>
      </c>
      <c r="Y33" s="220">
        <v>0</v>
      </c>
      <c r="Z33" s="39">
        <v>0</v>
      </c>
      <c r="AA33" s="51">
        <f>SUM(U33:U36)-SUM(W33:W36)-SUM(Z33:Z36)-SUM(Y33:Y36)</f>
        <v>5.4756481571973996</v>
      </c>
      <c r="AB33" s="51">
        <f>(SUM(K33:K36)-SUM(W33:W36)-SUM(Y33:Y36)-SUM(Z33:Z36)-SUM(AC33:AC36)-SUM(V33:V36))-AA33</f>
        <v>-0.42629756486019854</v>
      </c>
      <c r="AC33" s="39">
        <f>K33-T33</f>
        <v>4.6020759842861665</v>
      </c>
      <c r="AD33" s="39">
        <f>+AM33+BA33</f>
        <v>85</v>
      </c>
      <c r="AE33" s="238" t="s">
        <v>547</v>
      </c>
      <c r="AF33" s="39">
        <v>85</v>
      </c>
      <c r="AG33" s="39"/>
      <c r="AH33" s="39"/>
      <c r="AI33" s="455"/>
      <c r="AJ33" s="39"/>
      <c r="AK33" s="39"/>
      <c r="AL33" s="39"/>
      <c r="AM33" s="39">
        <f>SUM(AF33:AL33)+AT33+AV33+AX33</f>
        <v>85</v>
      </c>
      <c r="AN33" s="39"/>
      <c r="AO33" s="39"/>
      <c r="AP33" s="39"/>
      <c r="AQ33" s="39"/>
      <c r="AR33" s="39">
        <f>SUM(AN33:AQ33)</f>
        <v>0</v>
      </c>
      <c r="AS33" s="39"/>
      <c r="AT33" s="39"/>
      <c r="AU33" s="39"/>
      <c r="AV33" s="39"/>
      <c r="AW33" s="39"/>
      <c r="AX33" s="39"/>
      <c r="AY33" s="39"/>
      <c r="AZ33" s="39"/>
      <c r="BA33" s="39">
        <f>+AR33+AS33+AU33+AW33+AY33+AZ33</f>
        <v>0</v>
      </c>
      <c r="BB33" s="35">
        <v>27</v>
      </c>
      <c r="BC33" s="53"/>
      <c r="BD33" s="53"/>
      <c r="BE33" s="35"/>
      <c r="BF33" s="53"/>
    </row>
    <row r="34" spans="1:58" ht="12.95" customHeight="1">
      <c r="A34" s="343"/>
      <c r="B34" s="43" t="s">
        <v>517</v>
      </c>
      <c r="C34" s="447">
        <f>(M34*E34*O34*Q34)/100000000</f>
        <v>0.64496640000000005</v>
      </c>
      <c r="D34" s="43" t="s">
        <v>489</v>
      </c>
      <c r="E34" s="44">
        <v>13</v>
      </c>
      <c r="F34" s="44">
        <v>1</v>
      </c>
      <c r="G34" s="459">
        <v>1700</v>
      </c>
      <c r="H34" s="46">
        <v>0.24</v>
      </c>
      <c r="I34" s="47">
        <v>0.88</v>
      </c>
      <c r="J34" s="88">
        <f>E34*G34*(1-H34)*1440/1000000*2.77</f>
        <v>66.995884799999999</v>
      </c>
      <c r="K34" s="88">
        <f>(IF(G34&lt;L34,L34,G34)*(1-IF(H34&lt;N34,H34,N34))*E34*O34*Q34)/100000000</f>
        <v>0.68527680000000002</v>
      </c>
      <c r="L34" s="37">
        <v>1600</v>
      </c>
      <c r="M34" s="37">
        <v>1216</v>
      </c>
      <c r="N34" s="48">
        <f>1-(M34/L34)</f>
        <v>0.24</v>
      </c>
      <c r="O34" s="49">
        <f>+'Trim Rwd'!H33</f>
        <v>272</v>
      </c>
      <c r="P34" s="50">
        <f>O34*(Q34-R34-S34)</f>
        <v>4080</v>
      </c>
      <c r="Q34" s="49">
        <v>15</v>
      </c>
      <c r="R34" s="417">
        <v>0</v>
      </c>
      <c r="S34" s="417">
        <v>0</v>
      </c>
      <c r="T34" s="39">
        <f>E34*M34*O34*Q34/100000000</f>
        <v>0.64496640000000005</v>
      </c>
      <c r="U34" s="39">
        <f>E34*M34*O34*(Q34-R34-S34)/100000000</f>
        <v>0.64496640000000005</v>
      </c>
      <c r="V34" s="39">
        <f>E34*G34*(1-N34)*O34/100*(R34+S34)/1000000</f>
        <v>0</v>
      </c>
      <c r="W34" s="39">
        <f>+'6'!K15/1000</f>
        <v>0</v>
      </c>
      <c r="X34" s="40"/>
      <c r="Y34" s="220"/>
      <c r="Z34" s="39">
        <v>0</v>
      </c>
      <c r="AA34" s="39"/>
      <c r="AB34" s="39"/>
      <c r="AC34" s="39">
        <f>K34-T34</f>
        <v>4.0310399999999968E-2</v>
      </c>
      <c r="AD34" s="39">
        <f>+AM34+BA34</f>
        <v>0</v>
      </c>
      <c r="AE34" s="238" t="s">
        <v>427</v>
      </c>
      <c r="AF34" s="39"/>
      <c r="AG34" s="39">
        <v>0</v>
      </c>
      <c r="AH34" s="39"/>
      <c r="AI34" s="455"/>
      <c r="AJ34" s="39"/>
      <c r="AK34" s="39"/>
      <c r="AL34" s="39"/>
      <c r="AM34" s="39">
        <f>SUM(AF34:AL34)+AT34+AV34+AX34</f>
        <v>0</v>
      </c>
      <c r="AN34" s="89"/>
      <c r="AO34" s="39"/>
      <c r="AP34" s="39"/>
      <c r="AQ34" s="39"/>
      <c r="AR34" s="39">
        <f>SUM(AN34:AQ34)</f>
        <v>0</v>
      </c>
      <c r="AS34" s="39"/>
      <c r="AT34" s="39"/>
      <c r="AU34" s="39"/>
      <c r="AV34" s="39"/>
      <c r="AW34" s="39"/>
      <c r="AX34" s="39"/>
      <c r="AY34" s="39"/>
      <c r="AZ34" s="39"/>
      <c r="BA34" s="39">
        <f>+AR34+AS34+AU34+AW34+AY34+AZ34</f>
        <v>0</v>
      </c>
      <c r="BB34" s="52"/>
      <c r="BC34" s="53">
        <v>0</v>
      </c>
      <c r="BD34" s="53"/>
      <c r="BE34" s="52"/>
      <c r="BF34" s="53"/>
    </row>
    <row r="35" spans="1:58" ht="12.95" customHeight="1">
      <c r="A35" s="42"/>
      <c r="B35" s="43" t="s">
        <v>517</v>
      </c>
      <c r="C35" s="447"/>
      <c r="D35" s="43"/>
      <c r="E35" s="44">
        <v>10.3</v>
      </c>
      <c r="F35" s="44"/>
      <c r="G35" s="45"/>
      <c r="H35" s="46"/>
      <c r="I35" s="47"/>
      <c r="J35" s="88"/>
      <c r="K35" s="88"/>
      <c r="L35" s="37"/>
      <c r="M35" s="37"/>
      <c r="N35" s="48"/>
      <c r="O35" s="49"/>
      <c r="P35" s="50"/>
      <c r="Q35" s="49"/>
      <c r="R35" s="417"/>
      <c r="S35" s="417"/>
      <c r="T35" s="39"/>
      <c r="U35" s="39"/>
      <c r="V35" s="39"/>
      <c r="W35" s="39">
        <f>+'6'!K13/1000</f>
        <v>1.3009999999999999</v>
      </c>
      <c r="X35" s="40"/>
      <c r="Y35" s="220"/>
      <c r="Z35" s="220">
        <f>+'6'!D8/1000</f>
        <v>0.35</v>
      </c>
      <c r="AA35" s="39"/>
      <c r="AB35" s="39"/>
      <c r="AC35" s="39"/>
      <c r="AD35" s="39">
        <f>+AM35+BA35</f>
        <v>27</v>
      </c>
      <c r="AE35" s="238" t="s">
        <v>548</v>
      </c>
      <c r="AF35" s="35"/>
      <c r="AG35" s="35"/>
      <c r="AH35" s="35">
        <v>27</v>
      </c>
      <c r="AI35" s="455"/>
      <c r="AJ35" s="39"/>
      <c r="AK35" s="39"/>
      <c r="AL35" s="39"/>
      <c r="AM35" s="39">
        <f>SUM(AF35:AL35)+AT35+AV35+AX35</f>
        <v>27</v>
      </c>
      <c r="AN35" s="39"/>
      <c r="AO35" s="39"/>
      <c r="AP35" s="39"/>
      <c r="AQ35" s="39"/>
      <c r="AR35" s="39">
        <f>SUM(AN35:AQ35)</f>
        <v>0</v>
      </c>
      <c r="AS35" s="39"/>
      <c r="AT35" s="39"/>
      <c r="AU35" s="39"/>
      <c r="AV35" s="39"/>
      <c r="AW35" s="39"/>
      <c r="AX35" s="39"/>
      <c r="AY35" s="39"/>
      <c r="AZ35" s="39"/>
      <c r="BA35" s="39">
        <f>+AR35+AS35+AU35+AW35+AY35+AZ35</f>
        <v>0</v>
      </c>
      <c r="BB35" s="35"/>
      <c r="BC35" s="55"/>
      <c r="BD35" s="55"/>
      <c r="BE35" s="35"/>
      <c r="BF35" s="55"/>
    </row>
    <row r="36" spans="1:58" ht="12.95" customHeight="1">
      <c r="A36" s="343"/>
      <c r="B36" s="43"/>
      <c r="C36" s="447"/>
      <c r="D36" s="43"/>
      <c r="E36" s="44"/>
      <c r="F36" s="44"/>
      <c r="G36" s="459"/>
      <c r="H36" s="46"/>
      <c r="I36" s="47"/>
      <c r="J36" s="88"/>
      <c r="K36" s="88"/>
      <c r="L36" s="37"/>
      <c r="M36" s="37"/>
      <c r="N36" s="48"/>
      <c r="O36" s="49"/>
      <c r="P36" s="50"/>
      <c r="Q36" s="49"/>
      <c r="R36" s="417"/>
      <c r="S36" s="417"/>
      <c r="T36" s="39"/>
      <c r="U36" s="39"/>
      <c r="V36" s="39"/>
      <c r="W36" s="39"/>
      <c r="X36" s="414"/>
      <c r="Y36" s="220"/>
      <c r="Z36" s="39"/>
      <c r="AA36" s="51"/>
      <c r="AB36" s="51"/>
      <c r="AC36" s="39"/>
      <c r="AD36" s="39">
        <f>+AM36+BA36</f>
        <v>20</v>
      </c>
      <c r="AE36" s="241" t="s">
        <v>532</v>
      </c>
      <c r="AF36" s="39"/>
      <c r="AG36" s="39"/>
      <c r="AH36" s="39"/>
      <c r="AI36" s="455"/>
      <c r="AJ36" s="39"/>
      <c r="AK36" s="39"/>
      <c r="AL36" s="39"/>
      <c r="AM36" s="39">
        <f t="shared" ref="AM36" si="3">SUM(AF36:AL36)+AT36+AV36+AX36</f>
        <v>0</v>
      </c>
      <c r="AN36" s="39"/>
      <c r="AO36" s="39"/>
      <c r="AP36" s="39">
        <v>20</v>
      </c>
      <c r="AQ36" s="39"/>
      <c r="AR36" s="39">
        <f t="shared" ref="AR36" si="4">SUM(AN36:AQ36)</f>
        <v>20</v>
      </c>
      <c r="AS36" s="39"/>
      <c r="AT36" s="39"/>
      <c r="AU36" s="39"/>
      <c r="AV36" s="39"/>
      <c r="AW36" s="39"/>
      <c r="AX36" s="39"/>
      <c r="AY36" s="39"/>
      <c r="AZ36" s="39"/>
      <c r="BA36" s="39">
        <f t="shared" ref="BA36" si="5">+AR36+AS36+AU36+AW36+AY36+AZ36</f>
        <v>20</v>
      </c>
      <c r="BB36" s="35"/>
      <c r="BC36" s="55"/>
      <c r="BD36" s="55"/>
      <c r="BE36" s="35"/>
      <c r="BF36" s="55"/>
    </row>
    <row r="37" spans="1:58" ht="12.95" customHeight="1">
      <c r="A37" s="42"/>
      <c r="B37" s="43"/>
      <c r="C37" s="447"/>
      <c r="D37" s="43"/>
      <c r="E37" s="44"/>
      <c r="F37" s="44"/>
      <c r="G37" s="45"/>
      <c r="H37" s="46"/>
      <c r="I37" s="47"/>
      <c r="J37" s="88"/>
      <c r="K37" s="88"/>
      <c r="L37" s="37"/>
      <c r="M37" s="37"/>
      <c r="N37" s="48"/>
      <c r="O37" s="49"/>
      <c r="P37" s="50"/>
      <c r="Q37" s="49"/>
      <c r="R37" s="417"/>
      <c r="S37" s="417"/>
      <c r="T37" s="39"/>
      <c r="U37" s="39"/>
      <c r="V37" s="39"/>
      <c r="W37" s="39"/>
      <c r="X37" s="40"/>
      <c r="Y37" s="220"/>
      <c r="Z37" s="39"/>
      <c r="AA37" s="39"/>
      <c r="AB37" s="39"/>
      <c r="AC37" s="39"/>
      <c r="AD37" s="39"/>
      <c r="AE37" s="238"/>
      <c r="AF37" s="35"/>
      <c r="AG37" s="35"/>
      <c r="AH37" s="35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5"/>
      <c r="BC37" s="55"/>
      <c r="BD37" s="53"/>
      <c r="BE37" s="53"/>
      <c r="BF37" s="53"/>
    </row>
    <row r="38" spans="1:58" ht="12.95" customHeight="1">
      <c r="A38" s="343">
        <v>45968</v>
      </c>
      <c r="B38" s="43" t="s">
        <v>517</v>
      </c>
      <c r="C38" s="447">
        <f>(M38*E38*O38*Q38)/100000000</f>
        <v>37.193062400000002</v>
      </c>
      <c r="D38" s="43" t="s">
        <v>489</v>
      </c>
      <c r="E38" s="44">
        <v>13</v>
      </c>
      <c r="F38" s="44">
        <v>1</v>
      </c>
      <c r="G38" s="459">
        <v>1700</v>
      </c>
      <c r="H38" s="46">
        <v>0.24</v>
      </c>
      <c r="I38" s="47">
        <v>0.88</v>
      </c>
      <c r="J38" s="88">
        <f>E38*G38*(1-H38)*1440/1000000*2.77</f>
        <v>66.995884799999999</v>
      </c>
      <c r="K38" s="88">
        <f>(IF(G38&lt;L38,L38,G38)*(1-IF(H38&lt;N38,H38,N38))*E38*O38*Q38)/100000000</f>
        <v>39.517628799999997</v>
      </c>
      <c r="L38" s="37">
        <v>1600</v>
      </c>
      <c r="M38" s="37">
        <v>1216</v>
      </c>
      <c r="N38" s="48">
        <f>1-(M38/L38)</f>
        <v>0.24</v>
      </c>
      <c r="O38" s="49">
        <f>+'Trim Rwd'!H35</f>
        <v>272</v>
      </c>
      <c r="P38" s="50">
        <f>O38*(Q38-R38-S38)</f>
        <v>210800</v>
      </c>
      <c r="Q38" s="49">
        <v>865</v>
      </c>
      <c r="R38" s="417">
        <v>0</v>
      </c>
      <c r="S38" s="417">
        <v>90</v>
      </c>
      <c r="T38" s="39">
        <f>E38*M38*O38*Q38/100000000</f>
        <v>37.193062400000002</v>
      </c>
      <c r="U38" s="39">
        <f>E38*M38*O38*(Q38-R38-S38)/100000000</f>
        <v>33.323264000000002</v>
      </c>
      <c r="V38" s="39">
        <f>E38*G38*(1-N38)*O38/100*(R38+S38)/1000000</f>
        <v>4.1116608000000001</v>
      </c>
      <c r="W38" s="39">
        <f>+'7'!K15/1000</f>
        <v>32.631</v>
      </c>
      <c r="X38" s="414">
        <f>SUM(W38:W41)/SUM(K38:K41)</f>
        <v>0.78018143522729932</v>
      </c>
      <c r="Y38" s="220">
        <v>0</v>
      </c>
      <c r="Z38" s="39">
        <v>0</v>
      </c>
      <c r="AA38" s="51">
        <f>SUM(U38:U41)-SUM(W38:W41)-SUM(Z38:Z41)-SUM(Y38:Y41)</f>
        <v>4.4809749128347889</v>
      </c>
      <c r="AB38" s="51">
        <f>(SUM(K38:K41)-SUM(W38:W41)-SUM(Y38:Y41)-SUM(Z38:Z41)-SUM(AC38:AC41)-SUM(V38:V41))-AA38</f>
        <v>-0.3503499032347861</v>
      </c>
      <c r="AC38" s="39">
        <f>K38-T38</f>
        <v>2.3245663999999948</v>
      </c>
      <c r="AD38" s="39">
        <f>+AM38+BA38</f>
        <v>90</v>
      </c>
      <c r="AE38" s="238" t="s">
        <v>573</v>
      </c>
      <c r="AF38" s="39">
        <v>90</v>
      </c>
      <c r="AG38" s="39"/>
      <c r="AH38" s="39"/>
      <c r="AI38" s="455"/>
      <c r="AJ38" s="39"/>
      <c r="AK38" s="39"/>
      <c r="AL38" s="39"/>
      <c r="AM38" s="39">
        <f>SUM(AF38:AL38)+AT38+AV38+AX38</f>
        <v>90</v>
      </c>
      <c r="AN38" s="39"/>
      <c r="AO38" s="39"/>
      <c r="AP38" s="39"/>
      <c r="AQ38" s="39"/>
      <c r="AR38" s="39">
        <f>SUM(AN38:AQ38)</f>
        <v>0</v>
      </c>
      <c r="AS38" s="39"/>
      <c r="AT38" s="39"/>
      <c r="AU38" s="39"/>
      <c r="AV38" s="39"/>
      <c r="AW38" s="39"/>
      <c r="AX38" s="39"/>
      <c r="AY38" s="39"/>
      <c r="AZ38" s="39"/>
      <c r="BA38" s="39">
        <f>+AR38+AS38+AU38+AW38+AY38+AZ38</f>
        <v>0</v>
      </c>
      <c r="BB38" s="35">
        <v>18</v>
      </c>
      <c r="BC38" s="53"/>
      <c r="BD38" s="53"/>
      <c r="BE38" s="35"/>
      <c r="BF38" s="53"/>
    </row>
    <row r="39" spans="1:58" ht="12.95" customHeight="1">
      <c r="A39" s="343"/>
      <c r="B39" s="43" t="s">
        <v>517</v>
      </c>
      <c r="C39" s="447">
        <f>(M39*E39*O39*Q39)/100000000</f>
        <v>21.293999580000001</v>
      </c>
      <c r="D39" s="43" t="s">
        <v>489</v>
      </c>
      <c r="E39" s="44">
        <v>10.3</v>
      </c>
      <c r="F39" s="44">
        <v>1</v>
      </c>
      <c r="G39" s="459">
        <v>1730</v>
      </c>
      <c r="H39" s="46">
        <v>0.16</v>
      </c>
      <c r="I39" s="47">
        <v>0.88</v>
      </c>
      <c r="J39" s="88">
        <f>E39*G39*(1-H39)*1440/1000000*2.77</f>
        <v>59.704198847999997</v>
      </c>
      <c r="K39" s="88">
        <f>(IF(G39&lt;L39,L39,G39)*(1-IF(H39&lt;N39,H39,N39))*E39*O39*Q39)/100000000</f>
        <v>22.893494820000001</v>
      </c>
      <c r="L39" s="37">
        <v>1609.1304347826087</v>
      </c>
      <c r="M39" s="37">
        <v>1351.6695652173912</v>
      </c>
      <c r="N39" s="48">
        <f>1-(M39/L39)</f>
        <v>0.16000000000000003</v>
      </c>
      <c r="O39" s="49">
        <f>+'Trim Rwd'!H36</f>
        <v>266</v>
      </c>
      <c r="P39" s="50">
        <f>O39*(Q39-R39-S39)</f>
        <v>142576</v>
      </c>
      <c r="Q39" s="49">
        <v>575</v>
      </c>
      <c r="R39" s="417">
        <v>0</v>
      </c>
      <c r="S39" s="417">
        <f>13+26</f>
        <v>39</v>
      </c>
      <c r="T39" s="39">
        <f>E39*M39*O39*Q39/100000000</f>
        <v>21.293999580000001</v>
      </c>
      <c r="U39" s="39">
        <f>E39*M39*O39*(Q39-R39-S39)/100000000</f>
        <v>19.849710912834784</v>
      </c>
      <c r="V39" s="39">
        <f>E39*G39*(1-N39)*O39/100*(R39+S39)/1000000</f>
        <v>1.5527761704</v>
      </c>
      <c r="W39" s="39">
        <f>+'7'!K13/1000</f>
        <v>11.616</v>
      </c>
      <c r="X39" s="40"/>
      <c r="Y39" s="220"/>
      <c r="Z39" s="39">
        <v>0</v>
      </c>
      <c r="AA39" s="39"/>
      <c r="AB39" s="39"/>
      <c r="AC39" s="39">
        <f>K39-T39</f>
        <v>1.5994952399999995</v>
      </c>
      <c r="AD39" s="39">
        <f>+AM39+BA39</f>
        <v>13</v>
      </c>
      <c r="AE39" s="238" t="s">
        <v>574</v>
      </c>
      <c r="AF39" s="39"/>
      <c r="AG39" s="39">
        <v>13</v>
      </c>
      <c r="AH39" s="39"/>
      <c r="AI39" s="455"/>
      <c r="AJ39" s="39"/>
      <c r="AK39" s="39"/>
      <c r="AL39" s="39"/>
      <c r="AM39" s="39">
        <f>SUM(AF39:AL39)+AT39+AV39+AX39</f>
        <v>13</v>
      </c>
      <c r="AN39" s="89"/>
      <c r="AO39" s="39"/>
      <c r="AP39" s="39"/>
      <c r="AQ39" s="39"/>
      <c r="AR39" s="39">
        <f>SUM(AN39:AQ39)</f>
        <v>0</v>
      </c>
      <c r="AS39" s="39"/>
      <c r="AT39" s="39"/>
      <c r="AU39" s="39"/>
      <c r="AV39" s="39"/>
      <c r="AW39" s="39"/>
      <c r="AX39" s="39"/>
      <c r="AY39" s="39"/>
      <c r="AZ39" s="39"/>
      <c r="BA39" s="39">
        <f>+AR39+AS39+AU39+AW39+AY39+AZ39</f>
        <v>0</v>
      </c>
      <c r="BB39" s="52"/>
      <c r="BC39" s="53">
        <v>7</v>
      </c>
      <c r="BD39" s="53"/>
      <c r="BE39" s="52"/>
      <c r="BF39" s="53"/>
    </row>
    <row r="40" spans="1:58" ht="12.95" customHeight="1">
      <c r="A40" s="42"/>
      <c r="B40" s="43" t="s">
        <v>517</v>
      </c>
      <c r="C40" s="447"/>
      <c r="D40" s="43"/>
      <c r="E40" s="44">
        <v>12</v>
      </c>
      <c r="F40" s="44"/>
      <c r="G40" s="45"/>
      <c r="H40" s="46"/>
      <c r="I40" s="47"/>
      <c r="J40" s="88"/>
      <c r="K40" s="88"/>
      <c r="L40" s="37"/>
      <c r="M40" s="37"/>
      <c r="N40" s="48"/>
      <c r="O40" s="49"/>
      <c r="P40" s="50"/>
      <c r="Q40" s="49"/>
      <c r="R40" s="417"/>
      <c r="S40" s="417"/>
      <c r="T40" s="39"/>
      <c r="U40" s="39"/>
      <c r="V40" s="39"/>
      <c r="W40" s="39">
        <f>+'7'!K14/1000</f>
        <v>4.4450000000000003</v>
      </c>
      <c r="X40" s="40"/>
      <c r="Y40" s="220"/>
      <c r="Z40" s="39"/>
      <c r="AA40" s="39"/>
      <c r="AB40" s="39"/>
      <c r="AC40" s="39"/>
      <c r="AD40" s="39">
        <f>+AM40+BA40</f>
        <v>26</v>
      </c>
      <c r="AE40" s="238" t="s">
        <v>466</v>
      </c>
      <c r="AF40" s="35"/>
      <c r="AG40" s="35"/>
      <c r="AH40" s="35">
        <v>26</v>
      </c>
      <c r="AI40" s="455"/>
      <c r="AJ40" s="39"/>
      <c r="AK40" s="39"/>
      <c r="AL40" s="39"/>
      <c r="AM40" s="39">
        <f>SUM(AF40:AL40)+AT40+AV40+AX40</f>
        <v>26</v>
      </c>
      <c r="AN40" s="39"/>
      <c r="AO40" s="39"/>
      <c r="AP40" s="39"/>
      <c r="AQ40" s="39"/>
      <c r="AR40" s="39">
        <f>SUM(AN40:AQ40)</f>
        <v>0</v>
      </c>
      <c r="AS40" s="39"/>
      <c r="AT40" s="39"/>
      <c r="AU40" s="39"/>
      <c r="AV40" s="39"/>
      <c r="AW40" s="39"/>
      <c r="AX40" s="39"/>
      <c r="AY40" s="39"/>
      <c r="AZ40" s="39"/>
      <c r="BA40" s="39">
        <f>+AR40+AS40+AU40+AW40+AY40+AZ40</f>
        <v>0</v>
      </c>
      <c r="BB40" s="35"/>
      <c r="BC40" s="55"/>
      <c r="BD40" s="55"/>
      <c r="BE40" s="35"/>
      <c r="BF40" s="55"/>
    </row>
    <row r="41" spans="1:58" ht="12.95" customHeight="1">
      <c r="A41" s="343"/>
      <c r="B41" s="43"/>
      <c r="C41" s="447"/>
      <c r="D41" s="43"/>
      <c r="E41" s="44"/>
      <c r="F41" s="44"/>
      <c r="G41" s="459"/>
      <c r="H41" s="46"/>
      <c r="I41" s="47"/>
      <c r="J41" s="88"/>
      <c r="K41" s="88"/>
      <c r="L41" s="37"/>
      <c r="M41" s="37"/>
      <c r="N41" s="48"/>
      <c r="O41" s="49"/>
      <c r="P41" s="50"/>
      <c r="Q41" s="49"/>
      <c r="R41" s="417"/>
      <c r="S41" s="417"/>
      <c r="T41" s="39"/>
      <c r="U41" s="39"/>
      <c r="V41" s="39"/>
      <c r="W41" s="39"/>
      <c r="X41" s="414"/>
      <c r="Y41" s="220"/>
      <c r="Z41" s="39"/>
      <c r="AA41" s="51"/>
      <c r="AB41" s="51"/>
      <c r="AC41" s="39"/>
      <c r="AD41" s="39"/>
      <c r="AE41" s="241"/>
      <c r="AF41" s="39"/>
      <c r="AG41" s="39"/>
      <c r="AH41" s="39"/>
      <c r="AI41" s="455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5"/>
      <c r="BC41" s="55"/>
      <c r="BD41" s="55"/>
      <c r="BE41" s="35"/>
      <c r="BF41" s="55"/>
    </row>
    <row r="42" spans="1:58" ht="12.95" customHeight="1">
      <c r="A42" s="343">
        <v>45969</v>
      </c>
      <c r="B42" s="43" t="s">
        <v>517</v>
      </c>
      <c r="C42" s="447">
        <f>(M42*E42*O42*Q42)/100000000</f>
        <v>51.478430976000006</v>
      </c>
      <c r="D42" s="43" t="s">
        <v>489</v>
      </c>
      <c r="E42" s="44">
        <v>10.3</v>
      </c>
      <c r="F42" s="44">
        <v>1</v>
      </c>
      <c r="G42" s="459">
        <v>1730</v>
      </c>
      <c r="H42" s="46">
        <v>0.16</v>
      </c>
      <c r="I42" s="47">
        <v>0.88</v>
      </c>
      <c r="J42" s="88">
        <f>E42*G42*(1-H42)*1440/1000000*2.77</f>
        <v>59.704198847999997</v>
      </c>
      <c r="K42" s="88">
        <f>(IF(G42&lt;L42,L42,G42)*(1-IF(H42&lt;N42,H42,N42))*E42*O42*Q42)/100000000</f>
        <v>57.333273984000009</v>
      </c>
      <c r="L42" s="37">
        <v>1553.3333333333333</v>
      </c>
      <c r="M42" s="37">
        <v>1304.8</v>
      </c>
      <c r="N42" s="48">
        <f>1-(M42/L42)</f>
        <v>0.16000000000000003</v>
      </c>
      <c r="O42" s="49">
        <f>+'Trim Rwd'!H39</f>
        <v>266</v>
      </c>
      <c r="P42" s="50">
        <f>O42*(Q42-R42-S42)</f>
        <v>364686</v>
      </c>
      <c r="Q42" s="49">
        <v>1440</v>
      </c>
      <c r="R42" s="417">
        <v>0</v>
      </c>
      <c r="S42" s="417">
        <v>69</v>
      </c>
      <c r="T42" s="39">
        <f>E42*M42*O42*Q42/100000000</f>
        <v>51.478430976000006</v>
      </c>
      <c r="U42" s="39">
        <f>E42*M42*O42*(Q42-R42-S42)/100000000</f>
        <v>49.011756158400004</v>
      </c>
      <c r="V42" s="39">
        <f>E42*G42*(1-N42)*O42/100*(R42+S42)/1000000</f>
        <v>2.7472193783999996</v>
      </c>
      <c r="W42" s="39">
        <f>+'8'!K34/1000</f>
        <v>47.743000000000002</v>
      </c>
      <c r="X42" s="414">
        <f>SUM(W42:W45)/SUM(K42:K45)</f>
        <v>0.83272760619467912</v>
      </c>
      <c r="Y42" s="220">
        <v>0</v>
      </c>
      <c r="Z42" s="39">
        <v>0</v>
      </c>
      <c r="AA42" s="51">
        <f>SUM(U42:U45)-SUM(W42:W45)-SUM(Z42:Z45)-SUM(Y42:Y45)</f>
        <v>1.2687561584000022</v>
      </c>
      <c r="AB42" s="51">
        <f>(SUM(K42:K45)-SUM(W42:W45)-SUM(Y42:Y45)-SUM(Z42:Z45)-SUM(AC42:AC45)-SUM(V42:V45))-AA42</f>
        <v>-0.28054456079999834</v>
      </c>
      <c r="AC42" s="39">
        <f>K42-T42</f>
        <v>5.8548430080000031</v>
      </c>
      <c r="AD42" s="39">
        <f>+AM42+BA42</f>
        <v>25</v>
      </c>
      <c r="AE42" s="238" t="s">
        <v>443</v>
      </c>
      <c r="AF42" s="39">
        <v>25</v>
      </c>
      <c r="AG42" s="39"/>
      <c r="AH42" s="39"/>
      <c r="AI42" s="455"/>
      <c r="AJ42" s="39"/>
      <c r="AK42" s="39"/>
      <c r="AL42" s="39"/>
      <c r="AM42" s="39">
        <f>SUM(AF42:AL42)+AT42+AV42+AX42</f>
        <v>25</v>
      </c>
      <c r="AN42" s="39"/>
      <c r="AO42" s="39"/>
      <c r="AP42" s="39"/>
      <c r="AQ42" s="39"/>
      <c r="AR42" s="39">
        <f>SUM(AN42:AQ42)</f>
        <v>0</v>
      </c>
      <c r="AS42" s="39"/>
      <c r="AT42" s="39"/>
      <c r="AU42" s="39"/>
      <c r="AV42" s="39"/>
      <c r="AW42" s="39"/>
      <c r="AX42" s="39"/>
      <c r="AY42" s="39"/>
      <c r="AZ42" s="39"/>
      <c r="BA42" s="39">
        <f>+AR42+AS42+AU42+AW42+AY42+AZ42</f>
        <v>0</v>
      </c>
      <c r="BB42" s="35">
        <v>5</v>
      </c>
      <c r="BC42" s="53"/>
      <c r="BD42" s="53"/>
      <c r="BE42" s="35"/>
      <c r="BF42" s="53"/>
    </row>
    <row r="43" spans="1:58" ht="12.95" customHeight="1">
      <c r="A43" s="343"/>
      <c r="B43" s="43"/>
      <c r="C43" s="447"/>
      <c r="D43" s="43"/>
      <c r="E43" s="44"/>
      <c r="F43" s="44"/>
      <c r="G43" s="459"/>
      <c r="H43" s="46"/>
      <c r="I43" s="47"/>
      <c r="J43" s="88"/>
      <c r="K43" s="88"/>
      <c r="L43" s="37"/>
      <c r="M43" s="37"/>
      <c r="N43" s="48"/>
      <c r="O43" s="49"/>
      <c r="P43" s="50"/>
      <c r="Q43" s="49"/>
      <c r="R43" s="417"/>
      <c r="S43" s="417"/>
      <c r="T43" s="39"/>
      <c r="U43" s="39"/>
      <c r="V43" s="39"/>
      <c r="W43" s="39"/>
      <c r="X43" s="40"/>
      <c r="Y43" s="220"/>
      <c r="Z43" s="39"/>
      <c r="AA43" s="39"/>
      <c r="AB43" s="39"/>
      <c r="AC43" s="39"/>
      <c r="AD43" s="39">
        <f>+AM43+BA43</f>
        <v>18</v>
      </c>
      <c r="AE43" s="238" t="s">
        <v>593</v>
      </c>
      <c r="AF43" s="39"/>
      <c r="AG43" s="39">
        <v>18</v>
      </c>
      <c r="AH43" s="39"/>
      <c r="AI43" s="455"/>
      <c r="AJ43" s="39"/>
      <c r="AK43" s="39"/>
      <c r="AL43" s="39"/>
      <c r="AM43" s="39">
        <f>SUM(AF43:AL43)+AT43+AV43+AX43</f>
        <v>18</v>
      </c>
      <c r="AN43" s="89"/>
      <c r="AO43" s="39"/>
      <c r="AP43" s="39"/>
      <c r="AQ43" s="39"/>
      <c r="AR43" s="39">
        <f>SUM(AN43:AQ43)</f>
        <v>0</v>
      </c>
      <c r="AS43" s="39"/>
      <c r="AT43" s="39"/>
      <c r="AU43" s="39"/>
      <c r="AV43" s="39"/>
      <c r="AW43" s="39"/>
      <c r="AX43" s="39"/>
      <c r="AY43" s="39"/>
      <c r="AZ43" s="39"/>
      <c r="BA43" s="39">
        <f>+AR43+AS43+AU43+AW43+AY43+AZ43</f>
        <v>0</v>
      </c>
      <c r="BB43" s="52"/>
      <c r="BC43" s="53">
        <v>10</v>
      </c>
      <c r="BD43" s="53"/>
      <c r="BE43" s="52"/>
      <c r="BF43" s="53"/>
    </row>
    <row r="44" spans="1:58" ht="12.95" customHeight="1">
      <c r="A44" s="42"/>
      <c r="B44" s="43"/>
      <c r="C44" s="447"/>
      <c r="D44" s="43"/>
      <c r="E44" s="44"/>
      <c r="F44" s="44"/>
      <c r="G44" s="45"/>
      <c r="H44" s="46"/>
      <c r="I44" s="47"/>
      <c r="J44" s="88"/>
      <c r="K44" s="88"/>
      <c r="L44" s="37"/>
      <c r="M44" s="37"/>
      <c r="N44" s="48"/>
      <c r="O44" s="49"/>
      <c r="P44" s="50"/>
      <c r="Q44" s="49"/>
      <c r="R44" s="417"/>
      <c r="S44" s="417"/>
      <c r="T44" s="39"/>
      <c r="U44" s="39"/>
      <c r="V44" s="39"/>
      <c r="W44" s="39"/>
      <c r="X44" s="40"/>
      <c r="Y44" s="220"/>
      <c r="Z44" s="39"/>
      <c r="AA44" s="39"/>
      <c r="AB44" s="39"/>
      <c r="AC44" s="39"/>
      <c r="AD44" s="39">
        <f>+AM44+BA44</f>
        <v>26</v>
      </c>
      <c r="AE44" s="238" t="s">
        <v>521</v>
      </c>
      <c r="AF44" s="35"/>
      <c r="AG44" s="35"/>
      <c r="AH44" s="35">
        <v>26</v>
      </c>
      <c r="AI44" s="455"/>
      <c r="AJ44" s="39"/>
      <c r="AK44" s="39"/>
      <c r="AL44" s="39"/>
      <c r="AM44" s="39">
        <f>SUM(AF44:AL44)+AT44+AV44+AX44</f>
        <v>26</v>
      </c>
      <c r="AN44" s="39"/>
      <c r="AO44" s="39"/>
      <c r="AP44" s="39"/>
      <c r="AQ44" s="39"/>
      <c r="AR44" s="39">
        <f>SUM(AN44:AQ44)</f>
        <v>0</v>
      </c>
      <c r="AS44" s="39"/>
      <c r="AT44" s="39"/>
      <c r="AU44" s="39"/>
      <c r="AV44" s="39"/>
      <c r="AW44" s="39"/>
      <c r="AX44" s="39"/>
      <c r="AY44" s="39"/>
      <c r="AZ44" s="39"/>
      <c r="BA44" s="39">
        <f>+AR44+AS44+AU44+AW44+AY44+AZ44</f>
        <v>0</v>
      </c>
      <c r="BB44" s="35"/>
      <c r="BC44" s="55"/>
      <c r="BD44" s="55"/>
      <c r="BE44" s="35"/>
      <c r="BF44" s="55"/>
    </row>
    <row r="45" spans="1:58" ht="12.95" customHeight="1">
      <c r="A45" s="343"/>
      <c r="B45" s="43"/>
      <c r="C45" s="447"/>
      <c r="D45" s="43"/>
      <c r="E45" s="44"/>
      <c r="F45" s="44"/>
      <c r="G45" s="459"/>
      <c r="H45" s="46"/>
      <c r="I45" s="47"/>
      <c r="J45" s="88"/>
      <c r="K45" s="88"/>
      <c r="L45" s="37"/>
      <c r="M45" s="37"/>
      <c r="N45" s="48"/>
      <c r="O45" s="49"/>
      <c r="P45" s="50"/>
      <c r="Q45" s="49"/>
      <c r="R45" s="417"/>
      <c r="S45" s="417"/>
      <c r="T45" s="39"/>
      <c r="U45" s="39"/>
      <c r="V45" s="39"/>
      <c r="W45" s="39"/>
      <c r="X45" s="414"/>
      <c r="Y45" s="220"/>
      <c r="Z45" s="39"/>
      <c r="AA45" s="51"/>
      <c r="AB45" s="51"/>
      <c r="AC45" s="39"/>
      <c r="AD45" s="39"/>
      <c r="AE45" s="241"/>
      <c r="AF45" s="39"/>
      <c r="AG45" s="39"/>
      <c r="AH45" s="39"/>
      <c r="AI45" s="455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5"/>
      <c r="BC45" s="55"/>
      <c r="BD45" s="55"/>
      <c r="BE45" s="35"/>
      <c r="BF45" s="55"/>
    </row>
    <row r="46" spans="1:58" ht="12.95" customHeight="1">
      <c r="A46" s="343">
        <v>45970</v>
      </c>
      <c r="B46" s="43" t="s">
        <v>517</v>
      </c>
      <c r="C46" s="447">
        <f>(M46*E46*O46*Q46)/100000000</f>
        <v>31.490033769600004</v>
      </c>
      <c r="D46" s="43" t="s">
        <v>489</v>
      </c>
      <c r="E46" s="44">
        <v>10.3</v>
      </c>
      <c r="F46" s="44">
        <v>1</v>
      </c>
      <c r="G46" s="459">
        <v>1730</v>
      </c>
      <c r="H46" s="46">
        <v>0.16</v>
      </c>
      <c r="I46" s="47">
        <v>0.88</v>
      </c>
      <c r="J46" s="88">
        <f>E46*G46*(1-H46)*1440/1000000*2.77</f>
        <v>59.704198847999997</v>
      </c>
      <c r="K46" s="88">
        <f>(IF(G46&lt;L46,L46,G46)*(1-IF(H46&lt;N46,H46,N46))*E46*O46*Q46)/100000000</f>
        <v>34.479593937600001</v>
      </c>
      <c r="L46" s="37">
        <v>1580</v>
      </c>
      <c r="M46" s="37">
        <f>+L46-L46*0.16</f>
        <v>1327.2</v>
      </c>
      <c r="N46" s="48">
        <f>1-(M46/L46)</f>
        <v>0.15999999999999992</v>
      </c>
      <c r="O46" s="49">
        <f>+'Trim Rwd'!H42</f>
        <v>266</v>
      </c>
      <c r="P46" s="50">
        <f>O46*(Q46-R46-S46)</f>
        <v>222642</v>
      </c>
      <c r="Q46" s="49">
        <v>866</v>
      </c>
      <c r="R46" s="417">
        <v>0</v>
      </c>
      <c r="S46" s="417">
        <v>29</v>
      </c>
      <c r="T46" s="39">
        <f>E46*M46*O46*Q46/100000000</f>
        <v>31.490033769600004</v>
      </c>
      <c r="U46" s="39">
        <f>E46*M46*O46*(Q46-R46-S46)/100000000</f>
        <v>30.435517627200003</v>
      </c>
      <c r="V46" s="39">
        <f>E46*G46*(1-N46)*O46/100*(R46+S46)/1000000</f>
        <v>1.1546284344</v>
      </c>
      <c r="W46" s="39">
        <f>+'9'!K13/1000</f>
        <v>37.960999999999999</v>
      </c>
      <c r="X46" s="414">
        <f>SUM(W46:W49)/SUM(K46:K49)</f>
        <v>0.89529501929382349</v>
      </c>
      <c r="Y46" s="220">
        <v>0</v>
      </c>
      <c r="Z46" s="39">
        <v>0</v>
      </c>
      <c r="AA46" s="51">
        <f>SUM(U46:U49)-SUM(W46:W49)-SUM(Z46:Z49)-SUM(Y46:Y49)</f>
        <v>-0.55747437279999312</v>
      </c>
      <c r="AB46" s="51">
        <f>(SUM(K46:K49)-SUM(W46:W49)-SUM(Y46:Y49)-SUM(Z46:Z49)-SUM(AC46:AC49)-SUM(V46:V49))-AA46</f>
        <v>-0.14288509199999977</v>
      </c>
      <c r="AC46" s="39">
        <f>K46-T46</f>
        <v>2.989560167999997</v>
      </c>
      <c r="AD46" s="39">
        <f>+AM46+BA46</f>
        <v>0</v>
      </c>
      <c r="AE46" s="238" t="s">
        <v>434</v>
      </c>
      <c r="AF46" s="39">
        <v>0</v>
      </c>
      <c r="AG46" s="39"/>
      <c r="AH46" s="39"/>
      <c r="AI46" s="455"/>
      <c r="AJ46" s="39"/>
      <c r="AK46" s="39"/>
      <c r="AL46" s="39"/>
      <c r="AM46" s="39">
        <f>SUM(AF46:AL46)+AT46+AV46+AX46</f>
        <v>0</v>
      </c>
      <c r="AN46" s="39"/>
      <c r="AO46" s="39"/>
      <c r="AP46" s="39"/>
      <c r="AQ46" s="39"/>
      <c r="AR46" s="39">
        <f>SUM(AN46:AQ46)</f>
        <v>0</v>
      </c>
      <c r="AS46" s="39"/>
      <c r="AT46" s="39"/>
      <c r="AU46" s="39"/>
      <c r="AV46" s="39"/>
      <c r="AW46" s="39"/>
      <c r="AX46" s="39"/>
      <c r="AY46" s="39"/>
      <c r="AZ46" s="39"/>
      <c r="BA46" s="39">
        <f>+AR46+AS46+AU46+AW46+AY46+AZ46</f>
        <v>0</v>
      </c>
      <c r="BB46" s="35">
        <v>0</v>
      </c>
      <c r="BC46" s="53"/>
      <c r="BD46" s="53"/>
      <c r="BE46" s="35"/>
      <c r="BF46" s="53"/>
    </row>
    <row r="47" spans="1:58" ht="12.95" customHeight="1">
      <c r="A47" s="343"/>
      <c r="B47" s="43" t="s">
        <v>517</v>
      </c>
      <c r="C47" s="447">
        <f>(M47*E47*O47*Q47)/100000000</f>
        <v>23.090183199999998</v>
      </c>
      <c r="D47" s="43" t="s">
        <v>489</v>
      </c>
      <c r="E47" s="44">
        <v>12.5</v>
      </c>
      <c r="F47" s="44">
        <v>1</v>
      </c>
      <c r="G47" s="459">
        <v>1700</v>
      </c>
      <c r="H47" s="46">
        <v>0.24</v>
      </c>
      <c r="I47" s="47">
        <v>0.88</v>
      </c>
      <c r="J47" s="88">
        <f>E47*G47*(1-H47)*1440/1000000*2.77</f>
        <v>64.419120000000007</v>
      </c>
      <c r="K47" s="88">
        <f>(IF(G47&lt;L47,L47,G47)*(1-IF(H47&lt;N47,H47,N47))*E47*O47*Q47)/100000000</f>
        <v>24.843868000000001</v>
      </c>
      <c r="L47" s="37">
        <v>1580</v>
      </c>
      <c r="M47" s="37">
        <f>+L47-L47*0.24</f>
        <v>1200.8</v>
      </c>
      <c r="N47" s="48">
        <f>1-(M47/L47)</f>
        <v>0.24</v>
      </c>
      <c r="O47" s="49">
        <f>+'Trim Rwd'!H43</f>
        <v>268</v>
      </c>
      <c r="P47" s="50">
        <f>O47*(Q47-R47-S47)</f>
        <v>150080</v>
      </c>
      <c r="Q47" s="49">
        <v>574</v>
      </c>
      <c r="R47" s="417">
        <v>0</v>
      </c>
      <c r="S47" s="417">
        <v>14</v>
      </c>
      <c r="T47" s="39">
        <f>E47*M47*O47*Q47/100000000</f>
        <v>23.090183199999998</v>
      </c>
      <c r="U47" s="39">
        <f>E47*M47*O47*(Q47-R47-S47)/100000000</f>
        <v>22.527007999999999</v>
      </c>
      <c r="V47" s="39">
        <f>E47*G47*(1-N47)*O47/100*(R47+S47)/1000000</f>
        <v>0.60594800000000004</v>
      </c>
      <c r="W47" s="39">
        <f>+'9'!K16/1000</f>
        <v>15.151</v>
      </c>
      <c r="X47" s="40"/>
      <c r="Y47" s="220"/>
      <c r="Z47" s="39">
        <f>+'9'!D34/1000</f>
        <v>0.40799999999999997</v>
      </c>
      <c r="AA47" s="39"/>
      <c r="AB47" s="39"/>
      <c r="AC47" s="39">
        <f>K47-T47</f>
        <v>1.753684800000002</v>
      </c>
      <c r="AD47" s="39">
        <f>+AM47+BA47</f>
        <v>14</v>
      </c>
      <c r="AE47" s="238" t="s">
        <v>592</v>
      </c>
      <c r="AF47" s="39"/>
      <c r="AG47" s="39">
        <v>14</v>
      </c>
      <c r="AH47" s="39"/>
      <c r="AI47" s="455"/>
      <c r="AJ47" s="39"/>
      <c r="AK47" s="39"/>
      <c r="AL47" s="39"/>
      <c r="AM47" s="39">
        <f>SUM(AF47:AL47)+AT47+AV47+AX47</f>
        <v>14</v>
      </c>
      <c r="AN47" s="89"/>
      <c r="AO47" s="39"/>
      <c r="AP47" s="39"/>
      <c r="AQ47" s="39"/>
      <c r="AR47" s="39">
        <f>SUM(AN47:AQ47)</f>
        <v>0</v>
      </c>
      <c r="AS47" s="39"/>
      <c r="AT47" s="39"/>
      <c r="AU47" s="39"/>
      <c r="AV47" s="39"/>
      <c r="AW47" s="39"/>
      <c r="AX47" s="39"/>
      <c r="AY47" s="39"/>
      <c r="AZ47" s="39"/>
      <c r="BA47" s="39">
        <f>+AR47+AS47+AU47+AW47+AY47+AZ47</f>
        <v>0</v>
      </c>
      <c r="BB47" s="52"/>
      <c r="BC47" s="53">
        <v>11</v>
      </c>
      <c r="BD47" s="53"/>
      <c r="BE47" s="52"/>
      <c r="BF47" s="53"/>
    </row>
    <row r="48" spans="1:58" ht="12.95" customHeight="1">
      <c r="A48" s="42"/>
      <c r="B48" s="43"/>
      <c r="C48" s="447"/>
      <c r="D48" s="43"/>
      <c r="E48" s="44"/>
      <c r="F48" s="44"/>
      <c r="G48" s="45"/>
      <c r="H48" s="46"/>
      <c r="I48" s="47"/>
      <c r="J48" s="88"/>
      <c r="K48" s="88"/>
      <c r="L48" s="37"/>
      <c r="M48" s="37"/>
      <c r="N48" s="48"/>
      <c r="O48" s="49"/>
      <c r="P48" s="50"/>
      <c r="Q48" s="49"/>
      <c r="R48" s="417"/>
      <c r="S48" s="417"/>
      <c r="T48" s="39"/>
      <c r="U48" s="39"/>
      <c r="V48" s="39"/>
      <c r="W48" s="39"/>
      <c r="X48" s="40"/>
      <c r="Y48" s="220"/>
      <c r="Z48" s="39"/>
      <c r="AA48" s="39"/>
      <c r="AB48" s="39"/>
      <c r="AC48" s="39"/>
      <c r="AD48" s="39">
        <f>+AM48+BA48</f>
        <v>29</v>
      </c>
      <c r="AE48" s="238" t="s">
        <v>548</v>
      </c>
      <c r="AF48" s="35"/>
      <c r="AG48" s="35"/>
      <c r="AH48" s="35">
        <v>29</v>
      </c>
      <c r="AI48" s="455"/>
      <c r="AJ48" s="39"/>
      <c r="AK48" s="39"/>
      <c r="AL48" s="39"/>
      <c r="AM48" s="39">
        <f>SUM(AF48:AL48)+AT48+AV48+AX48</f>
        <v>29</v>
      </c>
      <c r="AN48" s="39"/>
      <c r="AO48" s="39"/>
      <c r="AP48" s="39"/>
      <c r="AQ48" s="39"/>
      <c r="AR48" s="39">
        <f>SUM(AN48:AQ48)</f>
        <v>0</v>
      </c>
      <c r="AS48" s="39"/>
      <c r="AT48" s="39"/>
      <c r="AU48" s="39"/>
      <c r="AV48" s="39"/>
      <c r="AW48" s="39"/>
      <c r="AX48" s="39"/>
      <c r="AY48" s="39"/>
      <c r="AZ48" s="39"/>
      <c r="BA48" s="39">
        <f>+AR48+AS48+AU48+AW48+AY48+AZ48</f>
        <v>0</v>
      </c>
      <c r="BB48" s="35"/>
      <c r="BC48" s="55"/>
      <c r="BD48" s="55"/>
      <c r="BE48" s="35"/>
      <c r="BF48" s="55"/>
    </row>
    <row r="49" spans="1:58" ht="12.95" customHeight="1">
      <c r="A49" s="343"/>
      <c r="B49" s="43"/>
      <c r="C49" s="447"/>
      <c r="D49" s="43"/>
      <c r="E49" s="44"/>
      <c r="F49" s="44"/>
      <c r="G49" s="459"/>
      <c r="H49" s="46"/>
      <c r="I49" s="47"/>
      <c r="J49" s="88"/>
      <c r="K49" s="88"/>
      <c r="L49" s="37"/>
      <c r="M49" s="37"/>
      <c r="N49" s="48"/>
      <c r="O49" s="49"/>
      <c r="P49" s="50"/>
      <c r="Q49" s="49"/>
      <c r="R49" s="417"/>
      <c r="S49" s="417"/>
      <c r="T49" s="39"/>
      <c r="U49" s="39"/>
      <c r="V49" s="39"/>
      <c r="W49" s="39"/>
      <c r="X49" s="414"/>
      <c r="Y49" s="220"/>
      <c r="Z49" s="39"/>
      <c r="AA49" s="51"/>
      <c r="AB49" s="51"/>
      <c r="AC49" s="39"/>
      <c r="AD49" s="39"/>
      <c r="AE49" s="238"/>
      <c r="AF49" s="39"/>
      <c r="AG49" s="39"/>
      <c r="AH49" s="39"/>
      <c r="AI49" s="455"/>
      <c r="AJ49" s="39"/>
      <c r="AK49" s="39"/>
      <c r="AL49" s="39"/>
      <c r="AM49" s="39"/>
      <c r="AN49" s="8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52"/>
      <c r="BC49" s="53"/>
      <c r="BD49" s="53"/>
      <c r="BE49" s="53"/>
      <c r="BF49" s="53"/>
    </row>
    <row r="50" spans="1:58" ht="12.95" customHeight="1">
      <c r="A50" s="343">
        <v>45971</v>
      </c>
      <c r="B50" s="43" t="s">
        <v>517</v>
      </c>
      <c r="C50" s="447">
        <f>(M50*E50*O50*Q50)/100000000</f>
        <v>4.827216</v>
      </c>
      <c r="D50" s="43" t="s">
        <v>489</v>
      </c>
      <c r="E50" s="44">
        <v>12.5</v>
      </c>
      <c r="F50" s="44">
        <v>1</v>
      </c>
      <c r="G50" s="459">
        <v>1700</v>
      </c>
      <c r="H50" s="46">
        <v>0.24</v>
      </c>
      <c r="I50" s="47">
        <v>0.88</v>
      </c>
      <c r="J50" s="88">
        <f>E50*G50*(1-H50)*1440/1000000*2.77</f>
        <v>64.419120000000007</v>
      </c>
      <c r="K50" s="88">
        <f>(IF(G50&lt;L50,L50,G50)*(1-IF(H50&lt;N50,H50,N50))*E50*O50*Q50)/100000000</f>
        <v>5.1938399999999998</v>
      </c>
      <c r="L50" s="37">
        <v>1580</v>
      </c>
      <c r="M50" s="37">
        <f>+L50-L50*0.24</f>
        <v>1200.8</v>
      </c>
      <c r="N50" s="48">
        <f>1-(M50/L50)</f>
        <v>0.24</v>
      </c>
      <c r="O50" s="49">
        <f>+'Trim Rwd'!H45</f>
        <v>268</v>
      </c>
      <c r="P50" s="50">
        <f>O50*(Q50-R50-S50)</f>
        <v>28676</v>
      </c>
      <c r="Q50" s="49">
        <v>120</v>
      </c>
      <c r="R50" s="417">
        <v>0</v>
      </c>
      <c r="S50" s="417">
        <v>13</v>
      </c>
      <c r="T50" s="39">
        <f>E50*M50*O50*Q50/100000000</f>
        <v>4.827216</v>
      </c>
      <c r="U50" s="39">
        <f>E50*M50*O50*(Q50-R50-S50)/100000000</f>
        <v>4.3042676000000002</v>
      </c>
      <c r="V50" s="39">
        <f>E50*G50*(1-N50)*O50/100*(R50+S50)/1000000</f>
        <v>0.562666</v>
      </c>
      <c r="W50" s="39">
        <f>+'10'!K16/1000</f>
        <v>10.034000000000001</v>
      </c>
      <c r="X50" s="414">
        <f>SUM(W50:W53)/SUM(K50:K53)</f>
        <v>0.81277098610842591</v>
      </c>
      <c r="Y50" s="220">
        <v>0</v>
      </c>
      <c r="Z50" s="39">
        <f>+'10'!D7/1000</f>
        <v>0.88</v>
      </c>
      <c r="AA50" s="51">
        <f>SUM(U50:U53)-SUM(W50:W53)-SUM(Z50:Z53)-SUM(Y50:Y53)</f>
        <v>2.3899476000000037</v>
      </c>
      <c r="AB50" s="51">
        <f>(SUM(K50:K53)-SUM(W50:W53)-SUM(Y50:Y53)-SUM(Z50:Z53)-SUM(AC50:AC53)-SUM(V50:V53))-AA50</f>
        <v>-3.9717600000002129E-2</v>
      </c>
      <c r="AC50" s="39">
        <f>K50-T50</f>
        <v>0.36662399999999984</v>
      </c>
      <c r="AD50" s="39">
        <f>+AM50+BA50</f>
        <v>0</v>
      </c>
      <c r="AE50" s="238" t="s">
        <v>434</v>
      </c>
      <c r="AF50" s="39">
        <v>0</v>
      </c>
      <c r="AG50" s="39"/>
      <c r="AH50" s="39"/>
      <c r="AI50" s="455"/>
      <c r="AJ50" s="39"/>
      <c r="AK50" s="39"/>
      <c r="AL50" s="39"/>
      <c r="AM50" s="39">
        <f>SUM(AF50:AL50)+AT50+AV50+AX50</f>
        <v>0</v>
      </c>
      <c r="AN50" s="39"/>
      <c r="AO50" s="39"/>
      <c r="AP50" s="39"/>
      <c r="AQ50" s="39"/>
      <c r="AR50" s="39">
        <f>SUM(AN50:AQ50)</f>
        <v>0</v>
      </c>
      <c r="AS50" s="39"/>
      <c r="AT50" s="39"/>
      <c r="AU50" s="39"/>
      <c r="AV50" s="39"/>
      <c r="AW50" s="39"/>
      <c r="AX50" s="39"/>
      <c r="AY50" s="39"/>
      <c r="AZ50" s="39"/>
      <c r="BA50" s="39">
        <f>+AR50+AS50+AU50+AW50+AY50+AZ50</f>
        <v>0</v>
      </c>
      <c r="BB50" s="35">
        <v>0</v>
      </c>
      <c r="BC50" s="53"/>
      <c r="BD50" s="53"/>
      <c r="BE50" s="35"/>
      <c r="BF50" s="53"/>
    </row>
    <row r="51" spans="1:58" ht="12.95" customHeight="1">
      <c r="A51" s="343"/>
      <c r="B51" s="597" t="s">
        <v>604</v>
      </c>
      <c r="C51" s="447">
        <f>(M51*E51*O51*Q51)/100000000</f>
        <v>48.185279999999999</v>
      </c>
      <c r="D51" s="43" t="s">
        <v>489</v>
      </c>
      <c r="E51" s="44">
        <v>13</v>
      </c>
      <c r="F51" s="44">
        <v>1</v>
      </c>
      <c r="G51" s="459">
        <v>1350</v>
      </c>
      <c r="H51" s="46">
        <v>0.2</v>
      </c>
      <c r="I51" s="47">
        <v>0.88</v>
      </c>
      <c r="J51" s="88">
        <f>E51*G51*(1-H51)*1440/1000000*2.77</f>
        <v>56.002752000000001</v>
      </c>
      <c r="K51" s="88">
        <f>(IF(G51&lt;L51,L51,G51)*(1-IF(H51&lt;N51,H51,N51))*E51*O51*Q51)/100000000</f>
        <v>48.185279999999999</v>
      </c>
      <c r="L51" s="37">
        <v>1350</v>
      </c>
      <c r="M51" s="37">
        <f t="shared" ref="M51" si="6">+L51-L51*0.2</f>
        <v>1080</v>
      </c>
      <c r="N51" s="48">
        <f>1-(M51/L51)</f>
        <v>0.19999999999999996</v>
      </c>
      <c r="O51" s="49">
        <f>+'Trim Rwd'!H46</f>
        <v>260</v>
      </c>
      <c r="P51" s="50">
        <f>O51*(Q51-R51-S51)</f>
        <v>304200</v>
      </c>
      <c r="Q51" s="49">
        <v>1320</v>
      </c>
      <c r="R51" s="417">
        <v>0</v>
      </c>
      <c r="S51" s="417">
        <v>150</v>
      </c>
      <c r="T51" s="39">
        <f>E51*M51*O51*Q51/100000000</f>
        <v>48.185279999999999</v>
      </c>
      <c r="U51" s="39">
        <f>E51*M51*O51*(Q51-R51-S51)/100000000</f>
        <v>42.709679999999999</v>
      </c>
      <c r="V51" s="39">
        <f>E51*G51*(1-N51)*O51/100*(R51+S51)/1000000</f>
        <v>5.4756</v>
      </c>
      <c r="W51" s="39">
        <f>+'10'!K17/1000</f>
        <v>33.350999999999999</v>
      </c>
      <c r="X51" s="40"/>
      <c r="Y51" s="220"/>
      <c r="Z51" s="39">
        <f>+('10'!D8+'10'!D16+'10'!D25)/1000</f>
        <v>0.35899999999999999</v>
      </c>
      <c r="AA51" s="39"/>
      <c r="AB51" s="39"/>
      <c r="AC51" s="39">
        <f>K51-T51</f>
        <v>0</v>
      </c>
      <c r="AD51" s="39">
        <f>+AM51+BA51</f>
        <v>10</v>
      </c>
      <c r="AE51" s="238" t="s">
        <v>605</v>
      </c>
      <c r="AF51" s="39"/>
      <c r="AG51" s="39">
        <v>10</v>
      </c>
      <c r="AH51" s="39"/>
      <c r="AI51" s="455"/>
      <c r="AJ51" s="39"/>
      <c r="AK51" s="39"/>
      <c r="AL51" s="39"/>
      <c r="AM51" s="39">
        <f>SUM(AF51:AL51)+AT51+AV51+AX51</f>
        <v>10</v>
      </c>
      <c r="AN51" s="89"/>
      <c r="AO51" s="39"/>
      <c r="AP51" s="39"/>
      <c r="AQ51" s="39"/>
      <c r="AR51" s="39">
        <f>SUM(AN51:AQ51)</f>
        <v>0</v>
      </c>
      <c r="AS51" s="39"/>
      <c r="AT51" s="39"/>
      <c r="AU51" s="39"/>
      <c r="AV51" s="39"/>
      <c r="AW51" s="39"/>
      <c r="AX51" s="39"/>
      <c r="AY51" s="39"/>
      <c r="AZ51" s="39"/>
      <c r="BA51" s="39">
        <f>+AR51+AS51+AU51+AW51+AY51+AZ51</f>
        <v>0</v>
      </c>
      <c r="BB51" s="52"/>
      <c r="BC51" s="53">
        <v>9</v>
      </c>
      <c r="BD51" s="53"/>
      <c r="BE51" s="52"/>
      <c r="BF51" s="53"/>
    </row>
    <row r="52" spans="1:58" ht="12.95" customHeight="1">
      <c r="A52" s="42"/>
      <c r="B52" s="43"/>
      <c r="C52" s="447"/>
      <c r="D52" s="43"/>
      <c r="E52" s="44"/>
      <c r="F52" s="44"/>
      <c r="G52" s="45"/>
      <c r="H52" s="46"/>
      <c r="I52" s="47"/>
      <c r="J52" s="88"/>
      <c r="K52" s="88"/>
      <c r="L52" s="37"/>
      <c r="M52" s="37"/>
      <c r="N52" s="48"/>
      <c r="O52" s="49"/>
      <c r="P52" s="50"/>
      <c r="Q52" s="49"/>
      <c r="R52" s="417"/>
      <c r="S52" s="417"/>
      <c r="T52" s="39"/>
      <c r="U52" s="39"/>
      <c r="V52" s="39"/>
      <c r="W52" s="39"/>
      <c r="X52" s="40"/>
      <c r="Y52" s="220"/>
      <c r="Z52" s="39"/>
      <c r="AA52" s="39"/>
      <c r="AB52" s="39"/>
      <c r="AC52" s="39"/>
      <c r="AD52" s="39">
        <f>+AM52+BA52</f>
        <v>18</v>
      </c>
      <c r="AE52" s="238" t="s">
        <v>606</v>
      </c>
      <c r="AF52" s="35"/>
      <c r="AG52" s="35"/>
      <c r="AH52" s="35">
        <v>18</v>
      </c>
      <c r="AI52" s="455"/>
      <c r="AJ52" s="39"/>
      <c r="AK52" s="39"/>
      <c r="AL52" s="39"/>
      <c r="AM52" s="39">
        <f>SUM(AF52:AL52)+AT52+AV52+AX52</f>
        <v>18</v>
      </c>
      <c r="AN52" s="39"/>
      <c r="AO52" s="39"/>
      <c r="AP52" s="39"/>
      <c r="AQ52" s="39"/>
      <c r="AR52" s="39">
        <f>SUM(AN52:AQ52)</f>
        <v>0</v>
      </c>
      <c r="AS52" s="39"/>
      <c r="AT52" s="39"/>
      <c r="AU52" s="39"/>
      <c r="AV52" s="39"/>
      <c r="AW52" s="39"/>
      <c r="AX52" s="39"/>
      <c r="AY52" s="39"/>
      <c r="AZ52" s="39"/>
      <c r="BA52" s="39">
        <f>+AR52+AS52+AU52+AW52+AY52+AZ52</f>
        <v>0</v>
      </c>
      <c r="BB52" s="35"/>
      <c r="BC52" s="55"/>
      <c r="BD52" s="55"/>
      <c r="BE52" s="35"/>
      <c r="BF52" s="55"/>
    </row>
    <row r="53" spans="1:58" ht="12.95" customHeight="1">
      <c r="A53" s="343"/>
      <c r="B53" s="43"/>
      <c r="C53" s="447"/>
      <c r="D53" s="43"/>
      <c r="E53" s="44"/>
      <c r="F53" s="44"/>
      <c r="G53" s="459"/>
      <c r="H53" s="46"/>
      <c r="I53" s="47"/>
      <c r="J53" s="88"/>
      <c r="K53" s="88"/>
      <c r="L53" s="37"/>
      <c r="M53" s="37"/>
      <c r="N53" s="48"/>
      <c r="O53" s="49"/>
      <c r="P53" s="50"/>
      <c r="Q53" s="49"/>
      <c r="R53" s="417"/>
      <c r="S53" s="417"/>
      <c r="T53" s="39"/>
      <c r="U53" s="39"/>
      <c r="V53" s="39"/>
      <c r="W53" s="39"/>
      <c r="X53" s="414"/>
      <c r="Y53" s="220"/>
      <c r="Z53" s="39"/>
      <c r="AA53" s="51"/>
      <c r="AB53" s="51"/>
      <c r="AC53" s="39"/>
      <c r="AD53" s="39">
        <f>+AM53+BA53</f>
        <v>135</v>
      </c>
      <c r="AE53" s="241" t="s">
        <v>415</v>
      </c>
      <c r="AF53" s="39"/>
      <c r="AG53" s="39"/>
      <c r="AH53" s="35"/>
      <c r="AI53" s="455">
        <v>135</v>
      </c>
      <c r="AJ53" s="39"/>
      <c r="AK53" s="39"/>
      <c r="AL53" s="39"/>
      <c r="AM53" s="39">
        <f>SUM(AF53:AL53)+AT53+AV53+AX53</f>
        <v>135</v>
      </c>
      <c r="AN53" s="39"/>
      <c r="AO53" s="39"/>
      <c r="AP53" s="39"/>
      <c r="AQ53" s="39"/>
      <c r="AR53" s="39">
        <f>SUM(AN53:AQ53)</f>
        <v>0</v>
      </c>
      <c r="AS53" s="39"/>
      <c r="AT53" s="39"/>
      <c r="AU53" s="39"/>
      <c r="AV53" s="39"/>
      <c r="AW53" s="39"/>
      <c r="AX53" s="39"/>
      <c r="AY53" s="39"/>
      <c r="AZ53" s="39"/>
      <c r="BA53" s="39">
        <f>+AR53+AS53+AU53+AW53+AY53+AZ53</f>
        <v>0</v>
      </c>
      <c r="BB53" s="35"/>
      <c r="BC53" s="55"/>
      <c r="BD53" s="55"/>
      <c r="BE53" s="35"/>
      <c r="BF53" s="55"/>
    </row>
    <row r="54" spans="1:58" ht="12.95" customHeight="1">
      <c r="A54" s="42"/>
      <c r="B54" s="43"/>
      <c r="C54" s="447"/>
      <c r="D54" s="43"/>
      <c r="E54" s="44"/>
      <c r="F54" s="44"/>
      <c r="G54" s="45"/>
      <c r="H54" s="46"/>
      <c r="I54" s="47"/>
      <c r="J54" s="88"/>
      <c r="K54" s="88"/>
      <c r="L54" s="37"/>
      <c r="M54" s="37"/>
      <c r="N54" s="48"/>
      <c r="O54" s="49"/>
      <c r="P54" s="50"/>
      <c r="Q54" s="49"/>
      <c r="R54" s="417"/>
      <c r="S54" s="417"/>
      <c r="T54" s="39"/>
      <c r="U54" s="39"/>
      <c r="V54" s="39"/>
      <c r="W54" s="39"/>
      <c r="X54" s="40"/>
      <c r="Y54" s="220"/>
      <c r="Z54" s="39"/>
      <c r="AA54" s="39"/>
      <c r="AB54" s="39"/>
      <c r="AC54" s="39"/>
      <c r="AD54" s="39"/>
      <c r="AE54" s="238"/>
      <c r="AF54" s="35"/>
      <c r="AG54" s="35"/>
      <c r="AH54" s="35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5"/>
      <c r="BC54" s="55"/>
      <c r="BD54" s="53"/>
      <c r="BE54" s="53"/>
      <c r="BF54" s="53"/>
    </row>
    <row r="55" spans="1:58" ht="12.95" customHeight="1">
      <c r="A55" s="343">
        <v>45972</v>
      </c>
      <c r="B55" s="597" t="s">
        <v>604</v>
      </c>
      <c r="C55" s="447">
        <f>(M55*E55*O55*Q55)/100000000</f>
        <v>52.565759999999997</v>
      </c>
      <c r="D55" s="43" t="s">
        <v>489</v>
      </c>
      <c r="E55" s="44">
        <v>13</v>
      </c>
      <c r="F55" s="44">
        <v>1</v>
      </c>
      <c r="G55" s="459">
        <v>1350</v>
      </c>
      <c r="H55" s="46">
        <v>0.2</v>
      </c>
      <c r="I55" s="47">
        <v>0.88</v>
      </c>
      <c r="J55" s="88">
        <f>E55*G55*(1-H55)*1440/1000000*2.77</f>
        <v>56.002752000000001</v>
      </c>
      <c r="K55" s="88">
        <f>(IF(G55&lt;L55,L55,G55)*(1-IF(H55&lt;N55,H55,N55))*E55*O55*Q55)/100000000</f>
        <v>52.565759999999997</v>
      </c>
      <c r="L55" s="37">
        <v>1350</v>
      </c>
      <c r="M55" s="37">
        <f t="shared" ref="M55" si="7">+L55-L55*0.2</f>
        <v>1080</v>
      </c>
      <c r="N55" s="48">
        <f>1-(M55/L55)</f>
        <v>0.19999999999999996</v>
      </c>
      <c r="O55" s="49">
        <f>+'Trim Rwd'!H48</f>
        <v>260</v>
      </c>
      <c r="P55" s="50">
        <f>O55*(Q55-R55-S55)</f>
        <v>346320</v>
      </c>
      <c r="Q55" s="49">
        <v>1440</v>
      </c>
      <c r="R55" s="417">
        <v>75</v>
      </c>
      <c r="S55" s="417">
        <v>33</v>
      </c>
      <c r="T55" s="39">
        <f>E55*M55*O55*Q55/100000000</f>
        <v>52.565759999999997</v>
      </c>
      <c r="U55" s="39">
        <f>E55*M55*O55*(Q55-R55-S55)/100000000</f>
        <v>48.623328000000001</v>
      </c>
      <c r="V55" s="39">
        <f>E55*G55*(1-N55)*O55/100*(R55+S55)/1000000</f>
        <v>3.9424320000000002</v>
      </c>
      <c r="W55" s="39">
        <f>+'11'!K34/1000</f>
        <v>51.335000000000001</v>
      </c>
      <c r="X55" s="414">
        <f>SUM(W55:W58)/SUM(K55:K58)</f>
        <v>0.97658627973798917</v>
      </c>
      <c r="Y55" s="220">
        <v>0</v>
      </c>
      <c r="Z55" s="39">
        <f>+'11'!D34/1000</f>
        <v>0.46400000000000002</v>
      </c>
      <c r="AA55" s="51">
        <f>SUM(U55:U58)-SUM(W55:W58)-SUM(Z55:Z58)-SUM(Y55:Y58)</f>
        <v>-3.1756720000000001</v>
      </c>
      <c r="AB55" s="51">
        <f>(SUM(K55:K58)-SUM(W55:W58)-SUM(Y55:Y58)-SUM(Z55:Z58)-SUM(AC55:AC58)-SUM(V55:V58))-AA55</f>
        <v>-3.5527136788005009E-15</v>
      </c>
      <c r="AC55" s="39">
        <f>K55-T55</f>
        <v>0</v>
      </c>
      <c r="AD55" s="39">
        <f>+AM55+BA55</f>
        <v>5</v>
      </c>
      <c r="AE55" s="238" t="s">
        <v>438</v>
      </c>
      <c r="AF55" s="39">
        <v>5</v>
      </c>
      <c r="AG55" s="39"/>
      <c r="AH55" s="39"/>
      <c r="AI55" s="455"/>
      <c r="AJ55" s="39"/>
      <c r="AK55" s="39"/>
      <c r="AL55" s="39"/>
      <c r="AM55" s="39">
        <f>SUM(AF55:AL55)+AT55+AV55+AX55</f>
        <v>5</v>
      </c>
      <c r="AN55" s="39"/>
      <c r="AO55" s="39"/>
      <c r="AP55" s="39"/>
      <c r="AQ55" s="39"/>
      <c r="AR55" s="39">
        <f>SUM(AN55:AQ55)</f>
        <v>0</v>
      </c>
      <c r="AS55" s="39"/>
      <c r="AT55" s="39"/>
      <c r="AU55" s="39"/>
      <c r="AV55" s="39"/>
      <c r="AW55" s="39"/>
      <c r="AX55" s="39"/>
      <c r="AY55" s="39"/>
      <c r="AZ55" s="39"/>
      <c r="BA55" s="39">
        <f>+AR55+AS55+AU55+AW55+AY55+AZ55</f>
        <v>0</v>
      </c>
      <c r="BB55" s="35">
        <v>1</v>
      </c>
      <c r="BC55" s="53"/>
      <c r="BD55" s="53"/>
      <c r="BE55" s="35"/>
      <c r="BF55" s="53"/>
    </row>
    <row r="56" spans="1:58" ht="12.95" customHeight="1">
      <c r="A56" s="343"/>
      <c r="B56" s="43"/>
      <c r="C56" s="447"/>
      <c r="D56" s="43"/>
      <c r="E56" s="44"/>
      <c r="F56" s="44"/>
      <c r="G56" s="45"/>
      <c r="H56" s="46"/>
      <c r="I56" s="47"/>
      <c r="J56" s="88"/>
      <c r="K56" s="88"/>
      <c r="L56" s="37"/>
      <c r="M56" s="37"/>
      <c r="N56" s="48"/>
      <c r="O56" s="49"/>
      <c r="P56" s="50"/>
      <c r="Q56" s="49"/>
      <c r="R56" s="417"/>
      <c r="S56" s="417"/>
      <c r="T56" s="39"/>
      <c r="U56" s="39"/>
      <c r="V56" s="39"/>
      <c r="W56" s="39"/>
      <c r="X56" s="40"/>
      <c r="Y56" s="220"/>
      <c r="Z56" s="39"/>
      <c r="AA56" s="39"/>
      <c r="AB56" s="39"/>
      <c r="AC56" s="39"/>
      <c r="AD56" s="39">
        <f>+AM56+BA56</f>
        <v>9</v>
      </c>
      <c r="AE56" s="238" t="s">
        <v>605</v>
      </c>
      <c r="AF56" s="39"/>
      <c r="AG56" s="39">
        <v>9</v>
      </c>
      <c r="AH56" s="39"/>
      <c r="AI56" s="455"/>
      <c r="AJ56" s="39"/>
      <c r="AK56" s="39"/>
      <c r="AL56" s="39"/>
      <c r="AM56" s="39">
        <f>SUM(AF56:AL56)+AT56+AV56+AX56</f>
        <v>9</v>
      </c>
      <c r="AN56" s="89"/>
      <c r="AO56" s="39"/>
      <c r="AP56" s="39"/>
      <c r="AQ56" s="39"/>
      <c r="AR56" s="39">
        <f>SUM(AN56:AQ56)</f>
        <v>0</v>
      </c>
      <c r="AS56" s="39"/>
      <c r="AT56" s="39"/>
      <c r="AU56" s="39"/>
      <c r="AV56" s="39"/>
      <c r="AW56" s="39"/>
      <c r="AX56" s="39"/>
      <c r="AY56" s="39"/>
      <c r="AZ56" s="39"/>
      <c r="BA56" s="39">
        <f>+AR56+AS56+AU56+AW56+AY56+AZ56</f>
        <v>0</v>
      </c>
      <c r="BB56" s="52"/>
      <c r="BC56" s="53">
        <v>9</v>
      </c>
      <c r="BD56" s="53"/>
      <c r="BE56" s="52"/>
      <c r="BF56" s="53"/>
    </row>
    <row r="57" spans="1:58" ht="12.95" customHeight="1">
      <c r="A57" s="42"/>
      <c r="B57" s="43"/>
      <c r="C57" s="447"/>
      <c r="D57" s="43"/>
      <c r="E57" s="44"/>
      <c r="F57" s="44"/>
      <c r="G57" s="45"/>
      <c r="H57" s="46"/>
      <c r="I57" s="47"/>
      <c r="J57" s="88"/>
      <c r="K57" s="88"/>
      <c r="L57" s="37"/>
      <c r="M57" s="37"/>
      <c r="N57" s="48"/>
      <c r="O57" s="49"/>
      <c r="P57" s="50"/>
      <c r="Q57" s="49"/>
      <c r="R57" s="417"/>
      <c r="S57" s="417"/>
      <c r="T57" s="39"/>
      <c r="U57" s="39"/>
      <c r="V57" s="39"/>
      <c r="W57" s="39"/>
      <c r="X57" s="40"/>
      <c r="Y57" s="220"/>
      <c r="Z57" s="39"/>
      <c r="AA57" s="39"/>
      <c r="AB57" s="39"/>
      <c r="AC57" s="39"/>
      <c r="AD57" s="39">
        <f>+AM57+BA57</f>
        <v>19</v>
      </c>
      <c r="AE57" s="238" t="s">
        <v>619</v>
      </c>
      <c r="AF57" s="35"/>
      <c r="AG57" s="35"/>
      <c r="AH57" s="35">
        <v>19</v>
      </c>
      <c r="AI57" s="455"/>
      <c r="AJ57" s="39"/>
      <c r="AK57" s="39"/>
      <c r="AL57" s="39"/>
      <c r="AM57" s="39">
        <f>SUM(AF57:AL57)+AT57+AV57+AX57</f>
        <v>19</v>
      </c>
      <c r="AN57" s="39"/>
      <c r="AO57" s="39"/>
      <c r="AP57" s="39"/>
      <c r="AQ57" s="39"/>
      <c r="AR57" s="39">
        <f>SUM(AN57:AQ57)</f>
        <v>0</v>
      </c>
      <c r="AS57" s="39"/>
      <c r="AT57" s="39"/>
      <c r="AU57" s="39"/>
      <c r="AV57" s="39"/>
      <c r="AW57" s="39"/>
      <c r="AX57" s="39"/>
      <c r="AY57" s="39"/>
      <c r="AZ57" s="39"/>
      <c r="BA57" s="39">
        <f>+AR57+AS57+AU57+AW57+AY57+AZ57</f>
        <v>0</v>
      </c>
      <c r="BB57" s="35"/>
      <c r="BC57" s="55"/>
      <c r="BD57" s="55"/>
      <c r="BE57" s="35"/>
      <c r="BF57" s="55"/>
    </row>
    <row r="58" spans="1:58" ht="12.95" customHeight="1">
      <c r="A58" s="343"/>
      <c r="B58" s="43"/>
      <c r="C58" s="447"/>
      <c r="D58" s="43"/>
      <c r="E58" s="44"/>
      <c r="F58" s="44"/>
      <c r="G58" s="459"/>
      <c r="H58" s="46"/>
      <c r="I58" s="47"/>
      <c r="J58" s="88"/>
      <c r="K58" s="88"/>
      <c r="L58" s="37"/>
      <c r="M58" s="37"/>
      <c r="N58" s="48"/>
      <c r="O58" s="49"/>
      <c r="P58" s="50"/>
      <c r="Q58" s="49"/>
      <c r="R58" s="417"/>
      <c r="S58" s="417"/>
      <c r="T58" s="39"/>
      <c r="U58" s="39"/>
      <c r="V58" s="39"/>
      <c r="W58" s="39"/>
      <c r="X58" s="414"/>
      <c r="Y58" s="220"/>
      <c r="Z58" s="39"/>
      <c r="AA58" s="51"/>
      <c r="AB58" s="51"/>
      <c r="AC58" s="39"/>
      <c r="AD58" s="39">
        <f>+AM58+BA58</f>
        <v>75</v>
      </c>
      <c r="AE58" s="241" t="s">
        <v>613</v>
      </c>
      <c r="AF58" s="39"/>
      <c r="AG58" s="39"/>
      <c r="AH58" s="35"/>
      <c r="AI58" s="455"/>
      <c r="AJ58" s="39"/>
      <c r="AK58" s="39"/>
      <c r="AL58" s="39"/>
      <c r="AM58" s="39">
        <f>SUM(AF58:AL58)+AT58+AV58+AX58</f>
        <v>0</v>
      </c>
      <c r="AN58" s="39"/>
      <c r="AO58" s="39"/>
      <c r="AP58" s="39"/>
      <c r="AQ58" s="39"/>
      <c r="AR58" s="39">
        <f>SUM(AN58:AQ58)</f>
        <v>0</v>
      </c>
      <c r="AS58" s="39"/>
      <c r="AT58" s="39"/>
      <c r="AU58" s="39"/>
      <c r="AV58" s="39"/>
      <c r="AW58" s="39"/>
      <c r="AX58" s="39"/>
      <c r="AY58" s="39">
        <v>75</v>
      </c>
      <c r="AZ58" s="39"/>
      <c r="BA58" s="39">
        <f>+AR58+AS58+AU58+AW58+AY58+AZ58</f>
        <v>75</v>
      </c>
      <c r="BB58" s="35"/>
      <c r="BC58" s="55"/>
      <c r="BD58" s="55"/>
      <c r="BE58" s="35">
        <v>1</v>
      </c>
      <c r="BF58" s="55"/>
    </row>
    <row r="59" spans="1:58" ht="12.95" customHeight="1">
      <c r="A59" s="42"/>
      <c r="B59" s="43"/>
      <c r="C59" s="447"/>
      <c r="D59" s="43"/>
      <c r="E59" s="44"/>
      <c r="F59" s="44"/>
      <c r="G59" s="45"/>
      <c r="H59" s="46"/>
      <c r="I59" s="47"/>
      <c r="J59" s="88"/>
      <c r="K59" s="88"/>
      <c r="L59" s="37"/>
      <c r="M59" s="37"/>
      <c r="N59" s="48"/>
      <c r="O59" s="49"/>
      <c r="P59" s="50"/>
      <c r="Q59" s="49"/>
      <c r="R59" s="417"/>
      <c r="S59" s="417"/>
      <c r="T59" s="39"/>
      <c r="U59" s="39"/>
      <c r="V59" s="39"/>
      <c r="W59" s="39"/>
      <c r="X59" s="40"/>
      <c r="Y59" s="220"/>
      <c r="Z59" s="39"/>
      <c r="AA59" s="39"/>
      <c r="AB59" s="39"/>
      <c r="AC59" s="39"/>
      <c r="AD59" s="39"/>
      <c r="AE59" s="238"/>
      <c r="AF59" s="35"/>
      <c r="AG59" s="35"/>
      <c r="AH59" s="35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5"/>
      <c r="BC59" s="55"/>
      <c r="BD59" s="53"/>
      <c r="BE59" s="53"/>
      <c r="BF59" s="53"/>
    </row>
    <row r="60" spans="1:58" ht="12.95" customHeight="1">
      <c r="A60" s="343">
        <v>45973</v>
      </c>
      <c r="B60" s="597" t="s">
        <v>604</v>
      </c>
      <c r="C60" s="447">
        <f>(M60*E60*O60*Q60)/100000000</f>
        <v>17.354484837209302</v>
      </c>
      <c r="D60" s="43" t="s">
        <v>489</v>
      </c>
      <c r="E60" s="44">
        <v>13</v>
      </c>
      <c r="F60" s="44">
        <v>1</v>
      </c>
      <c r="G60" s="459">
        <v>1350</v>
      </c>
      <c r="H60" s="46">
        <v>0.2</v>
      </c>
      <c r="I60" s="47">
        <v>0.88</v>
      </c>
      <c r="J60" s="88">
        <f>E60*G60*(1-H60)*1440/1000000*2.77</f>
        <v>56.002752000000001</v>
      </c>
      <c r="K60" s="88">
        <f>(IF(G60&lt;L60,L60,G60)*(1-IF(H60&lt;N60,H60,N60))*E60*O60*Q60)/100000000</f>
        <v>17.354484837209302</v>
      </c>
      <c r="L60" s="37">
        <v>1350</v>
      </c>
      <c r="M60" s="37">
        <v>1080</v>
      </c>
      <c r="N60" s="48">
        <f>1-(M60/L60)</f>
        <v>0.19999999999999996</v>
      </c>
      <c r="O60" s="49">
        <f>+'Trim Rwd'!H50</f>
        <v>266.39534883720933</v>
      </c>
      <c r="P60" s="50">
        <f>O60*(Q60-R60-S60)</f>
        <v>121209.88372093024</v>
      </c>
      <c r="Q60" s="49">
        <v>464</v>
      </c>
      <c r="R60" s="417">
        <v>0</v>
      </c>
      <c r="S60" s="417">
        <v>9</v>
      </c>
      <c r="T60" s="39">
        <f>E60*M60*O60*Q60/100000000</f>
        <v>17.354484837209302</v>
      </c>
      <c r="U60" s="39">
        <f>E60*M60*O60*(Q60-R60-S60)/100000000</f>
        <v>17.017867674418603</v>
      </c>
      <c r="V60" s="39">
        <f>E60*G60*(1-N60)*O60/100*(R60+S60)/1000000</f>
        <v>0.3366171627906977</v>
      </c>
      <c r="W60" s="39">
        <f>+'12'!K17/1000</f>
        <v>27.731000000000002</v>
      </c>
      <c r="X60" s="414">
        <f>SUM(W60:W63)/SUM(K60:K63)</f>
        <v>0.84842955816779531</v>
      </c>
      <c r="Y60" s="220">
        <v>0</v>
      </c>
      <c r="Z60" s="39">
        <f>+('12'!D7+'12'!D16+'12'!D25)/1000</f>
        <v>0.505</v>
      </c>
      <c r="AA60" s="51">
        <f>SUM(U60:U63)-SUM(W60:W63)-SUM(Z60:Z63)-SUM(Y60:Y63)</f>
        <v>3.6036072606254992</v>
      </c>
      <c r="AB60" s="51">
        <f>(SUM(K60:K63)-SUM(W60:W63)-SUM(Y60:Y63)-SUM(Z60:Z63)-SUM(AC60:AC63)-SUM(V60:V63))-AA60</f>
        <v>-3.4427586206888794E-2</v>
      </c>
      <c r="AC60" s="39">
        <f>K60-T60</f>
        <v>0</v>
      </c>
      <c r="AD60" s="39">
        <f>+AM60+BA60</f>
        <v>0</v>
      </c>
      <c r="AE60" s="238" t="s">
        <v>434</v>
      </c>
      <c r="AF60" s="39">
        <v>0</v>
      </c>
      <c r="AG60" s="39"/>
      <c r="AH60" s="39"/>
      <c r="AI60" s="455"/>
      <c r="AJ60" s="39"/>
      <c r="AK60" s="39"/>
      <c r="AL60" s="39"/>
      <c r="AM60" s="39">
        <f>SUM(AF60:AL60)+AT60+AV60+AX60</f>
        <v>0</v>
      </c>
      <c r="AN60" s="39"/>
      <c r="AO60" s="39"/>
      <c r="AP60" s="39"/>
      <c r="AQ60" s="39"/>
      <c r="AR60" s="39">
        <f>SUM(AN60:AQ60)</f>
        <v>0</v>
      </c>
      <c r="AS60" s="39"/>
      <c r="AT60" s="39"/>
      <c r="AU60" s="39"/>
      <c r="AV60" s="39"/>
      <c r="AW60" s="39"/>
      <c r="AX60" s="39"/>
      <c r="AY60" s="39"/>
      <c r="AZ60" s="39"/>
      <c r="BA60" s="39">
        <f>+AR60+AS60+AU60+AW60+AY60+AZ60</f>
        <v>0</v>
      </c>
      <c r="BB60" s="35">
        <v>0</v>
      </c>
      <c r="BC60" s="53"/>
      <c r="BD60" s="53"/>
      <c r="BE60" s="35"/>
      <c r="BF60" s="53"/>
    </row>
    <row r="61" spans="1:58" ht="12.95" customHeight="1">
      <c r="A61" s="343"/>
      <c r="B61" s="597" t="s">
        <v>604</v>
      </c>
      <c r="C61" s="447">
        <f t="shared" ref="C61:C62" si="8">(M61*E61*O61*Q61)/100000000</f>
        <v>15.829632000000002</v>
      </c>
      <c r="D61" s="43" t="s">
        <v>489</v>
      </c>
      <c r="E61" s="44">
        <v>14</v>
      </c>
      <c r="F61" s="44">
        <v>1</v>
      </c>
      <c r="G61" s="459">
        <v>1350</v>
      </c>
      <c r="H61" s="46">
        <v>0.2</v>
      </c>
      <c r="I61" s="47">
        <v>0.88</v>
      </c>
      <c r="J61" s="88">
        <f t="shared" ref="J61:J62" si="9">E61*G61*(1-H61)*1440/1000000*2.77</f>
        <v>60.310656000000002</v>
      </c>
      <c r="K61" s="88">
        <f t="shared" ref="K61:K62" si="10">(IF(G61&lt;L61,L61,G61)*(1-IF(H61&lt;N61,H61,N61))*E61*O61*Q61)/100000000</f>
        <v>15.960672000000004</v>
      </c>
      <c r="L61" s="37">
        <v>1338.9162561576354</v>
      </c>
      <c r="M61" s="37">
        <v>1071.1330049261085</v>
      </c>
      <c r="N61" s="48">
        <f t="shared" ref="N61:N62" si="11">1-(M61/L61)</f>
        <v>0.19999999999999984</v>
      </c>
      <c r="O61" s="49">
        <f>+'Trim Rwd'!H52</f>
        <v>260</v>
      </c>
      <c r="P61" s="50">
        <f t="shared" ref="P61:P62" si="12">O61*(Q61-R61-S61)</f>
        <v>102960</v>
      </c>
      <c r="Q61" s="49">
        <v>406</v>
      </c>
      <c r="R61" s="417">
        <v>0</v>
      </c>
      <c r="S61" s="417">
        <v>10</v>
      </c>
      <c r="T61" s="39">
        <f t="shared" ref="T61:T62" si="13">E61*M61*O61*Q61/100000000</f>
        <v>15.829632000000002</v>
      </c>
      <c r="U61" s="39">
        <f t="shared" ref="U61:U62" si="14">E61*M61*O61*(Q61-R61-S61)/100000000</f>
        <v>15.439739586206899</v>
      </c>
      <c r="V61" s="39">
        <f t="shared" ref="V61:V62" si="15">E61*G61*(1-N61)*O61/100*(R61+S61)/1000000</f>
        <v>0.39312000000000008</v>
      </c>
      <c r="W61" s="39">
        <f>+'12'!K18/1000</f>
        <v>15.617000000000001</v>
      </c>
      <c r="X61" s="40"/>
      <c r="Y61" s="220"/>
      <c r="Z61" s="39">
        <f>+('12'!D17+'12'!D26)/1000</f>
        <v>1.554</v>
      </c>
      <c r="AA61" s="39"/>
      <c r="AB61" s="39"/>
      <c r="AC61" s="39">
        <f>K61-T61</f>
        <v>0.13104000000000227</v>
      </c>
      <c r="AD61" s="39">
        <f>+AM61+BA61</f>
        <v>9</v>
      </c>
      <c r="AE61" s="238" t="s">
        <v>634</v>
      </c>
      <c r="AF61" s="39"/>
      <c r="AG61" s="39">
        <v>9</v>
      </c>
      <c r="AH61" s="39"/>
      <c r="AI61" s="455"/>
      <c r="AJ61" s="39"/>
      <c r="AK61" s="39"/>
      <c r="AL61" s="39"/>
      <c r="AM61" s="39">
        <f>SUM(AF61:AL61)+AT61+AV61+AX61</f>
        <v>9</v>
      </c>
      <c r="AN61" s="89"/>
      <c r="AO61" s="39"/>
      <c r="AP61" s="39"/>
      <c r="AQ61" s="39"/>
      <c r="AR61" s="39">
        <f>SUM(AN61:AQ61)</f>
        <v>0</v>
      </c>
      <c r="AS61" s="39"/>
      <c r="AT61" s="39"/>
      <c r="AU61" s="39"/>
      <c r="AV61" s="39"/>
      <c r="AW61" s="39"/>
      <c r="AX61" s="39"/>
      <c r="AY61" s="39"/>
      <c r="AZ61" s="39"/>
      <c r="BA61" s="39">
        <f>+AR61+AS61+AU61+AW61+AY61+AZ61</f>
        <v>0</v>
      </c>
      <c r="BB61" s="52"/>
      <c r="BC61" s="53">
        <v>8</v>
      </c>
      <c r="BD61" s="53"/>
      <c r="BE61" s="52"/>
      <c r="BF61" s="53"/>
    </row>
    <row r="62" spans="1:58" ht="12.95" customHeight="1">
      <c r="A62" s="42"/>
      <c r="B62" s="597" t="s">
        <v>604</v>
      </c>
      <c r="C62" s="447">
        <f t="shared" si="8"/>
        <v>22.23</v>
      </c>
      <c r="D62" s="43" t="s">
        <v>489</v>
      </c>
      <c r="E62" s="44">
        <v>15</v>
      </c>
      <c r="F62" s="44">
        <v>1</v>
      </c>
      <c r="G62" s="459">
        <v>1350</v>
      </c>
      <c r="H62" s="46">
        <v>0.2</v>
      </c>
      <c r="I62" s="47">
        <v>0.88</v>
      </c>
      <c r="J62" s="88">
        <f t="shared" si="9"/>
        <v>64.618560000000002</v>
      </c>
      <c r="K62" s="88">
        <f t="shared" si="10"/>
        <v>24.008400000000002</v>
      </c>
      <c r="L62" s="37">
        <v>1250</v>
      </c>
      <c r="M62" s="37">
        <f t="shared" ref="M62" si="16">+L62-L62*0.2</f>
        <v>1000</v>
      </c>
      <c r="N62" s="48">
        <f t="shared" si="11"/>
        <v>0.19999999999999996</v>
      </c>
      <c r="O62" s="49">
        <f>+'Trim Rwd'!H53</f>
        <v>260</v>
      </c>
      <c r="P62" s="50">
        <f t="shared" si="12"/>
        <v>145600</v>
      </c>
      <c r="Q62" s="49">
        <v>570</v>
      </c>
      <c r="R62" s="417">
        <v>0</v>
      </c>
      <c r="S62" s="417">
        <v>10</v>
      </c>
      <c r="T62" s="39">
        <f t="shared" si="13"/>
        <v>22.23</v>
      </c>
      <c r="U62" s="39">
        <f t="shared" si="14"/>
        <v>21.84</v>
      </c>
      <c r="V62" s="39">
        <f t="shared" si="15"/>
        <v>0.42120000000000002</v>
      </c>
      <c r="W62" s="39">
        <f>+'12'!K19/1000</f>
        <v>5.2869999999999999</v>
      </c>
      <c r="X62" s="40"/>
      <c r="Y62" s="220"/>
      <c r="Z62" s="39"/>
      <c r="AA62" s="39"/>
      <c r="AB62" s="39"/>
      <c r="AC62" s="39">
        <f>K62-T62</f>
        <v>1.7784000000000013</v>
      </c>
      <c r="AD62" s="39">
        <f>+AM62+BA62</f>
        <v>20</v>
      </c>
      <c r="AE62" s="238" t="s">
        <v>606</v>
      </c>
      <c r="AF62" s="35"/>
      <c r="AG62" s="35"/>
      <c r="AH62" s="35">
        <v>20</v>
      </c>
      <c r="AI62" s="455"/>
      <c r="AJ62" s="39"/>
      <c r="AK62" s="39"/>
      <c r="AL62" s="39"/>
      <c r="AM62" s="39">
        <f>SUM(AF62:AL62)+AT62+AV62+AX62</f>
        <v>20</v>
      </c>
      <c r="AN62" s="39"/>
      <c r="AO62" s="39"/>
      <c r="AP62" s="39"/>
      <c r="AQ62" s="39"/>
      <c r="AR62" s="39">
        <f>SUM(AN62:AQ62)</f>
        <v>0</v>
      </c>
      <c r="AS62" s="39"/>
      <c r="AT62" s="39"/>
      <c r="AU62" s="39"/>
      <c r="AV62" s="39"/>
      <c r="AW62" s="39"/>
      <c r="AX62" s="39"/>
      <c r="AY62" s="39"/>
      <c r="AZ62" s="39"/>
      <c r="BA62" s="39">
        <f>+AR62+AS62+AU62+AW62+AY62+AZ62</f>
        <v>0</v>
      </c>
      <c r="BB62" s="35"/>
      <c r="BC62" s="55"/>
      <c r="BD62" s="55"/>
      <c r="BE62" s="35"/>
      <c r="BF62" s="55"/>
    </row>
    <row r="63" spans="1:58" ht="12.95" customHeight="1">
      <c r="A63" s="343"/>
      <c r="B63" s="43"/>
      <c r="C63" s="447"/>
      <c r="D63" s="43"/>
      <c r="E63" s="44"/>
      <c r="F63" s="44"/>
      <c r="G63" s="459"/>
      <c r="H63" s="46"/>
      <c r="I63" s="47"/>
      <c r="J63" s="88"/>
      <c r="K63" s="88"/>
      <c r="L63" s="37"/>
      <c r="M63" s="37"/>
      <c r="N63" s="48"/>
      <c r="O63" s="49"/>
      <c r="P63" s="50"/>
      <c r="Q63" s="49"/>
      <c r="R63" s="417"/>
      <c r="S63" s="417"/>
      <c r="T63" s="39"/>
      <c r="U63" s="39"/>
      <c r="V63" s="39"/>
      <c r="W63" s="39"/>
      <c r="X63" s="414"/>
      <c r="Y63" s="220"/>
      <c r="Z63" s="39"/>
      <c r="AA63" s="51"/>
      <c r="AB63" s="51"/>
      <c r="AC63" s="39"/>
      <c r="AD63" s="39"/>
      <c r="AE63" s="238"/>
      <c r="AF63" s="39"/>
      <c r="AG63" s="39"/>
      <c r="AH63" s="39"/>
      <c r="AI63" s="455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5"/>
      <c r="BC63" s="53"/>
      <c r="BD63" s="53"/>
      <c r="BE63" s="53"/>
      <c r="BF63" s="53"/>
    </row>
    <row r="64" spans="1:58" ht="12.95" customHeight="1">
      <c r="A64" s="343">
        <v>45974</v>
      </c>
      <c r="B64" s="597" t="s">
        <v>604</v>
      </c>
      <c r="C64" s="447">
        <f t="shared" ref="C64" si="17">(M64*E64*O64*Q64)/100000000</f>
        <v>9.6557661290322585</v>
      </c>
      <c r="D64" s="43" t="s">
        <v>489</v>
      </c>
      <c r="E64" s="44">
        <v>15</v>
      </c>
      <c r="F64" s="44">
        <v>1</v>
      </c>
      <c r="G64" s="459">
        <v>1350</v>
      </c>
      <c r="H64" s="46">
        <v>0.2</v>
      </c>
      <c r="I64" s="47">
        <v>0.88</v>
      </c>
      <c r="J64" s="88">
        <f t="shared" ref="J64" si="18">E64*G64*(1-H64)*1440/1000000*2.77</f>
        <v>64.618560000000002</v>
      </c>
      <c r="K64" s="88">
        <f t="shared" ref="K64" si="19">(IF(G64&lt;L64,L64,G64)*(1-IF(H64&lt;N64,H64,N64))*E64*O64*Q64)/100000000</f>
        <v>10.428227419354839</v>
      </c>
      <c r="L64" s="37">
        <v>1250</v>
      </c>
      <c r="M64" s="37">
        <f>+L64-L64*0.2</f>
        <v>1000</v>
      </c>
      <c r="N64" s="48">
        <f t="shared" ref="N64" si="20">1-(M64/L64)</f>
        <v>0.19999999999999996</v>
      </c>
      <c r="O64" s="49">
        <f>+'Trim Rwd'!H55</f>
        <v>262.74193548387098</v>
      </c>
      <c r="P64" s="50">
        <f t="shared" ref="P64" si="21">O64*(Q64-R64-S64)</f>
        <v>56489.516129032258</v>
      </c>
      <c r="Q64" s="49">
        <v>245</v>
      </c>
      <c r="R64" s="417">
        <v>0</v>
      </c>
      <c r="S64" s="417">
        <v>30</v>
      </c>
      <c r="T64" s="39">
        <f t="shared" ref="T64" si="22">E64*M64*O64*Q64/100000000</f>
        <v>9.6557661290322585</v>
      </c>
      <c r="U64" s="39">
        <f t="shared" ref="U64" si="23">E64*M64*O64*(Q64-R64-S64)/100000000</f>
        <v>8.473427419354838</v>
      </c>
      <c r="V64" s="39">
        <f t="shared" ref="V64" si="24">E64*G64*(1-N64)*O64/100*(R64+S64)/1000000</f>
        <v>1.2769258064516127</v>
      </c>
      <c r="W64" s="39">
        <f>+'13'!K19/1000</f>
        <v>22.652999999999999</v>
      </c>
      <c r="X64" s="414">
        <f>SUM(W64:W68)/SUM(K64:K68)</f>
        <v>0.67228889269173642</v>
      </c>
      <c r="Y64" s="220">
        <v>0</v>
      </c>
      <c r="Z64" s="39">
        <f>+('13'!D7+'13'!D18)/1000</f>
        <v>0.86499999999999999</v>
      </c>
      <c r="AA64" s="51">
        <f>SUM(U64:U68)-SUM(W64:W68)-SUM(Z64:Z68)-SUM(Y64:Y68)</f>
        <v>-8.54636765264517</v>
      </c>
      <c r="AB64" s="51">
        <f>(SUM(K64:K68)-SUM(W64:W68)-SUM(Y64:Y68)-SUM(Z64:Z68)-SUM(AC64:AC68)-SUM(V64:V68))-AA64</f>
        <v>-2.1921714684105442</v>
      </c>
      <c r="AC64" s="39">
        <f>K64-T64</f>
        <v>0.77246129032258004</v>
      </c>
      <c r="AD64" s="39">
        <f>+AM64+BA64</f>
        <v>30</v>
      </c>
      <c r="AE64" s="238" t="s">
        <v>464</v>
      </c>
      <c r="AF64" s="39">
        <v>30</v>
      </c>
      <c r="AG64" s="39"/>
      <c r="AH64" s="39"/>
      <c r="AI64" s="455"/>
      <c r="AJ64" s="39"/>
      <c r="AK64" s="39"/>
      <c r="AL64" s="39"/>
      <c r="AM64" s="39">
        <f>SUM(AF64:AL64)+AT64+AV64+AX64</f>
        <v>30</v>
      </c>
      <c r="AN64" s="39"/>
      <c r="AO64" s="39"/>
      <c r="AP64" s="39"/>
      <c r="AQ64" s="39"/>
      <c r="AR64" s="39">
        <f>SUM(AN64:AQ64)</f>
        <v>0</v>
      </c>
      <c r="AS64" s="39"/>
      <c r="AT64" s="39"/>
      <c r="AU64" s="39"/>
      <c r="AV64" s="39"/>
      <c r="AW64" s="39"/>
      <c r="AX64" s="39"/>
      <c r="AY64" s="39"/>
      <c r="AZ64" s="39"/>
      <c r="BA64" s="39">
        <f>+AR64+AS64+AU64+AW64+AY64+AZ64</f>
        <v>0</v>
      </c>
      <c r="BB64" s="35">
        <v>6</v>
      </c>
      <c r="BC64" s="53"/>
      <c r="BD64" s="53"/>
      <c r="BE64" s="35"/>
      <c r="BF64" s="53"/>
    </row>
    <row r="65" spans="1:58" ht="12.95" customHeight="1">
      <c r="A65" s="343"/>
      <c r="B65" s="43" t="s">
        <v>517</v>
      </c>
      <c r="C65" s="447">
        <f>(M65*E65*O65*Q65)/100000000</f>
        <v>20.74136</v>
      </c>
      <c r="D65" s="43" t="s">
        <v>489</v>
      </c>
      <c r="E65" s="44">
        <v>12.5</v>
      </c>
      <c r="F65" s="44">
        <v>1</v>
      </c>
      <c r="G65" s="459">
        <v>1700</v>
      </c>
      <c r="H65" s="46">
        <v>0.24</v>
      </c>
      <c r="I65" s="47">
        <v>0.88</v>
      </c>
      <c r="J65" s="88">
        <f>E65*G65*(1-H65)*1440/1000000*2.77</f>
        <v>64.419120000000007</v>
      </c>
      <c r="K65" s="88">
        <f>(IF(G65&lt;L65,L65,G65)*(1-IF(H65&lt;N65,H65,N65))*E65*O65*Q65)/100000000</f>
        <v>23.351199999999999</v>
      </c>
      <c r="L65" s="37">
        <v>1510</v>
      </c>
      <c r="M65" s="37">
        <f>+L65-L65*0.2</f>
        <v>1208</v>
      </c>
      <c r="N65" s="48">
        <f>1-(M65/L65)</f>
        <v>0.19999999999999996</v>
      </c>
      <c r="O65" s="49">
        <f>+'Trim Rwd'!H60</f>
        <v>272</v>
      </c>
      <c r="P65" s="50">
        <f>O65*(Q65-R65-S65)</f>
        <v>39440</v>
      </c>
      <c r="Q65" s="49">
        <f>155+350</f>
        <v>505</v>
      </c>
      <c r="R65" s="417">
        <v>350</v>
      </c>
      <c r="S65" s="417">
        <v>10</v>
      </c>
      <c r="T65" s="39">
        <f>E65*M65*O65*Q65/100000000</f>
        <v>20.74136</v>
      </c>
      <c r="U65" s="39">
        <f>E65*M65*O65*(Q65-R65-S65)/100000000</f>
        <v>5.9554400000000003</v>
      </c>
      <c r="V65" s="39">
        <f>E65*G65*(1-N65)*O65/100*(R65+S65)/1000000</f>
        <v>16.6464</v>
      </c>
      <c r="W65" s="39">
        <f>+'13'!K16/1000</f>
        <v>3.234</v>
      </c>
      <c r="X65" s="40"/>
      <c r="Y65" s="220"/>
      <c r="Z65" s="39">
        <v>0</v>
      </c>
      <c r="AA65" s="39"/>
      <c r="AB65" s="39"/>
      <c r="AC65" s="39">
        <f>K65-T65</f>
        <v>2.6098399999999984</v>
      </c>
      <c r="AD65" s="39">
        <f>+AM65+BA65</f>
        <v>10</v>
      </c>
      <c r="AE65" s="238" t="s">
        <v>634</v>
      </c>
      <c r="AF65" s="39"/>
      <c r="AG65" s="39">
        <v>10</v>
      </c>
      <c r="AH65" s="39"/>
      <c r="AI65" s="455"/>
      <c r="AJ65" s="39"/>
      <c r="AK65" s="39"/>
      <c r="AL65" s="39"/>
      <c r="AM65" s="39">
        <f>SUM(AF65:AL65)+AT65+AV65+AX65</f>
        <v>10</v>
      </c>
      <c r="AN65" s="89"/>
      <c r="AO65" s="39"/>
      <c r="AP65" s="39"/>
      <c r="AQ65" s="39"/>
      <c r="AR65" s="39">
        <f>SUM(AN65:AQ65)</f>
        <v>0</v>
      </c>
      <c r="AS65" s="39"/>
      <c r="AT65" s="39"/>
      <c r="AU65" s="39"/>
      <c r="AV65" s="39"/>
      <c r="AW65" s="39"/>
      <c r="AX65" s="39"/>
      <c r="AY65" s="39"/>
      <c r="AZ65" s="39"/>
      <c r="BA65" s="39">
        <f>+AR65+AS65+AU65+AW65+AY65+AZ65</f>
        <v>0</v>
      </c>
      <c r="BB65" s="52"/>
      <c r="BC65" s="53">
        <v>8</v>
      </c>
      <c r="BD65" s="53"/>
      <c r="BE65" s="52"/>
      <c r="BF65" s="53"/>
    </row>
    <row r="66" spans="1:58" ht="12.95" customHeight="1">
      <c r="A66" s="42"/>
      <c r="B66" s="43" t="s">
        <v>517</v>
      </c>
      <c r="C66" s="447">
        <f>(M66*E66*O66*Q66)/100000000</f>
        <v>22.44426756</v>
      </c>
      <c r="D66" s="43" t="s">
        <v>489</v>
      </c>
      <c r="E66" s="44">
        <v>13</v>
      </c>
      <c r="F66" s="44">
        <v>1</v>
      </c>
      <c r="G66" s="459">
        <v>1700</v>
      </c>
      <c r="H66" s="46">
        <v>0.24</v>
      </c>
      <c r="I66" s="47">
        <v>0.88</v>
      </c>
      <c r="J66" s="88">
        <f>E66*G66*(1-H66)*1440/1000000*2.77</f>
        <v>66.995884799999999</v>
      </c>
      <c r="K66" s="88">
        <f>(IF(G66&lt;L66,L66,G66)*(1-IF(H66&lt;N66,H66,N66))*E66*O66*Q66)/100000000</f>
        <v>31.533268472727265</v>
      </c>
      <c r="L66" s="37">
        <v>1210</v>
      </c>
      <c r="M66" s="37">
        <f>+L66-L66*0.24</f>
        <v>919.6</v>
      </c>
      <c r="N66" s="48">
        <f>1-(M66/L66)</f>
        <v>0.24</v>
      </c>
      <c r="O66" s="49">
        <f>+'Trim Rwd'!H61</f>
        <v>272.09090909090907</v>
      </c>
      <c r="P66" s="50">
        <f>O66*(Q66-R66-S66)</f>
        <v>182845.09090909088</v>
      </c>
      <c r="Q66" s="49">
        <v>690</v>
      </c>
      <c r="R66" s="417">
        <v>0</v>
      </c>
      <c r="S66" s="417">
        <v>18</v>
      </c>
      <c r="T66" s="39">
        <f>E66*M66*O66*Q66/100000000</f>
        <v>22.44426756</v>
      </c>
      <c r="U66" s="39">
        <f>E66*M66*O66*(Q66-R66-S66)/100000000</f>
        <v>21.858764927999996</v>
      </c>
      <c r="V66" s="39">
        <f>E66*G66*(1-N66)*O66/100*(R66+S66)/1000000</f>
        <v>0.82260700363636352</v>
      </c>
      <c r="W66" s="39">
        <f>+'13'!K15/1000</f>
        <v>16.794</v>
      </c>
      <c r="X66" s="40"/>
      <c r="Y66" s="220"/>
      <c r="Z66" s="39">
        <v>0</v>
      </c>
      <c r="AA66" s="39"/>
      <c r="AB66" s="39"/>
      <c r="AC66" s="39">
        <f>K66-T66</f>
        <v>9.0890009127272648</v>
      </c>
      <c r="AD66" s="39">
        <f>+AM66+BA66</f>
        <v>18</v>
      </c>
      <c r="AE66" s="238" t="s">
        <v>651</v>
      </c>
      <c r="AF66" s="35"/>
      <c r="AG66" s="35"/>
      <c r="AH66" s="35">
        <v>18</v>
      </c>
      <c r="AI66" s="455"/>
      <c r="AJ66" s="39"/>
      <c r="AK66" s="39"/>
      <c r="AL66" s="39"/>
      <c r="AM66" s="39">
        <f>SUM(AF66:AL66)+AT66+AV66+AX66</f>
        <v>18</v>
      </c>
      <c r="AN66" s="39"/>
      <c r="AO66" s="39"/>
      <c r="AP66" s="39"/>
      <c r="AQ66" s="39"/>
      <c r="AR66" s="39">
        <f>SUM(AN66:AQ66)</f>
        <v>0</v>
      </c>
      <c r="AS66" s="39"/>
      <c r="AT66" s="39"/>
      <c r="AU66" s="39"/>
      <c r="AV66" s="39"/>
      <c r="AW66" s="39"/>
      <c r="AX66" s="39"/>
      <c r="AY66" s="39"/>
      <c r="AZ66" s="39"/>
      <c r="BA66" s="39">
        <f>+AR66+AS66+AU66+AW66+AY66+AZ66</f>
        <v>0</v>
      </c>
      <c r="BB66" s="35"/>
      <c r="BC66" s="55"/>
      <c r="BD66" s="55"/>
      <c r="BE66" s="35"/>
      <c r="BF66" s="55"/>
    </row>
    <row r="67" spans="1:58" ht="12.95" customHeight="1">
      <c r="A67" s="343"/>
      <c r="B67" s="597" t="s">
        <v>604</v>
      </c>
      <c r="C67" s="447"/>
      <c r="D67" s="43"/>
      <c r="E67" s="44">
        <v>13</v>
      </c>
      <c r="F67" s="44"/>
      <c r="G67" s="459"/>
      <c r="H67" s="46"/>
      <c r="I67" s="47"/>
      <c r="J67" s="88"/>
      <c r="K67" s="88"/>
      <c r="L67" s="37"/>
      <c r="M67" s="37"/>
      <c r="N67" s="48"/>
      <c r="O67" s="49"/>
      <c r="P67" s="50"/>
      <c r="Q67" s="49"/>
      <c r="R67" s="417"/>
      <c r="S67" s="417"/>
      <c r="T67" s="39"/>
      <c r="U67" s="39"/>
      <c r="V67" s="39"/>
      <c r="W67" s="39">
        <f>+'13'!K17/1000</f>
        <v>0.39100000000000001</v>
      </c>
      <c r="X67" s="414"/>
      <c r="Y67" s="220"/>
      <c r="Z67" s="39">
        <f>+'13'!D16/1000</f>
        <v>0.06</v>
      </c>
      <c r="AA67" s="51"/>
      <c r="AB67" s="51"/>
      <c r="AC67" s="39"/>
      <c r="AD67" s="39">
        <f>+AM67+BA67</f>
        <v>350</v>
      </c>
      <c r="AE67" s="582" t="s">
        <v>652</v>
      </c>
      <c r="AF67" s="39"/>
      <c r="AG67" s="39"/>
      <c r="AH67" s="39"/>
      <c r="AI67" s="455"/>
      <c r="AJ67" s="39"/>
      <c r="AK67" s="39"/>
      <c r="AL67" s="39"/>
      <c r="AM67" s="39">
        <f>SUM(AF67:AL67)+AT67+AV67+AX67</f>
        <v>0</v>
      </c>
      <c r="AN67" s="39">
        <v>350</v>
      </c>
      <c r="AO67" s="39"/>
      <c r="AP67" s="39"/>
      <c r="AQ67" s="39"/>
      <c r="AR67" s="39">
        <f>SUM(AN67:AQ67)</f>
        <v>350</v>
      </c>
      <c r="AS67" s="39"/>
      <c r="AT67" s="39"/>
      <c r="AU67" s="39"/>
      <c r="AV67" s="39"/>
      <c r="AW67" s="39"/>
      <c r="AX67" s="39"/>
      <c r="AY67" s="39"/>
      <c r="AZ67" s="39"/>
      <c r="BA67" s="39">
        <f>+AR67+AS67+AU67+AW67+AY67+AZ67</f>
        <v>350</v>
      </c>
      <c r="BB67" s="35"/>
      <c r="BC67" s="55"/>
      <c r="BD67" s="55"/>
      <c r="BE67" s="35"/>
      <c r="BF67" s="55"/>
    </row>
    <row r="68" spans="1:58" ht="12.95" customHeight="1">
      <c r="A68" s="343"/>
      <c r="B68" s="597" t="s">
        <v>604</v>
      </c>
      <c r="C68" s="447"/>
      <c r="D68" s="43"/>
      <c r="E68" s="44">
        <v>14</v>
      </c>
      <c r="F68" s="44"/>
      <c r="G68" s="459"/>
      <c r="H68" s="46"/>
      <c r="I68" s="47"/>
      <c r="J68" s="88"/>
      <c r="K68" s="88"/>
      <c r="L68" s="37"/>
      <c r="M68" s="37"/>
      <c r="N68" s="48"/>
      <c r="O68" s="49"/>
      <c r="P68" s="50"/>
      <c r="Q68" s="49"/>
      <c r="R68" s="417"/>
      <c r="S68" s="417"/>
      <c r="T68" s="39"/>
      <c r="U68" s="39"/>
      <c r="V68" s="39"/>
      <c r="W68" s="39">
        <f>+'13'!K18/1000</f>
        <v>0.83699999999999997</v>
      </c>
      <c r="X68" s="414"/>
      <c r="Y68" s="220"/>
      <c r="Z68" s="39"/>
      <c r="AA68" s="51"/>
      <c r="AB68" s="51"/>
      <c r="AC68" s="39"/>
      <c r="AD68" s="39"/>
      <c r="AE68" s="238"/>
      <c r="AF68" s="39"/>
      <c r="AG68" s="39"/>
      <c r="AH68" s="39"/>
      <c r="AI68" s="455"/>
      <c r="AJ68" s="39"/>
      <c r="AK68" s="39"/>
      <c r="AL68" s="39"/>
      <c r="AM68" s="39"/>
      <c r="AN68" s="8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52"/>
      <c r="BC68" s="53"/>
      <c r="BD68" s="53"/>
      <c r="BE68" s="53"/>
      <c r="BF68" s="53"/>
    </row>
    <row r="69" spans="1:58" ht="12.95" customHeight="1">
      <c r="A69" s="42"/>
      <c r="B69" s="43"/>
      <c r="C69" s="447"/>
      <c r="D69" s="43"/>
      <c r="E69" s="44"/>
      <c r="F69" s="44"/>
      <c r="G69" s="45"/>
      <c r="H69" s="46"/>
      <c r="I69" s="47"/>
      <c r="J69" s="88"/>
      <c r="K69" s="88"/>
      <c r="L69" s="37"/>
      <c r="M69" s="37"/>
      <c r="N69" s="48"/>
      <c r="O69" s="49"/>
      <c r="P69" s="50"/>
      <c r="Q69" s="49"/>
      <c r="R69" s="417"/>
      <c r="S69" s="417"/>
      <c r="T69" s="39"/>
      <c r="U69" s="39"/>
      <c r="V69" s="39"/>
      <c r="W69" s="39"/>
      <c r="X69" s="40"/>
      <c r="Y69" s="220"/>
      <c r="Z69" s="39"/>
      <c r="AA69" s="39"/>
      <c r="AB69" s="39"/>
      <c r="AC69" s="39"/>
      <c r="AD69" s="39"/>
      <c r="AE69" s="238"/>
      <c r="AF69" s="35"/>
      <c r="AG69" s="35"/>
      <c r="AH69" s="35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5"/>
      <c r="BC69" s="55"/>
      <c r="BD69" s="53"/>
      <c r="BE69" s="53"/>
      <c r="BF69" s="53"/>
    </row>
    <row r="70" spans="1:58" ht="12.95" customHeight="1">
      <c r="A70" s="42">
        <v>45975</v>
      </c>
      <c r="B70" s="43" t="s">
        <v>517</v>
      </c>
      <c r="C70" s="447">
        <f>(M70*E70*O70*Q70)/100000000</f>
        <v>7.4065765800000003</v>
      </c>
      <c r="D70" s="43" t="s">
        <v>489</v>
      </c>
      <c r="E70" s="44">
        <v>13</v>
      </c>
      <c r="F70" s="44">
        <v>1</v>
      </c>
      <c r="G70" s="459">
        <v>1700</v>
      </c>
      <c r="H70" s="46">
        <v>0.24</v>
      </c>
      <c r="I70" s="47">
        <v>0.88</v>
      </c>
      <c r="J70" s="88">
        <f>E70*G70*(1-H70)*1440/1000000*2.77</f>
        <v>66.995884799999999</v>
      </c>
      <c r="K70" s="88">
        <f>(IF(G70&lt;L70,L70,G70)*(1-IF(H70&lt;N70,H70,N70))*E70*O70*Q70)/100000000</f>
        <v>9.6855232200000003</v>
      </c>
      <c r="L70" s="37">
        <v>1300</v>
      </c>
      <c r="M70" s="37">
        <v>988</v>
      </c>
      <c r="N70" s="48">
        <f>1-(M70/L70)</f>
        <v>0.24</v>
      </c>
      <c r="O70" s="49">
        <f>+'Trim Rwd'!H64</f>
        <v>270.73076923076923</v>
      </c>
      <c r="P70" s="50">
        <f>O70*(Q70-R70-S70)</f>
        <v>50897.384615384617</v>
      </c>
      <c r="Q70" s="49">
        <v>213</v>
      </c>
      <c r="R70" s="417">
        <v>0</v>
      </c>
      <c r="S70" s="417">
        <v>25</v>
      </c>
      <c r="T70" s="39">
        <f>E70*M70*O70*Q70/100000000</f>
        <v>7.4065765800000003</v>
      </c>
      <c r="U70" s="39">
        <f>E70*M70*O70*(Q70-R70-S70)/100000000</f>
        <v>6.5372600800000003</v>
      </c>
      <c r="V70" s="39">
        <f>E70*G70*(1-N70)*O70/100*(R70+S70)/1000000</f>
        <v>1.1367985</v>
      </c>
      <c r="W70" s="39">
        <f>+'14'!K15/1000</f>
        <v>13.164999999999999</v>
      </c>
      <c r="X70" s="414">
        <f>SUM(W70:W73)/SUM(K70:K73)</f>
        <v>0.76772461676314663</v>
      </c>
      <c r="Y70" s="220">
        <v>0</v>
      </c>
      <c r="Z70" s="39">
        <v>0</v>
      </c>
      <c r="AA70" s="51">
        <f>SUM(U70:U73)-SUM(W70:W73)-SUM(Z70:Z73)-SUM(Y70:Y73)</f>
        <v>2.335157982847484</v>
      </c>
      <c r="AB70" s="51">
        <f>(SUM(K70:K73)-SUM(W70:W73)-SUM(Y70:Y73)-SUM(Z70:Z73)-SUM(AC70:AC73)-SUM(V70:V73))-AA70</f>
        <v>-0.53548545977055984</v>
      </c>
      <c r="AC70" s="39">
        <f>K70-T70</f>
        <v>2.27894664</v>
      </c>
      <c r="AD70" s="39">
        <f>+AM70+BA70</f>
        <v>0</v>
      </c>
      <c r="AE70" s="238" t="s">
        <v>434</v>
      </c>
      <c r="AF70" s="39">
        <v>0</v>
      </c>
      <c r="AG70" s="39"/>
      <c r="AH70" s="39"/>
      <c r="AI70" s="455"/>
      <c r="AJ70" s="39"/>
      <c r="AK70" s="39"/>
      <c r="AL70" s="39"/>
      <c r="AM70" s="39">
        <f>SUM(AF70:AL70)+AT70+AV70+AX70</f>
        <v>0</v>
      </c>
      <c r="AN70" s="39"/>
      <c r="AO70" s="39"/>
      <c r="AP70" s="39"/>
      <c r="AQ70" s="39"/>
      <c r="AR70" s="39">
        <f>SUM(AN70:AQ70)</f>
        <v>0</v>
      </c>
      <c r="AS70" s="39"/>
      <c r="AT70" s="39"/>
      <c r="AU70" s="39"/>
      <c r="AV70" s="39"/>
      <c r="AW70" s="39"/>
      <c r="AX70" s="39"/>
      <c r="AY70" s="39"/>
      <c r="AZ70" s="39"/>
      <c r="BA70" s="39">
        <f>+AR70+AS70+AU70+AW70+AY70+AZ70</f>
        <v>0</v>
      </c>
      <c r="BB70" s="35">
        <v>0</v>
      </c>
      <c r="BC70" s="53"/>
      <c r="BD70" s="53"/>
      <c r="BE70" s="35"/>
      <c r="BF70" s="53"/>
    </row>
    <row r="71" spans="1:58" ht="12.95" customHeight="1">
      <c r="A71" s="343"/>
      <c r="B71" s="43" t="s">
        <v>517</v>
      </c>
      <c r="C71" s="447">
        <f>(M71*E71*O71*Q71)/100000000</f>
        <v>45.21411736615385</v>
      </c>
      <c r="D71" s="43" t="s">
        <v>489</v>
      </c>
      <c r="E71" s="44">
        <v>12.5</v>
      </c>
      <c r="F71" s="44">
        <v>1</v>
      </c>
      <c r="G71" s="459">
        <v>1700</v>
      </c>
      <c r="H71" s="46">
        <v>0.24</v>
      </c>
      <c r="I71" s="47">
        <v>0.88</v>
      </c>
      <c r="J71" s="88">
        <f>E71*G71*(1-H71)*1440/1000000*2.77</f>
        <v>64.419120000000007</v>
      </c>
      <c r="K71" s="88">
        <f>(IF(G71&lt;L71,L71,G71)*(1-IF(H71&lt;N71,H71,N71))*E71*O71*Q71)/100000000</f>
        <v>52.521678369230777</v>
      </c>
      <c r="L71" s="37">
        <v>1463.4718826405867</v>
      </c>
      <c r="M71" s="37">
        <v>1112.238630806846</v>
      </c>
      <c r="N71" s="48">
        <f>1-(M71/L71)</f>
        <v>0.24</v>
      </c>
      <c r="O71" s="49">
        <f>+'Trim Rwd'!H66</f>
        <v>265.04615384615386</v>
      </c>
      <c r="P71" s="50">
        <f>O71*(Q71-R71-S71)</f>
        <v>313284.55384615384</v>
      </c>
      <c r="Q71" s="49">
        <v>1227</v>
      </c>
      <c r="R71" s="417">
        <v>0</v>
      </c>
      <c r="S71" s="417">
        <v>45</v>
      </c>
      <c r="T71" s="39">
        <f>E71*M71*O71*Q71/100000000</f>
        <v>45.21411736615385</v>
      </c>
      <c r="U71" s="39">
        <f>E71*M71*O71*(Q71-R71-S71)/100000000</f>
        <v>43.555897902847484</v>
      </c>
      <c r="V71" s="39">
        <f>E71*G71*(1-N71)*O71/100*(R71+S71)/1000000</f>
        <v>1.926222923076923</v>
      </c>
      <c r="W71" s="39">
        <f>+'14'!K16/1000</f>
        <v>34.593000000000004</v>
      </c>
      <c r="X71" s="40"/>
      <c r="Y71" s="220"/>
      <c r="Z71" s="39">
        <f>+'9'!D58/1000</f>
        <v>0</v>
      </c>
      <c r="AA71" s="39"/>
      <c r="AB71" s="39"/>
      <c r="AC71" s="39">
        <f>K71-T71</f>
        <v>7.3075610030769269</v>
      </c>
      <c r="AD71" s="39">
        <f>+AM71+BA71</f>
        <v>19</v>
      </c>
      <c r="AE71" s="238" t="s">
        <v>592</v>
      </c>
      <c r="AF71" s="39"/>
      <c r="AG71" s="39">
        <v>19</v>
      </c>
      <c r="AH71" s="39"/>
      <c r="AI71" s="455"/>
      <c r="AJ71" s="39"/>
      <c r="AK71" s="39"/>
      <c r="AL71" s="39"/>
      <c r="AM71" s="39">
        <f>SUM(AF71:AL71)+AT71+AV71+AX71</f>
        <v>19</v>
      </c>
      <c r="AN71" s="89"/>
      <c r="AO71" s="39"/>
      <c r="AP71" s="39"/>
      <c r="AQ71" s="39"/>
      <c r="AR71" s="39">
        <f>SUM(AN71:AQ71)</f>
        <v>0</v>
      </c>
      <c r="AS71" s="39"/>
      <c r="AT71" s="39"/>
      <c r="AU71" s="39"/>
      <c r="AV71" s="39"/>
      <c r="AW71" s="39"/>
      <c r="AX71" s="39"/>
      <c r="AY71" s="39"/>
      <c r="AZ71" s="39"/>
      <c r="BA71" s="39">
        <f>+AR71+AS71+AU71+AW71+AY71+AZ71</f>
        <v>0</v>
      </c>
      <c r="BB71" s="52"/>
      <c r="BC71" s="53">
        <v>11</v>
      </c>
      <c r="BD71" s="53"/>
      <c r="BE71" s="52"/>
      <c r="BF71" s="53"/>
    </row>
    <row r="72" spans="1:58" ht="12.95" customHeight="1">
      <c r="A72" s="42"/>
      <c r="B72" s="43"/>
      <c r="C72" s="447"/>
      <c r="D72" s="43"/>
      <c r="E72" s="44"/>
      <c r="F72" s="44"/>
      <c r="G72" s="45"/>
      <c r="H72" s="46"/>
      <c r="I72" s="47"/>
      <c r="J72" s="88"/>
      <c r="K72" s="88"/>
      <c r="L72" s="37"/>
      <c r="M72" s="37"/>
      <c r="N72" s="48"/>
      <c r="O72" s="49"/>
      <c r="P72" s="50"/>
      <c r="Q72" s="49"/>
      <c r="R72" s="417"/>
      <c r="S72" s="417"/>
      <c r="T72" s="39"/>
      <c r="U72" s="39"/>
      <c r="V72" s="39"/>
      <c r="W72" s="39"/>
      <c r="X72" s="40"/>
      <c r="Y72" s="220"/>
      <c r="Z72" s="39"/>
      <c r="AA72" s="39"/>
      <c r="AB72" s="39"/>
      <c r="AC72" s="39"/>
      <c r="AD72" s="39">
        <f>+AM72+BA72</f>
        <v>38</v>
      </c>
      <c r="AE72" s="238" t="s">
        <v>466</v>
      </c>
      <c r="AF72" s="35"/>
      <c r="AG72" s="35"/>
      <c r="AH72" s="35">
        <v>38</v>
      </c>
      <c r="AI72" s="455"/>
      <c r="AJ72" s="39"/>
      <c r="AK72" s="39"/>
      <c r="AL72" s="39"/>
      <c r="AM72" s="39">
        <f>SUM(AF72:AL72)+AT72+AV72+AX72</f>
        <v>38</v>
      </c>
      <c r="AN72" s="39"/>
      <c r="AO72" s="39"/>
      <c r="AP72" s="39"/>
      <c r="AQ72" s="39"/>
      <c r="AR72" s="39">
        <f>SUM(AN72:AQ72)</f>
        <v>0</v>
      </c>
      <c r="AS72" s="39"/>
      <c r="AT72" s="39"/>
      <c r="AU72" s="39"/>
      <c r="AV72" s="39"/>
      <c r="AW72" s="39"/>
      <c r="AX72" s="39"/>
      <c r="AY72" s="39"/>
      <c r="AZ72" s="39"/>
      <c r="BA72" s="39">
        <f>+AR72+AS72+AU72+AW72+AY72+AZ72</f>
        <v>0</v>
      </c>
      <c r="BB72" s="35"/>
      <c r="BC72" s="55"/>
      <c r="BD72" s="55"/>
      <c r="BE72" s="35"/>
      <c r="BF72" s="55"/>
    </row>
    <row r="73" spans="1:58" ht="12.95" customHeight="1">
      <c r="A73" s="42"/>
      <c r="B73" s="43"/>
      <c r="C73" s="447"/>
      <c r="D73" s="43"/>
      <c r="E73" s="44"/>
      <c r="F73" s="44"/>
      <c r="G73" s="45"/>
      <c r="H73" s="46"/>
      <c r="I73" s="47"/>
      <c r="J73" s="88"/>
      <c r="K73" s="88"/>
      <c r="L73" s="37"/>
      <c r="M73" s="37"/>
      <c r="N73" s="48"/>
      <c r="O73" s="49"/>
      <c r="P73" s="50"/>
      <c r="Q73" s="49"/>
      <c r="R73" s="417"/>
      <c r="S73" s="417"/>
      <c r="T73" s="39"/>
      <c r="U73" s="39"/>
      <c r="V73" s="39"/>
      <c r="W73" s="39"/>
      <c r="X73" s="40"/>
      <c r="Y73" s="220"/>
      <c r="Z73" s="39"/>
      <c r="AA73" s="39"/>
      <c r="AB73" s="39"/>
      <c r="AC73" s="39"/>
      <c r="AD73" s="39">
        <f>+AM73+BA73</f>
        <v>13</v>
      </c>
      <c r="AE73" s="238" t="s">
        <v>664</v>
      </c>
      <c r="AF73" s="35"/>
      <c r="AG73" s="35"/>
      <c r="AH73" s="35"/>
      <c r="AI73" s="455"/>
      <c r="AJ73" s="39">
        <v>13</v>
      </c>
      <c r="AK73" s="39"/>
      <c r="AL73" s="39"/>
      <c r="AM73" s="39">
        <f>SUM(AF73:AL73)+AT73+AV73+AX73</f>
        <v>13</v>
      </c>
      <c r="AN73" s="39"/>
      <c r="AO73" s="39"/>
      <c r="AP73" s="39"/>
      <c r="AQ73" s="39"/>
      <c r="AR73" s="39">
        <f>SUM(AN73:AQ73)</f>
        <v>0</v>
      </c>
      <c r="AS73" s="39"/>
      <c r="AT73" s="39"/>
      <c r="AU73" s="39"/>
      <c r="AV73" s="39"/>
      <c r="AW73" s="39"/>
      <c r="AX73" s="39"/>
      <c r="AY73" s="39"/>
      <c r="AZ73" s="39"/>
      <c r="BA73" s="39">
        <f>+AR73+AS73+AU73+AW73+AY73+AZ73</f>
        <v>0</v>
      </c>
      <c r="BB73" s="35"/>
      <c r="BC73" s="55"/>
      <c r="BD73" s="55"/>
      <c r="BE73" s="35"/>
      <c r="BF73" s="55"/>
    </row>
    <row r="74" spans="1:58" ht="12.95" customHeight="1">
      <c r="A74" s="42"/>
      <c r="B74" s="43"/>
      <c r="C74" s="447"/>
      <c r="D74" s="43"/>
      <c r="E74" s="44"/>
      <c r="F74" s="44"/>
      <c r="G74" s="45"/>
      <c r="H74" s="46"/>
      <c r="I74" s="47"/>
      <c r="J74" s="88"/>
      <c r="K74" s="88"/>
      <c r="L74" s="37"/>
      <c r="M74" s="37"/>
      <c r="N74" s="48"/>
      <c r="O74" s="49"/>
      <c r="P74" s="50"/>
      <c r="Q74" s="49"/>
      <c r="R74" s="417"/>
      <c r="S74" s="417"/>
      <c r="T74" s="39"/>
      <c r="U74" s="39"/>
      <c r="V74" s="39"/>
      <c r="W74" s="39"/>
      <c r="X74" s="40"/>
      <c r="Y74" s="220"/>
      <c r="Z74" s="39"/>
      <c r="AA74" s="39"/>
      <c r="AB74" s="39"/>
      <c r="AC74" s="39"/>
      <c r="AD74" s="39"/>
      <c r="AE74" s="238"/>
      <c r="AF74" s="35"/>
      <c r="AG74" s="35"/>
      <c r="AH74" s="35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5"/>
      <c r="BC74" s="55"/>
      <c r="BD74" s="53"/>
      <c r="BE74" s="53"/>
      <c r="BF74" s="53"/>
    </row>
    <row r="75" spans="1:58" ht="12.95" customHeight="1">
      <c r="A75" s="42">
        <v>45976</v>
      </c>
      <c r="B75" s="43" t="s">
        <v>517</v>
      </c>
      <c r="C75" s="447">
        <f>(M75*E75*O75*Q75)/100000000</f>
        <v>29.666182000000006</v>
      </c>
      <c r="D75" s="43" t="s">
        <v>489</v>
      </c>
      <c r="E75" s="44">
        <v>12.5</v>
      </c>
      <c r="F75" s="44">
        <v>1</v>
      </c>
      <c r="G75" s="459">
        <v>1700</v>
      </c>
      <c r="H75" s="46">
        <v>0.24</v>
      </c>
      <c r="I75" s="47">
        <v>0.88</v>
      </c>
      <c r="J75" s="88">
        <f>E75*G75*(1-H75)*1440/1000000*2.77</f>
        <v>64.419120000000007</v>
      </c>
      <c r="K75" s="88">
        <f>(IF(G75&lt;L75,L75,G75)*(1-IF(H75&lt;N75,H75,N75))*E75*O75*Q75)/100000000</f>
        <v>32.752200000000002</v>
      </c>
      <c r="L75" s="37">
        <v>1539.8205128205129</v>
      </c>
      <c r="M75" s="37">
        <v>1170.2635897435898</v>
      </c>
      <c r="N75" s="48">
        <f>1-(M75/L75)</f>
        <v>0.24</v>
      </c>
      <c r="O75" s="49">
        <f>+'Trim Rwd'!H69</f>
        <v>260</v>
      </c>
      <c r="P75" s="50">
        <f>O75*(Q75-R75-S75)</f>
        <v>193440</v>
      </c>
      <c r="Q75" s="49">
        <v>780</v>
      </c>
      <c r="R75" s="417">
        <v>0</v>
      </c>
      <c r="S75" s="417">
        <v>36</v>
      </c>
      <c r="T75" s="39">
        <f>E75*M75*O75*Q75/100000000</f>
        <v>29.666182000000006</v>
      </c>
      <c r="U75" s="39">
        <f>E75*M75*O75*(Q75-R75-S75)/100000000</f>
        <v>28.296973600000001</v>
      </c>
      <c r="V75" s="39">
        <f>E75*G75*(1-N75)*O75/100*(R75+S75)/1000000</f>
        <v>1.5116400000000001</v>
      </c>
      <c r="W75" s="39">
        <f>+'15'!K16/1000</f>
        <v>28.22</v>
      </c>
      <c r="X75" s="414">
        <f>SUM(W75:W78)/SUM(K75:K78)</f>
        <v>0.78342130090007389</v>
      </c>
      <c r="Y75" s="220">
        <v>0</v>
      </c>
      <c r="Z75" s="39">
        <f>+'15'!D7/1000</f>
        <v>0.28999999999999998</v>
      </c>
      <c r="AA75" s="51">
        <f>SUM(U75:U78)-SUM(W75:W78)-SUM(Z75:Z78)-SUM(Y75:Y78)</f>
        <v>4.9043108000000082</v>
      </c>
      <c r="AB75" s="51">
        <f>(SUM(K75:K78)-SUM(W75:W78)-SUM(Y75:Y78)-SUM(Z75:Z78)-SUM(AC75:AC78)-SUM(V75:V78))-AA75</f>
        <v>-0.19222679999999226</v>
      </c>
      <c r="AC75" s="39">
        <f>K75-T75</f>
        <v>3.0860179999999957</v>
      </c>
      <c r="AD75" s="39">
        <f>+AM75+BA75</f>
        <v>0</v>
      </c>
      <c r="AE75" s="238" t="s">
        <v>434</v>
      </c>
      <c r="AF75" s="39">
        <v>0</v>
      </c>
      <c r="AG75" s="39"/>
      <c r="AH75" s="39"/>
      <c r="AI75" s="455"/>
      <c r="AJ75" s="39"/>
      <c r="AK75" s="39"/>
      <c r="AL75" s="39"/>
      <c r="AM75" s="39">
        <f>SUM(AF75:AL75)+AT75+AV75+AX75</f>
        <v>0</v>
      </c>
      <c r="AN75" s="39"/>
      <c r="AO75" s="39"/>
      <c r="AP75" s="39"/>
      <c r="AQ75" s="39"/>
      <c r="AR75" s="39">
        <f>SUM(AN75:AQ75)</f>
        <v>0</v>
      </c>
      <c r="AS75" s="39"/>
      <c r="AT75" s="39"/>
      <c r="AU75" s="39"/>
      <c r="AV75" s="39"/>
      <c r="AW75" s="39"/>
      <c r="AX75" s="39"/>
      <c r="AY75" s="39"/>
      <c r="AZ75" s="39"/>
      <c r="BA75" s="39">
        <f>+AR75+AS75+AU75+AW75+AY75+AZ75</f>
        <v>0</v>
      </c>
      <c r="BB75" s="35">
        <v>0</v>
      </c>
      <c r="BC75" s="53"/>
      <c r="BD75" s="53"/>
      <c r="BE75" s="35"/>
      <c r="BF75" s="53"/>
    </row>
    <row r="76" spans="1:58" ht="12.95" customHeight="1">
      <c r="A76" s="343"/>
      <c r="B76" s="43" t="s">
        <v>517</v>
      </c>
      <c r="C76" s="447">
        <f>(M76*E76*O76*Q76)/100000000</f>
        <v>24.332616000000005</v>
      </c>
      <c r="D76" s="43" t="s">
        <v>489</v>
      </c>
      <c r="E76" s="44">
        <v>12</v>
      </c>
      <c r="F76" s="44">
        <v>1</v>
      </c>
      <c r="G76" s="459">
        <v>1700</v>
      </c>
      <c r="H76" s="46">
        <v>0.24</v>
      </c>
      <c r="I76" s="47">
        <v>0.88</v>
      </c>
      <c r="J76" s="88">
        <f>E76*G76*(1-H76)*1440/1000000*2.77</f>
        <v>61.8423552</v>
      </c>
      <c r="K76" s="88">
        <f>(IF(G76&lt;L76,L76,G76)*(1-IF(H76&lt;N76,H76,N76))*E76*O76*Q76)/100000000</f>
        <v>26.860679999999999</v>
      </c>
      <c r="L76" s="37">
        <v>1540</v>
      </c>
      <c r="M76" s="37">
        <f t="shared" ref="M76" si="25">+L76-L76*0.24</f>
        <v>1170.4000000000001</v>
      </c>
      <c r="N76" s="48">
        <f>1-(M76/L76)</f>
        <v>0.24</v>
      </c>
      <c r="O76" s="49">
        <f>+'Trim Rwd'!H70</f>
        <v>262.5</v>
      </c>
      <c r="P76" s="50">
        <f>O76*(Q76-R76-S76)</f>
        <v>169837.5</v>
      </c>
      <c r="Q76" s="49">
        <v>660</v>
      </c>
      <c r="R76" s="417">
        <v>0</v>
      </c>
      <c r="S76" s="417">
        <v>13</v>
      </c>
      <c r="T76" s="39">
        <f>E76*M76*O76*Q76/100000000</f>
        <v>24.332616000000005</v>
      </c>
      <c r="U76" s="39">
        <f>E76*M76*O76*(Q76-R76-S76)/100000000</f>
        <v>23.853337200000006</v>
      </c>
      <c r="V76" s="39">
        <f>E76*G76*(1-N76)*O76/100*(R76+S76)/1000000</f>
        <v>0.52907400000000004</v>
      </c>
      <c r="W76" s="39">
        <f>+'15'!K14/1000</f>
        <v>18.481999999999999</v>
      </c>
      <c r="X76" s="40"/>
      <c r="Y76" s="220"/>
      <c r="Z76" s="39">
        <f>+'15'!D17/1000</f>
        <v>0.254</v>
      </c>
      <c r="AA76" s="39"/>
      <c r="AB76" s="39"/>
      <c r="AC76" s="39">
        <f>K76-T76</f>
        <v>2.5280639999999934</v>
      </c>
      <c r="AD76" s="39">
        <f>+AM76+BA76</f>
        <v>13</v>
      </c>
      <c r="AE76" s="238" t="s">
        <v>700</v>
      </c>
      <c r="AF76" s="39"/>
      <c r="AG76" s="39">
        <v>13</v>
      </c>
      <c r="AH76" s="39"/>
      <c r="AI76" s="455"/>
      <c r="AJ76" s="39"/>
      <c r="AK76" s="39"/>
      <c r="AL76" s="39"/>
      <c r="AM76" s="39">
        <f>SUM(AF76:AL76)+AT76+AV76+AX76</f>
        <v>13</v>
      </c>
      <c r="AN76" s="89"/>
      <c r="AO76" s="39"/>
      <c r="AP76" s="39"/>
      <c r="AQ76" s="39"/>
      <c r="AR76" s="39">
        <f>SUM(AN76:AQ76)</f>
        <v>0</v>
      </c>
      <c r="AS76" s="39"/>
      <c r="AT76" s="39"/>
      <c r="AU76" s="39"/>
      <c r="AV76" s="39"/>
      <c r="AW76" s="39"/>
      <c r="AX76" s="39"/>
      <c r="AY76" s="39"/>
      <c r="AZ76" s="39"/>
      <c r="BA76" s="39">
        <f>+AR76+AS76+AU76+AW76+AY76+AZ76</f>
        <v>0</v>
      </c>
      <c r="BB76" s="52"/>
      <c r="BC76" s="53">
        <v>12</v>
      </c>
      <c r="BD76" s="53"/>
      <c r="BE76" s="52"/>
      <c r="BF76" s="53"/>
    </row>
    <row r="77" spans="1:58" ht="12.95" customHeight="1">
      <c r="A77" s="42"/>
      <c r="B77" s="43"/>
      <c r="C77" s="447"/>
      <c r="D77" s="43"/>
      <c r="E77" s="44"/>
      <c r="F77" s="44"/>
      <c r="G77" s="45"/>
      <c r="H77" s="46"/>
      <c r="I77" s="47"/>
      <c r="J77" s="88"/>
      <c r="K77" s="88"/>
      <c r="L77" s="37"/>
      <c r="M77" s="37"/>
      <c r="N77" s="48"/>
      <c r="O77" s="49"/>
      <c r="P77" s="50"/>
      <c r="Q77" s="49"/>
      <c r="R77" s="417"/>
      <c r="S77" s="417"/>
      <c r="T77" s="39"/>
      <c r="U77" s="39"/>
      <c r="V77" s="39"/>
      <c r="W77" s="39"/>
      <c r="X77" s="40"/>
      <c r="Y77" s="220"/>
      <c r="Z77" s="39"/>
      <c r="AA77" s="39"/>
      <c r="AB77" s="39"/>
      <c r="AC77" s="39"/>
      <c r="AD77" s="39">
        <f>+AM77+BA77</f>
        <v>36</v>
      </c>
      <c r="AE77" s="238" t="s">
        <v>651</v>
      </c>
      <c r="AF77" s="35"/>
      <c r="AG77" s="35"/>
      <c r="AH77" s="35">
        <v>36</v>
      </c>
      <c r="AI77" s="455"/>
      <c r="AJ77" s="39"/>
      <c r="AK77" s="39"/>
      <c r="AL77" s="39"/>
      <c r="AM77" s="39">
        <f>SUM(AF77:AL77)+AT77+AV77+AX77</f>
        <v>36</v>
      </c>
      <c r="AN77" s="39"/>
      <c r="AO77" s="39"/>
      <c r="AP77" s="39"/>
      <c r="AQ77" s="39"/>
      <c r="AR77" s="39">
        <f>SUM(AN77:AQ77)</f>
        <v>0</v>
      </c>
      <c r="AS77" s="39"/>
      <c r="AT77" s="39"/>
      <c r="AU77" s="39"/>
      <c r="AV77" s="39"/>
      <c r="AW77" s="39"/>
      <c r="AX77" s="39"/>
      <c r="AY77" s="39"/>
      <c r="AZ77" s="39"/>
      <c r="BA77" s="39">
        <f>+AR77+AS77+AU77+AW77+AY77+AZ77</f>
        <v>0</v>
      </c>
      <c r="BB77" s="35"/>
      <c r="BC77" s="55"/>
      <c r="BD77" s="55"/>
      <c r="BE77" s="35"/>
      <c r="BF77" s="55"/>
    </row>
    <row r="78" spans="1:58" ht="12.95" customHeight="1">
      <c r="A78" s="42"/>
      <c r="B78" s="43"/>
      <c r="C78" s="447"/>
      <c r="D78" s="43"/>
      <c r="E78" s="44"/>
      <c r="F78" s="44"/>
      <c r="G78" s="45"/>
      <c r="H78" s="46"/>
      <c r="I78" s="47"/>
      <c r="J78" s="88"/>
      <c r="K78" s="88"/>
      <c r="L78" s="37"/>
      <c r="M78" s="37"/>
      <c r="N78" s="48"/>
      <c r="O78" s="49"/>
      <c r="P78" s="50"/>
      <c r="Q78" s="49"/>
      <c r="R78" s="417"/>
      <c r="S78" s="417"/>
      <c r="T78" s="39"/>
      <c r="U78" s="39"/>
      <c r="V78" s="39"/>
      <c r="W78" s="39"/>
      <c r="X78" s="40"/>
      <c r="Y78" s="220"/>
      <c r="Z78" s="39"/>
      <c r="AA78" s="39"/>
      <c r="AB78" s="39"/>
      <c r="AC78" s="39"/>
      <c r="AD78" s="39"/>
      <c r="AE78" s="238"/>
      <c r="AF78" s="35"/>
      <c r="AG78" s="35"/>
      <c r="AH78" s="35"/>
      <c r="AI78" s="455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5"/>
      <c r="BC78" s="55"/>
      <c r="BD78" s="55"/>
      <c r="BE78" s="35"/>
      <c r="BF78" s="55"/>
    </row>
    <row r="79" spans="1:58" ht="12.95" customHeight="1">
      <c r="A79" s="42">
        <v>45977</v>
      </c>
      <c r="B79" s="43" t="s">
        <v>517</v>
      </c>
      <c r="C79" s="447">
        <f>(M79*E79*O79*Q79)/100000000</f>
        <v>6.0831540000000013</v>
      </c>
      <c r="D79" s="43" t="s">
        <v>489</v>
      </c>
      <c r="E79" s="44">
        <v>12</v>
      </c>
      <c r="F79" s="44">
        <v>1</v>
      </c>
      <c r="G79" s="459">
        <v>1700</v>
      </c>
      <c r="H79" s="46">
        <v>0.24</v>
      </c>
      <c r="I79" s="47">
        <v>0.88</v>
      </c>
      <c r="J79" s="88">
        <f>E79*G79*(1-H79)*1440/1000000*2.77</f>
        <v>61.8423552</v>
      </c>
      <c r="K79" s="88">
        <f>(IF(G79&lt;L79,L79,G79)*(1-IF(H79&lt;N79,H79,N79))*E79*O79*Q79)/100000000</f>
        <v>6.7151699999999996</v>
      </c>
      <c r="L79" s="37">
        <v>1540</v>
      </c>
      <c r="M79" s="37">
        <f t="shared" ref="M79:M80" si="26">+L79-L79*0.24</f>
        <v>1170.4000000000001</v>
      </c>
      <c r="N79" s="48">
        <f>1-(M79/L79)</f>
        <v>0.24</v>
      </c>
      <c r="O79" s="49">
        <f>+'Trim Rwd'!H72</f>
        <v>262.5</v>
      </c>
      <c r="P79" s="50">
        <f>O79*(Q79-R79-S79)</f>
        <v>42525</v>
      </c>
      <c r="Q79" s="49">
        <v>165</v>
      </c>
      <c r="R79" s="417">
        <v>0</v>
      </c>
      <c r="S79" s="417">
        <v>3</v>
      </c>
      <c r="T79" s="39">
        <f>E79*M79*O79*Q79/100000000</f>
        <v>6.0831540000000013</v>
      </c>
      <c r="U79" s="39">
        <f>E79*M79*O79*(Q79-R79-S79)/100000000</f>
        <v>5.9725512000000016</v>
      </c>
      <c r="V79" s="39">
        <f>E79*G79*(1-N79)*O79/100*(R79+S79)/1000000</f>
        <v>0.12209399999999999</v>
      </c>
      <c r="W79" s="39">
        <f>+'16'!K14/1000</f>
        <v>10.789</v>
      </c>
      <c r="X79" s="414">
        <f>SUM(W79:W82)/SUM(K79:K82)</f>
        <v>0.85703249220818689</v>
      </c>
      <c r="Y79" s="220">
        <v>0</v>
      </c>
      <c r="Z79" s="39">
        <f>+'16'!D7/1000</f>
        <v>0.27</v>
      </c>
      <c r="AA79" s="51">
        <f>SUM(U79:U82)-SUM(W79:W82)-SUM(Z79:Z82)-SUM(Y79:Y82)</f>
        <v>2.0269671999999974</v>
      </c>
      <c r="AB79" s="51">
        <f>(SUM(K79:K82)-SUM(W79:W82)-SUM(Y79:Y82)-SUM(Z79:Z82)-SUM(AC79:AC82)-SUM(V79:V82))-AA79</f>
        <v>-0.11361088000000419</v>
      </c>
      <c r="AC79" s="39">
        <f>K79-T79</f>
        <v>0.63201599999999836</v>
      </c>
      <c r="AD79" s="39">
        <f>+AM79+BA79</f>
        <v>0</v>
      </c>
      <c r="AE79" s="238" t="s">
        <v>434</v>
      </c>
      <c r="AF79" s="39">
        <v>0</v>
      </c>
      <c r="AG79" s="39"/>
      <c r="AH79" s="39"/>
      <c r="AI79" s="455"/>
      <c r="AJ79" s="39"/>
      <c r="AK79" s="39"/>
      <c r="AL79" s="39"/>
      <c r="AM79" s="39">
        <f>SUM(AF79:AL79)+AT79+AV79+AX79</f>
        <v>0</v>
      </c>
      <c r="AN79" s="39"/>
      <c r="AO79" s="39"/>
      <c r="AP79" s="39"/>
      <c r="AQ79" s="39"/>
      <c r="AR79" s="39">
        <f>SUM(AN79:AQ79)</f>
        <v>0</v>
      </c>
      <c r="AS79" s="39"/>
      <c r="AT79" s="39"/>
      <c r="AU79" s="39"/>
      <c r="AV79" s="39"/>
      <c r="AW79" s="39"/>
      <c r="AX79" s="39"/>
      <c r="AY79" s="39"/>
      <c r="AZ79" s="39"/>
      <c r="BA79" s="39">
        <f>+AR79+AS79+AU79+AW79+AY79+AZ79</f>
        <v>0</v>
      </c>
      <c r="BB79" s="35">
        <v>0</v>
      </c>
      <c r="BC79" s="53"/>
      <c r="BD79" s="53"/>
      <c r="BE79" s="35"/>
      <c r="BF79" s="53"/>
    </row>
    <row r="80" spans="1:58" ht="12.95" customHeight="1">
      <c r="A80" s="343"/>
      <c r="B80" s="43" t="s">
        <v>517</v>
      </c>
      <c r="C80" s="447">
        <f>(M80*E80*O80*Q80)/100000000</f>
        <v>53.04042432</v>
      </c>
      <c r="D80" s="43" t="s">
        <v>489</v>
      </c>
      <c r="E80" s="44">
        <v>13</v>
      </c>
      <c r="F80" s="44">
        <v>1</v>
      </c>
      <c r="G80" s="459">
        <v>1700</v>
      </c>
      <c r="H80" s="46">
        <v>0.24</v>
      </c>
      <c r="I80" s="47">
        <v>0.88</v>
      </c>
      <c r="J80" s="88">
        <f>E80*G80*(1-H80)*1440/1000000*2.77</f>
        <v>66.995884799999999</v>
      </c>
      <c r="K80" s="88">
        <f>(IF(G80&lt;L80,L80,G80)*(1-IF(H80&lt;N80,H80,N80))*E80*O80*Q80)/100000000</f>
        <v>58.248528</v>
      </c>
      <c r="L80" s="37">
        <v>1548</v>
      </c>
      <c r="M80" s="37">
        <f t="shared" si="26"/>
        <v>1176.48</v>
      </c>
      <c r="N80" s="48">
        <f>1-(M80/L80)</f>
        <v>0.24</v>
      </c>
      <c r="O80" s="49">
        <f>+'Trim Rwd'!H73</f>
        <v>272</v>
      </c>
      <c r="P80" s="50">
        <f>O80*(Q80-R80-S80)</f>
        <v>340000</v>
      </c>
      <c r="Q80" s="49">
        <v>1275</v>
      </c>
      <c r="R80" s="417">
        <v>0</v>
      </c>
      <c r="S80" s="417">
        <v>25</v>
      </c>
      <c r="T80" s="39">
        <f>E80*M80*O80*Q80/100000000</f>
        <v>53.04042432</v>
      </c>
      <c r="U80" s="39">
        <f>E80*M80*O80*(Q80-R80-S80)/100000000</f>
        <v>52.000416000000001</v>
      </c>
      <c r="V80" s="39">
        <f>E80*G80*(1-N80)*O80/100*(R80+S80)/1000000</f>
        <v>1.142128</v>
      </c>
      <c r="W80" s="39">
        <f>+'16'!K15/1000</f>
        <v>44.887</v>
      </c>
      <c r="X80" s="40"/>
      <c r="Y80" s="220"/>
      <c r="Z80" s="39">
        <v>0</v>
      </c>
      <c r="AA80" s="39"/>
      <c r="AB80" s="39"/>
      <c r="AC80" s="39">
        <f>K80-T80</f>
        <v>5.2081036800000007</v>
      </c>
      <c r="AD80" s="39">
        <f>+AM80+BA80</f>
        <v>13</v>
      </c>
      <c r="AE80" s="238" t="s">
        <v>701</v>
      </c>
      <c r="AF80" s="39"/>
      <c r="AG80" s="39">
        <v>13</v>
      </c>
      <c r="AH80" s="39"/>
      <c r="AI80" s="455"/>
      <c r="AJ80" s="39"/>
      <c r="AK80" s="39"/>
      <c r="AL80" s="39"/>
      <c r="AM80" s="39">
        <f>SUM(AF80:AL80)+AT80+AV80+AX80</f>
        <v>13</v>
      </c>
      <c r="AN80" s="89"/>
      <c r="AO80" s="39"/>
      <c r="AP80" s="39"/>
      <c r="AQ80" s="39"/>
      <c r="AR80" s="39">
        <f>SUM(AN80:AQ80)</f>
        <v>0</v>
      </c>
      <c r="AS80" s="39"/>
      <c r="AT80" s="39"/>
      <c r="AU80" s="39"/>
      <c r="AV80" s="39"/>
      <c r="AW80" s="39"/>
      <c r="AX80" s="39"/>
      <c r="AY80" s="39"/>
      <c r="AZ80" s="39"/>
      <c r="BA80" s="39">
        <f>+AR80+AS80+AU80+AW80+AY80+AZ80</f>
        <v>0</v>
      </c>
      <c r="BB80" s="52"/>
      <c r="BC80" s="53">
        <v>14</v>
      </c>
      <c r="BD80" s="53"/>
      <c r="BE80" s="52"/>
      <c r="BF80" s="53"/>
    </row>
    <row r="81" spans="1:58" ht="12.95" customHeight="1">
      <c r="A81" s="42"/>
      <c r="B81" s="43"/>
      <c r="C81" s="447"/>
      <c r="D81" s="43"/>
      <c r="E81" s="44"/>
      <c r="F81" s="44"/>
      <c r="G81" s="45"/>
      <c r="H81" s="46"/>
      <c r="I81" s="47"/>
      <c r="J81" s="88"/>
      <c r="K81" s="88"/>
      <c r="L81" s="37"/>
      <c r="M81" s="37"/>
      <c r="N81" s="48"/>
      <c r="O81" s="49"/>
      <c r="P81" s="50"/>
      <c r="Q81" s="49"/>
      <c r="R81" s="417"/>
      <c r="S81" s="417"/>
      <c r="T81" s="39"/>
      <c r="U81" s="39"/>
      <c r="V81" s="39"/>
      <c r="W81" s="39"/>
      <c r="X81" s="40"/>
      <c r="Y81" s="220"/>
      <c r="Z81" s="39"/>
      <c r="AA81" s="39"/>
      <c r="AB81" s="39"/>
      <c r="AC81" s="39"/>
      <c r="AD81" s="39">
        <f>+AM81+BA81</f>
        <v>15</v>
      </c>
      <c r="AE81" s="238" t="s">
        <v>444</v>
      </c>
      <c r="AF81" s="35"/>
      <c r="AG81" s="35"/>
      <c r="AH81" s="35">
        <v>15</v>
      </c>
      <c r="AI81" s="455"/>
      <c r="AJ81" s="39"/>
      <c r="AK81" s="39"/>
      <c r="AL81" s="39"/>
      <c r="AM81" s="39">
        <f>SUM(AF81:AL81)+AT81+AV81+AX81</f>
        <v>15</v>
      </c>
      <c r="AN81" s="39"/>
      <c r="AO81" s="39"/>
      <c r="AP81" s="39"/>
      <c r="AQ81" s="39"/>
      <c r="AR81" s="39">
        <f>SUM(AN81:AQ81)</f>
        <v>0</v>
      </c>
      <c r="AS81" s="39"/>
      <c r="AT81" s="39"/>
      <c r="AU81" s="39"/>
      <c r="AV81" s="39"/>
      <c r="AW81" s="39"/>
      <c r="AX81" s="39"/>
      <c r="AY81" s="39"/>
      <c r="AZ81" s="39"/>
      <c r="BA81" s="39">
        <f>+AR81+AS81+AU81+AW81+AY81+AZ81</f>
        <v>0</v>
      </c>
      <c r="BB81" s="35"/>
      <c r="BC81" s="55"/>
      <c r="BD81" s="55"/>
      <c r="BE81" s="35"/>
      <c r="BF81" s="55"/>
    </row>
    <row r="82" spans="1:58" ht="12.95" customHeight="1">
      <c r="A82" s="42"/>
      <c r="B82" s="43"/>
      <c r="C82" s="447"/>
      <c r="D82" s="43"/>
      <c r="E82" s="44"/>
      <c r="F82" s="44"/>
      <c r="G82" s="459"/>
      <c r="H82" s="46"/>
      <c r="I82" s="47"/>
      <c r="J82" s="88"/>
      <c r="K82" s="88"/>
      <c r="L82" s="37"/>
      <c r="M82" s="37"/>
      <c r="N82" s="48"/>
      <c r="O82" s="49"/>
      <c r="P82" s="50"/>
      <c r="Q82" s="49"/>
      <c r="R82" s="417"/>
      <c r="S82" s="417"/>
      <c r="T82" s="39"/>
      <c r="U82" s="39"/>
      <c r="V82" s="39"/>
      <c r="W82" s="39"/>
      <c r="X82" s="40"/>
      <c r="Y82" s="220"/>
      <c r="Z82" s="39"/>
      <c r="AA82" s="39"/>
      <c r="AB82" s="39"/>
      <c r="AC82" s="39"/>
      <c r="AD82" s="39"/>
      <c r="AE82" s="238"/>
      <c r="AF82" s="35"/>
      <c r="AG82" s="35"/>
      <c r="AH82" s="35"/>
      <c r="AI82" s="455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5"/>
      <c r="BC82" s="55"/>
      <c r="BD82" s="55"/>
      <c r="BE82" s="35"/>
      <c r="BF82" s="55"/>
    </row>
    <row r="83" spans="1:58" ht="12.95" customHeight="1">
      <c r="A83" s="42">
        <v>45978</v>
      </c>
      <c r="B83" s="43" t="s">
        <v>517</v>
      </c>
      <c r="C83" s="447">
        <f>(M83*E83*O83*Q83)/100000000</f>
        <v>27.908233599999999</v>
      </c>
      <c r="D83" s="43" t="s">
        <v>489</v>
      </c>
      <c r="E83" s="44">
        <v>13</v>
      </c>
      <c r="F83" s="44">
        <v>1</v>
      </c>
      <c r="G83" s="459">
        <v>1700</v>
      </c>
      <c r="H83" s="46">
        <v>0.24</v>
      </c>
      <c r="I83" s="47">
        <v>0.88</v>
      </c>
      <c r="J83" s="88">
        <f>E83*G83*(1-H83)*1440/1000000*2.77</f>
        <v>66.995884799999999</v>
      </c>
      <c r="K83" s="88">
        <f>(IF(G83&lt;L83,L83,G83)*(1-IF(H83&lt;N83,H83,N83))*E83*O83*Q83)/100000000</f>
        <v>30.609030400000002</v>
      </c>
      <c r="L83" s="37">
        <v>1550</v>
      </c>
      <c r="M83" s="37">
        <v>1178</v>
      </c>
      <c r="N83" s="48">
        <f>1-(M83/L83)</f>
        <v>0.24</v>
      </c>
      <c r="O83" s="49">
        <f>+'Trim Rwd'!H75</f>
        <v>272</v>
      </c>
      <c r="P83" s="50">
        <f>O83*(Q83-R83-S83)</f>
        <v>119680</v>
      </c>
      <c r="Q83" s="49">
        <f>471+199</f>
        <v>670</v>
      </c>
      <c r="R83" s="417">
        <v>199</v>
      </c>
      <c r="S83" s="417">
        <v>31</v>
      </c>
      <c r="T83" s="39">
        <f>E83*M83*O83*Q83/100000000</f>
        <v>27.908233599999999</v>
      </c>
      <c r="U83" s="39">
        <f>E83*M83*O83*(Q83-R83-S83)/100000000</f>
        <v>18.327795200000001</v>
      </c>
      <c r="V83" s="39">
        <f>E83*G83*(1-N83)*O83/100*(R83+S83)/1000000</f>
        <v>10.507577600000001</v>
      </c>
      <c r="W83" s="39">
        <f>+'17'!K15/1000</f>
        <v>21.670999999999999</v>
      </c>
      <c r="X83" s="414">
        <f>SUM(W83:W86)/SUM(K83:K86)</f>
        <v>0.7280433272742024</v>
      </c>
      <c r="Y83" s="220">
        <v>0</v>
      </c>
      <c r="Z83" s="39">
        <f>+'17'!D7/1000</f>
        <v>0.8</v>
      </c>
      <c r="AA83" s="51">
        <f>SUM(U83:U86)-SUM(W83:W86)-SUM(Z83:Z86)-SUM(Y83:Y86)</f>
        <v>-0.28510800853754192</v>
      </c>
      <c r="AB83" s="51">
        <f>(SUM(K83:K86)-SUM(W83:W86)-SUM(Y83:Y86)-SUM(Z83:Z86)-SUM(AC83:AC86)-SUM(V83:V86))-AA83</f>
        <v>-1.030612196679852</v>
      </c>
      <c r="AC83" s="39">
        <f>K83-T83</f>
        <v>2.7007968000000027</v>
      </c>
      <c r="AD83" s="39">
        <f>+AM83+BA83</f>
        <v>15</v>
      </c>
      <c r="AE83" s="238" t="s">
        <v>721</v>
      </c>
      <c r="AF83" s="39">
        <v>15</v>
      </c>
      <c r="AG83" s="39"/>
      <c r="AH83" s="39"/>
      <c r="AI83" s="455"/>
      <c r="AJ83" s="39"/>
      <c r="AK83" s="39"/>
      <c r="AL83" s="39"/>
      <c r="AM83" s="39">
        <f>SUM(AF83:AL83)+AT83+AV83+AX83</f>
        <v>15</v>
      </c>
      <c r="AN83" s="39"/>
      <c r="AO83" s="39"/>
      <c r="AP83" s="39"/>
      <c r="AQ83" s="39"/>
      <c r="AR83" s="39">
        <f>SUM(AN83:AQ83)</f>
        <v>0</v>
      </c>
      <c r="AS83" s="39"/>
      <c r="AT83" s="39"/>
      <c r="AU83" s="39"/>
      <c r="AV83" s="39"/>
      <c r="AW83" s="39"/>
      <c r="AX83" s="39"/>
      <c r="AY83" s="39"/>
      <c r="AZ83" s="39"/>
      <c r="BA83" s="39">
        <f>+AR83+AS83+AU83+AW83+AY83+AZ83</f>
        <v>0</v>
      </c>
      <c r="BB83" s="35">
        <v>3</v>
      </c>
      <c r="BC83" s="53"/>
      <c r="BD83" s="53"/>
      <c r="BE83" s="35"/>
      <c r="BF83" s="53"/>
    </row>
    <row r="84" spans="1:58" ht="12.95" customHeight="1">
      <c r="A84" s="343"/>
      <c r="B84" s="43" t="s">
        <v>517</v>
      </c>
      <c r="C84" s="447">
        <f>(M84*E84*O84*Q84)/100000000</f>
        <v>29.289434733913044</v>
      </c>
      <c r="D84" s="43" t="s">
        <v>489</v>
      </c>
      <c r="E84" s="44">
        <v>12</v>
      </c>
      <c r="F84" s="44">
        <v>1</v>
      </c>
      <c r="G84" s="459">
        <v>1700</v>
      </c>
      <c r="H84" s="46">
        <v>0.24</v>
      </c>
      <c r="I84" s="47">
        <v>0.88</v>
      </c>
      <c r="J84" s="88">
        <f>E84*G84*(1-H84)*1440/1000000*2.77</f>
        <v>61.8423552</v>
      </c>
      <c r="K84" s="88">
        <f>(IF(G84&lt;L84,L84,G84)*(1-IF(H84&lt;N84,H84,N84))*E84*O84*Q84)/100000000</f>
        <v>31.565840660869565</v>
      </c>
      <c r="L84" s="37">
        <v>1577.4025974025974</v>
      </c>
      <c r="M84" s="37">
        <v>1198.8259740259741</v>
      </c>
      <c r="N84" s="48">
        <f>1-(M84/L84)</f>
        <v>0.24</v>
      </c>
      <c r="O84" s="49">
        <f>+'Trim Rwd'!H76</f>
        <v>264.41304347826087</v>
      </c>
      <c r="P84" s="50">
        <f>O84*(Q84-R84-S84)</f>
        <v>194343.58695652173</v>
      </c>
      <c r="Q84" s="49">
        <v>770</v>
      </c>
      <c r="R84" s="417">
        <v>0</v>
      </c>
      <c r="S84" s="417">
        <v>35</v>
      </c>
      <c r="T84" s="39">
        <f>E84*M84*O84*Q84/100000000</f>
        <v>29.289434733913044</v>
      </c>
      <c r="U84" s="39">
        <f>E84*M84*O84*(Q84-R84-S84)/100000000</f>
        <v>27.958096791462456</v>
      </c>
      <c r="V84" s="39">
        <f>E84*G84*(1-N84)*O84/100*(R84+S84)/1000000</f>
        <v>1.4348109391304347</v>
      </c>
      <c r="W84" s="39">
        <f>+'17'!K14/1000</f>
        <v>23.594999999999999</v>
      </c>
      <c r="X84" s="40"/>
      <c r="Y84" s="220"/>
      <c r="Z84" s="39">
        <f>+('17'!D17+'17'!D25)/1000</f>
        <v>0.505</v>
      </c>
      <c r="AA84" s="39"/>
      <c r="AB84" s="39"/>
      <c r="AC84" s="39">
        <f>K84-T84</f>
        <v>2.2764059269565209</v>
      </c>
      <c r="AD84" s="39">
        <f>+AM84+BA84</f>
        <v>16</v>
      </c>
      <c r="AE84" s="238" t="s">
        <v>592</v>
      </c>
      <c r="AF84" s="39"/>
      <c r="AG84" s="39">
        <v>16</v>
      </c>
      <c r="AH84" s="39"/>
      <c r="AI84" s="455"/>
      <c r="AJ84" s="39"/>
      <c r="AK84" s="39"/>
      <c r="AL84" s="39"/>
      <c r="AM84" s="39">
        <f>SUM(AF84:AL84)+AT84+AV84+AX84</f>
        <v>16</v>
      </c>
      <c r="AN84" s="89"/>
      <c r="AO84" s="39"/>
      <c r="AP84" s="39"/>
      <c r="AQ84" s="39"/>
      <c r="AR84" s="39">
        <f>SUM(AN84:AQ84)</f>
        <v>0</v>
      </c>
      <c r="AS84" s="39"/>
      <c r="AT84" s="39"/>
      <c r="AU84" s="39"/>
      <c r="AV84" s="39"/>
      <c r="AW84" s="39"/>
      <c r="AX84" s="39"/>
      <c r="AY84" s="39"/>
      <c r="AZ84" s="39"/>
      <c r="BA84" s="39">
        <f>+AR84+AS84+AU84+AW84+AY84+AZ84</f>
        <v>0</v>
      </c>
      <c r="BB84" s="52"/>
      <c r="BC84" s="53">
        <v>11</v>
      </c>
      <c r="BD84" s="53"/>
      <c r="BE84" s="52"/>
      <c r="BF84" s="53"/>
    </row>
    <row r="85" spans="1:58" ht="12.95" customHeight="1">
      <c r="A85" s="42"/>
      <c r="B85" s="43"/>
      <c r="C85" s="447"/>
      <c r="D85" s="43"/>
      <c r="E85" s="44"/>
      <c r="F85" s="44"/>
      <c r="G85" s="45"/>
      <c r="H85" s="46"/>
      <c r="I85" s="47"/>
      <c r="J85" s="88"/>
      <c r="K85" s="88"/>
      <c r="L85" s="37"/>
      <c r="M85" s="37"/>
      <c r="N85" s="48"/>
      <c r="O85" s="49"/>
      <c r="P85" s="50"/>
      <c r="Q85" s="49"/>
      <c r="R85" s="417"/>
      <c r="S85" s="417"/>
      <c r="T85" s="39"/>
      <c r="U85" s="39"/>
      <c r="V85" s="39"/>
      <c r="W85" s="39"/>
      <c r="X85" s="40"/>
      <c r="Y85" s="220"/>
      <c r="Z85" s="39"/>
      <c r="AA85" s="39"/>
      <c r="AB85" s="39"/>
      <c r="AC85" s="39"/>
      <c r="AD85" s="39">
        <f>+AM85+BA85</f>
        <v>30</v>
      </c>
      <c r="AE85" s="238" t="s">
        <v>722</v>
      </c>
      <c r="AF85" s="35"/>
      <c r="AG85" s="35"/>
      <c r="AH85" s="35">
        <v>30</v>
      </c>
      <c r="AI85" s="455"/>
      <c r="AJ85" s="39"/>
      <c r="AK85" s="39"/>
      <c r="AL85" s="39"/>
      <c r="AM85" s="39">
        <f>SUM(AF85:AL85)+AT85+AV85+AX85</f>
        <v>30</v>
      </c>
      <c r="AN85" s="39"/>
      <c r="AO85" s="39"/>
      <c r="AP85" s="39"/>
      <c r="AQ85" s="39"/>
      <c r="AR85" s="39">
        <f>SUM(AN85:AQ85)</f>
        <v>0</v>
      </c>
      <c r="AS85" s="39"/>
      <c r="AT85" s="39"/>
      <c r="AU85" s="39"/>
      <c r="AV85" s="39"/>
      <c r="AW85" s="39"/>
      <c r="AX85" s="39"/>
      <c r="AY85" s="39"/>
      <c r="AZ85" s="39"/>
      <c r="BA85" s="39">
        <f>+AR85+AS85+AU85+AW85+AY85+AZ85</f>
        <v>0</v>
      </c>
      <c r="BB85" s="35"/>
      <c r="BC85" s="55"/>
      <c r="BD85" s="55"/>
      <c r="BE85" s="35"/>
      <c r="BF85" s="55"/>
    </row>
    <row r="86" spans="1:58" ht="12.95" customHeight="1">
      <c r="A86" s="42"/>
      <c r="B86" s="43"/>
      <c r="C86" s="447"/>
      <c r="D86" s="43"/>
      <c r="E86" s="44"/>
      <c r="F86" s="44"/>
      <c r="G86" s="45"/>
      <c r="H86" s="46"/>
      <c r="I86" s="47"/>
      <c r="J86" s="88"/>
      <c r="K86" s="88"/>
      <c r="L86" s="37"/>
      <c r="M86" s="37"/>
      <c r="N86" s="48"/>
      <c r="O86" s="49"/>
      <c r="P86" s="50"/>
      <c r="Q86" s="49"/>
      <c r="R86" s="417"/>
      <c r="S86" s="417"/>
      <c r="T86" s="39"/>
      <c r="U86" s="39"/>
      <c r="V86" s="39"/>
      <c r="W86" s="39"/>
      <c r="X86" s="40"/>
      <c r="Y86" s="220"/>
      <c r="Z86" s="39"/>
      <c r="AA86" s="39"/>
      <c r="AB86" s="39"/>
      <c r="AC86" s="39"/>
      <c r="AD86" s="39">
        <f>+AM86+BA86</f>
        <v>5</v>
      </c>
      <c r="AE86" s="241" t="s">
        <v>415</v>
      </c>
      <c r="AF86" s="35"/>
      <c r="AG86" s="35"/>
      <c r="AH86" s="35"/>
      <c r="AI86" s="455">
        <v>5</v>
      </c>
      <c r="AJ86" s="39"/>
      <c r="AK86" s="39"/>
      <c r="AL86" s="39"/>
      <c r="AM86" s="39">
        <f>SUM(AF86:AL86)+AT86+AV86+AX86</f>
        <v>5</v>
      </c>
      <c r="AN86" s="39"/>
      <c r="AO86" s="39"/>
      <c r="AP86" s="39"/>
      <c r="AQ86" s="39"/>
      <c r="AR86" s="39">
        <f>SUM(AN86:AQ86)</f>
        <v>0</v>
      </c>
      <c r="AS86" s="39"/>
      <c r="AT86" s="39"/>
      <c r="AU86" s="39"/>
      <c r="AV86" s="39"/>
      <c r="AW86" s="39"/>
      <c r="AX86" s="39"/>
      <c r="AY86" s="39"/>
      <c r="AZ86" s="39"/>
      <c r="BA86" s="39">
        <f>+AR86+AS86+AU86+AW86+AY86+AZ86</f>
        <v>0</v>
      </c>
      <c r="BB86" s="35"/>
      <c r="BC86" s="55"/>
      <c r="BD86" s="55"/>
      <c r="BE86" s="35"/>
      <c r="BF86" s="55"/>
    </row>
    <row r="87" spans="1:58" ht="12.95" customHeight="1">
      <c r="A87" s="42"/>
      <c r="B87" s="43"/>
      <c r="C87" s="447"/>
      <c r="D87" s="43"/>
      <c r="E87" s="44"/>
      <c r="F87" s="44"/>
      <c r="G87" s="459"/>
      <c r="H87" s="46"/>
      <c r="I87" s="47"/>
      <c r="J87" s="88"/>
      <c r="K87" s="88"/>
      <c r="L87" s="37"/>
      <c r="M87" s="37"/>
      <c r="N87" s="48"/>
      <c r="O87" s="49"/>
      <c r="P87" s="50"/>
      <c r="Q87" s="49"/>
      <c r="R87" s="417"/>
      <c r="S87" s="417"/>
      <c r="T87" s="39"/>
      <c r="U87" s="39"/>
      <c r="V87" s="39"/>
      <c r="W87" s="39"/>
      <c r="X87" s="40"/>
      <c r="Y87" s="220"/>
      <c r="Z87" s="39"/>
      <c r="AA87" s="39"/>
      <c r="AB87" s="39"/>
      <c r="AC87" s="39"/>
      <c r="AD87" s="39">
        <f>+AM87+BA87</f>
        <v>199</v>
      </c>
      <c r="AE87" s="241" t="s">
        <v>707</v>
      </c>
      <c r="AF87" s="35"/>
      <c r="AG87" s="35"/>
      <c r="AH87" s="35"/>
      <c r="AI87" s="455"/>
      <c r="AJ87" s="39"/>
      <c r="AK87" s="39"/>
      <c r="AL87" s="39"/>
      <c r="AM87" s="39">
        <f>SUM(AF87:AL87)+AT87+AV87+AX87</f>
        <v>0</v>
      </c>
      <c r="AN87" s="39"/>
      <c r="AO87" s="39"/>
      <c r="AP87" s="39"/>
      <c r="AQ87" s="39"/>
      <c r="AR87" s="39">
        <f>SUM(AN87:AQ87)</f>
        <v>0</v>
      </c>
      <c r="AS87" s="39">
        <v>199</v>
      </c>
      <c r="AT87" s="39"/>
      <c r="AU87" s="39"/>
      <c r="AV87" s="39"/>
      <c r="AW87" s="39"/>
      <c r="AX87" s="39"/>
      <c r="AY87" s="39"/>
      <c r="AZ87" s="39"/>
      <c r="BA87" s="39">
        <f>+AR87+AS87+AU87+AW87+AY87+AZ87</f>
        <v>199</v>
      </c>
      <c r="BB87" s="35"/>
      <c r="BC87" s="55"/>
      <c r="BD87" s="55"/>
      <c r="BE87" s="35"/>
      <c r="BF87" s="55"/>
    </row>
    <row r="88" spans="1:58" ht="12.95" customHeight="1">
      <c r="A88" s="343"/>
      <c r="B88" s="43"/>
      <c r="C88" s="447"/>
      <c r="D88" s="43"/>
      <c r="E88" s="44"/>
      <c r="F88" s="44"/>
      <c r="G88" s="459"/>
      <c r="H88" s="46"/>
      <c r="I88" s="47"/>
      <c r="J88" s="88"/>
      <c r="K88" s="88"/>
      <c r="L88" s="37"/>
      <c r="M88" s="37"/>
      <c r="N88" s="48"/>
      <c r="O88" s="49"/>
      <c r="P88" s="50"/>
      <c r="Q88" s="49"/>
      <c r="R88" s="417"/>
      <c r="S88" s="417"/>
      <c r="T88" s="39"/>
      <c r="U88" s="39"/>
      <c r="V88" s="39"/>
      <c r="W88" s="39"/>
      <c r="X88" s="40"/>
      <c r="Y88" s="220"/>
      <c r="Z88" s="39"/>
      <c r="AA88" s="51"/>
      <c r="AB88" s="51"/>
      <c r="AC88" s="39"/>
      <c r="AD88" s="39"/>
      <c r="AE88" s="238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5"/>
      <c r="BC88" s="53"/>
      <c r="BD88" s="53"/>
      <c r="BE88" s="53"/>
      <c r="BF88" s="53"/>
    </row>
    <row r="89" spans="1:58" ht="12.95" customHeight="1">
      <c r="A89" s="42">
        <v>45979</v>
      </c>
      <c r="B89" s="43" t="s">
        <v>517</v>
      </c>
      <c r="C89" s="447">
        <f>(M89*E89*O89*Q89)/100000000</f>
        <v>9.8683416000000008</v>
      </c>
      <c r="D89" s="43" t="s">
        <v>489</v>
      </c>
      <c r="E89" s="44">
        <v>12</v>
      </c>
      <c r="F89" s="44">
        <v>1</v>
      </c>
      <c r="G89" s="459">
        <v>1700</v>
      </c>
      <c r="H89" s="46">
        <v>0.24</v>
      </c>
      <c r="I89" s="47">
        <v>0.88</v>
      </c>
      <c r="J89" s="88">
        <f>E89*G89*(1-H89)*1440/1000000*2.77</f>
        <v>61.8423552</v>
      </c>
      <c r="K89" s="88">
        <f>(IF(G89&lt;L89,L89,G89)*(1-IF(H89&lt;N89,H89,N89))*E89*O89*Q89)/100000000</f>
        <v>10.8233424</v>
      </c>
      <c r="L89" s="37">
        <v>1550</v>
      </c>
      <c r="M89" s="37">
        <v>1178</v>
      </c>
      <c r="N89" s="48">
        <f>1-(M89/L89)</f>
        <v>0.24</v>
      </c>
      <c r="O89" s="49">
        <f>+'Trim Rwd'!H79</f>
        <v>268.5</v>
      </c>
      <c r="P89" s="50">
        <f>O89*(Q89-R89-S89)</f>
        <v>67125</v>
      </c>
      <c r="Q89" s="49">
        <v>260</v>
      </c>
      <c r="R89" s="417">
        <v>0</v>
      </c>
      <c r="S89" s="417">
        <v>10</v>
      </c>
      <c r="T89" s="39">
        <f>E89*M89*O89*Q89/100000000</f>
        <v>9.8683416000000008</v>
      </c>
      <c r="U89" s="39">
        <f>E89*M89*O89*(Q89-R89-S89)/100000000</f>
        <v>9.4887899999999998</v>
      </c>
      <c r="V89" s="39">
        <f>E89*G89*(1-N89)*O89/100*(R89+S89)/1000000</f>
        <v>0.41628239999999994</v>
      </c>
      <c r="W89" s="39">
        <f>+'18'!K14/1000</f>
        <v>13.865</v>
      </c>
      <c r="X89" s="414">
        <f>SUM(W89:W92)/SUM(K89:K92)</f>
        <v>0.70191175327409483</v>
      </c>
      <c r="Y89" s="220">
        <v>0</v>
      </c>
      <c r="Z89" s="39">
        <f>+'17'!D13/1000</f>
        <v>0</v>
      </c>
      <c r="AA89" s="51">
        <f>SUM(U89:U92)-SUM(W89:W92)-SUM(Z89:Z92)-SUM(Y89:Y92)</f>
        <v>4.7909501584158543</v>
      </c>
      <c r="AB89" s="51">
        <f>(SUM(K89:K92)-SUM(W89:W92)-SUM(Y89:Y92)-SUM(Z89:Z92)-SUM(AC89:AC92)-SUM(V89:V92))-AA89</f>
        <v>-0.52843785742574223</v>
      </c>
      <c r="AC89" s="39">
        <f>K89-T89</f>
        <v>0.95500079999999876</v>
      </c>
      <c r="AD89" s="39">
        <f t="shared" ref="AD89:AD94" si="27">+AM89+BA89</f>
        <v>10</v>
      </c>
      <c r="AE89" s="238" t="s">
        <v>414</v>
      </c>
      <c r="AF89" s="39">
        <v>10</v>
      </c>
      <c r="AG89" s="39"/>
      <c r="AH89" s="39"/>
      <c r="AI89" s="455"/>
      <c r="AJ89" s="39"/>
      <c r="AK89" s="39"/>
      <c r="AL89" s="39"/>
      <c r="AM89" s="39">
        <f t="shared" ref="AM89:AM94" si="28">SUM(AF89:AL89)+AT89+AV89+AX89</f>
        <v>10</v>
      </c>
      <c r="AN89" s="39"/>
      <c r="AO89" s="39"/>
      <c r="AP89" s="39"/>
      <c r="AQ89" s="39"/>
      <c r="AR89" s="39">
        <f t="shared" ref="AR89:AR94" si="29">SUM(AN89:AQ89)</f>
        <v>0</v>
      </c>
      <c r="AS89" s="39"/>
      <c r="AT89" s="39"/>
      <c r="AU89" s="39"/>
      <c r="AV89" s="39"/>
      <c r="AW89" s="39"/>
      <c r="AX89" s="39"/>
      <c r="AY89" s="39"/>
      <c r="AZ89" s="39"/>
      <c r="BA89" s="39">
        <f t="shared" ref="BA89:BA94" si="30">+AR89+AS89+AU89+AW89+AY89+AZ89</f>
        <v>0</v>
      </c>
      <c r="BB89" s="35">
        <v>2</v>
      </c>
      <c r="BC89" s="53"/>
      <c r="BD89" s="53"/>
      <c r="BE89" s="35"/>
      <c r="BF89" s="53"/>
    </row>
    <row r="90" spans="1:58" ht="12.95" customHeight="1">
      <c r="A90" s="343"/>
      <c r="B90" s="43" t="s">
        <v>517</v>
      </c>
      <c r="C90" s="447">
        <f>(M90*E90*O90*Q90)/100000000</f>
        <v>51.490881900990111</v>
      </c>
      <c r="D90" s="43" t="s">
        <v>489</v>
      </c>
      <c r="E90" s="44">
        <v>13</v>
      </c>
      <c r="F90" s="44">
        <v>1</v>
      </c>
      <c r="G90" s="459">
        <v>1700</v>
      </c>
      <c r="H90" s="46">
        <v>0.24</v>
      </c>
      <c r="I90" s="47">
        <v>0.88</v>
      </c>
      <c r="J90" s="88">
        <f>E90*G90*(1-H90)*1440/1000000*2.77</f>
        <v>66.995884799999999</v>
      </c>
      <c r="K90" s="88">
        <f>(IF(G90&lt;L90,L90,G90)*(1-IF(H90&lt;N90,H90,N90))*E90*O90*Q90)/100000000</f>
        <v>53.908441600000003</v>
      </c>
      <c r="L90" s="37">
        <v>1623.7623762376238</v>
      </c>
      <c r="M90" s="37">
        <v>1234.0594059405942</v>
      </c>
      <c r="N90" s="48">
        <f>1-(M90/L90)</f>
        <v>0.24</v>
      </c>
      <c r="O90" s="49">
        <f>+'Trim Rwd'!H80</f>
        <v>272</v>
      </c>
      <c r="P90" s="50">
        <f>O90*(Q90-R90-S90)</f>
        <v>255680</v>
      </c>
      <c r="Q90" s="49">
        <v>1180</v>
      </c>
      <c r="R90" s="417">
        <v>170</v>
      </c>
      <c r="S90" s="417">
        <f>55+15</f>
        <v>70</v>
      </c>
      <c r="T90" s="39">
        <f>E90*M90*O90*Q90/100000000</f>
        <v>51.490881900990111</v>
      </c>
      <c r="U90" s="39">
        <f>E90*M90*O90*(Q90-R90-S90)/100000000</f>
        <v>41.018160158415853</v>
      </c>
      <c r="V90" s="39">
        <f>E90*G90*(1-N90)*O90/100*(R90+S90)/1000000</f>
        <v>10.9644288</v>
      </c>
      <c r="W90" s="39">
        <f>+'18'!K15/1000</f>
        <v>31.571000000000002</v>
      </c>
      <c r="X90" s="40"/>
      <c r="Y90" s="220"/>
      <c r="Z90" s="39">
        <f>+'18'!D16/1000</f>
        <v>0.28000000000000003</v>
      </c>
      <c r="AA90" s="39"/>
      <c r="AB90" s="39"/>
      <c r="AC90" s="39">
        <f>K90-T90</f>
        <v>2.4175596990098924</v>
      </c>
      <c r="AD90" s="39">
        <f t="shared" si="27"/>
        <v>15</v>
      </c>
      <c r="AE90" s="238" t="s">
        <v>592</v>
      </c>
      <c r="AF90" s="39"/>
      <c r="AG90" s="39">
        <v>15</v>
      </c>
      <c r="AH90" s="39"/>
      <c r="AI90" s="455"/>
      <c r="AJ90" s="39"/>
      <c r="AK90" s="39"/>
      <c r="AL90" s="39"/>
      <c r="AM90" s="39">
        <f t="shared" si="28"/>
        <v>15</v>
      </c>
      <c r="AN90" s="89"/>
      <c r="AO90" s="39"/>
      <c r="AP90" s="39"/>
      <c r="AQ90" s="39"/>
      <c r="AR90" s="39">
        <f t="shared" si="29"/>
        <v>0</v>
      </c>
      <c r="AS90" s="39"/>
      <c r="AT90" s="39"/>
      <c r="AU90" s="39"/>
      <c r="AV90" s="39"/>
      <c r="AW90" s="39"/>
      <c r="AX90" s="39"/>
      <c r="AY90" s="39"/>
      <c r="AZ90" s="39"/>
      <c r="BA90" s="39">
        <f t="shared" si="30"/>
        <v>0</v>
      </c>
      <c r="BB90" s="52"/>
      <c r="BC90" s="53">
        <v>11</v>
      </c>
      <c r="BD90" s="53"/>
      <c r="BE90" s="52"/>
      <c r="BF90" s="53"/>
    </row>
    <row r="91" spans="1:58" ht="12.95" customHeight="1">
      <c r="A91" s="42"/>
      <c r="B91" s="43"/>
      <c r="C91" s="447"/>
      <c r="D91" s="43"/>
      <c r="E91" s="44"/>
      <c r="F91" s="44"/>
      <c r="G91" s="45"/>
      <c r="H91" s="46"/>
      <c r="I91" s="47"/>
      <c r="J91" s="88"/>
      <c r="K91" s="88"/>
      <c r="L91" s="37"/>
      <c r="M91" s="37"/>
      <c r="N91" s="48"/>
      <c r="O91" s="49"/>
      <c r="P91" s="50"/>
      <c r="Q91" s="49"/>
      <c r="R91" s="417"/>
      <c r="S91" s="417"/>
      <c r="T91" s="39"/>
      <c r="U91" s="39"/>
      <c r="V91" s="39"/>
      <c r="W91" s="39"/>
      <c r="X91" s="40"/>
      <c r="Y91" s="220"/>
      <c r="Z91" s="39"/>
      <c r="AA91" s="39"/>
      <c r="AB91" s="39"/>
      <c r="AC91" s="39"/>
      <c r="AD91" s="39">
        <f t="shared" si="27"/>
        <v>25</v>
      </c>
      <c r="AE91" s="238" t="s">
        <v>742</v>
      </c>
      <c r="AF91" s="35"/>
      <c r="AG91" s="35"/>
      <c r="AH91" s="35">
        <v>25</v>
      </c>
      <c r="AI91" s="455"/>
      <c r="AJ91" s="39"/>
      <c r="AK91" s="39"/>
      <c r="AL91" s="39"/>
      <c r="AM91" s="39">
        <f t="shared" si="28"/>
        <v>25</v>
      </c>
      <c r="AN91" s="39"/>
      <c r="AO91" s="39"/>
      <c r="AP91" s="39"/>
      <c r="AQ91" s="39"/>
      <c r="AR91" s="39">
        <f t="shared" si="29"/>
        <v>0</v>
      </c>
      <c r="AS91" s="39"/>
      <c r="AT91" s="39"/>
      <c r="AU91" s="39"/>
      <c r="AV91" s="39"/>
      <c r="AW91" s="39"/>
      <c r="AX91" s="39"/>
      <c r="AY91" s="39"/>
      <c r="AZ91" s="39"/>
      <c r="BA91" s="39">
        <f t="shared" si="30"/>
        <v>0</v>
      </c>
      <c r="BB91" s="35"/>
      <c r="BC91" s="55"/>
      <c r="BD91" s="55"/>
      <c r="BE91" s="35"/>
      <c r="BF91" s="55"/>
    </row>
    <row r="92" spans="1:58" ht="12.95" customHeight="1">
      <c r="A92" s="42"/>
      <c r="B92" s="43"/>
      <c r="C92" s="447"/>
      <c r="D92" s="43"/>
      <c r="E92" s="44"/>
      <c r="F92" s="44"/>
      <c r="G92" s="45"/>
      <c r="H92" s="46"/>
      <c r="I92" s="47"/>
      <c r="J92" s="88"/>
      <c r="K92" s="88"/>
      <c r="L92" s="37"/>
      <c r="M92" s="37"/>
      <c r="N92" s="48"/>
      <c r="O92" s="49"/>
      <c r="P92" s="50"/>
      <c r="Q92" s="49"/>
      <c r="R92" s="417"/>
      <c r="S92" s="417"/>
      <c r="T92" s="39"/>
      <c r="U92" s="39"/>
      <c r="V92" s="39"/>
      <c r="W92" s="39"/>
      <c r="X92" s="40"/>
      <c r="Y92" s="220"/>
      <c r="Z92" s="39"/>
      <c r="AA92" s="39"/>
      <c r="AB92" s="39"/>
      <c r="AC92" s="39"/>
      <c r="AD92" s="39">
        <f t="shared" si="27"/>
        <v>140</v>
      </c>
      <c r="AE92" s="241" t="s">
        <v>747</v>
      </c>
      <c r="AF92" s="35"/>
      <c r="AG92" s="35"/>
      <c r="AH92" s="35"/>
      <c r="AI92" s="455"/>
      <c r="AJ92" s="39"/>
      <c r="AK92" s="39"/>
      <c r="AL92" s="39"/>
      <c r="AM92" s="39">
        <f t="shared" si="28"/>
        <v>0</v>
      </c>
      <c r="AN92" s="39"/>
      <c r="AO92" s="39">
        <v>140</v>
      </c>
      <c r="AP92" s="39"/>
      <c r="AQ92" s="39"/>
      <c r="AR92" s="39">
        <f t="shared" si="29"/>
        <v>140</v>
      </c>
      <c r="AS92" s="39"/>
      <c r="AT92" s="39"/>
      <c r="AU92" s="39"/>
      <c r="AV92" s="39"/>
      <c r="AW92" s="39"/>
      <c r="AX92" s="39"/>
      <c r="AY92" s="39"/>
      <c r="AZ92" s="39"/>
      <c r="BA92" s="39">
        <f t="shared" si="30"/>
        <v>140</v>
      </c>
      <c r="BB92" s="35"/>
      <c r="BC92" s="55"/>
      <c r="BD92" s="55"/>
      <c r="BE92" s="35"/>
      <c r="BF92" s="55"/>
    </row>
    <row r="93" spans="1:58" ht="12.95" customHeight="1">
      <c r="A93" s="42"/>
      <c r="B93" s="43"/>
      <c r="C93" s="447"/>
      <c r="D93" s="43"/>
      <c r="E93" s="44"/>
      <c r="F93" s="44"/>
      <c r="G93" s="459"/>
      <c r="H93" s="46"/>
      <c r="I93" s="47"/>
      <c r="J93" s="88"/>
      <c r="K93" s="88"/>
      <c r="L93" s="37"/>
      <c r="M93" s="37"/>
      <c r="N93" s="48"/>
      <c r="O93" s="49"/>
      <c r="P93" s="50"/>
      <c r="Q93" s="49"/>
      <c r="R93" s="417"/>
      <c r="S93" s="417"/>
      <c r="T93" s="39"/>
      <c r="U93" s="39"/>
      <c r="V93" s="39"/>
      <c r="W93" s="39"/>
      <c r="X93" s="40"/>
      <c r="Y93" s="220"/>
      <c r="Z93" s="39"/>
      <c r="AA93" s="39"/>
      <c r="AB93" s="39"/>
      <c r="AC93" s="39"/>
      <c r="AD93" s="39">
        <f t="shared" si="27"/>
        <v>30</v>
      </c>
      <c r="AE93" s="241" t="s">
        <v>748</v>
      </c>
      <c r="AF93" s="35"/>
      <c r="AG93" s="35"/>
      <c r="AH93" s="35"/>
      <c r="AI93" s="455"/>
      <c r="AJ93" s="39"/>
      <c r="AK93" s="39"/>
      <c r="AL93" s="39"/>
      <c r="AM93" s="39">
        <f t="shared" si="28"/>
        <v>0</v>
      </c>
      <c r="AN93" s="39"/>
      <c r="AO93" s="39">
        <v>30</v>
      </c>
      <c r="AP93" s="39"/>
      <c r="AQ93" s="39"/>
      <c r="AR93" s="39">
        <f t="shared" si="29"/>
        <v>30</v>
      </c>
      <c r="AS93" s="39"/>
      <c r="AT93" s="39"/>
      <c r="AU93" s="39"/>
      <c r="AV93" s="39"/>
      <c r="AW93" s="39"/>
      <c r="AX93" s="39"/>
      <c r="AY93" s="39"/>
      <c r="AZ93" s="39"/>
      <c r="BA93" s="39">
        <f t="shared" si="30"/>
        <v>30</v>
      </c>
      <c r="BB93" s="35"/>
      <c r="BC93" s="55"/>
      <c r="BD93" s="55"/>
      <c r="BE93" s="35"/>
      <c r="BF93" s="55"/>
    </row>
    <row r="94" spans="1:58" ht="12.95" customHeight="1">
      <c r="A94" s="343"/>
      <c r="B94" s="43"/>
      <c r="C94" s="447"/>
      <c r="D94" s="43"/>
      <c r="E94" s="44"/>
      <c r="F94" s="44"/>
      <c r="G94" s="459"/>
      <c r="H94" s="46"/>
      <c r="I94" s="47"/>
      <c r="J94" s="88"/>
      <c r="K94" s="88"/>
      <c r="L94" s="37"/>
      <c r="M94" s="37"/>
      <c r="N94" s="48"/>
      <c r="O94" s="49"/>
      <c r="P94" s="50"/>
      <c r="Q94" s="49"/>
      <c r="R94" s="417"/>
      <c r="S94" s="417"/>
      <c r="T94" s="39"/>
      <c r="U94" s="39"/>
      <c r="V94" s="39"/>
      <c r="W94" s="39"/>
      <c r="X94" s="414"/>
      <c r="Y94" s="220"/>
      <c r="Z94" s="39"/>
      <c r="AA94" s="51"/>
      <c r="AB94" s="51"/>
      <c r="AC94" s="39"/>
      <c r="AD94" s="39">
        <f t="shared" si="27"/>
        <v>30</v>
      </c>
      <c r="AE94" s="241" t="s">
        <v>743</v>
      </c>
      <c r="AF94" s="35"/>
      <c r="AG94" s="35"/>
      <c r="AH94" s="35"/>
      <c r="AI94" s="455"/>
      <c r="AJ94" s="39">
        <v>30</v>
      </c>
      <c r="AK94" s="39"/>
      <c r="AL94" s="39"/>
      <c r="AM94" s="39">
        <f t="shared" si="28"/>
        <v>30</v>
      </c>
      <c r="AN94" s="39"/>
      <c r="AO94" s="39"/>
      <c r="AP94" s="39"/>
      <c r="AQ94" s="39"/>
      <c r="AR94" s="39">
        <f t="shared" si="29"/>
        <v>0</v>
      </c>
      <c r="AS94" s="39"/>
      <c r="AT94" s="39"/>
      <c r="AU94" s="39"/>
      <c r="AV94" s="39"/>
      <c r="AW94" s="39"/>
      <c r="AX94" s="39"/>
      <c r="AY94" s="39"/>
      <c r="AZ94" s="39"/>
      <c r="BA94" s="39">
        <f t="shared" si="30"/>
        <v>0</v>
      </c>
      <c r="BB94" s="35"/>
      <c r="BC94" s="55"/>
      <c r="BD94" s="55"/>
      <c r="BE94" s="35"/>
      <c r="BF94" s="55"/>
    </row>
    <row r="95" spans="1:58" ht="12.95" customHeight="1">
      <c r="A95" s="343"/>
      <c r="B95" s="43"/>
      <c r="C95" s="447"/>
      <c r="D95" s="43"/>
      <c r="E95" s="44"/>
      <c r="F95" s="44"/>
      <c r="G95" s="459"/>
      <c r="H95" s="46"/>
      <c r="I95" s="47"/>
      <c r="J95" s="88"/>
      <c r="K95" s="88"/>
      <c r="L95" s="37"/>
      <c r="M95" s="37"/>
      <c r="N95" s="48"/>
      <c r="O95" s="49"/>
      <c r="P95" s="50"/>
      <c r="Q95" s="49"/>
      <c r="R95" s="417"/>
      <c r="S95" s="417"/>
      <c r="T95" s="39"/>
      <c r="U95" s="39"/>
      <c r="V95" s="39"/>
      <c r="W95" s="39"/>
      <c r="X95" s="414"/>
      <c r="Y95" s="220"/>
      <c r="Z95" s="39"/>
      <c r="AA95" s="51"/>
      <c r="AB95" s="51"/>
      <c r="AC95" s="39"/>
      <c r="AD95" s="39"/>
      <c r="AE95" s="238"/>
      <c r="AF95" s="39"/>
      <c r="AG95" s="39"/>
      <c r="AH95" s="39"/>
      <c r="AI95" s="455"/>
      <c r="AJ95" s="39"/>
      <c r="AK95" s="39"/>
      <c r="AL95" s="39"/>
      <c r="AM95" s="39"/>
      <c r="AN95" s="8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52"/>
      <c r="BC95" s="53"/>
      <c r="BD95" s="53"/>
      <c r="BE95" s="53"/>
      <c r="BF95" s="53"/>
    </row>
    <row r="96" spans="1:58" ht="12.95" customHeight="1">
      <c r="A96" s="42">
        <v>45980</v>
      </c>
      <c r="B96" s="43" t="s">
        <v>517</v>
      </c>
      <c r="C96" s="447">
        <f>(M96*E96*O96*Q96)/100000000</f>
        <v>65.141606399999986</v>
      </c>
      <c r="D96" s="43" t="s">
        <v>489</v>
      </c>
      <c r="E96" s="44">
        <v>13</v>
      </c>
      <c r="F96" s="44">
        <v>1</v>
      </c>
      <c r="G96" s="459">
        <v>1700</v>
      </c>
      <c r="H96" s="46">
        <v>0.24</v>
      </c>
      <c r="I96" s="47">
        <v>0.88</v>
      </c>
      <c r="J96" s="88">
        <f>E96*G96*(1-H96)*1440/1000000*2.77</f>
        <v>66.995884799999999</v>
      </c>
      <c r="K96" s="88">
        <f>(IF(G96&lt;L96,L96,G96)*(1-IF(H96&lt;N96,H96,N96))*E96*O96*Q96)/100000000</f>
        <v>65.786572800000002</v>
      </c>
      <c r="L96" s="37">
        <v>1683.3333333333333</v>
      </c>
      <c r="M96" s="37">
        <v>1279.3333333333333</v>
      </c>
      <c r="N96" s="48">
        <f>1-(M96/L96)</f>
        <v>0.24</v>
      </c>
      <c r="O96" s="49">
        <f>+'Trim Rwd'!H82</f>
        <v>272</v>
      </c>
      <c r="P96" s="50">
        <f>O96*(Q96-R96-S96)</f>
        <v>374272</v>
      </c>
      <c r="Q96" s="49">
        <v>1440</v>
      </c>
      <c r="R96" s="417">
        <v>0</v>
      </c>
      <c r="S96" s="417">
        <v>64</v>
      </c>
      <c r="T96" s="39">
        <f>E96*M96*O96*Q96/100000000</f>
        <v>65.141606399999986</v>
      </c>
      <c r="U96" s="39">
        <f>E96*M96*O96*(Q96-R96-S96)/100000000</f>
        <v>62.246423893333322</v>
      </c>
      <c r="V96" s="39">
        <f>E96*G96*(1-N96)*O96/100*(R96+S96)/1000000</f>
        <v>2.9238476800000002</v>
      </c>
      <c r="W96" s="39">
        <f>+'19'!K34/1000</f>
        <v>62.713000000000001</v>
      </c>
      <c r="X96" s="414">
        <f>SUM(W96:W99)/SUM(K96:K99)</f>
        <v>0.95327963337831756</v>
      </c>
      <c r="Y96" s="220">
        <v>0</v>
      </c>
      <c r="Z96" s="39">
        <f>+'19'!D34/1000</f>
        <v>0.26300000000000001</v>
      </c>
      <c r="AA96" s="51">
        <f>SUM(U96:U99)-SUM(W96:W99)-SUM(Z96:Z99)-SUM(Y96:Y99)</f>
        <v>-0.72957610666667894</v>
      </c>
      <c r="AB96" s="51">
        <f>(SUM(K96:K99)-SUM(W96:W99)-SUM(Y96:Y99)-SUM(Z96:Z99)-SUM(AC96:AC99)-SUM(V96:V99))-AA96</f>
        <v>-2.8665173333335736E-2</v>
      </c>
      <c r="AC96" s="39">
        <f>K96-T96</f>
        <v>0.64496640000001548</v>
      </c>
      <c r="AD96" s="39">
        <f t="shared" ref="AD96:AD99" si="31">+AM96+BA96</f>
        <v>0</v>
      </c>
      <c r="AE96" s="238" t="s">
        <v>434</v>
      </c>
      <c r="AF96" s="39">
        <v>0</v>
      </c>
      <c r="AG96" s="39"/>
      <c r="AH96" s="39"/>
      <c r="AI96" s="455"/>
      <c r="AJ96" s="39"/>
      <c r="AK96" s="39"/>
      <c r="AL96" s="39"/>
      <c r="AM96" s="39">
        <f t="shared" ref="AM96:AM98" si="32">SUM(AF96:AL96)+AT96+AV96+AX96</f>
        <v>0</v>
      </c>
      <c r="AN96" s="39"/>
      <c r="AO96" s="39"/>
      <c r="AP96" s="39"/>
      <c r="AQ96" s="39"/>
      <c r="AR96" s="39">
        <f t="shared" ref="AR96:AR98" si="33">SUM(AN96:AQ96)</f>
        <v>0</v>
      </c>
      <c r="AS96" s="39"/>
      <c r="AT96" s="39"/>
      <c r="AU96" s="39"/>
      <c r="AV96" s="39"/>
      <c r="AW96" s="39"/>
      <c r="AX96" s="39"/>
      <c r="AY96" s="39"/>
      <c r="AZ96" s="39"/>
      <c r="BA96" s="39">
        <f t="shared" ref="BA96:BA98" si="34">+AR96+AS96+AU96+AW96+AY96+AZ96</f>
        <v>0</v>
      </c>
      <c r="BB96" s="35">
        <v>0</v>
      </c>
      <c r="BC96" s="53"/>
      <c r="BD96" s="53"/>
      <c r="BE96" s="35"/>
      <c r="BF96" s="53"/>
    </row>
    <row r="97" spans="1:58" ht="12.95" customHeight="1">
      <c r="A97" s="343"/>
      <c r="B97" s="43"/>
      <c r="C97" s="447"/>
      <c r="D97" s="43"/>
      <c r="E97" s="44"/>
      <c r="F97" s="44"/>
      <c r="G97" s="459"/>
      <c r="H97" s="46"/>
      <c r="I97" s="47"/>
      <c r="J97" s="88"/>
      <c r="K97" s="88"/>
      <c r="L97" s="37"/>
      <c r="M97" s="37"/>
      <c r="N97" s="48"/>
      <c r="O97" s="49"/>
      <c r="P97" s="50"/>
      <c r="Q97" s="49"/>
      <c r="R97" s="417"/>
      <c r="S97" s="417"/>
      <c r="T97" s="39"/>
      <c r="U97" s="39"/>
      <c r="V97" s="39"/>
      <c r="W97" s="39"/>
      <c r="X97" s="40"/>
      <c r="Y97" s="220"/>
      <c r="Z97" s="39"/>
      <c r="AA97" s="39"/>
      <c r="AB97" s="39"/>
      <c r="AC97" s="39"/>
      <c r="AD97" s="39">
        <f t="shared" si="31"/>
        <v>17</v>
      </c>
      <c r="AE97" s="238" t="s">
        <v>755</v>
      </c>
      <c r="AF97" s="39"/>
      <c r="AG97" s="39">
        <v>17</v>
      </c>
      <c r="AH97" s="39"/>
      <c r="AI97" s="455"/>
      <c r="AJ97" s="39"/>
      <c r="AK97" s="39"/>
      <c r="AL97" s="39"/>
      <c r="AM97" s="39">
        <f t="shared" si="32"/>
        <v>17</v>
      </c>
      <c r="AN97" s="89"/>
      <c r="AO97" s="39"/>
      <c r="AP97" s="39"/>
      <c r="AQ97" s="39"/>
      <c r="AR97" s="39">
        <f t="shared" si="33"/>
        <v>0</v>
      </c>
      <c r="AS97" s="39"/>
      <c r="AT97" s="39"/>
      <c r="AU97" s="39"/>
      <c r="AV97" s="39"/>
      <c r="AW97" s="39"/>
      <c r="AX97" s="39"/>
      <c r="AY97" s="39"/>
      <c r="AZ97" s="39"/>
      <c r="BA97" s="39">
        <f t="shared" si="34"/>
        <v>0</v>
      </c>
      <c r="BB97" s="52"/>
      <c r="BC97" s="53">
        <v>15</v>
      </c>
      <c r="BD97" s="53"/>
      <c r="BE97" s="52"/>
      <c r="BF97" s="53"/>
    </row>
    <row r="98" spans="1:58" ht="12.95" customHeight="1">
      <c r="A98" s="42"/>
      <c r="B98" s="43"/>
      <c r="C98" s="447"/>
      <c r="D98" s="43"/>
      <c r="E98" s="44"/>
      <c r="F98" s="44"/>
      <c r="G98" s="45"/>
      <c r="H98" s="46"/>
      <c r="I98" s="47"/>
      <c r="J98" s="88"/>
      <c r="K98" s="88"/>
      <c r="L98" s="37"/>
      <c r="M98" s="37"/>
      <c r="N98" s="48"/>
      <c r="O98" s="49"/>
      <c r="P98" s="50"/>
      <c r="Q98" s="49"/>
      <c r="R98" s="417"/>
      <c r="S98" s="417"/>
      <c r="T98" s="39"/>
      <c r="U98" s="39"/>
      <c r="V98" s="39"/>
      <c r="W98" s="39"/>
      <c r="X98" s="40"/>
      <c r="Y98" s="220"/>
      <c r="Z98" s="39"/>
      <c r="AA98" s="39"/>
      <c r="AB98" s="39"/>
      <c r="AC98" s="39"/>
      <c r="AD98" s="39">
        <f t="shared" si="31"/>
        <v>22</v>
      </c>
      <c r="AE98" s="238" t="s">
        <v>548</v>
      </c>
      <c r="AF98" s="35"/>
      <c r="AG98" s="35"/>
      <c r="AH98" s="35">
        <v>22</v>
      </c>
      <c r="AI98" s="455"/>
      <c r="AJ98" s="39"/>
      <c r="AK98" s="39"/>
      <c r="AL98" s="39"/>
      <c r="AM98" s="39">
        <f t="shared" si="32"/>
        <v>22</v>
      </c>
      <c r="AN98" s="39"/>
      <c r="AO98" s="39"/>
      <c r="AP98" s="39"/>
      <c r="AQ98" s="39"/>
      <c r="AR98" s="39">
        <f t="shared" si="33"/>
        <v>0</v>
      </c>
      <c r="AS98" s="39"/>
      <c r="AT98" s="39"/>
      <c r="AU98" s="39"/>
      <c r="AV98" s="39"/>
      <c r="AW98" s="39"/>
      <c r="AX98" s="39"/>
      <c r="AY98" s="39"/>
      <c r="AZ98" s="39"/>
      <c r="BA98" s="39">
        <f t="shared" si="34"/>
        <v>0</v>
      </c>
      <c r="BB98" s="35"/>
      <c r="BC98" s="55"/>
      <c r="BD98" s="55"/>
      <c r="BE98" s="35"/>
      <c r="BF98" s="55"/>
    </row>
    <row r="99" spans="1:58" ht="12.95" customHeight="1">
      <c r="A99" s="42"/>
      <c r="B99" s="43"/>
      <c r="C99" s="447"/>
      <c r="D99" s="43"/>
      <c r="E99" s="44"/>
      <c r="F99" s="44"/>
      <c r="G99" s="45"/>
      <c r="H99" s="46"/>
      <c r="I99" s="47"/>
      <c r="J99" s="88"/>
      <c r="K99" s="88"/>
      <c r="L99" s="37"/>
      <c r="M99" s="37"/>
      <c r="N99" s="48"/>
      <c r="O99" s="49"/>
      <c r="P99" s="50"/>
      <c r="Q99" s="49"/>
      <c r="R99" s="417"/>
      <c r="S99" s="417"/>
      <c r="T99" s="39"/>
      <c r="U99" s="39"/>
      <c r="V99" s="39"/>
      <c r="W99" s="39"/>
      <c r="X99" s="40"/>
      <c r="Y99" s="220"/>
      <c r="Z99" s="39"/>
      <c r="AA99" s="39"/>
      <c r="AB99" s="39"/>
      <c r="AC99" s="39"/>
      <c r="AD99" s="39">
        <f t="shared" si="31"/>
        <v>25</v>
      </c>
      <c r="AE99" s="241" t="s">
        <v>756</v>
      </c>
      <c r="AF99" s="35">
        <v>25</v>
      </c>
      <c r="AG99" s="35"/>
      <c r="AH99" s="35"/>
      <c r="AI99" s="455"/>
      <c r="AJ99" s="39"/>
      <c r="AK99" s="39"/>
      <c r="AL99" s="39"/>
      <c r="AM99" s="39">
        <f t="shared" ref="AM99" si="35">SUM(AF99:AL99)+AT99+AV99+AX99</f>
        <v>25</v>
      </c>
      <c r="AN99" s="39"/>
      <c r="AO99" s="39"/>
      <c r="AP99" s="39"/>
      <c r="AQ99" s="39"/>
      <c r="AR99" s="39">
        <f t="shared" ref="AR99" si="36">SUM(AN99:AQ99)</f>
        <v>0</v>
      </c>
      <c r="AS99" s="39"/>
      <c r="AT99" s="39"/>
      <c r="AU99" s="39"/>
      <c r="AV99" s="39"/>
      <c r="AW99" s="39"/>
      <c r="AX99" s="39"/>
      <c r="AY99" s="39"/>
      <c r="AZ99" s="39"/>
      <c r="BA99" s="39">
        <f t="shared" ref="BA99" si="37">+AR99+AS99+AU99+AW99+AY99+AZ99</f>
        <v>0</v>
      </c>
      <c r="BB99" s="35"/>
      <c r="BC99" s="55"/>
      <c r="BD99" s="55"/>
      <c r="BE99" s="35"/>
      <c r="BF99" s="55"/>
    </row>
    <row r="100" spans="1:58" ht="12.95" customHeight="1">
      <c r="A100" s="42"/>
      <c r="B100" s="43"/>
      <c r="C100" s="447"/>
      <c r="D100" s="43"/>
      <c r="E100" s="44"/>
      <c r="F100" s="44"/>
      <c r="G100" s="459"/>
      <c r="H100" s="46"/>
      <c r="I100" s="47"/>
      <c r="J100" s="88"/>
      <c r="K100" s="88"/>
      <c r="L100" s="37"/>
      <c r="M100" s="37"/>
      <c r="N100" s="48"/>
      <c r="O100" s="49"/>
      <c r="P100" s="50"/>
      <c r="Q100" s="49"/>
      <c r="R100" s="417"/>
      <c r="S100" s="417"/>
      <c r="T100" s="39"/>
      <c r="U100" s="39"/>
      <c r="V100" s="39"/>
      <c r="W100" s="39"/>
      <c r="X100" s="40"/>
      <c r="Y100" s="220"/>
      <c r="Z100" s="39"/>
      <c r="AA100" s="39"/>
      <c r="AB100" s="39"/>
      <c r="AC100" s="39"/>
      <c r="AD100" s="39"/>
      <c r="AE100" s="238"/>
      <c r="AF100" s="35"/>
      <c r="AG100" s="35"/>
      <c r="AH100" s="35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5"/>
      <c r="BC100" s="55"/>
      <c r="BD100" s="53"/>
      <c r="BE100" s="53"/>
      <c r="BF100" s="53"/>
    </row>
    <row r="101" spans="1:58" ht="12.95" customHeight="1">
      <c r="A101" s="42">
        <v>45981</v>
      </c>
      <c r="B101" s="43" t="s">
        <v>517</v>
      </c>
      <c r="C101" s="447">
        <f>(M101*E101*O101*Q101)/100000000</f>
        <v>62.948720639999998</v>
      </c>
      <c r="D101" s="43" t="s">
        <v>489</v>
      </c>
      <c r="E101" s="44">
        <v>13</v>
      </c>
      <c r="F101" s="44">
        <v>1</v>
      </c>
      <c r="G101" s="459">
        <v>1700</v>
      </c>
      <c r="H101" s="46">
        <v>0.24</v>
      </c>
      <c r="I101" s="47">
        <v>0.88</v>
      </c>
      <c r="J101" s="88">
        <f>E101*G101*(1-H101)*1440/1000000*2.77</f>
        <v>66.995884799999999</v>
      </c>
      <c r="K101" s="88">
        <f>(IF(G101&lt;L101,L101,G101)*(1-IF(H101&lt;N101,H101,N101))*E101*O101*Q101)/100000000</f>
        <v>65.786572800000002</v>
      </c>
      <c r="L101" s="37">
        <v>1626.6666666666667</v>
      </c>
      <c r="M101" s="37">
        <v>1236.2666666666667</v>
      </c>
      <c r="N101" s="48">
        <f>1-(M101/L101)</f>
        <v>0.24</v>
      </c>
      <c r="O101" s="49">
        <f>+'Trim Rwd'!H84</f>
        <v>272</v>
      </c>
      <c r="P101" s="50">
        <f>O101*(Q101-R101-S101)</f>
        <v>379168</v>
      </c>
      <c r="Q101" s="49">
        <v>1440</v>
      </c>
      <c r="R101" s="417">
        <v>0</v>
      </c>
      <c r="S101" s="417">
        <v>46</v>
      </c>
      <c r="T101" s="39">
        <f>E101*M101*O101*Q101/100000000</f>
        <v>62.948720639999998</v>
      </c>
      <c r="U101" s="39">
        <f>E101*M101*O101*(Q101-R101-S101)/100000000</f>
        <v>60.937858730666669</v>
      </c>
      <c r="V101" s="39">
        <f>E101*G101*(1-N101)*O101/100*(R101+S101)/1000000</f>
        <v>2.10151552</v>
      </c>
      <c r="W101" s="39">
        <f>+'20'!K34/1000</f>
        <v>57.715000000000003</v>
      </c>
      <c r="X101" s="414">
        <f>SUM(W101:W104)/SUM(K101:K104)</f>
        <v>0.87730668346960916</v>
      </c>
      <c r="Y101" s="220">
        <v>0</v>
      </c>
      <c r="Z101" s="39">
        <f>+'20'!D34/1000</f>
        <v>2.3250000000000002</v>
      </c>
      <c r="AA101" s="51">
        <f>SUM(U101:U104)-SUM(W101:W104)-SUM(Z101:Z104)-SUM(Y101:Y104)</f>
        <v>0.89785873066666522</v>
      </c>
      <c r="AB101" s="51">
        <f>(SUM(K101:K104)-SUM(W101:W104)-SUM(Y101:Y104)-SUM(Z101:Z104)-SUM(AC101:AC104)-SUM(V101:V104))-AA101</f>
        <v>-9.0653610666671103E-2</v>
      </c>
      <c r="AC101" s="39">
        <f>K101-T101</f>
        <v>2.8378521600000042</v>
      </c>
      <c r="AD101" s="39">
        <f t="shared" ref="AD101:AD103" si="38">+AM101+BA101</f>
        <v>10</v>
      </c>
      <c r="AE101" s="238" t="s">
        <v>414</v>
      </c>
      <c r="AF101" s="39">
        <v>10</v>
      </c>
      <c r="AG101" s="39"/>
      <c r="AH101" s="39"/>
      <c r="AI101" s="455"/>
      <c r="AJ101" s="39"/>
      <c r="AK101" s="39"/>
      <c r="AL101" s="39"/>
      <c r="AM101" s="39">
        <f t="shared" ref="AM101:AM103" si="39">SUM(AF101:AL101)+AT101+AV101+AX101</f>
        <v>10</v>
      </c>
      <c r="AN101" s="39"/>
      <c r="AO101" s="39"/>
      <c r="AP101" s="39"/>
      <c r="AQ101" s="39"/>
      <c r="AR101" s="39">
        <f t="shared" ref="AR101:AR103" si="40">SUM(AN101:AQ101)</f>
        <v>0</v>
      </c>
      <c r="AS101" s="39"/>
      <c r="AT101" s="39"/>
      <c r="AU101" s="39"/>
      <c r="AV101" s="39"/>
      <c r="AW101" s="39"/>
      <c r="AX101" s="39"/>
      <c r="AY101" s="39"/>
      <c r="AZ101" s="39"/>
      <c r="BA101" s="39">
        <f t="shared" ref="BA101:BA103" si="41">+AR101+AS101+AU101+AW101+AY101+AZ101</f>
        <v>0</v>
      </c>
      <c r="BB101" s="35">
        <v>2</v>
      </c>
      <c r="BC101" s="53"/>
      <c r="BD101" s="53"/>
      <c r="BE101" s="35"/>
      <c r="BF101" s="53"/>
    </row>
    <row r="102" spans="1:58" ht="12.95" customHeight="1">
      <c r="A102" s="343"/>
      <c r="B102" s="43"/>
      <c r="C102" s="447"/>
      <c r="D102" s="43"/>
      <c r="E102" s="44"/>
      <c r="F102" s="44"/>
      <c r="G102" s="459"/>
      <c r="H102" s="46"/>
      <c r="I102" s="47"/>
      <c r="J102" s="88"/>
      <c r="K102" s="88"/>
      <c r="L102" s="37"/>
      <c r="M102" s="37"/>
      <c r="N102" s="48"/>
      <c r="O102" s="49"/>
      <c r="P102" s="50"/>
      <c r="Q102" s="49"/>
      <c r="R102" s="417"/>
      <c r="S102" s="417"/>
      <c r="T102" s="39"/>
      <c r="U102" s="39"/>
      <c r="V102" s="39"/>
      <c r="W102" s="39"/>
      <c r="X102" s="40"/>
      <c r="Y102" s="220"/>
      <c r="Z102" s="39"/>
      <c r="AA102" s="39"/>
      <c r="AB102" s="39"/>
      <c r="AC102" s="39"/>
      <c r="AD102" s="39">
        <f t="shared" si="38"/>
        <v>11</v>
      </c>
      <c r="AE102" s="238" t="s">
        <v>701</v>
      </c>
      <c r="AF102" s="39"/>
      <c r="AG102" s="39">
        <v>11</v>
      </c>
      <c r="AH102" s="39"/>
      <c r="AI102" s="455"/>
      <c r="AJ102" s="39"/>
      <c r="AK102" s="39"/>
      <c r="AL102" s="39"/>
      <c r="AM102" s="39">
        <f t="shared" si="39"/>
        <v>11</v>
      </c>
      <c r="AN102" s="89"/>
      <c r="AO102" s="39"/>
      <c r="AP102" s="39"/>
      <c r="AQ102" s="39"/>
      <c r="AR102" s="39">
        <f t="shared" si="40"/>
        <v>0</v>
      </c>
      <c r="AS102" s="39"/>
      <c r="AT102" s="39"/>
      <c r="AU102" s="39"/>
      <c r="AV102" s="39"/>
      <c r="AW102" s="39"/>
      <c r="AX102" s="39"/>
      <c r="AY102" s="39"/>
      <c r="AZ102" s="39"/>
      <c r="BA102" s="39">
        <f t="shared" si="41"/>
        <v>0</v>
      </c>
      <c r="BB102" s="52"/>
      <c r="BC102" s="53">
        <v>14</v>
      </c>
      <c r="BD102" s="53"/>
      <c r="BE102" s="52"/>
      <c r="BF102" s="53"/>
    </row>
    <row r="103" spans="1:58" ht="12.95" customHeight="1">
      <c r="A103" s="42"/>
      <c r="B103" s="43"/>
      <c r="C103" s="447"/>
      <c r="D103" s="43"/>
      <c r="E103" s="44"/>
      <c r="F103" s="44"/>
      <c r="G103" s="45"/>
      <c r="H103" s="46"/>
      <c r="I103" s="47"/>
      <c r="J103" s="88"/>
      <c r="K103" s="88"/>
      <c r="L103" s="37"/>
      <c r="M103" s="37"/>
      <c r="N103" s="48"/>
      <c r="O103" s="49"/>
      <c r="P103" s="50"/>
      <c r="Q103" s="49"/>
      <c r="R103" s="417"/>
      <c r="S103" s="417"/>
      <c r="T103" s="39"/>
      <c r="U103" s="39"/>
      <c r="V103" s="39"/>
      <c r="W103" s="39"/>
      <c r="X103" s="40"/>
      <c r="Y103" s="220"/>
      <c r="Z103" s="39"/>
      <c r="AA103" s="39"/>
      <c r="AB103" s="39"/>
      <c r="AC103" s="39"/>
      <c r="AD103" s="39">
        <f t="shared" si="38"/>
        <v>25</v>
      </c>
      <c r="AE103" s="238" t="s">
        <v>742</v>
      </c>
      <c r="AF103" s="35"/>
      <c r="AG103" s="35"/>
      <c r="AH103" s="35">
        <v>25</v>
      </c>
      <c r="AI103" s="455"/>
      <c r="AJ103" s="39"/>
      <c r="AK103" s="39"/>
      <c r="AL103" s="39"/>
      <c r="AM103" s="39">
        <f t="shared" si="39"/>
        <v>25</v>
      </c>
      <c r="AN103" s="39"/>
      <c r="AO103" s="39"/>
      <c r="AP103" s="39"/>
      <c r="AQ103" s="39"/>
      <c r="AR103" s="39">
        <f t="shared" si="40"/>
        <v>0</v>
      </c>
      <c r="AS103" s="39"/>
      <c r="AT103" s="39"/>
      <c r="AU103" s="39"/>
      <c r="AV103" s="39"/>
      <c r="AW103" s="39"/>
      <c r="AX103" s="39"/>
      <c r="AY103" s="39"/>
      <c r="AZ103" s="39"/>
      <c r="BA103" s="39">
        <f t="shared" si="41"/>
        <v>0</v>
      </c>
      <c r="BB103" s="35"/>
      <c r="BC103" s="55"/>
      <c r="BD103" s="55"/>
      <c r="BE103" s="35"/>
      <c r="BF103" s="55"/>
    </row>
    <row r="104" spans="1:58" ht="12.95" customHeight="1">
      <c r="A104" s="42"/>
      <c r="B104" s="43"/>
      <c r="C104" s="447"/>
      <c r="D104" s="43"/>
      <c r="E104" s="44"/>
      <c r="F104" s="44"/>
      <c r="G104" s="45"/>
      <c r="H104" s="46"/>
      <c r="I104" s="47"/>
      <c r="J104" s="88"/>
      <c r="K104" s="88"/>
      <c r="L104" s="37"/>
      <c r="M104" s="37"/>
      <c r="N104" s="48"/>
      <c r="O104" s="49"/>
      <c r="P104" s="50"/>
      <c r="Q104" s="49"/>
      <c r="R104" s="417"/>
      <c r="S104" s="417"/>
      <c r="T104" s="39"/>
      <c r="U104" s="39"/>
      <c r="V104" s="39"/>
      <c r="W104" s="39"/>
      <c r="X104" s="40"/>
      <c r="Y104" s="220"/>
      <c r="Z104" s="39"/>
      <c r="AA104" s="39"/>
      <c r="AB104" s="39"/>
      <c r="AC104" s="39"/>
      <c r="AD104" s="39"/>
      <c r="AE104" s="241"/>
      <c r="AF104" s="35"/>
      <c r="AG104" s="35"/>
      <c r="AH104" s="35"/>
      <c r="AI104" s="455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5"/>
      <c r="BC104" s="55"/>
      <c r="BD104" s="55"/>
      <c r="BE104" s="35"/>
      <c r="BF104" s="55"/>
    </row>
    <row r="105" spans="1:58" ht="12.95" customHeight="1">
      <c r="A105" s="42">
        <v>45982</v>
      </c>
      <c r="B105" s="43" t="s">
        <v>517</v>
      </c>
      <c r="C105" s="447">
        <f>(M105*E105*O105*Q105)/100000000</f>
        <v>64.367646719999996</v>
      </c>
      <c r="D105" s="43" t="s">
        <v>489</v>
      </c>
      <c r="E105" s="44">
        <v>13</v>
      </c>
      <c r="F105" s="44">
        <v>1</v>
      </c>
      <c r="G105" s="459">
        <v>1700</v>
      </c>
      <c r="H105" s="46">
        <v>0.24</v>
      </c>
      <c r="I105" s="47">
        <v>0.88</v>
      </c>
      <c r="J105" s="88">
        <f>E105*G105*(1-H105)*1440/1000000*2.77</f>
        <v>66.995884799999999</v>
      </c>
      <c r="K105" s="88">
        <f>(IF(G105&lt;L105,L105,G105)*(1-IF(H105&lt;N105,H105,N105))*E105*O105*Q105)/100000000</f>
        <v>65.786572800000016</v>
      </c>
      <c r="L105" s="37">
        <v>1663.3333333333333</v>
      </c>
      <c r="M105" s="37">
        <v>1264.1333333333334</v>
      </c>
      <c r="N105" s="48">
        <f>1-(M105/L105)</f>
        <v>0.23999999999999988</v>
      </c>
      <c r="O105" s="49">
        <f>+'Trim Rwd'!H86</f>
        <v>272</v>
      </c>
      <c r="P105" s="50">
        <f>O105*(Q105-R105-S105)</f>
        <v>351696</v>
      </c>
      <c r="Q105" s="49">
        <v>1440</v>
      </c>
      <c r="R105" s="417">
        <v>0</v>
      </c>
      <c r="S105" s="417">
        <v>147</v>
      </c>
      <c r="T105" s="39">
        <f>E105*M105*O105*Q105/100000000</f>
        <v>64.367646719999996</v>
      </c>
      <c r="U105" s="39">
        <f>E105*M105*O105*(Q105-R105-S105)/100000000</f>
        <v>57.796782784000008</v>
      </c>
      <c r="V105" s="39">
        <f>E105*G105*(1-N105)*O105/100*(R105+S105)/1000000</f>
        <v>6.7157126400000013</v>
      </c>
      <c r="W105" s="39">
        <f>+'21'!K34/1000</f>
        <v>56.137999999999998</v>
      </c>
      <c r="X105" s="414">
        <f>SUM(W105:W108)/SUM(K105:K108)</f>
        <v>0.85333522648560867</v>
      </c>
      <c r="Y105" s="220">
        <v>0</v>
      </c>
      <c r="Z105" s="39">
        <f>+'21'!D34/1000</f>
        <v>0.82299999999999995</v>
      </c>
      <c r="AA105" s="51">
        <f>SUM(U105:U108)-SUM(W105:W108)-SUM(Z105:Z108)-SUM(Y105:Y108)</f>
        <v>0.83578278400001027</v>
      </c>
      <c r="AB105" s="51">
        <f>(SUM(K105:K108)-SUM(W105:W108)-SUM(Y105:Y108)-SUM(Z105:Z108)-SUM(AC105:AC108)-SUM(V105:V108))-AA105</f>
        <v>-0.14484870400001393</v>
      </c>
      <c r="AC105" s="39">
        <f>K105-T105</f>
        <v>1.4189260800000199</v>
      </c>
      <c r="AD105" s="39">
        <f t="shared" ref="AD105:AD109" si="42">+AM105+BA105</f>
        <v>0</v>
      </c>
      <c r="AE105" s="238" t="s">
        <v>434</v>
      </c>
      <c r="AF105" s="39">
        <v>0</v>
      </c>
      <c r="AG105" s="39"/>
      <c r="AH105" s="39"/>
      <c r="AI105" s="455"/>
      <c r="AJ105" s="39"/>
      <c r="AK105" s="39"/>
      <c r="AL105" s="39"/>
      <c r="AM105" s="39">
        <f t="shared" ref="AM105:AM107" si="43">SUM(AF105:AL105)+AT105+AV105+AX105</f>
        <v>0</v>
      </c>
      <c r="AN105" s="39"/>
      <c r="AO105" s="39"/>
      <c r="AP105" s="39"/>
      <c r="AQ105" s="39"/>
      <c r="AR105" s="39">
        <f t="shared" ref="AR105:AR107" si="44">SUM(AN105:AQ105)</f>
        <v>0</v>
      </c>
      <c r="AS105" s="39"/>
      <c r="AT105" s="39"/>
      <c r="AU105" s="39"/>
      <c r="AV105" s="39"/>
      <c r="AW105" s="39"/>
      <c r="AX105" s="39"/>
      <c r="AY105" s="39"/>
      <c r="AZ105" s="39"/>
      <c r="BA105" s="39">
        <f t="shared" ref="BA105:BA107" si="45">+AR105+AS105+AU105+AW105+AY105+AZ105</f>
        <v>0</v>
      </c>
      <c r="BB105" s="35">
        <v>0</v>
      </c>
      <c r="BC105" s="53"/>
      <c r="BD105" s="53"/>
      <c r="BE105" s="35"/>
      <c r="BF105" s="53"/>
    </row>
    <row r="106" spans="1:58" ht="12.95" customHeight="1">
      <c r="A106" s="343"/>
      <c r="B106" s="43"/>
      <c r="C106" s="447"/>
      <c r="D106" s="43"/>
      <c r="E106" s="44"/>
      <c r="F106" s="44"/>
      <c r="G106" s="459"/>
      <c r="H106" s="46"/>
      <c r="I106" s="47"/>
      <c r="J106" s="88"/>
      <c r="K106" s="88"/>
      <c r="L106" s="37"/>
      <c r="M106" s="37"/>
      <c r="N106" s="48"/>
      <c r="O106" s="49"/>
      <c r="P106" s="50"/>
      <c r="Q106" s="49"/>
      <c r="R106" s="417"/>
      <c r="S106" s="417"/>
      <c r="T106" s="39"/>
      <c r="U106" s="39"/>
      <c r="V106" s="39"/>
      <c r="W106" s="39"/>
      <c r="X106" s="40"/>
      <c r="Y106" s="220"/>
      <c r="Z106" s="39"/>
      <c r="AA106" s="39"/>
      <c r="AB106" s="39"/>
      <c r="AC106" s="39"/>
      <c r="AD106" s="39">
        <f t="shared" si="42"/>
        <v>19</v>
      </c>
      <c r="AE106" s="238" t="s">
        <v>782</v>
      </c>
      <c r="AF106" s="39"/>
      <c r="AG106" s="39">
        <v>19</v>
      </c>
      <c r="AH106" s="39"/>
      <c r="AI106" s="455"/>
      <c r="AJ106" s="39"/>
      <c r="AK106" s="39"/>
      <c r="AL106" s="39"/>
      <c r="AM106" s="39">
        <f t="shared" si="43"/>
        <v>19</v>
      </c>
      <c r="AN106" s="89"/>
      <c r="AO106" s="39"/>
      <c r="AP106" s="39"/>
      <c r="AQ106" s="39"/>
      <c r="AR106" s="39">
        <f t="shared" si="44"/>
        <v>0</v>
      </c>
      <c r="AS106" s="39"/>
      <c r="AT106" s="39"/>
      <c r="AU106" s="39"/>
      <c r="AV106" s="39"/>
      <c r="AW106" s="39"/>
      <c r="AX106" s="39"/>
      <c r="AY106" s="39"/>
      <c r="AZ106" s="39"/>
      <c r="BA106" s="39">
        <f t="shared" si="45"/>
        <v>0</v>
      </c>
      <c r="BB106" s="52"/>
      <c r="BC106" s="53">
        <v>13</v>
      </c>
      <c r="BD106" s="53"/>
      <c r="BE106" s="52"/>
      <c r="BF106" s="53"/>
    </row>
    <row r="107" spans="1:58" ht="12.95" customHeight="1">
      <c r="A107" s="42"/>
      <c r="B107" s="43"/>
      <c r="C107" s="447"/>
      <c r="D107" s="43"/>
      <c r="E107" s="44"/>
      <c r="F107" s="44"/>
      <c r="G107" s="45"/>
      <c r="H107" s="46"/>
      <c r="I107" s="47"/>
      <c r="J107" s="88"/>
      <c r="K107" s="88"/>
      <c r="L107" s="37"/>
      <c r="M107" s="37"/>
      <c r="N107" s="48"/>
      <c r="O107" s="49"/>
      <c r="P107" s="50"/>
      <c r="Q107" s="49"/>
      <c r="R107" s="417"/>
      <c r="S107" s="417"/>
      <c r="T107" s="39"/>
      <c r="U107" s="39"/>
      <c r="V107" s="39"/>
      <c r="W107" s="39"/>
      <c r="X107" s="40"/>
      <c r="Y107" s="220"/>
      <c r="Z107" s="39"/>
      <c r="AA107" s="39"/>
      <c r="AB107" s="39"/>
      <c r="AC107" s="39"/>
      <c r="AD107" s="39">
        <f t="shared" si="42"/>
        <v>28</v>
      </c>
      <c r="AE107" s="238" t="s">
        <v>466</v>
      </c>
      <c r="AF107" s="35"/>
      <c r="AG107" s="35"/>
      <c r="AH107" s="35">
        <v>28</v>
      </c>
      <c r="AI107" s="455"/>
      <c r="AJ107" s="39"/>
      <c r="AK107" s="39"/>
      <c r="AL107" s="39"/>
      <c r="AM107" s="39">
        <f t="shared" si="43"/>
        <v>28</v>
      </c>
      <c r="AN107" s="39"/>
      <c r="AO107" s="39"/>
      <c r="AP107" s="39"/>
      <c r="AQ107" s="39"/>
      <c r="AR107" s="39">
        <f t="shared" si="44"/>
        <v>0</v>
      </c>
      <c r="AS107" s="39"/>
      <c r="AT107" s="39"/>
      <c r="AU107" s="39"/>
      <c r="AV107" s="39"/>
      <c r="AW107" s="39"/>
      <c r="AX107" s="39"/>
      <c r="AY107" s="39"/>
      <c r="AZ107" s="39"/>
      <c r="BA107" s="39">
        <f t="shared" si="45"/>
        <v>0</v>
      </c>
      <c r="BB107" s="35"/>
      <c r="BC107" s="55"/>
      <c r="BD107" s="55"/>
      <c r="BE107" s="35"/>
      <c r="BF107" s="55"/>
    </row>
    <row r="108" spans="1:58" ht="12.95" customHeight="1">
      <c r="A108" s="42"/>
      <c r="B108" s="43"/>
      <c r="C108" s="447"/>
      <c r="D108" s="43"/>
      <c r="E108" s="44"/>
      <c r="F108" s="44"/>
      <c r="G108" s="45"/>
      <c r="H108" s="46"/>
      <c r="I108" s="47"/>
      <c r="J108" s="88"/>
      <c r="K108" s="88"/>
      <c r="L108" s="37"/>
      <c r="M108" s="37"/>
      <c r="N108" s="48"/>
      <c r="O108" s="49"/>
      <c r="P108" s="50"/>
      <c r="Q108" s="49"/>
      <c r="R108" s="417"/>
      <c r="S108" s="417"/>
      <c r="T108" s="39"/>
      <c r="U108" s="39"/>
      <c r="V108" s="39"/>
      <c r="W108" s="39"/>
      <c r="X108" s="40"/>
      <c r="Y108" s="220"/>
      <c r="Z108" s="39"/>
      <c r="AA108" s="39"/>
      <c r="AB108" s="39"/>
      <c r="AC108" s="39"/>
      <c r="AD108" s="39">
        <f t="shared" si="42"/>
        <v>86</v>
      </c>
      <c r="AE108" s="241" t="s">
        <v>781</v>
      </c>
      <c r="AF108" s="35"/>
      <c r="AG108" s="35"/>
      <c r="AH108" s="35"/>
      <c r="AI108" s="455"/>
      <c r="AJ108" s="39"/>
      <c r="AK108" s="39">
        <v>86</v>
      </c>
      <c r="AL108" s="39"/>
      <c r="AM108" s="39">
        <f t="shared" ref="AM108:AM109" si="46">SUM(AF108:AL108)+AT108+AV108+AX108</f>
        <v>86</v>
      </c>
      <c r="AN108" s="39"/>
      <c r="AO108" s="39"/>
      <c r="AP108" s="39"/>
      <c r="AQ108" s="39"/>
      <c r="AR108" s="39">
        <f t="shared" ref="AR108:AR109" si="47">SUM(AN108:AQ108)</f>
        <v>0</v>
      </c>
      <c r="AS108" s="39"/>
      <c r="AT108" s="39"/>
      <c r="AU108" s="39"/>
      <c r="AV108" s="39"/>
      <c r="AW108" s="39"/>
      <c r="AX108" s="39"/>
      <c r="AY108" s="39"/>
      <c r="AZ108" s="39"/>
      <c r="BA108" s="39">
        <f t="shared" ref="BA108:BA109" si="48">+AR108+AS108+AU108+AW108+AY108+AZ108</f>
        <v>0</v>
      </c>
      <c r="BB108" s="35"/>
      <c r="BC108" s="55"/>
      <c r="BD108" s="55"/>
      <c r="BE108" s="35"/>
      <c r="BF108" s="55"/>
    </row>
    <row r="109" spans="1:58" ht="12.95" customHeight="1">
      <c r="A109" s="343"/>
      <c r="B109" s="43"/>
      <c r="C109" s="447"/>
      <c r="D109" s="43"/>
      <c r="E109" s="44"/>
      <c r="F109" s="44"/>
      <c r="G109" s="459"/>
      <c r="H109" s="46"/>
      <c r="I109" s="47"/>
      <c r="J109" s="88"/>
      <c r="K109" s="88"/>
      <c r="L109" s="37"/>
      <c r="M109" s="37"/>
      <c r="N109" s="48"/>
      <c r="O109" s="49"/>
      <c r="P109" s="50"/>
      <c r="Q109" s="49"/>
      <c r="R109" s="417"/>
      <c r="S109" s="417"/>
      <c r="T109" s="39"/>
      <c r="U109" s="39"/>
      <c r="V109" s="39"/>
      <c r="W109" s="39"/>
      <c r="X109" s="414"/>
      <c r="Y109" s="220"/>
      <c r="Z109" s="39"/>
      <c r="AA109" s="51"/>
      <c r="AB109" s="51"/>
      <c r="AC109" s="39"/>
      <c r="AD109" s="39">
        <f t="shared" si="42"/>
        <v>14</v>
      </c>
      <c r="AE109" s="241" t="s">
        <v>771</v>
      </c>
      <c r="AF109" s="35"/>
      <c r="AG109" s="35"/>
      <c r="AH109" s="35"/>
      <c r="AI109" s="455"/>
      <c r="AJ109" s="39">
        <v>14</v>
      </c>
      <c r="AK109" s="39"/>
      <c r="AL109" s="39"/>
      <c r="AM109" s="39">
        <f t="shared" si="46"/>
        <v>14</v>
      </c>
      <c r="AN109" s="39"/>
      <c r="AO109" s="39"/>
      <c r="AP109" s="39"/>
      <c r="AQ109" s="39"/>
      <c r="AR109" s="39">
        <f t="shared" si="47"/>
        <v>0</v>
      </c>
      <c r="AS109" s="39"/>
      <c r="AT109" s="39"/>
      <c r="AU109" s="39"/>
      <c r="AV109" s="39"/>
      <c r="AW109" s="39"/>
      <c r="AX109" s="39"/>
      <c r="AY109" s="39"/>
      <c r="AZ109" s="39"/>
      <c r="BA109" s="39">
        <f t="shared" si="48"/>
        <v>0</v>
      </c>
      <c r="BB109" s="35"/>
      <c r="BC109" s="55"/>
      <c r="BD109" s="55"/>
      <c r="BE109" s="35"/>
      <c r="BF109" s="55"/>
    </row>
    <row r="110" spans="1:58" ht="12.95" customHeight="1">
      <c r="A110" s="42"/>
      <c r="B110" s="43"/>
      <c r="C110" s="447"/>
      <c r="D110" s="43"/>
      <c r="E110" s="44"/>
      <c r="F110" s="44"/>
      <c r="G110" s="459"/>
      <c r="H110" s="46"/>
      <c r="I110" s="47"/>
      <c r="J110" s="88"/>
      <c r="K110" s="88"/>
      <c r="L110" s="37"/>
      <c r="M110" s="37"/>
      <c r="N110" s="48"/>
      <c r="O110" s="49"/>
      <c r="P110" s="50"/>
      <c r="Q110" s="49"/>
      <c r="R110" s="417"/>
      <c r="S110" s="417"/>
      <c r="T110" s="39"/>
      <c r="U110" s="39"/>
      <c r="V110" s="39"/>
      <c r="W110" s="39"/>
      <c r="X110" s="40"/>
      <c r="Y110" s="220"/>
      <c r="Z110" s="39"/>
      <c r="AA110" s="39"/>
      <c r="AB110" s="39"/>
      <c r="AC110" s="39"/>
      <c r="AD110" s="39"/>
      <c r="AE110" s="238"/>
      <c r="AF110" s="35"/>
      <c r="AG110" s="35"/>
      <c r="AH110" s="35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5"/>
      <c r="BC110" s="55"/>
      <c r="BD110" s="53"/>
      <c r="BE110" s="53"/>
      <c r="BF110" s="53"/>
    </row>
    <row r="111" spans="1:58" ht="12.95" customHeight="1">
      <c r="A111" s="42">
        <v>45983</v>
      </c>
      <c r="B111" s="43" t="s">
        <v>517</v>
      </c>
      <c r="C111" s="447">
        <f>(M111*E111*O111*Q111)/100000000</f>
        <v>64.625633280000002</v>
      </c>
      <c r="D111" s="43" t="s">
        <v>489</v>
      </c>
      <c r="E111" s="44">
        <v>13</v>
      </c>
      <c r="F111" s="44">
        <v>1</v>
      </c>
      <c r="G111" s="459">
        <v>1700</v>
      </c>
      <c r="H111" s="46">
        <v>0.24</v>
      </c>
      <c r="I111" s="47">
        <v>0.88</v>
      </c>
      <c r="J111" s="88">
        <f>E111*G111*(1-H111)*1440/1000000*2.77</f>
        <v>66.995884799999999</v>
      </c>
      <c r="K111" s="88">
        <f>(IF(G111&lt;L111,L111,G111)*(1-IF(H111&lt;N111,H111,N111))*E111*O111*Q111)/100000000</f>
        <v>65.786572800000002</v>
      </c>
      <c r="L111" s="37">
        <v>1670</v>
      </c>
      <c r="M111" s="37">
        <v>1269.2</v>
      </c>
      <c r="N111" s="48">
        <f>1-(M111/L111)</f>
        <v>0.24</v>
      </c>
      <c r="O111" s="49">
        <f>+'Trim Rwd'!H88</f>
        <v>272</v>
      </c>
      <c r="P111" s="50">
        <f>O111*(Q111-R111-S111)</f>
        <v>318240</v>
      </c>
      <c r="Q111" s="49">
        <v>1440</v>
      </c>
      <c r="R111" s="417">
        <v>222</v>
      </c>
      <c r="S111" s="417">
        <v>48</v>
      </c>
      <c r="T111" s="39">
        <f>E111*M111*O111*Q111/100000000</f>
        <v>64.625633280000002</v>
      </c>
      <c r="U111" s="39">
        <f>E111*M111*O111*(Q111-R111-S111)/100000000</f>
        <v>52.508327039999998</v>
      </c>
      <c r="V111" s="39">
        <f>E111*G111*(1-N111)*O111/100*(R111+S111)/1000000</f>
        <v>12.334982400000001</v>
      </c>
      <c r="W111" s="39">
        <f>+'22'!K34/1000</f>
        <v>54.898000000000003</v>
      </c>
      <c r="X111" s="414">
        <f>SUM(W111:W114)/SUM(K111:K114)</f>
        <v>0.83448639537580538</v>
      </c>
      <c r="Y111" s="220">
        <v>0</v>
      </c>
      <c r="Z111" s="39">
        <f>+'22'!D34/1000</f>
        <v>1.6240000000000001</v>
      </c>
      <c r="AA111" s="51">
        <f>SUM(U111:U114)-SUM(W111:W114)-SUM(Z111:Z114)-SUM(Y111:Y114)</f>
        <v>-4.0136729600000063</v>
      </c>
      <c r="AB111" s="51">
        <f>(SUM(K111:K114)-SUM(W111:W114)-SUM(Y111:Y114)-SUM(Z111:Z114)-SUM(AC111:AC114)-SUM(V111:V114))-AA111</f>
        <v>-0.21767615999999634</v>
      </c>
      <c r="AC111" s="39">
        <f>K111-T111</f>
        <v>1.1609395199999994</v>
      </c>
      <c r="AD111" s="39">
        <f t="shared" ref="AD111:AD114" si="49">+AM111+BA111</f>
        <v>10</v>
      </c>
      <c r="AE111" s="238" t="s">
        <v>414</v>
      </c>
      <c r="AF111" s="39">
        <v>10</v>
      </c>
      <c r="AG111" s="39"/>
      <c r="AH111" s="39"/>
      <c r="AI111" s="455"/>
      <c r="AJ111" s="39"/>
      <c r="AK111" s="39"/>
      <c r="AL111" s="39"/>
      <c r="AM111" s="39">
        <f t="shared" ref="AM111:AM113" si="50">SUM(AF111:AL111)+AT111+AV111+AX111</f>
        <v>10</v>
      </c>
      <c r="AN111" s="39"/>
      <c r="AO111" s="39"/>
      <c r="AP111" s="39"/>
      <c r="AQ111" s="39"/>
      <c r="AR111" s="39">
        <f t="shared" ref="AR111:AR113" si="51">SUM(AN111:AQ111)</f>
        <v>0</v>
      </c>
      <c r="AS111" s="39"/>
      <c r="AT111" s="39"/>
      <c r="AU111" s="39"/>
      <c r="AV111" s="39"/>
      <c r="AW111" s="39"/>
      <c r="AX111" s="39"/>
      <c r="AY111" s="39"/>
      <c r="AZ111" s="39"/>
      <c r="BA111" s="39">
        <f t="shared" ref="BA111:BA114" si="52">+AR111+AS111+AU111+AW111+AY111+AZ111</f>
        <v>0</v>
      </c>
      <c r="BB111" s="35">
        <v>2</v>
      </c>
      <c r="BC111" s="53"/>
      <c r="BD111" s="53"/>
      <c r="BE111" s="35"/>
      <c r="BF111" s="53"/>
    </row>
    <row r="112" spans="1:58" ht="12.95" customHeight="1">
      <c r="A112" s="343"/>
      <c r="B112" s="43"/>
      <c r="C112" s="447"/>
      <c r="D112" s="43"/>
      <c r="E112" s="44"/>
      <c r="F112" s="44"/>
      <c r="G112" s="459"/>
      <c r="H112" s="46"/>
      <c r="I112" s="47"/>
      <c r="J112" s="88"/>
      <c r="K112" s="88"/>
      <c r="L112" s="37"/>
      <c r="M112" s="37"/>
      <c r="N112" s="48"/>
      <c r="O112" s="49"/>
      <c r="P112" s="50"/>
      <c r="Q112" s="49"/>
      <c r="R112" s="417"/>
      <c r="S112" s="417"/>
      <c r="T112" s="39"/>
      <c r="U112" s="39"/>
      <c r="V112" s="39"/>
      <c r="W112" s="39"/>
      <c r="X112" s="40"/>
      <c r="Y112" s="220"/>
      <c r="Z112" s="39"/>
      <c r="AA112" s="39"/>
      <c r="AB112" s="39"/>
      <c r="AC112" s="39"/>
      <c r="AD112" s="39">
        <f t="shared" si="49"/>
        <v>13</v>
      </c>
      <c r="AE112" s="238" t="s">
        <v>592</v>
      </c>
      <c r="AF112" s="39"/>
      <c r="AG112" s="39">
        <v>13</v>
      </c>
      <c r="AH112" s="39"/>
      <c r="AI112" s="455"/>
      <c r="AJ112" s="39"/>
      <c r="AK112" s="39"/>
      <c r="AL112" s="39"/>
      <c r="AM112" s="39">
        <f t="shared" si="50"/>
        <v>13</v>
      </c>
      <c r="AN112" s="89"/>
      <c r="AO112" s="39"/>
      <c r="AP112" s="39"/>
      <c r="AQ112" s="39"/>
      <c r="AR112" s="39">
        <f t="shared" si="51"/>
        <v>0</v>
      </c>
      <c r="AS112" s="39"/>
      <c r="AT112" s="39"/>
      <c r="AU112" s="39"/>
      <c r="AV112" s="39"/>
      <c r="AW112" s="39"/>
      <c r="AX112" s="39"/>
      <c r="AY112" s="39"/>
      <c r="AZ112" s="39"/>
      <c r="BA112" s="39">
        <f t="shared" si="52"/>
        <v>0</v>
      </c>
      <c r="BB112" s="52"/>
      <c r="BC112" s="53">
        <v>11</v>
      </c>
      <c r="BD112" s="53"/>
      <c r="BE112" s="52"/>
      <c r="BF112" s="53"/>
    </row>
    <row r="113" spans="1:58" ht="12.95" customHeight="1">
      <c r="A113" s="42"/>
      <c r="B113" s="43"/>
      <c r="C113" s="447"/>
      <c r="D113" s="43"/>
      <c r="E113" s="44"/>
      <c r="F113" s="44"/>
      <c r="G113" s="45"/>
      <c r="H113" s="46"/>
      <c r="I113" s="47"/>
      <c r="J113" s="88"/>
      <c r="K113" s="88"/>
      <c r="L113" s="37"/>
      <c r="M113" s="37"/>
      <c r="N113" s="48"/>
      <c r="O113" s="49"/>
      <c r="P113" s="50"/>
      <c r="Q113" s="49"/>
      <c r="R113" s="417"/>
      <c r="S113" s="417"/>
      <c r="T113" s="39"/>
      <c r="U113" s="39"/>
      <c r="V113" s="39"/>
      <c r="W113" s="39"/>
      <c r="X113" s="40"/>
      <c r="Y113" s="220"/>
      <c r="Z113" s="39"/>
      <c r="AA113" s="39"/>
      <c r="AB113" s="39"/>
      <c r="AC113" s="39"/>
      <c r="AD113" s="39">
        <f t="shared" si="49"/>
        <v>25</v>
      </c>
      <c r="AE113" s="238" t="s">
        <v>796</v>
      </c>
      <c r="AF113" s="35"/>
      <c r="AG113" s="35"/>
      <c r="AH113" s="35">
        <v>25</v>
      </c>
      <c r="AI113" s="455"/>
      <c r="AJ113" s="39"/>
      <c r="AK113" s="39"/>
      <c r="AL113" s="39"/>
      <c r="AM113" s="39">
        <f t="shared" si="50"/>
        <v>25</v>
      </c>
      <c r="AN113" s="39"/>
      <c r="AO113" s="39"/>
      <c r="AP113" s="39"/>
      <c r="AQ113" s="39"/>
      <c r="AR113" s="39">
        <f t="shared" si="51"/>
        <v>0</v>
      </c>
      <c r="AS113" s="39"/>
      <c r="AT113" s="39"/>
      <c r="AU113" s="39"/>
      <c r="AV113" s="39"/>
      <c r="AW113" s="39"/>
      <c r="AX113" s="39"/>
      <c r="AY113" s="39"/>
      <c r="AZ113" s="39"/>
      <c r="BA113" s="39">
        <f t="shared" si="52"/>
        <v>0</v>
      </c>
      <c r="BB113" s="35"/>
      <c r="BC113" s="55"/>
      <c r="BD113" s="55"/>
      <c r="BE113" s="35"/>
      <c r="BF113" s="55"/>
    </row>
    <row r="114" spans="1:58" ht="12.95" customHeight="1">
      <c r="A114" s="42"/>
      <c r="B114" s="43"/>
      <c r="C114" s="447"/>
      <c r="D114" s="43"/>
      <c r="E114" s="44"/>
      <c r="F114" s="44"/>
      <c r="G114" s="45"/>
      <c r="H114" s="46"/>
      <c r="I114" s="47"/>
      <c r="J114" s="88"/>
      <c r="K114" s="88"/>
      <c r="L114" s="37"/>
      <c r="M114" s="37"/>
      <c r="N114" s="48"/>
      <c r="O114" s="49"/>
      <c r="P114" s="50"/>
      <c r="Q114" s="49"/>
      <c r="R114" s="417"/>
      <c r="S114" s="417"/>
      <c r="T114" s="39"/>
      <c r="U114" s="39"/>
      <c r="V114" s="39"/>
      <c r="W114" s="39"/>
      <c r="X114" s="40"/>
      <c r="Y114" s="220"/>
      <c r="Z114" s="39"/>
      <c r="AA114" s="39"/>
      <c r="AB114" s="39"/>
      <c r="AC114" s="39"/>
      <c r="AD114" s="39">
        <f t="shared" si="49"/>
        <v>222</v>
      </c>
      <c r="AE114" s="241" t="s">
        <v>797</v>
      </c>
      <c r="AF114" s="35"/>
      <c r="AG114" s="35"/>
      <c r="AH114" s="35"/>
      <c r="AI114" s="455"/>
      <c r="AJ114" s="39"/>
      <c r="AK114" s="39"/>
      <c r="AL114" s="39"/>
      <c r="AM114" s="39">
        <f t="shared" ref="AM114" si="53">SUM(AF114:AL114)+AT114+AV114+AX114</f>
        <v>0</v>
      </c>
      <c r="AN114" s="39"/>
      <c r="AO114" s="39">
        <v>222</v>
      </c>
      <c r="AP114" s="39"/>
      <c r="AQ114" s="39"/>
      <c r="AR114" s="39">
        <f t="shared" ref="AR114" si="54">SUM(AN114:AQ114)</f>
        <v>222</v>
      </c>
      <c r="AS114" s="39"/>
      <c r="AT114" s="39"/>
      <c r="AU114" s="39"/>
      <c r="AV114" s="39"/>
      <c r="AW114" s="39"/>
      <c r="AX114" s="39"/>
      <c r="AY114" s="39"/>
      <c r="AZ114" s="39"/>
      <c r="BA114" s="39">
        <f t="shared" si="52"/>
        <v>222</v>
      </c>
      <c r="BB114" s="35"/>
      <c r="BC114" s="55"/>
      <c r="BD114" s="55"/>
      <c r="BE114" s="35"/>
      <c r="BF114" s="55"/>
    </row>
    <row r="115" spans="1:58" ht="12.95" customHeight="1">
      <c r="A115" s="42"/>
      <c r="B115" s="43"/>
      <c r="C115" s="447"/>
      <c r="D115" s="43"/>
      <c r="E115" s="44"/>
      <c r="F115" s="44"/>
      <c r="G115" s="459"/>
      <c r="H115" s="46"/>
      <c r="I115" s="47"/>
      <c r="J115" s="88"/>
      <c r="K115" s="88"/>
      <c r="L115" s="37"/>
      <c r="M115" s="37"/>
      <c r="N115" s="48"/>
      <c r="O115" s="49"/>
      <c r="P115" s="50"/>
      <c r="Q115" s="49"/>
      <c r="R115" s="417"/>
      <c r="S115" s="417"/>
      <c r="T115" s="39"/>
      <c r="U115" s="39"/>
      <c r="V115" s="39"/>
      <c r="W115" s="39"/>
      <c r="X115" s="40"/>
      <c r="Y115" s="220"/>
      <c r="Z115" s="39"/>
      <c r="AA115" s="39"/>
      <c r="AB115" s="39"/>
      <c r="AC115" s="39"/>
      <c r="AD115" s="39"/>
      <c r="AE115" s="238"/>
      <c r="AF115" s="35"/>
      <c r="AG115" s="35"/>
      <c r="AH115" s="35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5"/>
      <c r="BC115" s="55"/>
      <c r="BD115" s="53"/>
      <c r="BE115" s="53"/>
      <c r="BF115" s="53"/>
    </row>
    <row r="116" spans="1:58" ht="12.95" customHeight="1">
      <c r="A116" s="42">
        <v>45984</v>
      </c>
      <c r="B116" s="43" t="s">
        <v>517</v>
      </c>
      <c r="C116" s="447">
        <f>(M116*E116*O116*Q116)/100000000</f>
        <v>64.148263988321176</v>
      </c>
      <c r="D116" s="43" t="s">
        <v>489</v>
      </c>
      <c r="E116" s="44">
        <v>13</v>
      </c>
      <c r="F116" s="44">
        <v>1</v>
      </c>
      <c r="G116" s="459">
        <v>1700</v>
      </c>
      <c r="H116" s="46">
        <v>0.24</v>
      </c>
      <c r="I116" s="47">
        <v>0.88</v>
      </c>
      <c r="J116" s="88">
        <f>E116*G116*(1-H116)*1440/1000000*2.77</f>
        <v>66.995884799999999</v>
      </c>
      <c r="K116" s="88">
        <f>(IF(G116&lt;L116,L116,G116)*(1-IF(H116&lt;N116,H116,N116))*E116*O116*Q116)/100000000</f>
        <v>65.786572800000002</v>
      </c>
      <c r="L116" s="37">
        <v>1657.6642335766423</v>
      </c>
      <c r="M116" s="37">
        <v>1259.8248175182482</v>
      </c>
      <c r="N116" s="48">
        <f>1-(M116/L116)</f>
        <v>0.24</v>
      </c>
      <c r="O116" s="49">
        <f>+'Trim Rwd'!H90</f>
        <v>272</v>
      </c>
      <c r="P116" s="50">
        <f>O116*(Q116-R116-S116)</f>
        <v>353600</v>
      </c>
      <c r="Q116" s="49">
        <v>1440</v>
      </c>
      <c r="R116" s="417">
        <v>70</v>
      </c>
      <c r="S116" s="417">
        <v>70</v>
      </c>
      <c r="T116" s="39">
        <f>E116*M116*O116*Q116/100000000</f>
        <v>64.148263988321176</v>
      </c>
      <c r="U116" s="39">
        <f>E116*M116*O116*(Q116-R116-S116)/100000000</f>
        <v>57.911627211678841</v>
      </c>
      <c r="V116" s="39">
        <f>E116*G116*(1-N116)*O116/100*(R116+S116)/1000000</f>
        <v>6.3959168000000011</v>
      </c>
      <c r="W116" s="39">
        <f>+'23'!K34/1000</f>
        <v>51.46</v>
      </c>
      <c r="X116" s="414">
        <f>SUM(W116:W119)/SUM(K116:K119)</f>
        <v>0.78222649105684983</v>
      </c>
      <c r="Y116" s="220">
        <v>0</v>
      </c>
      <c r="Z116" s="39">
        <v>0</v>
      </c>
      <c r="AA116" s="51">
        <f>SUM(U116:U119)-SUM(W116:W119)-SUM(Z116:Z119)-SUM(Y116:Y119)</f>
        <v>6.45162721167884</v>
      </c>
      <c r="AB116" s="51">
        <f>(SUM(K116:K119)-SUM(W116:W119)-SUM(Y116:Y119)-SUM(Z116:Z119)-SUM(AC116:AC119)-SUM(V116:V119))-AA116</f>
        <v>-0.15928002335766589</v>
      </c>
      <c r="AC116" s="39">
        <f>K116-T116</f>
        <v>1.6383088116788258</v>
      </c>
      <c r="AD116" s="39">
        <f t="shared" ref="AD116:AD120" si="55">+AM116+BA116</f>
        <v>10</v>
      </c>
      <c r="AE116" s="238" t="s">
        <v>414</v>
      </c>
      <c r="AF116" s="39">
        <v>10</v>
      </c>
      <c r="AG116" s="39"/>
      <c r="AH116" s="39"/>
      <c r="AI116" s="455"/>
      <c r="AJ116" s="39"/>
      <c r="AK116" s="39"/>
      <c r="AL116" s="39"/>
      <c r="AM116" s="39">
        <f t="shared" ref="AM116:AM118" si="56">SUM(AF116:AL116)+AT116+AV116+AX116</f>
        <v>10</v>
      </c>
      <c r="AN116" s="39"/>
      <c r="AO116" s="39"/>
      <c r="AP116" s="39"/>
      <c r="AQ116" s="39"/>
      <c r="AR116" s="39">
        <f t="shared" ref="AR116:AR118" si="57">SUM(AN116:AQ116)</f>
        <v>0</v>
      </c>
      <c r="AS116" s="39"/>
      <c r="AT116" s="39"/>
      <c r="AU116" s="39"/>
      <c r="AV116" s="39"/>
      <c r="AW116" s="39"/>
      <c r="AX116" s="39"/>
      <c r="AY116" s="39"/>
      <c r="AZ116" s="39"/>
      <c r="BA116" s="39">
        <f t="shared" ref="BA116:BA120" si="58">+AR116+AS116+AU116+AW116+AY116+AZ116</f>
        <v>0</v>
      </c>
      <c r="BB116" s="35">
        <v>2</v>
      </c>
      <c r="BC116" s="53"/>
      <c r="BD116" s="53"/>
      <c r="BE116" s="35"/>
      <c r="BF116" s="53"/>
    </row>
    <row r="117" spans="1:58" ht="12.95" customHeight="1">
      <c r="A117" s="343"/>
      <c r="B117" s="43"/>
      <c r="C117" s="447"/>
      <c r="D117" s="43"/>
      <c r="E117" s="44"/>
      <c r="F117" s="44"/>
      <c r="G117" s="459"/>
      <c r="H117" s="46"/>
      <c r="I117" s="47"/>
      <c r="J117" s="88"/>
      <c r="K117" s="88"/>
      <c r="L117" s="37"/>
      <c r="M117" s="37"/>
      <c r="N117" s="48"/>
      <c r="O117" s="49"/>
      <c r="P117" s="50"/>
      <c r="Q117" s="49"/>
      <c r="R117" s="417"/>
      <c r="S117" s="417"/>
      <c r="T117" s="39"/>
      <c r="U117" s="39"/>
      <c r="V117" s="39"/>
      <c r="W117" s="39"/>
      <c r="X117" s="40"/>
      <c r="Y117" s="220"/>
      <c r="Z117" s="39"/>
      <c r="AA117" s="39"/>
      <c r="AB117" s="39"/>
      <c r="AC117" s="39"/>
      <c r="AD117" s="39">
        <f t="shared" si="55"/>
        <v>16</v>
      </c>
      <c r="AE117" s="238" t="s">
        <v>782</v>
      </c>
      <c r="AF117" s="39"/>
      <c r="AG117" s="39">
        <v>16</v>
      </c>
      <c r="AH117" s="39"/>
      <c r="AI117" s="455"/>
      <c r="AJ117" s="39"/>
      <c r="AK117" s="39"/>
      <c r="AL117" s="39"/>
      <c r="AM117" s="39">
        <f t="shared" si="56"/>
        <v>16</v>
      </c>
      <c r="AN117" s="89"/>
      <c r="AO117" s="39"/>
      <c r="AP117" s="39"/>
      <c r="AQ117" s="39"/>
      <c r="AR117" s="39">
        <f t="shared" si="57"/>
        <v>0</v>
      </c>
      <c r="AS117" s="39"/>
      <c r="AT117" s="39"/>
      <c r="AU117" s="39"/>
      <c r="AV117" s="39"/>
      <c r="AW117" s="39"/>
      <c r="AX117" s="39"/>
      <c r="AY117" s="39"/>
      <c r="AZ117" s="39"/>
      <c r="BA117" s="39">
        <f t="shared" si="58"/>
        <v>0</v>
      </c>
      <c r="BB117" s="52"/>
      <c r="BC117" s="53">
        <v>13</v>
      </c>
      <c r="BD117" s="53"/>
      <c r="BE117" s="52"/>
      <c r="BF117" s="53"/>
    </row>
    <row r="118" spans="1:58" ht="12.95" customHeight="1">
      <c r="A118" s="42"/>
      <c r="B118" s="43"/>
      <c r="C118" s="447"/>
      <c r="D118" s="43"/>
      <c r="E118" s="44"/>
      <c r="F118" s="44"/>
      <c r="G118" s="45"/>
      <c r="H118" s="46"/>
      <c r="I118" s="47"/>
      <c r="J118" s="88"/>
      <c r="K118" s="88"/>
      <c r="L118" s="37"/>
      <c r="M118" s="37"/>
      <c r="N118" s="48"/>
      <c r="O118" s="49"/>
      <c r="P118" s="50"/>
      <c r="Q118" s="49"/>
      <c r="R118" s="417"/>
      <c r="S118" s="417"/>
      <c r="T118" s="39"/>
      <c r="U118" s="39"/>
      <c r="V118" s="39"/>
      <c r="W118" s="39"/>
      <c r="X118" s="40"/>
      <c r="Y118" s="220"/>
      <c r="Z118" s="39"/>
      <c r="AA118" s="39"/>
      <c r="AB118" s="39"/>
      <c r="AC118" s="39"/>
      <c r="AD118" s="39">
        <f t="shared" si="55"/>
        <v>24</v>
      </c>
      <c r="AE118" s="238" t="s">
        <v>548</v>
      </c>
      <c r="AF118" s="35"/>
      <c r="AG118" s="35"/>
      <c r="AH118" s="35">
        <v>24</v>
      </c>
      <c r="AI118" s="455"/>
      <c r="AJ118" s="39"/>
      <c r="AK118" s="39"/>
      <c r="AL118" s="39"/>
      <c r="AM118" s="39">
        <f t="shared" si="56"/>
        <v>24</v>
      </c>
      <c r="AN118" s="39"/>
      <c r="AO118" s="39"/>
      <c r="AP118" s="39"/>
      <c r="AQ118" s="39"/>
      <c r="AR118" s="39">
        <f t="shared" si="57"/>
        <v>0</v>
      </c>
      <c r="AS118" s="39"/>
      <c r="AT118" s="39"/>
      <c r="AU118" s="39"/>
      <c r="AV118" s="39"/>
      <c r="AW118" s="39"/>
      <c r="AX118" s="39"/>
      <c r="AY118" s="39"/>
      <c r="AZ118" s="39"/>
      <c r="BA118" s="39">
        <f t="shared" si="58"/>
        <v>0</v>
      </c>
      <c r="BB118" s="35"/>
      <c r="BC118" s="55"/>
      <c r="BD118" s="55"/>
      <c r="BE118" s="35"/>
      <c r="BF118" s="55"/>
    </row>
    <row r="119" spans="1:58" ht="12.95" customHeight="1">
      <c r="A119" s="42"/>
      <c r="B119" s="43"/>
      <c r="C119" s="447"/>
      <c r="D119" s="43"/>
      <c r="E119" s="44"/>
      <c r="F119" s="44"/>
      <c r="G119" s="45"/>
      <c r="H119" s="46"/>
      <c r="I119" s="47"/>
      <c r="J119" s="88"/>
      <c r="K119" s="88"/>
      <c r="L119" s="37"/>
      <c r="M119" s="37"/>
      <c r="N119" s="48"/>
      <c r="O119" s="49"/>
      <c r="P119" s="50"/>
      <c r="Q119" s="49"/>
      <c r="R119" s="417"/>
      <c r="S119" s="417"/>
      <c r="T119" s="39"/>
      <c r="U119" s="39"/>
      <c r="V119" s="39"/>
      <c r="W119" s="39"/>
      <c r="X119" s="40"/>
      <c r="Y119" s="220"/>
      <c r="Z119" s="39"/>
      <c r="AA119" s="39"/>
      <c r="AB119" s="39"/>
      <c r="AC119" s="39"/>
      <c r="AD119" s="39">
        <f t="shared" si="55"/>
        <v>70</v>
      </c>
      <c r="AE119" s="582" t="s">
        <v>798</v>
      </c>
      <c r="AF119" s="35"/>
      <c r="AG119" s="35"/>
      <c r="AH119" s="35"/>
      <c r="AI119" s="455"/>
      <c r="AJ119" s="39"/>
      <c r="AK119" s="39"/>
      <c r="AL119" s="39"/>
      <c r="AM119" s="39">
        <f t="shared" ref="AM119:AM120" si="59">SUM(AF119:AL119)+AT119+AV119+AX119</f>
        <v>0</v>
      </c>
      <c r="AN119" s="39"/>
      <c r="AO119" s="39">
        <v>70</v>
      </c>
      <c r="AP119" s="39"/>
      <c r="AQ119" s="39"/>
      <c r="AR119" s="39">
        <f t="shared" ref="AR119:AR120" si="60">SUM(AN119:AQ119)</f>
        <v>70</v>
      </c>
      <c r="AS119" s="39"/>
      <c r="AT119" s="39"/>
      <c r="AU119" s="39"/>
      <c r="AV119" s="39"/>
      <c r="AW119" s="39"/>
      <c r="AX119" s="39"/>
      <c r="AY119" s="39"/>
      <c r="AZ119" s="39"/>
      <c r="BA119" s="39">
        <f t="shared" si="58"/>
        <v>70</v>
      </c>
      <c r="BB119" s="35"/>
      <c r="BC119" s="55"/>
      <c r="BD119" s="55"/>
      <c r="BE119" s="35"/>
      <c r="BF119" s="55"/>
    </row>
    <row r="120" spans="1:58" ht="12.95" customHeight="1">
      <c r="A120" s="343"/>
      <c r="B120" s="43"/>
      <c r="C120" s="447"/>
      <c r="D120" s="43"/>
      <c r="E120" s="44"/>
      <c r="F120" s="44"/>
      <c r="G120" s="459"/>
      <c r="H120" s="46"/>
      <c r="I120" s="47"/>
      <c r="J120" s="88"/>
      <c r="K120" s="88"/>
      <c r="L120" s="37"/>
      <c r="M120" s="37"/>
      <c r="N120" s="48"/>
      <c r="O120" s="49"/>
      <c r="P120" s="50"/>
      <c r="Q120" s="49"/>
      <c r="R120" s="417"/>
      <c r="S120" s="417"/>
      <c r="T120" s="39"/>
      <c r="U120" s="39"/>
      <c r="V120" s="39"/>
      <c r="W120" s="39"/>
      <c r="X120" s="414"/>
      <c r="Y120" s="220"/>
      <c r="Z120" s="39"/>
      <c r="AA120" s="51"/>
      <c r="AB120" s="51"/>
      <c r="AC120" s="39"/>
      <c r="AD120" s="39">
        <f t="shared" si="55"/>
        <v>20</v>
      </c>
      <c r="AE120" s="241" t="s">
        <v>799</v>
      </c>
      <c r="AF120" s="35"/>
      <c r="AG120" s="35"/>
      <c r="AH120" s="35"/>
      <c r="AI120" s="455"/>
      <c r="AJ120" s="39">
        <v>20</v>
      </c>
      <c r="AK120" s="39"/>
      <c r="AL120" s="39"/>
      <c r="AM120" s="39">
        <f t="shared" si="59"/>
        <v>20</v>
      </c>
      <c r="AN120" s="39"/>
      <c r="AO120" s="39"/>
      <c r="AP120" s="39"/>
      <c r="AQ120" s="39"/>
      <c r="AR120" s="39">
        <f t="shared" si="60"/>
        <v>0</v>
      </c>
      <c r="AS120" s="39"/>
      <c r="AT120" s="39"/>
      <c r="AU120" s="39"/>
      <c r="AV120" s="39"/>
      <c r="AW120" s="39"/>
      <c r="AX120" s="39"/>
      <c r="AY120" s="39"/>
      <c r="AZ120" s="39"/>
      <c r="BA120" s="39">
        <f t="shared" si="58"/>
        <v>0</v>
      </c>
      <c r="BB120" s="35"/>
      <c r="BC120" s="55"/>
      <c r="BD120" s="55"/>
      <c r="BE120" s="35"/>
      <c r="BF120" s="55"/>
    </row>
    <row r="121" spans="1:58" ht="12.95" customHeight="1">
      <c r="A121" s="42"/>
      <c r="B121" s="43"/>
      <c r="C121" s="447"/>
      <c r="D121" s="43"/>
      <c r="E121" s="44"/>
      <c r="F121" s="44"/>
      <c r="G121" s="459"/>
      <c r="H121" s="46"/>
      <c r="I121" s="47"/>
      <c r="J121" s="88"/>
      <c r="K121" s="88"/>
      <c r="L121" s="37"/>
      <c r="M121" s="37"/>
      <c r="N121" s="48"/>
      <c r="O121" s="49"/>
      <c r="P121" s="50"/>
      <c r="Q121" s="49"/>
      <c r="R121" s="417"/>
      <c r="S121" s="417"/>
      <c r="T121" s="39"/>
      <c r="U121" s="39"/>
      <c r="V121" s="39"/>
      <c r="W121" s="39"/>
      <c r="X121" s="40"/>
      <c r="Y121" s="220"/>
      <c r="Z121" s="39"/>
      <c r="AA121" s="39"/>
      <c r="AB121" s="39"/>
      <c r="AC121" s="39"/>
      <c r="AD121" s="39"/>
      <c r="AE121" s="238"/>
      <c r="AF121" s="35"/>
      <c r="AG121" s="35"/>
      <c r="AH121" s="35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5"/>
      <c r="BC121" s="55"/>
      <c r="BD121" s="53"/>
      <c r="BE121" s="53"/>
      <c r="BF121" s="53"/>
    </row>
    <row r="122" spans="1:58" ht="12.95" customHeight="1">
      <c r="A122" s="42">
        <v>45985</v>
      </c>
      <c r="B122" s="43" t="s">
        <v>517</v>
      </c>
      <c r="C122" s="447">
        <f>(M122*E122*O122*Q122)/100000000</f>
        <v>39.848608800000001</v>
      </c>
      <c r="D122" s="43" t="s">
        <v>489</v>
      </c>
      <c r="E122" s="44">
        <v>13</v>
      </c>
      <c r="F122" s="44">
        <v>1</v>
      </c>
      <c r="G122" s="459">
        <v>1700</v>
      </c>
      <c r="H122" s="46">
        <v>0.24</v>
      </c>
      <c r="I122" s="47">
        <v>0.88</v>
      </c>
      <c r="J122" s="88">
        <f>E122*G122*(1-H122)*1440/1000000*2.77</f>
        <v>66.995884799999999</v>
      </c>
      <c r="K122" s="88">
        <f>(IF(G122&lt;L122,L122,G122)*(1-IF(H122&lt;N122,H122,N122))*E122*O122*Q122)/100000000</f>
        <v>41.056142400000006</v>
      </c>
      <c r="L122" s="37">
        <v>1650</v>
      </c>
      <c r="M122" s="37">
        <f>+L122-L122*0.24</f>
        <v>1254</v>
      </c>
      <c r="N122" s="48">
        <f>1-(M122/L122)</f>
        <v>0.24</v>
      </c>
      <c r="O122" s="49">
        <f>+'Trim Rwd'!H92</f>
        <v>271.60000000000002</v>
      </c>
      <c r="P122" s="50">
        <f>O122*(Q122-R122-S122)</f>
        <v>230860.00000000003</v>
      </c>
      <c r="Q122" s="49">
        <v>900</v>
      </c>
      <c r="R122" s="417">
        <v>0</v>
      </c>
      <c r="S122" s="417">
        <v>50</v>
      </c>
      <c r="T122" s="39">
        <f>E122*M122*O122*Q122/100000000</f>
        <v>39.848608800000001</v>
      </c>
      <c r="U122" s="39">
        <f>E122*M122*O122*(Q122-R122-S122)/100000000</f>
        <v>37.634797200000001</v>
      </c>
      <c r="V122" s="39">
        <f>E122*G122*(1-N122)*O122/100*(R122+S122)/1000000</f>
        <v>2.2808968000000003</v>
      </c>
      <c r="W122" s="39">
        <f>+'24'!K15/1000</f>
        <v>42.862000000000002</v>
      </c>
      <c r="X122" s="414">
        <f>SUM(W122:W125)/SUM(K122:K125)</f>
        <v>0.89462070011974226</v>
      </c>
      <c r="Y122" s="220">
        <v>0</v>
      </c>
      <c r="Z122" s="39">
        <v>0</v>
      </c>
      <c r="AA122" s="51">
        <f>SUM(U122:U125)-SUM(W122:W125)-SUM(Z122:Z125)-SUM(Y122:Y125)</f>
        <v>4.1978139999997666E-2</v>
      </c>
      <c r="AB122" s="51">
        <f>(SUM(K122:K125)-SUM(W122:W125)-SUM(Y122:Y125)-SUM(Z122:Z125)-SUM(AC122:AC125)-SUM(V122:V125))-AA122</f>
        <v>-0.17064964000000016</v>
      </c>
      <c r="AC122" s="39">
        <f>K122-T122</f>
        <v>1.207533600000005</v>
      </c>
      <c r="AD122" s="39">
        <f t="shared" ref="AD122:AD125" si="61">+AM122+BA122</f>
        <v>20</v>
      </c>
      <c r="AE122" s="238" t="s">
        <v>439</v>
      </c>
      <c r="AF122" s="39">
        <v>20</v>
      </c>
      <c r="AG122" s="39"/>
      <c r="AH122" s="39"/>
      <c r="AI122" s="455"/>
      <c r="AJ122" s="39"/>
      <c r="AK122" s="39"/>
      <c r="AL122" s="39"/>
      <c r="AM122" s="39">
        <f t="shared" ref="AM122:AM124" si="62">SUM(AF122:AL122)+AT122+AV122+AX122</f>
        <v>20</v>
      </c>
      <c r="AN122" s="39"/>
      <c r="AO122" s="39"/>
      <c r="AP122" s="39"/>
      <c r="AQ122" s="39"/>
      <c r="AR122" s="39">
        <f t="shared" ref="AR122:AR124" si="63">SUM(AN122:AQ122)</f>
        <v>0</v>
      </c>
      <c r="AS122" s="39"/>
      <c r="AT122" s="39"/>
      <c r="AU122" s="39"/>
      <c r="AV122" s="39"/>
      <c r="AW122" s="39"/>
      <c r="AX122" s="39"/>
      <c r="AY122" s="39"/>
      <c r="AZ122" s="39"/>
      <c r="BA122" s="39">
        <f t="shared" ref="BA122:BA124" si="64">+AR122+AS122+AU122+AW122+AY122+AZ122</f>
        <v>0</v>
      </c>
      <c r="BB122" s="35">
        <v>4</v>
      </c>
      <c r="BC122" s="53"/>
      <c r="BD122" s="53"/>
      <c r="BE122" s="35"/>
      <c r="BF122" s="53"/>
    </row>
    <row r="123" spans="1:58" ht="12.95" customHeight="1">
      <c r="A123" s="343"/>
      <c r="B123" s="43" t="s">
        <v>517</v>
      </c>
      <c r="C123" s="447">
        <f>(M123*E123*O123*Q123)/100000000</f>
        <v>19.262985839999999</v>
      </c>
      <c r="D123" s="43" t="s">
        <v>489</v>
      </c>
      <c r="E123" s="44">
        <v>10.3</v>
      </c>
      <c r="F123" s="44">
        <v>1</v>
      </c>
      <c r="G123" s="459">
        <v>1730</v>
      </c>
      <c r="H123" s="46">
        <v>0.16</v>
      </c>
      <c r="I123" s="47">
        <v>0.88</v>
      </c>
      <c r="J123" s="88">
        <f>E123*G123*(1-H123)*1440/1000000*2.77</f>
        <v>59.704198847999997</v>
      </c>
      <c r="K123" s="88">
        <f>(IF(G123&lt;L123,L123,G123)*(1-IF(H123&lt;N123,H123,N123))*E123*O123*Q123)/100000000</f>
        <v>21.499977744000002</v>
      </c>
      <c r="L123" s="37">
        <v>1550</v>
      </c>
      <c r="M123" s="37">
        <f>+L123-L123*0.16</f>
        <v>1302</v>
      </c>
      <c r="N123" s="48">
        <f>1-(M123/L123)</f>
        <v>0.16000000000000003</v>
      </c>
      <c r="O123" s="49">
        <f>+'Trim Rwd'!H94</f>
        <v>266</v>
      </c>
      <c r="P123" s="50">
        <f>O123*(Q123-R123-S123)</f>
        <v>136990</v>
      </c>
      <c r="Q123" s="49">
        <v>540</v>
      </c>
      <c r="R123" s="417">
        <v>0</v>
      </c>
      <c r="S123" s="417">
        <v>25</v>
      </c>
      <c r="T123" s="39">
        <f>E123*M123*O123*Q123/100000000</f>
        <v>19.262985839999999</v>
      </c>
      <c r="U123" s="39">
        <f>E123*M123*O123*(Q123-R123-S123)/100000000</f>
        <v>18.371180939999999</v>
      </c>
      <c r="V123" s="39">
        <f>E123*G123*(1-N123)*O123/100*(R123+S123)/1000000</f>
        <v>0.99536933999999999</v>
      </c>
      <c r="W123" s="39">
        <f>+'24'!K13/1000</f>
        <v>13.102</v>
      </c>
      <c r="X123" s="40"/>
      <c r="Y123" s="220"/>
      <c r="Z123" s="39"/>
      <c r="AA123" s="39"/>
      <c r="AB123" s="39"/>
      <c r="AC123" s="39">
        <f>K123-T123</f>
        <v>2.2369919040000035</v>
      </c>
      <c r="AD123" s="39">
        <f t="shared" si="61"/>
        <v>19</v>
      </c>
      <c r="AE123" s="238" t="s">
        <v>701</v>
      </c>
      <c r="AF123" s="39"/>
      <c r="AG123" s="39">
        <v>19</v>
      </c>
      <c r="AH123" s="39"/>
      <c r="AI123" s="455"/>
      <c r="AJ123" s="39"/>
      <c r="AK123" s="39"/>
      <c r="AL123" s="39"/>
      <c r="AM123" s="39">
        <f t="shared" si="62"/>
        <v>19</v>
      </c>
      <c r="AN123" s="89"/>
      <c r="AO123" s="39"/>
      <c r="AP123" s="39"/>
      <c r="AQ123" s="39"/>
      <c r="AR123" s="39">
        <f t="shared" si="63"/>
        <v>0</v>
      </c>
      <c r="AS123" s="39"/>
      <c r="AT123" s="39"/>
      <c r="AU123" s="39"/>
      <c r="AV123" s="39"/>
      <c r="AW123" s="39"/>
      <c r="AX123" s="39"/>
      <c r="AY123" s="39"/>
      <c r="AZ123" s="39"/>
      <c r="BA123" s="39">
        <f t="shared" si="64"/>
        <v>0</v>
      </c>
      <c r="BB123" s="52"/>
      <c r="BC123" s="53">
        <v>14</v>
      </c>
      <c r="BD123" s="53"/>
      <c r="BE123" s="52"/>
      <c r="BF123" s="53"/>
    </row>
    <row r="124" spans="1:58" ht="12.95" customHeight="1">
      <c r="A124" s="42"/>
      <c r="B124" s="43"/>
      <c r="C124" s="447"/>
      <c r="D124" s="43"/>
      <c r="E124" s="44"/>
      <c r="F124" s="44"/>
      <c r="G124" s="45"/>
      <c r="H124" s="46"/>
      <c r="I124" s="47"/>
      <c r="J124" s="88"/>
      <c r="K124" s="88"/>
      <c r="L124" s="37"/>
      <c r="M124" s="37"/>
      <c r="N124" s="48"/>
      <c r="O124" s="49"/>
      <c r="P124" s="50"/>
      <c r="Q124" s="49"/>
      <c r="R124" s="417"/>
      <c r="S124" s="417"/>
      <c r="T124" s="39"/>
      <c r="U124" s="39"/>
      <c r="V124" s="39"/>
      <c r="W124" s="39"/>
      <c r="X124" s="40"/>
      <c r="Y124" s="220"/>
      <c r="Z124" s="39"/>
      <c r="AA124" s="39"/>
      <c r="AB124" s="39"/>
      <c r="AC124" s="39"/>
      <c r="AD124" s="39">
        <f t="shared" si="61"/>
        <v>21</v>
      </c>
      <c r="AE124" s="238" t="s">
        <v>548</v>
      </c>
      <c r="AF124" s="35"/>
      <c r="AG124" s="35"/>
      <c r="AH124" s="35">
        <v>21</v>
      </c>
      <c r="AI124" s="455"/>
      <c r="AJ124" s="39"/>
      <c r="AK124" s="39"/>
      <c r="AL124" s="39"/>
      <c r="AM124" s="39">
        <f t="shared" si="62"/>
        <v>21</v>
      </c>
      <c r="AN124" s="39"/>
      <c r="AO124" s="39"/>
      <c r="AP124" s="39"/>
      <c r="AQ124" s="39"/>
      <c r="AR124" s="39">
        <f t="shared" si="63"/>
        <v>0</v>
      </c>
      <c r="AS124" s="39"/>
      <c r="AT124" s="39"/>
      <c r="AU124" s="39"/>
      <c r="AV124" s="39"/>
      <c r="AW124" s="39"/>
      <c r="AX124" s="39"/>
      <c r="AY124" s="39"/>
      <c r="AZ124" s="39"/>
      <c r="BA124" s="39">
        <f t="shared" si="64"/>
        <v>0</v>
      </c>
      <c r="BB124" s="35"/>
      <c r="BC124" s="55"/>
      <c r="BD124" s="55"/>
      <c r="BE124" s="35"/>
      <c r="BF124" s="55"/>
    </row>
    <row r="125" spans="1:58" ht="12.95" customHeight="1">
      <c r="A125" s="343"/>
      <c r="B125" s="43"/>
      <c r="C125" s="447"/>
      <c r="D125" s="43"/>
      <c r="E125" s="44"/>
      <c r="F125" s="44"/>
      <c r="G125" s="459"/>
      <c r="H125" s="46"/>
      <c r="I125" s="47"/>
      <c r="J125" s="88"/>
      <c r="K125" s="88"/>
      <c r="L125" s="37"/>
      <c r="M125" s="37"/>
      <c r="N125" s="48"/>
      <c r="O125" s="49"/>
      <c r="P125" s="50"/>
      <c r="Q125" s="49"/>
      <c r="R125" s="417"/>
      <c r="S125" s="417"/>
      <c r="T125" s="39"/>
      <c r="U125" s="39"/>
      <c r="V125" s="39"/>
      <c r="W125" s="39"/>
      <c r="X125" s="414"/>
      <c r="Y125" s="220"/>
      <c r="Z125" s="39"/>
      <c r="AA125" s="51"/>
      <c r="AB125" s="51"/>
      <c r="AC125" s="39"/>
      <c r="AD125" s="39">
        <f t="shared" si="61"/>
        <v>15</v>
      </c>
      <c r="AE125" s="241" t="s">
        <v>415</v>
      </c>
      <c r="AF125" s="39"/>
      <c r="AG125" s="39"/>
      <c r="AH125" s="39"/>
      <c r="AI125" s="455">
        <v>15</v>
      </c>
      <c r="AJ125" s="39"/>
      <c r="AK125" s="39"/>
      <c r="AL125" s="39"/>
      <c r="AM125" s="39">
        <f t="shared" ref="AM125" si="65">SUM(AF125:AL125)+AT125+AV125+AX125</f>
        <v>15</v>
      </c>
      <c r="AN125" s="39"/>
      <c r="AO125" s="39"/>
      <c r="AP125" s="39"/>
      <c r="AQ125" s="39"/>
      <c r="AR125" s="39">
        <f t="shared" ref="AR125" si="66">SUM(AN125:AQ125)</f>
        <v>0</v>
      </c>
      <c r="AS125" s="39"/>
      <c r="AT125" s="39"/>
      <c r="AU125" s="39"/>
      <c r="AV125" s="39"/>
      <c r="AW125" s="39"/>
      <c r="AX125" s="39"/>
      <c r="AY125" s="39"/>
      <c r="AZ125" s="39"/>
      <c r="BA125" s="39">
        <f t="shared" ref="BA125" si="67">+AR125+AS125+AU125+AW125+AY125+AZ125</f>
        <v>0</v>
      </c>
      <c r="BB125" s="35"/>
      <c r="BC125" s="55"/>
      <c r="BD125" s="55"/>
      <c r="BE125" s="35"/>
      <c r="BF125" s="55"/>
    </row>
    <row r="126" spans="1:58" ht="12.95" customHeight="1">
      <c r="A126" s="343"/>
      <c r="B126" s="43"/>
      <c r="C126" s="447"/>
      <c r="D126" s="43"/>
      <c r="E126" s="44"/>
      <c r="F126" s="44"/>
      <c r="G126" s="459"/>
      <c r="H126" s="46"/>
      <c r="I126" s="47"/>
      <c r="J126" s="88"/>
      <c r="K126" s="88"/>
      <c r="L126" s="37"/>
      <c r="M126" s="37"/>
      <c r="N126" s="48"/>
      <c r="O126" s="49"/>
      <c r="P126" s="50"/>
      <c r="Q126" s="49"/>
      <c r="R126" s="417"/>
      <c r="S126" s="417"/>
      <c r="T126" s="39"/>
      <c r="U126" s="39"/>
      <c r="V126" s="39"/>
      <c r="W126" s="39"/>
      <c r="X126" s="414"/>
      <c r="Y126" s="220"/>
      <c r="Z126" s="39"/>
      <c r="AA126" s="51"/>
      <c r="AB126" s="51"/>
      <c r="AC126" s="39"/>
      <c r="AD126" s="39"/>
      <c r="AE126" s="238"/>
      <c r="AF126" s="39"/>
      <c r="AG126" s="39"/>
      <c r="AH126" s="39"/>
      <c r="AI126" s="455"/>
      <c r="AJ126" s="39"/>
      <c r="AK126" s="39"/>
      <c r="AL126" s="39"/>
      <c r="AM126" s="39"/>
      <c r="AN126" s="8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52"/>
      <c r="BC126" s="53"/>
      <c r="BD126" s="53"/>
      <c r="BE126" s="53"/>
      <c r="BF126" s="53"/>
    </row>
    <row r="127" spans="1:58" ht="12.95" customHeight="1">
      <c r="A127" s="42">
        <v>45986</v>
      </c>
      <c r="B127" s="43" t="s">
        <v>517</v>
      </c>
      <c r="C127" s="447">
        <f>(M127*E127*O127*Q127)/100000000</f>
        <v>53.024993279999997</v>
      </c>
      <c r="D127" s="43" t="s">
        <v>489</v>
      </c>
      <c r="E127" s="44">
        <v>10.3</v>
      </c>
      <c r="F127" s="44">
        <v>1</v>
      </c>
      <c r="G127" s="459">
        <v>1730</v>
      </c>
      <c r="H127" s="46">
        <v>0.16</v>
      </c>
      <c r="I127" s="47">
        <v>0.88</v>
      </c>
      <c r="J127" s="88">
        <f>E127*G127*(1-H127)*1440/1000000*2.77</f>
        <v>59.704198847999997</v>
      </c>
      <c r="K127" s="88">
        <f>(IF(G127&lt;L127,L127,G127)*(1-IF(H127&lt;N127,H127,N127))*E127*O127*Q127)/100000000</f>
        <v>57.333273984000009</v>
      </c>
      <c r="L127" s="37">
        <v>1600</v>
      </c>
      <c r="M127" s="37">
        <v>1344</v>
      </c>
      <c r="N127" s="48">
        <f>1-(M127/L127)</f>
        <v>0.16000000000000003</v>
      </c>
      <c r="O127" s="49">
        <f>+'Trim Rwd'!H96</f>
        <v>266</v>
      </c>
      <c r="P127" s="50">
        <f>O127*(Q127-R127-S127)</f>
        <v>375858</v>
      </c>
      <c r="Q127" s="49">
        <v>1440</v>
      </c>
      <c r="R127" s="417">
        <v>0</v>
      </c>
      <c r="S127" s="417">
        <v>27</v>
      </c>
      <c r="T127" s="39">
        <f>E127*M127*O127*Q127/100000000</f>
        <v>53.024993279999997</v>
      </c>
      <c r="U127" s="39">
        <f>E127*M127*O127*(Q127-R127-S127)/100000000</f>
        <v>52.030774656000006</v>
      </c>
      <c r="V127" s="39">
        <f>E127*G127*(1-N127)*O127/100*(R127+S127)/1000000</f>
        <v>1.0749988872</v>
      </c>
      <c r="W127" s="39">
        <f>+'25'!K34/1000</f>
        <v>53.747</v>
      </c>
      <c r="X127" s="414">
        <f>SUM(W127:W130)/SUM(K127:K130)</f>
        <v>0.93744864483055979</v>
      </c>
      <c r="Y127" s="220">
        <v>0</v>
      </c>
      <c r="Z127" s="39">
        <v>0</v>
      </c>
      <c r="AA127" s="51">
        <f>SUM(U127:U130)-SUM(W127:W130)-SUM(Z127:Z130)-SUM(Y127:Y130)</f>
        <v>-1.7162253439999944</v>
      </c>
      <c r="AB127" s="51">
        <f>(SUM(K127:K130)-SUM(W127:W130)-SUM(Y127:Y130)-SUM(Z127:Z130)-SUM(AC127:AC130)-SUM(V127:V130))-AA127</f>
        <v>-8.0780263200008751E-2</v>
      </c>
      <c r="AC127" s="39">
        <f>K127-T127</f>
        <v>4.308280704000012</v>
      </c>
      <c r="AD127" s="39">
        <f t="shared" ref="AD127:AD129" si="68">+AM127+BA127</f>
        <v>0</v>
      </c>
      <c r="AE127" s="238" t="s">
        <v>434</v>
      </c>
      <c r="AF127" s="39">
        <v>0</v>
      </c>
      <c r="AG127" s="39"/>
      <c r="AH127" s="39"/>
      <c r="AI127" s="455"/>
      <c r="AJ127" s="39"/>
      <c r="AK127" s="39"/>
      <c r="AL127" s="39"/>
      <c r="AM127" s="39">
        <f t="shared" ref="AM127:AM129" si="69">SUM(AF127:AL127)+AT127+AV127+AX127</f>
        <v>0</v>
      </c>
      <c r="AN127" s="39"/>
      <c r="AO127" s="39"/>
      <c r="AP127" s="39"/>
      <c r="AQ127" s="39"/>
      <c r="AR127" s="39">
        <f t="shared" ref="AR127:AR129" si="70">SUM(AN127:AQ127)</f>
        <v>0</v>
      </c>
      <c r="AS127" s="39"/>
      <c r="AT127" s="39"/>
      <c r="AU127" s="39"/>
      <c r="AV127" s="39"/>
      <c r="AW127" s="39"/>
      <c r="AX127" s="39"/>
      <c r="AY127" s="39"/>
      <c r="AZ127" s="39"/>
      <c r="BA127" s="39">
        <f t="shared" ref="BA127:BA129" si="71">+AR127+AS127+AU127+AW127+AY127+AZ127</f>
        <v>0</v>
      </c>
      <c r="BB127" s="35">
        <v>0</v>
      </c>
      <c r="BC127" s="53"/>
      <c r="BD127" s="53"/>
      <c r="BE127" s="35"/>
      <c r="BF127" s="53"/>
    </row>
    <row r="128" spans="1:58" ht="12.95" customHeight="1">
      <c r="A128" s="343"/>
      <c r="B128" s="43"/>
      <c r="C128" s="447"/>
      <c r="D128" s="43"/>
      <c r="E128" s="44"/>
      <c r="F128" s="44"/>
      <c r="G128" s="459"/>
      <c r="H128" s="46"/>
      <c r="I128" s="47"/>
      <c r="J128" s="88"/>
      <c r="K128" s="88"/>
      <c r="L128" s="37"/>
      <c r="M128" s="37"/>
      <c r="N128" s="48"/>
      <c r="O128" s="49"/>
      <c r="P128" s="50"/>
      <c r="Q128" s="49"/>
      <c r="R128" s="417"/>
      <c r="S128" s="417"/>
      <c r="T128" s="39"/>
      <c r="U128" s="39"/>
      <c r="V128" s="39"/>
      <c r="W128" s="39"/>
      <c r="X128" s="40"/>
      <c r="Y128" s="220"/>
      <c r="Z128" s="39"/>
      <c r="AA128" s="39"/>
      <c r="AB128" s="39"/>
      <c r="AC128" s="39"/>
      <c r="AD128" s="39">
        <f t="shared" si="68"/>
        <v>11</v>
      </c>
      <c r="AE128" s="238" t="s">
        <v>593</v>
      </c>
      <c r="AF128" s="39"/>
      <c r="AG128" s="39">
        <v>11</v>
      </c>
      <c r="AH128" s="39"/>
      <c r="AI128" s="455"/>
      <c r="AJ128" s="39"/>
      <c r="AK128" s="39"/>
      <c r="AL128" s="39"/>
      <c r="AM128" s="39">
        <f t="shared" si="69"/>
        <v>11</v>
      </c>
      <c r="AN128" s="89"/>
      <c r="AO128" s="39"/>
      <c r="AP128" s="39"/>
      <c r="AQ128" s="39"/>
      <c r="AR128" s="39">
        <f t="shared" si="70"/>
        <v>0</v>
      </c>
      <c r="AS128" s="39"/>
      <c r="AT128" s="39"/>
      <c r="AU128" s="39"/>
      <c r="AV128" s="39"/>
      <c r="AW128" s="39"/>
      <c r="AX128" s="39"/>
      <c r="AY128" s="39"/>
      <c r="AZ128" s="39"/>
      <c r="BA128" s="39">
        <f t="shared" si="71"/>
        <v>0</v>
      </c>
      <c r="BB128" s="52"/>
      <c r="BC128" s="53">
        <v>10</v>
      </c>
      <c r="BD128" s="53"/>
      <c r="BE128" s="52"/>
      <c r="BF128" s="53"/>
    </row>
    <row r="129" spans="1:58" ht="12.95" customHeight="1">
      <c r="A129" s="42"/>
      <c r="B129" s="43"/>
      <c r="C129" s="447"/>
      <c r="D129" s="43"/>
      <c r="E129" s="44"/>
      <c r="F129" s="44"/>
      <c r="G129" s="45"/>
      <c r="H129" s="46"/>
      <c r="I129" s="47"/>
      <c r="J129" s="88"/>
      <c r="K129" s="88"/>
      <c r="L129" s="37"/>
      <c r="M129" s="37"/>
      <c r="N129" s="48"/>
      <c r="O129" s="49"/>
      <c r="P129" s="50"/>
      <c r="Q129" s="49"/>
      <c r="R129" s="417"/>
      <c r="S129" s="417"/>
      <c r="T129" s="39"/>
      <c r="U129" s="39"/>
      <c r="V129" s="39"/>
      <c r="W129" s="39"/>
      <c r="X129" s="40"/>
      <c r="Y129" s="220"/>
      <c r="Z129" s="39"/>
      <c r="AA129" s="39"/>
      <c r="AB129" s="39"/>
      <c r="AC129" s="39"/>
      <c r="AD129" s="39">
        <f t="shared" si="68"/>
        <v>16</v>
      </c>
      <c r="AE129" s="238" t="s">
        <v>619</v>
      </c>
      <c r="AF129" s="35"/>
      <c r="AG129" s="35"/>
      <c r="AH129" s="35">
        <v>16</v>
      </c>
      <c r="AI129" s="455"/>
      <c r="AJ129" s="39"/>
      <c r="AK129" s="39"/>
      <c r="AL129" s="39"/>
      <c r="AM129" s="39">
        <f t="shared" si="69"/>
        <v>16</v>
      </c>
      <c r="AN129" s="39"/>
      <c r="AO129" s="39"/>
      <c r="AP129" s="39"/>
      <c r="AQ129" s="39"/>
      <c r="AR129" s="39">
        <f t="shared" si="70"/>
        <v>0</v>
      </c>
      <c r="AS129" s="39"/>
      <c r="AT129" s="39"/>
      <c r="AU129" s="39"/>
      <c r="AV129" s="39"/>
      <c r="AW129" s="39"/>
      <c r="AX129" s="39"/>
      <c r="AY129" s="39"/>
      <c r="AZ129" s="39"/>
      <c r="BA129" s="39">
        <f t="shared" si="71"/>
        <v>0</v>
      </c>
      <c r="BB129" s="35"/>
      <c r="BC129" s="55"/>
      <c r="BD129" s="55"/>
      <c r="BE129" s="35"/>
      <c r="BF129" s="55"/>
    </row>
    <row r="130" spans="1:58" ht="12.95" customHeight="1">
      <c r="A130" s="42"/>
      <c r="B130" s="43"/>
      <c r="C130" s="447"/>
      <c r="D130" s="43"/>
      <c r="E130" s="44"/>
      <c r="F130" s="44"/>
      <c r="G130" s="45"/>
      <c r="H130" s="46"/>
      <c r="I130" s="47"/>
      <c r="J130" s="88"/>
      <c r="K130" s="88"/>
      <c r="L130" s="37"/>
      <c r="M130" s="37"/>
      <c r="N130" s="48"/>
      <c r="O130" s="49"/>
      <c r="P130" s="50"/>
      <c r="Q130" s="49"/>
      <c r="R130" s="417"/>
      <c r="S130" s="417"/>
      <c r="T130" s="39"/>
      <c r="U130" s="39"/>
      <c r="V130" s="39"/>
      <c r="W130" s="39"/>
      <c r="X130" s="40"/>
      <c r="Y130" s="220"/>
      <c r="Z130" s="39"/>
      <c r="AA130" s="39"/>
      <c r="AB130" s="39"/>
      <c r="AC130" s="39"/>
      <c r="AD130" s="39"/>
      <c r="AE130" s="21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5"/>
      <c r="BC130" s="53"/>
      <c r="BD130" s="53"/>
      <c r="BE130" s="53"/>
      <c r="BF130" s="53"/>
    </row>
    <row r="131" spans="1:58" ht="12.95" customHeight="1">
      <c r="A131" s="42">
        <v>45987</v>
      </c>
      <c r="B131" s="43" t="s">
        <v>517</v>
      </c>
      <c r="C131" s="447">
        <f>(M131*E131*O131*Q131)/100000000</f>
        <v>54.050774400000009</v>
      </c>
      <c r="D131" s="43" t="s">
        <v>489</v>
      </c>
      <c r="E131" s="44">
        <v>10.3</v>
      </c>
      <c r="F131" s="44">
        <v>1</v>
      </c>
      <c r="G131" s="459">
        <v>1730</v>
      </c>
      <c r="H131" s="46">
        <v>0.16</v>
      </c>
      <c r="I131" s="47">
        <v>0.88</v>
      </c>
      <c r="J131" s="88">
        <f>E131*G131*(1-H131)*1440/1000000*2.77</f>
        <v>59.704198847999997</v>
      </c>
      <c r="K131" s="88">
        <f>(IF(G131&lt;L131,L131,G131)*(1-IF(H131&lt;N131,H131,N131))*E131*O131*Q131)/100000000</f>
        <v>57.366772829447861</v>
      </c>
      <c r="L131" s="37">
        <v>1630</v>
      </c>
      <c r="M131" s="37">
        <v>1370</v>
      </c>
      <c r="N131" s="48">
        <f>1-(M131/L131)</f>
        <v>0.1595092024539877</v>
      </c>
      <c r="O131" s="49">
        <f>+'Trim Rwd'!H99</f>
        <v>266</v>
      </c>
      <c r="P131" s="50">
        <f>O131*(Q131-R131-S131)</f>
        <v>374528</v>
      </c>
      <c r="Q131" s="49">
        <v>1440</v>
      </c>
      <c r="R131" s="417">
        <v>0</v>
      </c>
      <c r="S131" s="417">
        <v>32</v>
      </c>
      <c r="T131" s="39">
        <f>E131*M131*O131*Q131/100000000</f>
        <v>54.050774400000009</v>
      </c>
      <c r="U131" s="39">
        <f>E131*M131*O131*(Q131-R131-S131)/100000000</f>
        <v>52.849646080000007</v>
      </c>
      <c r="V131" s="39">
        <f>E131*G131*(1-N131)*O131/100*(R131+S131)/1000000</f>
        <v>1.2748171739877301</v>
      </c>
      <c r="W131" s="39">
        <f>+'26'!K34/1000</f>
        <v>51.795999999999999</v>
      </c>
      <c r="X131" s="414">
        <f>SUM(W131:W134)/SUM(K131:K134)</f>
        <v>0.90289199558061528</v>
      </c>
      <c r="Y131" s="220">
        <v>0</v>
      </c>
      <c r="Z131" s="39">
        <v>0</v>
      </c>
      <c r="AA131" s="51">
        <f>SUM(U131:U134)-SUM(W131:W134)-SUM(Z131:Z134)-SUM(Y131:Y134)</f>
        <v>1.0536460800000071</v>
      </c>
      <c r="AB131" s="51">
        <f>(SUM(K131:K134)-SUM(W131:W134)-SUM(Y131:Y134)-SUM(Z131:Z134)-SUM(AC131:AC134)-SUM(V131:V134))-AA131</f>
        <v>-7.3688853987727843E-2</v>
      </c>
      <c r="AC131" s="39">
        <f>K131-T131</f>
        <v>3.3159984294478519</v>
      </c>
      <c r="AD131" s="39">
        <f t="shared" ref="AD131:AD133" si="72">+AM131+BA131</f>
        <v>0</v>
      </c>
      <c r="AE131" s="238" t="s">
        <v>434</v>
      </c>
      <c r="AF131" s="39">
        <v>0</v>
      </c>
      <c r="AG131" s="39"/>
      <c r="AH131" s="39"/>
      <c r="AI131" s="455"/>
      <c r="AJ131" s="39"/>
      <c r="AK131" s="39"/>
      <c r="AL131" s="39"/>
      <c r="AM131" s="39">
        <f t="shared" ref="AM131:AM133" si="73">SUM(AF131:AL131)+AT131+AV131+AX131</f>
        <v>0</v>
      </c>
      <c r="AN131" s="39"/>
      <c r="AO131" s="39"/>
      <c r="AP131" s="39"/>
      <c r="AQ131" s="39"/>
      <c r="AR131" s="39">
        <f t="shared" ref="AR131:AR133" si="74">SUM(AN131:AQ131)</f>
        <v>0</v>
      </c>
      <c r="AS131" s="39"/>
      <c r="AT131" s="39"/>
      <c r="AU131" s="39"/>
      <c r="AV131" s="39"/>
      <c r="AW131" s="39"/>
      <c r="AX131" s="39"/>
      <c r="AY131" s="39"/>
      <c r="AZ131" s="39"/>
      <c r="BA131" s="39">
        <f t="shared" ref="BA131:BA133" si="75">+AR131+AS131+AU131+AW131+AY131+AZ131</f>
        <v>0</v>
      </c>
      <c r="BB131" s="35">
        <v>0</v>
      </c>
      <c r="BC131" s="53"/>
      <c r="BD131" s="53"/>
      <c r="BE131" s="35"/>
      <c r="BF131" s="53"/>
    </row>
    <row r="132" spans="1:58" ht="12.95" customHeight="1">
      <c r="A132" s="343"/>
      <c r="B132" s="43"/>
      <c r="C132" s="447"/>
      <c r="D132" s="43"/>
      <c r="E132" s="44"/>
      <c r="F132" s="44"/>
      <c r="G132" s="459"/>
      <c r="H132" s="46"/>
      <c r="I132" s="47"/>
      <c r="J132" s="88"/>
      <c r="K132" s="88"/>
      <c r="L132" s="37"/>
      <c r="M132" s="37"/>
      <c r="N132" s="48"/>
      <c r="O132" s="49"/>
      <c r="P132" s="50"/>
      <c r="Q132" s="49"/>
      <c r="R132" s="417"/>
      <c r="S132" s="417"/>
      <c r="T132" s="39"/>
      <c r="U132" s="39"/>
      <c r="V132" s="39"/>
      <c r="W132" s="39"/>
      <c r="X132" s="40"/>
      <c r="Y132" s="220"/>
      <c r="Z132" s="39"/>
      <c r="AA132" s="39"/>
      <c r="AB132" s="39"/>
      <c r="AC132" s="39"/>
      <c r="AD132" s="39">
        <f t="shared" si="72"/>
        <v>12</v>
      </c>
      <c r="AE132" s="238" t="s">
        <v>700</v>
      </c>
      <c r="AF132" s="39"/>
      <c r="AG132" s="39">
        <v>12</v>
      </c>
      <c r="AH132" s="39"/>
      <c r="AI132" s="455"/>
      <c r="AJ132" s="39"/>
      <c r="AK132" s="39"/>
      <c r="AL132" s="39"/>
      <c r="AM132" s="39">
        <f t="shared" si="73"/>
        <v>12</v>
      </c>
      <c r="AN132" s="89"/>
      <c r="AO132" s="39"/>
      <c r="AP132" s="39"/>
      <c r="AQ132" s="39"/>
      <c r="AR132" s="39">
        <f t="shared" si="74"/>
        <v>0</v>
      </c>
      <c r="AS132" s="39"/>
      <c r="AT132" s="39"/>
      <c r="AU132" s="39"/>
      <c r="AV132" s="39"/>
      <c r="AW132" s="39"/>
      <c r="AX132" s="39"/>
      <c r="AY132" s="39"/>
      <c r="AZ132" s="39"/>
      <c r="BA132" s="39">
        <f t="shared" si="75"/>
        <v>0</v>
      </c>
      <c r="BB132" s="52"/>
      <c r="BC132" s="53">
        <v>12</v>
      </c>
      <c r="BD132" s="53"/>
      <c r="BE132" s="52"/>
      <c r="BF132" s="53"/>
    </row>
    <row r="133" spans="1:58" ht="12.95" customHeight="1">
      <c r="A133" s="42"/>
      <c r="B133" s="43"/>
      <c r="C133" s="447"/>
      <c r="D133" s="43"/>
      <c r="E133" s="44"/>
      <c r="F133" s="44"/>
      <c r="G133" s="45"/>
      <c r="H133" s="46"/>
      <c r="I133" s="47"/>
      <c r="J133" s="88"/>
      <c r="K133" s="88"/>
      <c r="L133" s="37"/>
      <c r="M133" s="37"/>
      <c r="N133" s="48"/>
      <c r="O133" s="49"/>
      <c r="P133" s="50"/>
      <c r="Q133" s="49"/>
      <c r="R133" s="417"/>
      <c r="S133" s="417"/>
      <c r="T133" s="39"/>
      <c r="U133" s="39"/>
      <c r="V133" s="39"/>
      <c r="W133" s="39"/>
      <c r="X133" s="40"/>
      <c r="Y133" s="220"/>
      <c r="Z133" s="39"/>
      <c r="AA133" s="39"/>
      <c r="AB133" s="39"/>
      <c r="AC133" s="39"/>
      <c r="AD133" s="39">
        <f t="shared" si="72"/>
        <v>20</v>
      </c>
      <c r="AE133" s="238" t="s">
        <v>796</v>
      </c>
      <c r="AF133" s="35"/>
      <c r="AG133" s="35"/>
      <c r="AH133" s="35">
        <v>20</v>
      </c>
      <c r="AI133" s="455"/>
      <c r="AJ133" s="39"/>
      <c r="AK133" s="39"/>
      <c r="AL133" s="39"/>
      <c r="AM133" s="39">
        <f t="shared" si="73"/>
        <v>20</v>
      </c>
      <c r="AN133" s="39"/>
      <c r="AO133" s="39"/>
      <c r="AP133" s="39"/>
      <c r="AQ133" s="39"/>
      <c r="AR133" s="39">
        <f t="shared" si="74"/>
        <v>0</v>
      </c>
      <c r="AS133" s="39"/>
      <c r="AT133" s="39"/>
      <c r="AU133" s="39"/>
      <c r="AV133" s="39"/>
      <c r="AW133" s="39"/>
      <c r="AX133" s="39"/>
      <c r="AY133" s="39"/>
      <c r="AZ133" s="39"/>
      <c r="BA133" s="39">
        <f t="shared" si="75"/>
        <v>0</v>
      </c>
      <c r="BB133" s="35"/>
      <c r="BC133" s="55"/>
      <c r="BD133" s="55"/>
      <c r="BE133" s="35"/>
      <c r="BF133" s="55"/>
    </row>
    <row r="134" spans="1:58" ht="12.95" customHeight="1">
      <c r="A134" s="42"/>
      <c r="B134" s="540"/>
      <c r="C134" s="447"/>
      <c r="D134" s="43"/>
      <c r="E134" s="255"/>
      <c r="F134" s="44"/>
      <c r="G134" s="45"/>
      <c r="H134" s="46"/>
      <c r="I134" s="47"/>
      <c r="J134" s="88"/>
      <c r="K134" s="88"/>
      <c r="L134" s="37"/>
      <c r="M134" s="37"/>
      <c r="N134" s="48"/>
      <c r="O134" s="49"/>
      <c r="P134" s="50"/>
      <c r="Q134" s="348"/>
      <c r="R134" s="52"/>
      <c r="S134" s="52"/>
      <c r="T134" s="39"/>
      <c r="U134" s="39"/>
      <c r="V134" s="39"/>
      <c r="W134" s="35"/>
      <c r="X134" s="40"/>
      <c r="Y134" s="40"/>
      <c r="Z134" s="35"/>
      <c r="AA134" s="51"/>
      <c r="AB134" s="51"/>
      <c r="AC134" s="39"/>
      <c r="AD134" s="39"/>
      <c r="AE134" s="22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5"/>
      <c r="BC134" s="53"/>
      <c r="BD134" s="53"/>
      <c r="BE134" s="53"/>
      <c r="BF134" s="53"/>
    </row>
    <row r="135" spans="1:58" ht="12.95" customHeight="1">
      <c r="A135" s="42">
        <v>45988</v>
      </c>
      <c r="B135" s="43" t="s">
        <v>517</v>
      </c>
      <c r="C135" s="447">
        <f>(M135*E135*O135*Q135)/100000000</f>
        <v>33.78503997473684</v>
      </c>
      <c r="D135" s="43" t="s">
        <v>489</v>
      </c>
      <c r="E135" s="44">
        <v>10.3</v>
      </c>
      <c r="F135" s="44">
        <v>1</v>
      </c>
      <c r="G135" s="459">
        <v>1730</v>
      </c>
      <c r="H135" s="46">
        <v>0.16</v>
      </c>
      <c r="I135" s="47">
        <v>0.88</v>
      </c>
      <c r="J135" s="88">
        <f>E135*G135*(1-H135)*1440/1000000*2.77</f>
        <v>59.704198847999997</v>
      </c>
      <c r="K135" s="88">
        <f>(IF(G135&lt;L135,L135,G135)*(1-IF(H135&lt;N135,H135,N135))*E135*O135*Q135)/100000000</f>
        <v>36.079085898947369</v>
      </c>
      <c r="L135" s="37">
        <v>1620</v>
      </c>
      <c r="M135" s="37">
        <v>1360.8</v>
      </c>
      <c r="N135" s="48">
        <f>1-(M135/L135)</f>
        <v>0.16000000000000003</v>
      </c>
      <c r="O135" s="49">
        <f>+'Trim Rwd'!H101</f>
        <v>267.82456140350877</v>
      </c>
      <c r="P135" s="50">
        <f>O135*(Q135-R135-S135)</f>
        <v>235685.61403508772</v>
      </c>
      <c r="Q135" s="49">
        <v>900</v>
      </c>
      <c r="R135" s="417">
        <v>0</v>
      </c>
      <c r="S135" s="417">
        <v>20</v>
      </c>
      <c r="T135" s="39">
        <f>E135*M135*O135*Q135/100000000</f>
        <v>33.78503997473684</v>
      </c>
      <c r="U135" s="39">
        <f>E135*M135*O135*(Q135-R135-S135)/100000000</f>
        <v>33.034261308631578</v>
      </c>
      <c r="V135" s="39">
        <f>E135*G135*(1-N135)*O135/100*(R135+S135)/1000000</f>
        <v>0.80175746442105256</v>
      </c>
      <c r="W135" s="39">
        <f>+'27'!K13/1000</f>
        <v>45.076000000000001</v>
      </c>
      <c r="X135" s="414">
        <f>SUM(W135:W138)/SUM(K135:K138)</f>
        <v>1.0425622476570926</v>
      </c>
      <c r="Y135" s="220">
        <v>0</v>
      </c>
      <c r="Z135" s="39">
        <f>+'27'!D7/1000</f>
        <v>0.76</v>
      </c>
      <c r="AA135" s="51">
        <f>SUM(U135:U138)-SUM(W135:W138)-SUM(Z135:Z138)-SUM(Y135:Y138)</f>
        <v>-7.930551491368421</v>
      </c>
      <c r="AB135" s="51">
        <f>(SUM(K135:K138)-SUM(W135:W138)-SUM(Y135:Y138)-SUM(Z135:Z138)-SUM(AC135:AC138)-SUM(V135:V138))-AA135</f>
        <v>-8.1621998315789313E-2</v>
      </c>
      <c r="AC135" s="39">
        <f>K135-T135</f>
        <v>2.2940459242105291</v>
      </c>
      <c r="AD135" s="39">
        <f t="shared" ref="AD135:AD138" si="76">+AM135+BA135</f>
        <v>0</v>
      </c>
      <c r="AE135" s="238" t="s">
        <v>434</v>
      </c>
      <c r="AF135" s="39">
        <v>0</v>
      </c>
      <c r="AG135" s="39"/>
      <c r="AH135" s="39"/>
      <c r="AI135" s="455"/>
      <c r="AJ135" s="39"/>
      <c r="AK135" s="39"/>
      <c r="AL135" s="39"/>
      <c r="AM135" s="39">
        <f t="shared" ref="AM135:AM137" si="77">SUM(AF135:AL135)+AT135+AV135+AX135</f>
        <v>0</v>
      </c>
      <c r="AN135" s="39"/>
      <c r="AO135" s="39"/>
      <c r="AP135" s="39"/>
      <c r="AQ135" s="39"/>
      <c r="AR135" s="39">
        <f t="shared" ref="AR135:AR137" si="78">SUM(AN135:AQ135)</f>
        <v>0</v>
      </c>
      <c r="AS135" s="39"/>
      <c r="AT135" s="39"/>
      <c r="AU135" s="39"/>
      <c r="AV135" s="39"/>
      <c r="AW135" s="39"/>
      <c r="AX135" s="39"/>
      <c r="AY135" s="39"/>
      <c r="AZ135" s="39"/>
      <c r="BA135" s="39">
        <f t="shared" ref="BA135:BA137" si="79">+AR135+AS135+AU135+AW135+AY135+AZ135</f>
        <v>0</v>
      </c>
      <c r="BB135" s="35">
        <v>0</v>
      </c>
      <c r="BC135" s="53"/>
      <c r="BD135" s="53"/>
      <c r="BE135" s="35"/>
      <c r="BF135" s="53"/>
    </row>
    <row r="136" spans="1:58" ht="12.95" customHeight="1">
      <c r="A136" s="343"/>
      <c r="B136" s="43" t="s">
        <v>517</v>
      </c>
      <c r="C136" s="447">
        <f>(M136*E136*O136*Q136)/100000000</f>
        <v>20.942712000000004</v>
      </c>
      <c r="D136" s="43" t="s">
        <v>489</v>
      </c>
      <c r="E136" s="44">
        <v>12</v>
      </c>
      <c r="F136" s="44">
        <v>1</v>
      </c>
      <c r="G136" s="459">
        <v>1700</v>
      </c>
      <c r="H136" s="46">
        <v>0.24</v>
      </c>
      <c r="I136" s="47">
        <v>0.88</v>
      </c>
      <c r="J136" s="88">
        <f>E136*G136*(1-H136)*1440/1000000*2.77</f>
        <v>61.8423552</v>
      </c>
      <c r="K136" s="88">
        <f>(IF(G136&lt;L136,L136,G136)*(1-IF(H136&lt;N136,H136,N136))*E136*O136*Q136)/100000000</f>
        <v>21.97692</v>
      </c>
      <c r="L136" s="37">
        <v>1620</v>
      </c>
      <c r="M136" s="37">
        <f>+L136-L136*0.24</f>
        <v>1231.2</v>
      </c>
      <c r="N136" s="48">
        <f>1-(M136/L136)</f>
        <v>0.24</v>
      </c>
      <c r="O136" s="49">
        <f>+'Trim Rwd'!H104</f>
        <v>262.5</v>
      </c>
      <c r="P136" s="50">
        <f>O136*(Q136-R136-S136)</f>
        <v>137550</v>
      </c>
      <c r="Q136" s="49">
        <v>540</v>
      </c>
      <c r="R136" s="417">
        <v>0</v>
      </c>
      <c r="S136" s="417">
        <v>16</v>
      </c>
      <c r="T136" s="39">
        <f>E136*M136*O136*Q136/100000000</f>
        <v>20.942712000000004</v>
      </c>
      <c r="U136" s="39">
        <f>E136*M136*O136*(Q136-R136-S136)/100000000</f>
        <v>20.322187200000002</v>
      </c>
      <c r="V136" s="39">
        <f>E136*G136*(1-N136)*O136/100*(R136+S136)/1000000</f>
        <v>0.65116799999999997</v>
      </c>
      <c r="W136" s="39">
        <f>+'27'!K14/1000</f>
        <v>15.451000000000001</v>
      </c>
      <c r="X136" s="40"/>
      <c r="Y136" s="220"/>
      <c r="Z136" s="39"/>
      <c r="AA136" s="39"/>
      <c r="AB136" s="39"/>
      <c r="AC136" s="39">
        <f>K136-T136</f>
        <v>1.034207999999996</v>
      </c>
      <c r="AD136" s="39">
        <f t="shared" si="76"/>
        <v>12</v>
      </c>
      <c r="AE136" s="238" t="s">
        <v>782</v>
      </c>
      <c r="AF136" s="39"/>
      <c r="AG136" s="39">
        <v>12</v>
      </c>
      <c r="AH136" s="39"/>
      <c r="AI136" s="455"/>
      <c r="AJ136" s="39"/>
      <c r="AK136" s="39"/>
      <c r="AL136" s="39"/>
      <c r="AM136" s="39">
        <f t="shared" si="77"/>
        <v>12</v>
      </c>
      <c r="AN136" s="89"/>
      <c r="AO136" s="39"/>
      <c r="AP136" s="39"/>
      <c r="AQ136" s="39"/>
      <c r="AR136" s="39">
        <f t="shared" si="78"/>
        <v>0</v>
      </c>
      <c r="AS136" s="39"/>
      <c r="AT136" s="39"/>
      <c r="AU136" s="39"/>
      <c r="AV136" s="39"/>
      <c r="AW136" s="39"/>
      <c r="AX136" s="39"/>
      <c r="AY136" s="39"/>
      <c r="AZ136" s="39"/>
      <c r="BA136" s="39">
        <f t="shared" si="79"/>
        <v>0</v>
      </c>
      <c r="BB136" s="52"/>
      <c r="BC136" s="53">
        <v>13</v>
      </c>
      <c r="BD136" s="53"/>
      <c r="BE136" s="52"/>
      <c r="BF136" s="53"/>
    </row>
    <row r="137" spans="1:58" ht="12.95" customHeight="1">
      <c r="A137" s="42"/>
      <c r="B137" s="43"/>
      <c r="C137" s="447"/>
      <c r="D137" s="43"/>
      <c r="E137" s="44"/>
      <c r="F137" s="44"/>
      <c r="G137" s="45"/>
      <c r="H137" s="46"/>
      <c r="I137" s="47"/>
      <c r="J137" s="88"/>
      <c r="K137" s="88"/>
      <c r="L137" s="37"/>
      <c r="M137" s="37"/>
      <c r="N137" s="48"/>
      <c r="O137" s="49"/>
      <c r="P137" s="50"/>
      <c r="Q137" s="49"/>
      <c r="R137" s="417"/>
      <c r="S137" s="417"/>
      <c r="T137" s="39"/>
      <c r="U137" s="39"/>
      <c r="V137" s="39"/>
      <c r="W137" s="39"/>
      <c r="X137" s="40"/>
      <c r="Y137" s="220"/>
      <c r="Z137" s="39"/>
      <c r="AA137" s="39"/>
      <c r="AB137" s="39"/>
      <c r="AC137" s="39"/>
      <c r="AD137" s="39">
        <f t="shared" si="76"/>
        <v>18</v>
      </c>
      <c r="AE137" s="238" t="s">
        <v>651</v>
      </c>
      <c r="AF137" s="35"/>
      <c r="AG137" s="35"/>
      <c r="AH137" s="35">
        <v>18</v>
      </c>
      <c r="AI137" s="455"/>
      <c r="AJ137" s="39"/>
      <c r="AK137" s="39"/>
      <c r="AL137" s="39"/>
      <c r="AM137" s="39">
        <f t="shared" si="77"/>
        <v>18</v>
      </c>
      <c r="AN137" s="39"/>
      <c r="AO137" s="39"/>
      <c r="AP137" s="39"/>
      <c r="AQ137" s="39"/>
      <c r="AR137" s="39">
        <f t="shared" si="78"/>
        <v>0</v>
      </c>
      <c r="AS137" s="39"/>
      <c r="AT137" s="39"/>
      <c r="AU137" s="39"/>
      <c r="AV137" s="39"/>
      <c r="AW137" s="39"/>
      <c r="AX137" s="39"/>
      <c r="AY137" s="39"/>
      <c r="AZ137" s="39"/>
      <c r="BA137" s="39">
        <f t="shared" si="79"/>
        <v>0</v>
      </c>
      <c r="BB137" s="35"/>
      <c r="BC137" s="55"/>
      <c r="BD137" s="55"/>
      <c r="BE137" s="35"/>
      <c r="BF137" s="55"/>
    </row>
    <row r="138" spans="1:58" ht="12.95" customHeight="1">
      <c r="A138" s="42"/>
      <c r="B138" s="540"/>
      <c r="C138" s="447"/>
      <c r="D138" s="43"/>
      <c r="E138" s="255"/>
      <c r="F138" s="44"/>
      <c r="G138" s="45"/>
      <c r="H138" s="46"/>
      <c r="I138" s="47"/>
      <c r="J138" s="88"/>
      <c r="K138" s="88"/>
      <c r="L138" s="37"/>
      <c r="M138" s="37"/>
      <c r="N138" s="48"/>
      <c r="O138" s="49"/>
      <c r="P138" s="50"/>
      <c r="Q138" s="348"/>
      <c r="R138" s="52"/>
      <c r="S138" s="52"/>
      <c r="T138" s="39"/>
      <c r="U138" s="39"/>
      <c r="V138" s="39"/>
      <c r="W138" s="35"/>
      <c r="X138" s="40"/>
      <c r="Y138" s="40"/>
      <c r="Z138" s="35"/>
      <c r="AA138" s="51"/>
      <c r="AB138" s="51"/>
      <c r="AC138" s="39"/>
      <c r="AD138" s="39">
        <f t="shared" si="76"/>
        <v>6</v>
      </c>
      <c r="AE138" s="241" t="s">
        <v>765</v>
      </c>
      <c r="AF138" s="39">
        <v>6</v>
      </c>
      <c r="AG138" s="39"/>
      <c r="AH138" s="39"/>
      <c r="AI138" s="39"/>
      <c r="AJ138" s="39"/>
      <c r="AK138" s="39"/>
      <c r="AL138" s="39"/>
      <c r="AM138" s="39">
        <f t="shared" ref="AM138" si="80">SUM(AF138:AL138)+AT138+AV138+AX138</f>
        <v>6</v>
      </c>
      <c r="AN138" s="39"/>
      <c r="AO138" s="39"/>
      <c r="AP138" s="39"/>
      <c r="AQ138" s="39"/>
      <c r="AR138" s="39">
        <f t="shared" ref="AR138" si="81">SUM(AN138:AQ138)</f>
        <v>0</v>
      </c>
      <c r="AS138" s="39"/>
      <c r="AT138" s="39"/>
      <c r="AU138" s="39"/>
      <c r="AV138" s="39"/>
      <c r="AW138" s="39"/>
      <c r="AX138" s="39"/>
      <c r="AY138" s="39"/>
      <c r="AZ138" s="39"/>
      <c r="BA138" s="39">
        <f t="shared" ref="BA138" si="82">+AR138+AS138+AU138+AW138+AY138+AZ138</f>
        <v>0</v>
      </c>
      <c r="BB138" s="35"/>
      <c r="BC138" s="55"/>
      <c r="BD138" s="55"/>
      <c r="BE138" s="35"/>
      <c r="BF138" s="55">
        <v>1</v>
      </c>
    </row>
    <row r="139" spans="1:58" ht="12.95" customHeight="1">
      <c r="A139" s="42"/>
      <c r="B139" s="540"/>
      <c r="C139" s="447"/>
      <c r="D139" s="43"/>
      <c r="E139" s="255"/>
      <c r="F139" s="44"/>
      <c r="G139" s="45"/>
      <c r="H139" s="46"/>
      <c r="I139" s="47"/>
      <c r="J139" s="88"/>
      <c r="K139" s="88"/>
      <c r="L139" s="37"/>
      <c r="M139" s="37"/>
      <c r="N139" s="48"/>
      <c r="O139" s="49"/>
      <c r="P139" s="50"/>
      <c r="Q139" s="348"/>
      <c r="R139" s="52"/>
      <c r="S139" s="52"/>
      <c r="T139" s="39"/>
      <c r="U139" s="39"/>
      <c r="V139" s="39"/>
      <c r="W139" s="35"/>
      <c r="X139" s="40"/>
      <c r="Y139" s="40"/>
      <c r="Z139" s="35"/>
      <c r="AA139" s="51"/>
      <c r="AB139" s="51"/>
      <c r="AC139" s="39"/>
      <c r="AD139" s="39"/>
      <c r="AE139" s="21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5"/>
      <c r="BC139" s="53"/>
      <c r="BD139" s="53"/>
      <c r="BE139" s="53"/>
      <c r="BF139" s="53"/>
    </row>
    <row r="140" spans="1:58" ht="12.95" customHeight="1">
      <c r="A140" s="42">
        <v>45989</v>
      </c>
      <c r="B140" s="43" t="s">
        <v>517</v>
      </c>
      <c r="C140" s="447">
        <f>(M140*E140*O140*Q140)/100000000</f>
        <v>55.157760000000003</v>
      </c>
      <c r="D140" s="43" t="s">
        <v>489</v>
      </c>
      <c r="E140" s="44">
        <v>12</v>
      </c>
      <c r="F140" s="44">
        <v>1</v>
      </c>
      <c r="G140" s="459">
        <v>1700</v>
      </c>
      <c r="H140" s="46">
        <v>0.24</v>
      </c>
      <c r="I140" s="47">
        <v>0.88</v>
      </c>
      <c r="J140" s="88">
        <f>E140*G140*(1-H140)*1440/1000000*2.77</f>
        <v>61.8423552</v>
      </c>
      <c r="K140" s="88">
        <f>(IF(G140&lt;L140,L140,G140)*(1-IF(H140&lt;N140,H140,N140))*E140*O140*Q140)/100000000</f>
        <v>58.605119999999999</v>
      </c>
      <c r="L140" s="37">
        <v>1600</v>
      </c>
      <c r="M140" s="37">
        <f>+L140-L140*0.24</f>
        <v>1216</v>
      </c>
      <c r="N140" s="48">
        <f>1-(M140/L140)</f>
        <v>0.24</v>
      </c>
      <c r="O140" s="49">
        <f>+'Trim Rwd'!H106</f>
        <v>262.5</v>
      </c>
      <c r="P140" s="50">
        <f>O140*(Q140-R140-S140)</f>
        <v>367237.5</v>
      </c>
      <c r="Q140" s="49">
        <v>1440</v>
      </c>
      <c r="R140" s="417">
        <v>0</v>
      </c>
      <c r="S140" s="417">
        <v>41</v>
      </c>
      <c r="T140" s="39">
        <f>E140*M140*O140*Q140/100000000</f>
        <v>55.157760000000003</v>
      </c>
      <c r="U140" s="39">
        <f>E140*M140*O140*(Q140-R140-S140)/100000000</f>
        <v>53.587296000000002</v>
      </c>
      <c r="V140" s="39">
        <f>E140*G140*(1-N140)*O140/100*(R140+S140)/1000000</f>
        <v>1.6686179999999999</v>
      </c>
      <c r="W140" s="39">
        <f>+'28'!K34/1000</f>
        <v>51.81</v>
      </c>
      <c r="X140" s="414">
        <f>SUM(W140:W143)/SUM(K140:K143)</f>
        <v>0.88405245138991273</v>
      </c>
      <c r="Y140" s="220">
        <v>0</v>
      </c>
      <c r="Z140" s="39">
        <f>+'28'!D34/1000</f>
        <v>0.26400000000000001</v>
      </c>
      <c r="AA140" s="51">
        <f>SUM(U140:U143)-SUM(W140:W143)-SUM(Z140:Z143)-SUM(Y140:Y143)</f>
        <v>1.5132959999999998</v>
      </c>
      <c r="AB140" s="51">
        <f>(SUM(K140:K143)-SUM(W140:W143)-SUM(Y140:Y143)-SUM(Z140:Z143)-SUM(AC140:AC143)-SUM(V140:V143))-AA140</f>
        <v>-9.8153999999998964E-2</v>
      </c>
      <c r="AC140" s="39">
        <f>K140-T140</f>
        <v>3.4473599999999962</v>
      </c>
      <c r="AD140" s="39">
        <f t="shared" ref="AD140:AD142" si="83">+AM140+BA140</f>
        <v>0</v>
      </c>
      <c r="AE140" s="238" t="s">
        <v>434</v>
      </c>
      <c r="AF140" s="39">
        <v>0</v>
      </c>
      <c r="AG140" s="39"/>
      <c r="AH140" s="39"/>
      <c r="AI140" s="455"/>
      <c r="AJ140" s="39"/>
      <c r="AK140" s="39"/>
      <c r="AL140" s="39"/>
      <c r="AM140" s="39">
        <f t="shared" ref="AM140:AM142" si="84">SUM(AF140:AL140)+AT140+AV140+AX140</f>
        <v>0</v>
      </c>
      <c r="AN140" s="39"/>
      <c r="AO140" s="39"/>
      <c r="AP140" s="39"/>
      <c r="AQ140" s="39"/>
      <c r="AR140" s="39">
        <f t="shared" ref="AR140:AR142" si="85">SUM(AN140:AQ140)</f>
        <v>0</v>
      </c>
      <c r="AS140" s="39"/>
      <c r="AT140" s="39"/>
      <c r="AU140" s="39"/>
      <c r="AV140" s="39"/>
      <c r="AW140" s="39"/>
      <c r="AX140" s="39"/>
      <c r="AY140" s="39"/>
      <c r="AZ140" s="39"/>
      <c r="BA140" s="39">
        <f t="shared" ref="BA140:BA142" si="86">+AR140+AS140+AU140+AW140+AY140+AZ140</f>
        <v>0</v>
      </c>
      <c r="BB140" s="35">
        <v>0</v>
      </c>
      <c r="BC140" s="53"/>
      <c r="BD140" s="53"/>
      <c r="BE140" s="35"/>
      <c r="BF140" s="53"/>
    </row>
    <row r="141" spans="1:58" ht="12.95" customHeight="1">
      <c r="A141" s="343"/>
      <c r="B141" s="43"/>
      <c r="C141" s="447"/>
      <c r="D141" s="43"/>
      <c r="E141" s="44"/>
      <c r="F141" s="44"/>
      <c r="G141" s="459"/>
      <c r="H141" s="46"/>
      <c r="I141" s="47"/>
      <c r="J141" s="88"/>
      <c r="K141" s="88"/>
      <c r="L141" s="37"/>
      <c r="M141" s="37"/>
      <c r="N141" s="48"/>
      <c r="O141" s="49"/>
      <c r="P141" s="50"/>
      <c r="Q141" s="49"/>
      <c r="R141" s="417"/>
      <c r="S141" s="417"/>
      <c r="T141" s="39"/>
      <c r="U141" s="39"/>
      <c r="V141" s="39"/>
      <c r="W141" s="39"/>
      <c r="X141" s="40"/>
      <c r="Y141" s="220"/>
      <c r="Z141" s="39"/>
      <c r="AA141" s="39"/>
      <c r="AB141" s="39"/>
      <c r="AC141" s="39"/>
      <c r="AD141" s="39">
        <f t="shared" si="83"/>
        <v>15</v>
      </c>
      <c r="AE141" s="238" t="s">
        <v>593</v>
      </c>
      <c r="AF141" s="39"/>
      <c r="AG141" s="39">
        <v>15</v>
      </c>
      <c r="AH141" s="39"/>
      <c r="AI141" s="455"/>
      <c r="AJ141" s="39"/>
      <c r="AK141" s="39"/>
      <c r="AL141" s="39"/>
      <c r="AM141" s="39">
        <f t="shared" si="84"/>
        <v>15</v>
      </c>
      <c r="AN141" s="89"/>
      <c r="AO141" s="39"/>
      <c r="AP141" s="39"/>
      <c r="AQ141" s="39"/>
      <c r="AR141" s="39">
        <f t="shared" si="85"/>
        <v>0</v>
      </c>
      <c r="AS141" s="39"/>
      <c r="AT141" s="39"/>
      <c r="AU141" s="39"/>
      <c r="AV141" s="39"/>
      <c r="AW141" s="39"/>
      <c r="AX141" s="39"/>
      <c r="AY141" s="39"/>
      <c r="AZ141" s="39"/>
      <c r="BA141" s="39">
        <f t="shared" si="86"/>
        <v>0</v>
      </c>
      <c r="BB141" s="52"/>
      <c r="BC141" s="53">
        <v>10</v>
      </c>
      <c r="BD141" s="53"/>
      <c r="BE141" s="52"/>
      <c r="BF141" s="53"/>
    </row>
    <row r="142" spans="1:58" ht="12.95" customHeight="1">
      <c r="A142" s="42"/>
      <c r="B142" s="43"/>
      <c r="C142" s="447"/>
      <c r="D142" s="43"/>
      <c r="E142" s="44"/>
      <c r="F142" s="44"/>
      <c r="G142" s="45"/>
      <c r="H142" s="46"/>
      <c r="I142" s="47"/>
      <c r="J142" s="88"/>
      <c r="K142" s="88"/>
      <c r="L142" s="37"/>
      <c r="M142" s="37"/>
      <c r="N142" s="48"/>
      <c r="O142" s="49"/>
      <c r="P142" s="50"/>
      <c r="Q142" s="49"/>
      <c r="R142" s="417"/>
      <c r="S142" s="417"/>
      <c r="T142" s="39"/>
      <c r="U142" s="39"/>
      <c r="V142" s="39"/>
      <c r="W142" s="39"/>
      <c r="X142" s="40"/>
      <c r="Y142" s="220"/>
      <c r="Z142" s="39"/>
      <c r="AA142" s="39"/>
      <c r="AB142" s="39"/>
      <c r="AC142" s="39"/>
      <c r="AD142" s="39">
        <f t="shared" si="83"/>
        <v>26</v>
      </c>
      <c r="AE142" s="238" t="s">
        <v>466</v>
      </c>
      <c r="AF142" s="35"/>
      <c r="AG142" s="35"/>
      <c r="AH142" s="35">
        <v>26</v>
      </c>
      <c r="AI142" s="455"/>
      <c r="AJ142" s="39"/>
      <c r="AK142" s="39"/>
      <c r="AL142" s="39"/>
      <c r="AM142" s="39">
        <f t="shared" si="84"/>
        <v>26</v>
      </c>
      <c r="AN142" s="39"/>
      <c r="AO142" s="39"/>
      <c r="AP142" s="39"/>
      <c r="AQ142" s="39"/>
      <c r="AR142" s="39">
        <f t="shared" si="85"/>
        <v>0</v>
      </c>
      <c r="AS142" s="39"/>
      <c r="AT142" s="39"/>
      <c r="AU142" s="39"/>
      <c r="AV142" s="39"/>
      <c r="AW142" s="39"/>
      <c r="AX142" s="39"/>
      <c r="AY142" s="39"/>
      <c r="AZ142" s="39"/>
      <c r="BA142" s="39">
        <f t="shared" si="86"/>
        <v>0</v>
      </c>
      <c r="BB142" s="35"/>
      <c r="BC142" s="55"/>
      <c r="BD142" s="55"/>
      <c r="BE142" s="35"/>
      <c r="BF142" s="55"/>
    </row>
    <row r="143" spans="1:58" ht="12.95" customHeight="1">
      <c r="A143" s="42"/>
      <c r="B143" s="540"/>
      <c r="C143" s="447"/>
      <c r="D143" s="43"/>
      <c r="E143" s="255"/>
      <c r="F143" s="44"/>
      <c r="G143" s="45"/>
      <c r="H143" s="46"/>
      <c r="I143" s="47"/>
      <c r="J143" s="88"/>
      <c r="K143" s="88"/>
      <c r="L143" s="37"/>
      <c r="M143" s="37"/>
      <c r="N143" s="48"/>
      <c r="O143" s="49"/>
      <c r="P143" s="50"/>
      <c r="Q143" s="348"/>
      <c r="R143" s="52"/>
      <c r="S143" s="52"/>
      <c r="T143" s="39"/>
      <c r="U143" s="39"/>
      <c r="V143" s="39"/>
      <c r="W143" s="35"/>
      <c r="X143" s="40"/>
      <c r="Y143" s="40"/>
      <c r="Z143" s="35"/>
      <c r="AA143" s="51"/>
      <c r="AB143" s="51"/>
      <c r="AC143" s="39"/>
      <c r="AD143" s="39"/>
      <c r="AE143" s="21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5"/>
      <c r="BC143" s="53"/>
      <c r="BD143" s="53"/>
      <c r="BE143" s="53"/>
      <c r="BF143" s="53"/>
    </row>
    <row r="144" spans="1:58" ht="12.95" customHeight="1">
      <c r="A144" s="42">
        <v>45990</v>
      </c>
      <c r="B144" s="43" t="s">
        <v>517</v>
      </c>
      <c r="C144" s="447">
        <f>(M144*E144*O144*Q144)/100000000</f>
        <v>56.313446399999997</v>
      </c>
      <c r="D144" s="43" t="s">
        <v>489</v>
      </c>
      <c r="E144" s="44">
        <v>12</v>
      </c>
      <c r="F144" s="44">
        <v>1</v>
      </c>
      <c r="G144" s="459">
        <v>1700</v>
      </c>
      <c r="H144" s="46">
        <v>0.24</v>
      </c>
      <c r="I144" s="47">
        <v>0.88</v>
      </c>
      <c r="J144" s="88">
        <f>E144*G144*(1-H144)*1440/1000000*2.77</f>
        <v>61.8423552</v>
      </c>
      <c r="K144" s="88">
        <f>(IF(G144&lt;L144,L144,G144)*(1-IF(H144&lt;N144,H144,N144))*E144*O144*Q144)/100000000</f>
        <v>59.833036800000002</v>
      </c>
      <c r="L144" s="37">
        <v>1600</v>
      </c>
      <c r="M144" s="37">
        <f>+L144-L144*0.24</f>
        <v>1216</v>
      </c>
      <c r="N144" s="48">
        <f>1-(M144/L144)</f>
        <v>0.24</v>
      </c>
      <c r="O144" s="49">
        <f>+'Trim Rwd'!H110</f>
        <v>268</v>
      </c>
      <c r="P144" s="50">
        <f>O144*(Q144-R144-S144)</f>
        <v>374932</v>
      </c>
      <c r="Q144" s="49">
        <v>1440</v>
      </c>
      <c r="R144" s="417">
        <v>0</v>
      </c>
      <c r="S144" s="417">
        <v>41</v>
      </c>
      <c r="T144" s="39">
        <f>E144*M144*O144*Q144/100000000</f>
        <v>56.313446399999997</v>
      </c>
      <c r="U144" s="39">
        <f>E144*M144*O144*(Q144-R144-S144)/100000000</f>
        <v>54.710077439999999</v>
      </c>
      <c r="V144" s="39">
        <f>E144*G144*(1-N144)*O144/100*(R144+S144)/1000000</f>
        <v>1.7035795200000001</v>
      </c>
      <c r="W144" s="39">
        <f>+'29'!K34/1000</f>
        <v>55.331000000000003</v>
      </c>
      <c r="X144" s="414">
        <f>SUM(W144:W147)/SUM(K144:K147)</f>
        <v>0.92475667222025415</v>
      </c>
      <c r="Y144" s="220">
        <v>0</v>
      </c>
      <c r="Z144" s="39">
        <v>0</v>
      </c>
      <c r="AA144" s="51">
        <f>SUM(U144:U147)-SUM(W144:W147)-SUM(Z144:Z147)-SUM(Y144:Y147)</f>
        <v>-0.6209225600000039</v>
      </c>
      <c r="AB144" s="51">
        <f>(SUM(K144:K147)-SUM(W144:W147)-SUM(Y144:Y147)-SUM(Z144:Z147)-SUM(AC144:AC147)-SUM(V144:V147))-AA144</f>
        <v>-0.10021056000000272</v>
      </c>
      <c r="AC144" s="39">
        <f>K144-T144</f>
        <v>3.5195904000000056</v>
      </c>
      <c r="AD144" s="39">
        <f t="shared" ref="AD144:AD146" si="87">+AM144+BA144</f>
        <v>0</v>
      </c>
      <c r="AE144" s="238" t="s">
        <v>434</v>
      </c>
      <c r="AF144" s="39">
        <v>0</v>
      </c>
      <c r="AG144" s="39"/>
      <c r="AH144" s="39"/>
      <c r="AI144" s="455"/>
      <c r="AJ144" s="39"/>
      <c r="AK144" s="39"/>
      <c r="AL144" s="39"/>
      <c r="AM144" s="39">
        <f t="shared" ref="AM144:AM146" si="88">SUM(AF144:AL144)+AT144+AV144+AX144</f>
        <v>0</v>
      </c>
      <c r="AN144" s="39"/>
      <c r="AO144" s="39"/>
      <c r="AP144" s="39"/>
      <c r="AQ144" s="39"/>
      <c r="AR144" s="39">
        <f t="shared" ref="AR144:AR146" si="89">SUM(AN144:AQ144)</f>
        <v>0</v>
      </c>
      <c r="AS144" s="39"/>
      <c r="AT144" s="39"/>
      <c r="AU144" s="39"/>
      <c r="AV144" s="39"/>
      <c r="AW144" s="39"/>
      <c r="AX144" s="39"/>
      <c r="AY144" s="39"/>
      <c r="AZ144" s="39"/>
      <c r="BA144" s="39">
        <f t="shared" ref="BA144:BA146" si="90">+AR144+AS144+AU144+AW144+AY144+AZ144</f>
        <v>0</v>
      </c>
      <c r="BB144" s="35">
        <v>0</v>
      </c>
      <c r="BC144" s="53"/>
      <c r="BD144" s="53"/>
      <c r="BE144" s="35"/>
      <c r="BF144" s="53"/>
    </row>
    <row r="145" spans="1:58" ht="12.95" customHeight="1">
      <c r="A145" s="343"/>
      <c r="B145" s="43"/>
      <c r="C145" s="447"/>
      <c r="D145" s="43"/>
      <c r="E145" s="44"/>
      <c r="F145" s="44"/>
      <c r="G145" s="459"/>
      <c r="H145" s="46"/>
      <c r="I145" s="47"/>
      <c r="J145" s="88"/>
      <c r="K145" s="88"/>
      <c r="L145" s="37"/>
      <c r="M145" s="37"/>
      <c r="N145" s="48"/>
      <c r="O145" s="49"/>
      <c r="P145" s="50"/>
      <c r="Q145" s="49"/>
      <c r="R145" s="417"/>
      <c r="S145" s="417"/>
      <c r="T145" s="39"/>
      <c r="U145" s="39"/>
      <c r="V145" s="39"/>
      <c r="W145" s="39"/>
      <c r="X145" s="40"/>
      <c r="Y145" s="220"/>
      <c r="Z145" s="39"/>
      <c r="AA145" s="39"/>
      <c r="AB145" s="39"/>
      <c r="AC145" s="39"/>
      <c r="AD145" s="39">
        <f t="shared" si="87"/>
        <v>11</v>
      </c>
      <c r="AE145" s="238" t="s">
        <v>593</v>
      </c>
      <c r="AF145" s="39"/>
      <c r="AG145" s="39">
        <v>11</v>
      </c>
      <c r="AH145" s="39"/>
      <c r="AI145" s="455"/>
      <c r="AJ145" s="39"/>
      <c r="AK145" s="39"/>
      <c r="AL145" s="39"/>
      <c r="AM145" s="39">
        <f t="shared" si="88"/>
        <v>11</v>
      </c>
      <c r="AN145" s="89"/>
      <c r="AO145" s="39"/>
      <c r="AP145" s="39"/>
      <c r="AQ145" s="39"/>
      <c r="AR145" s="39">
        <f t="shared" si="89"/>
        <v>0</v>
      </c>
      <c r="AS145" s="39"/>
      <c r="AT145" s="39"/>
      <c r="AU145" s="39"/>
      <c r="AV145" s="39"/>
      <c r="AW145" s="39"/>
      <c r="AX145" s="39"/>
      <c r="AY145" s="39"/>
      <c r="AZ145" s="39"/>
      <c r="BA145" s="39">
        <f t="shared" si="90"/>
        <v>0</v>
      </c>
      <c r="BB145" s="52"/>
      <c r="BC145" s="53">
        <v>10</v>
      </c>
      <c r="BD145" s="53"/>
      <c r="BE145" s="52"/>
      <c r="BF145" s="53"/>
    </row>
    <row r="146" spans="1:58" ht="12.95" customHeight="1">
      <c r="A146" s="42"/>
      <c r="B146" s="43"/>
      <c r="C146" s="447"/>
      <c r="D146" s="43"/>
      <c r="E146" s="44"/>
      <c r="F146" s="44"/>
      <c r="G146" s="45"/>
      <c r="H146" s="46"/>
      <c r="I146" s="47"/>
      <c r="J146" s="88"/>
      <c r="K146" s="88"/>
      <c r="L146" s="37"/>
      <c r="M146" s="37"/>
      <c r="N146" s="48"/>
      <c r="O146" s="49"/>
      <c r="P146" s="50"/>
      <c r="Q146" s="49"/>
      <c r="R146" s="417"/>
      <c r="S146" s="417"/>
      <c r="T146" s="39"/>
      <c r="U146" s="39"/>
      <c r="V146" s="39"/>
      <c r="W146" s="39"/>
      <c r="X146" s="40"/>
      <c r="Y146" s="220"/>
      <c r="Z146" s="39"/>
      <c r="AA146" s="39"/>
      <c r="AB146" s="39"/>
      <c r="AC146" s="39"/>
      <c r="AD146" s="39">
        <f t="shared" si="87"/>
        <v>30</v>
      </c>
      <c r="AE146" s="238" t="s">
        <v>548</v>
      </c>
      <c r="AF146" s="35"/>
      <c r="AG146" s="35"/>
      <c r="AH146" s="35">
        <v>30</v>
      </c>
      <c r="AI146" s="455"/>
      <c r="AJ146" s="39"/>
      <c r="AK146" s="39"/>
      <c r="AL146" s="39"/>
      <c r="AM146" s="39">
        <f t="shared" si="88"/>
        <v>30</v>
      </c>
      <c r="AN146" s="39"/>
      <c r="AO146" s="39"/>
      <c r="AP146" s="39"/>
      <c r="AQ146" s="39"/>
      <c r="AR146" s="39">
        <f t="shared" si="89"/>
        <v>0</v>
      </c>
      <c r="AS146" s="39"/>
      <c r="AT146" s="39"/>
      <c r="AU146" s="39"/>
      <c r="AV146" s="39"/>
      <c r="AW146" s="39"/>
      <c r="AX146" s="39"/>
      <c r="AY146" s="39"/>
      <c r="AZ146" s="39"/>
      <c r="BA146" s="39">
        <f t="shared" si="90"/>
        <v>0</v>
      </c>
      <c r="BB146" s="35"/>
      <c r="BC146" s="55"/>
      <c r="BD146" s="55"/>
      <c r="BE146" s="35"/>
      <c r="BF146" s="55"/>
    </row>
    <row r="147" spans="1:58" ht="12.95" customHeight="1">
      <c r="A147" s="42"/>
      <c r="B147" s="540"/>
      <c r="C147" s="447"/>
      <c r="D147" s="43"/>
      <c r="E147" s="255"/>
      <c r="F147" s="44"/>
      <c r="G147" s="45"/>
      <c r="H147" s="46"/>
      <c r="I147" s="47"/>
      <c r="J147" s="88"/>
      <c r="K147" s="88"/>
      <c r="L147" s="37"/>
      <c r="M147" s="37"/>
      <c r="N147" s="48"/>
      <c r="O147" s="49"/>
      <c r="P147" s="50"/>
      <c r="Q147" s="348"/>
      <c r="R147" s="52"/>
      <c r="S147" s="52"/>
      <c r="T147" s="39"/>
      <c r="U147" s="39"/>
      <c r="V147" s="39"/>
      <c r="W147" s="35"/>
      <c r="X147" s="40"/>
      <c r="Y147" s="40"/>
      <c r="Z147" s="35"/>
      <c r="AA147" s="51"/>
      <c r="AB147" s="51"/>
      <c r="AC147" s="39"/>
      <c r="AD147" s="39"/>
      <c r="AE147" s="21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5"/>
      <c r="BC147" s="53"/>
      <c r="BD147" s="53"/>
      <c r="BE147" s="53"/>
      <c r="BF147" s="53"/>
    </row>
    <row r="148" spans="1:58" ht="12.95" customHeight="1">
      <c r="A148" s="42">
        <v>45991</v>
      </c>
      <c r="B148" s="43" t="s">
        <v>517</v>
      </c>
      <c r="C148" s="447">
        <f>(M148*E148*O148*Q148)/100000000</f>
        <v>32.771297279999999</v>
      </c>
      <c r="D148" s="43" t="s">
        <v>489</v>
      </c>
      <c r="E148" s="44">
        <v>12</v>
      </c>
      <c r="F148" s="44">
        <v>1</v>
      </c>
      <c r="G148" s="459">
        <v>1700</v>
      </c>
      <c r="H148" s="46">
        <v>0.24</v>
      </c>
      <c r="I148" s="47">
        <v>0.88</v>
      </c>
      <c r="J148" s="88">
        <f>E148*G148*(1-H148)*1440/1000000*2.77</f>
        <v>61.8423552</v>
      </c>
      <c r="K148" s="88">
        <f>(IF(G148&lt;L148,L148,G148)*(1-IF(H148&lt;N148,H148,N148))*E148*O148*Q148)/100000000</f>
        <v>34.819503359999999</v>
      </c>
      <c r="L148" s="37">
        <v>1600</v>
      </c>
      <c r="M148" s="37">
        <f>+L148-L148*0.24</f>
        <v>1216</v>
      </c>
      <c r="N148" s="48">
        <f>1-(M148/L148)</f>
        <v>0.24</v>
      </c>
      <c r="O148" s="49">
        <f>+'Trim Rwd'!H110</f>
        <v>268</v>
      </c>
      <c r="P148" s="50">
        <f>O148*(Q148-R148-S148)</f>
        <v>218688</v>
      </c>
      <c r="Q148" s="49">
        <v>838</v>
      </c>
      <c r="R148" s="417">
        <v>0</v>
      </c>
      <c r="S148" s="417">
        <v>22</v>
      </c>
      <c r="T148" s="39">
        <f>E148*M148*O148*Q148/100000000</f>
        <v>32.771297279999999</v>
      </c>
      <c r="U148" s="39">
        <f>E148*M148*O148*(Q148-R148-S148)/100000000</f>
        <v>31.910952959999999</v>
      </c>
      <c r="V148" s="39">
        <f>E148*G148*(1-N148)*O148/100*(R148+S148)/1000000</f>
        <v>0.91411584000000012</v>
      </c>
      <c r="W148" s="39">
        <f>+'30'!K14/1000</f>
        <v>36.738</v>
      </c>
      <c r="X148" s="414">
        <f>SUM(W148:W151)/SUM(K148:K151)</f>
        <v>0.93511365399264468</v>
      </c>
      <c r="Y148" s="220">
        <f>+SUM(RBP!$AG$3:$AG$4)</f>
        <v>2.68</v>
      </c>
      <c r="Z148" s="39">
        <v>0</v>
      </c>
      <c r="AA148" s="51">
        <f>SUM(U148:U151)-SUM(W148:W151)-SUM(Z148:Z151)-SUM(Y148:Y151)</f>
        <v>-4.1027190400000038</v>
      </c>
      <c r="AB148" s="51">
        <f>(SUM(K148:K151)-SUM(W148:W151)-SUM(Y148:Y151)-SUM(Z148:Z151)-SUM(AC148:AC151)-SUM(V148:V151))-AA148</f>
        <v>-0.11245871999999668</v>
      </c>
      <c r="AC148" s="39">
        <f>K148-T148</f>
        <v>2.0482060799999999</v>
      </c>
      <c r="AD148" s="39">
        <f t="shared" ref="AD148:AD150" si="91">+AM148+BA148</f>
        <v>0</v>
      </c>
      <c r="AE148" s="238" t="s">
        <v>434</v>
      </c>
      <c r="AF148" s="39">
        <v>0</v>
      </c>
      <c r="AG148" s="39"/>
      <c r="AH148" s="39"/>
      <c r="AI148" s="455"/>
      <c r="AJ148" s="39"/>
      <c r="AK148" s="39"/>
      <c r="AL148" s="39"/>
      <c r="AM148" s="39">
        <f t="shared" ref="AM148:AM150" si="92">SUM(AF148:AL148)+AT148+AV148+AX148</f>
        <v>0</v>
      </c>
      <c r="AN148" s="39"/>
      <c r="AO148" s="39"/>
      <c r="AP148" s="39"/>
      <c r="AQ148" s="39"/>
      <c r="AR148" s="39">
        <f t="shared" ref="AR148:AR150" si="93">SUM(AN148:AQ148)</f>
        <v>0</v>
      </c>
      <c r="AS148" s="39"/>
      <c r="AT148" s="39"/>
      <c r="AU148" s="39"/>
      <c r="AV148" s="39"/>
      <c r="AW148" s="39"/>
      <c r="AX148" s="39"/>
      <c r="AY148" s="39"/>
      <c r="AZ148" s="39"/>
      <c r="BA148" s="39">
        <f t="shared" ref="BA148:BA150" si="94">+AR148+AS148+AU148+AW148+AY148+AZ148</f>
        <v>0</v>
      </c>
      <c r="BB148" s="35">
        <v>0</v>
      </c>
      <c r="BC148" s="53"/>
      <c r="BD148" s="53"/>
      <c r="BE148" s="35"/>
      <c r="BF148" s="53"/>
    </row>
    <row r="149" spans="1:58" ht="12.95" customHeight="1">
      <c r="A149" s="343"/>
      <c r="B149" s="43" t="s">
        <v>517</v>
      </c>
      <c r="C149" s="447">
        <f>(M149*E149*O149*Q149)/100000000</f>
        <v>25.694323199999999</v>
      </c>
      <c r="D149" s="43" t="s">
        <v>489</v>
      </c>
      <c r="E149" s="44">
        <v>13</v>
      </c>
      <c r="F149" s="44">
        <v>1</v>
      </c>
      <c r="G149" s="459">
        <v>1700</v>
      </c>
      <c r="H149" s="46">
        <v>0.24</v>
      </c>
      <c r="I149" s="47">
        <v>0.88</v>
      </c>
      <c r="J149" s="88">
        <f>E149*G149*(1-H149)*1440/1000000*2.77</f>
        <v>66.995884799999999</v>
      </c>
      <c r="K149" s="88">
        <f>(IF(G149&lt;L149,L149,G149)*(1-IF(H149&lt;N149,H149,N149))*E149*O149*Q149)/100000000</f>
        <v>27.300218399999999</v>
      </c>
      <c r="L149" s="37">
        <v>1600</v>
      </c>
      <c r="M149" s="37">
        <f>+L149-L149*0.24</f>
        <v>1216</v>
      </c>
      <c r="N149" s="48">
        <f>1-(M149/L149)</f>
        <v>0.24</v>
      </c>
      <c r="O149" s="49">
        <f>+'Trim Rwd'!H111</f>
        <v>270</v>
      </c>
      <c r="P149" s="50">
        <f>O149*(Q149-R149-S149)</f>
        <v>156600</v>
      </c>
      <c r="Q149" s="49">
        <v>602</v>
      </c>
      <c r="R149" s="417">
        <v>0</v>
      </c>
      <c r="S149" s="417">
        <v>22</v>
      </c>
      <c r="T149" s="39">
        <f>E149*M149*O149*Q149/100000000</f>
        <v>25.694323199999999</v>
      </c>
      <c r="U149" s="39">
        <f>E149*M149*O149*(Q149-R149-S149)/100000000</f>
        <v>24.755327999999999</v>
      </c>
      <c r="V149" s="39">
        <f>E149*G149*(1-N149)*O149/100*(R149+S149)/1000000</f>
        <v>0.99768239999999986</v>
      </c>
      <c r="W149" s="39">
        <f>+'30'!K15/1000</f>
        <v>21.350999999999999</v>
      </c>
      <c r="X149" s="40"/>
      <c r="Y149" s="220"/>
      <c r="Z149" s="39"/>
      <c r="AA149" s="39"/>
      <c r="AB149" s="39"/>
      <c r="AC149" s="39">
        <f>K149-T149</f>
        <v>1.6058951999999991</v>
      </c>
      <c r="AD149" s="39">
        <f t="shared" si="91"/>
        <v>18</v>
      </c>
      <c r="AE149" s="238" t="s">
        <v>605</v>
      </c>
      <c r="AF149" s="39"/>
      <c r="AG149" s="39">
        <v>18</v>
      </c>
      <c r="AH149" s="39"/>
      <c r="AI149" s="455"/>
      <c r="AJ149" s="39"/>
      <c r="AK149" s="39"/>
      <c r="AL149" s="39"/>
      <c r="AM149" s="39">
        <f t="shared" si="92"/>
        <v>18</v>
      </c>
      <c r="AN149" s="89"/>
      <c r="AO149" s="39"/>
      <c r="AP149" s="39"/>
      <c r="AQ149" s="39"/>
      <c r="AR149" s="39">
        <f t="shared" si="93"/>
        <v>0</v>
      </c>
      <c r="AS149" s="39"/>
      <c r="AT149" s="39"/>
      <c r="AU149" s="39"/>
      <c r="AV149" s="39"/>
      <c r="AW149" s="39"/>
      <c r="AX149" s="39"/>
      <c r="AY149" s="39"/>
      <c r="AZ149" s="39"/>
      <c r="BA149" s="39">
        <f t="shared" si="94"/>
        <v>0</v>
      </c>
      <c r="BB149" s="52"/>
      <c r="BC149" s="53">
        <v>9</v>
      </c>
      <c r="BD149" s="53"/>
      <c r="BE149" s="52"/>
      <c r="BF149" s="53"/>
    </row>
    <row r="150" spans="1:58" ht="12.95" customHeight="1">
      <c r="A150" s="42"/>
      <c r="B150" s="43"/>
      <c r="C150" s="447"/>
      <c r="D150" s="43"/>
      <c r="E150" s="44"/>
      <c r="F150" s="44"/>
      <c r="G150" s="45"/>
      <c r="H150" s="46"/>
      <c r="I150" s="47"/>
      <c r="J150" s="88"/>
      <c r="K150" s="88"/>
      <c r="L150" s="37"/>
      <c r="M150" s="37"/>
      <c r="N150" s="48"/>
      <c r="O150" s="49"/>
      <c r="P150" s="50"/>
      <c r="Q150" s="49"/>
      <c r="R150" s="417"/>
      <c r="S150" s="417"/>
      <c r="T150" s="39"/>
      <c r="U150" s="39"/>
      <c r="V150" s="39"/>
      <c r="W150" s="39"/>
      <c r="X150" s="40"/>
      <c r="Y150" s="220"/>
      <c r="Z150" s="39"/>
      <c r="AA150" s="39"/>
      <c r="AB150" s="39"/>
      <c r="AC150" s="39"/>
      <c r="AD150" s="39">
        <f t="shared" si="91"/>
        <v>26</v>
      </c>
      <c r="AE150" s="238" t="s">
        <v>444</v>
      </c>
      <c r="AF150" s="35"/>
      <c r="AG150" s="35"/>
      <c r="AH150" s="35">
        <v>26</v>
      </c>
      <c r="AI150" s="455"/>
      <c r="AJ150" s="39"/>
      <c r="AK150" s="39"/>
      <c r="AL150" s="39"/>
      <c r="AM150" s="39">
        <f t="shared" si="92"/>
        <v>26</v>
      </c>
      <c r="AN150" s="39"/>
      <c r="AO150" s="39"/>
      <c r="AP150" s="39"/>
      <c r="AQ150" s="39"/>
      <c r="AR150" s="39">
        <f t="shared" si="93"/>
        <v>0</v>
      </c>
      <c r="AS150" s="39"/>
      <c r="AT150" s="39"/>
      <c r="AU150" s="39"/>
      <c r="AV150" s="39"/>
      <c r="AW150" s="39"/>
      <c r="AX150" s="39"/>
      <c r="AY150" s="39"/>
      <c r="AZ150" s="39"/>
      <c r="BA150" s="39">
        <f t="shared" si="94"/>
        <v>0</v>
      </c>
      <c r="BB150" s="35"/>
      <c r="BC150" s="55"/>
      <c r="BD150" s="55"/>
      <c r="BE150" s="35"/>
      <c r="BF150" s="55"/>
    </row>
    <row r="151" spans="1:58" ht="12.95" customHeight="1">
      <c r="A151" s="42"/>
      <c r="B151" s="43"/>
      <c r="C151" s="447"/>
      <c r="D151" s="43"/>
      <c r="E151" s="44"/>
      <c r="F151" s="44"/>
      <c r="G151" s="56"/>
      <c r="H151" s="57"/>
      <c r="I151" s="47"/>
      <c r="J151" s="88"/>
      <c r="K151" s="88"/>
      <c r="L151" s="37"/>
      <c r="M151" s="37"/>
      <c r="N151" s="48"/>
      <c r="O151" s="49"/>
      <c r="P151" s="50"/>
      <c r="Q151" s="348"/>
      <c r="R151" s="52"/>
      <c r="S151" s="52"/>
      <c r="T151" s="39"/>
      <c r="U151" s="39"/>
      <c r="V151" s="39"/>
      <c r="W151" s="35"/>
      <c r="X151" s="40"/>
      <c r="Y151" s="40"/>
      <c r="Z151" s="35"/>
      <c r="AA151" s="51">
        <f>U151-W151-Z151</f>
        <v>0</v>
      </c>
      <c r="AB151" s="51"/>
      <c r="AC151" s="39">
        <f>K151-T151</f>
        <v>0</v>
      </c>
      <c r="AD151" s="39"/>
      <c r="AE151" s="58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5"/>
      <c r="BC151" s="53"/>
      <c r="BD151" s="53"/>
      <c r="BE151" s="53"/>
      <c r="BF151" s="53"/>
    </row>
    <row r="152" spans="1:58">
      <c r="R152" s="418"/>
      <c r="S152" s="418"/>
      <c r="AA152" s="256">
        <f>U152-W152-Z152</f>
        <v>0</v>
      </c>
      <c r="AB152" s="256"/>
      <c r="AC152" s="257">
        <f>K152-T152</f>
        <v>0</v>
      </c>
      <c r="AD152" s="39"/>
      <c r="AF152" s="54"/>
      <c r="AG152" s="54"/>
      <c r="AH152" s="54"/>
      <c r="AI152" s="54"/>
      <c r="AJ152" s="54"/>
      <c r="AK152" s="54"/>
      <c r="AL152" s="54"/>
      <c r="AM152" s="39"/>
      <c r="AN152" s="54"/>
      <c r="AO152" s="54"/>
      <c r="AP152" s="54"/>
      <c r="AQ152" s="54"/>
      <c r="AR152" s="39"/>
      <c r="AS152" s="54"/>
      <c r="AT152" s="54"/>
      <c r="AU152" s="54"/>
      <c r="AV152" s="54"/>
      <c r="AW152" s="54"/>
      <c r="AX152" s="54"/>
      <c r="AY152" s="54"/>
      <c r="AZ152" s="54"/>
      <c r="BA152" s="39"/>
      <c r="BB152" s="35"/>
      <c r="BC152" s="53"/>
      <c r="BD152" s="53"/>
      <c r="BE152" s="53"/>
      <c r="BF152" s="53"/>
    </row>
    <row r="153" spans="1:58" s="29" customFormat="1" ht="12.95" customHeight="1">
      <c r="A153" s="62"/>
      <c r="B153" s="63"/>
      <c r="C153" s="448">
        <f>SUM(C6:C151)</f>
        <v>1766.6755171878315</v>
      </c>
      <c r="D153" s="63"/>
      <c r="E153" s="64"/>
      <c r="F153" s="64"/>
      <c r="G153" s="65"/>
      <c r="H153" s="65"/>
      <c r="I153" s="66">
        <v>0.85</v>
      </c>
      <c r="J153" s="88"/>
      <c r="K153" s="90">
        <f>SUM(K6:K151)</f>
        <v>1870.6123418817328</v>
      </c>
      <c r="L153" s="68"/>
      <c r="M153" s="68"/>
      <c r="N153" s="69"/>
      <c r="O153" s="70">
        <f>P153/(Q153-R153-S153)</f>
        <v>267.21724084657473</v>
      </c>
      <c r="P153" s="67">
        <f>SUM(P6:P151)</f>
        <v>10679337.030433359</v>
      </c>
      <c r="Q153" s="350">
        <f>SUM(Q6:Q152)</f>
        <v>43200</v>
      </c>
      <c r="R153" s="67">
        <f t="shared" ref="R153:W153" si="95">SUM(R6:R151)</f>
        <v>1306</v>
      </c>
      <c r="S153" s="67">
        <f t="shared" si="95"/>
        <v>1929</v>
      </c>
      <c r="T153" s="67">
        <f t="shared" si="95"/>
        <v>1766.6755171878315</v>
      </c>
      <c r="U153" s="67">
        <f t="shared" si="95"/>
        <v>1632.388881454531</v>
      </c>
      <c r="V153" s="375">
        <f t="shared" si="95"/>
        <v>142.39179415358439</v>
      </c>
      <c r="W153" s="458">
        <f t="shared" si="95"/>
        <v>1595.056</v>
      </c>
      <c r="X153" s="379">
        <f>W153/K153</f>
        <v>0.8526919042966763</v>
      </c>
      <c r="Y153" s="376">
        <f>SUM(Y6:Y151)</f>
        <v>2.68</v>
      </c>
      <c r="Z153" s="458">
        <f>SUM(Z6:Z151)</f>
        <v>20.072000000000003</v>
      </c>
      <c r="AA153" s="67">
        <f>SUM(AA6:AA151)</f>
        <v>14.580881454530779</v>
      </c>
      <c r="AB153" s="67">
        <f>SUM(AB6:AB151)</f>
        <v>-8.1051584202836402</v>
      </c>
      <c r="AC153" s="67">
        <f>SUM(AC6:AC151)</f>
        <v>103.93682469390146</v>
      </c>
      <c r="AD153" s="39">
        <f>SUM(AD6:AD152)</f>
        <v>3235</v>
      </c>
      <c r="AE153" s="71"/>
      <c r="AF153" s="67">
        <f t="shared" ref="AF153:BF153" si="96">SUM(AF6:AF152)</f>
        <v>499</v>
      </c>
      <c r="AG153" s="67">
        <f t="shared" si="96"/>
        <v>338</v>
      </c>
      <c r="AH153" s="67">
        <f t="shared" si="96"/>
        <v>736</v>
      </c>
      <c r="AI153" s="67">
        <f t="shared" si="96"/>
        <v>193</v>
      </c>
      <c r="AJ153" s="67">
        <f t="shared" si="96"/>
        <v>77</v>
      </c>
      <c r="AK153" s="67">
        <f t="shared" si="96"/>
        <v>86</v>
      </c>
      <c r="AL153" s="67">
        <f t="shared" si="96"/>
        <v>0</v>
      </c>
      <c r="AM153" s="67">
        <f t="shared" si="96"/>
        <v>1929</v>
      </c>
      <c r="AN153" s="54">
        <f t="shared" si="96"/>
        <v>350</v>
      </c>
      <c r="AO153" s="54">
        <f t="shared" si="96"/>
        <v>602</v>
      </c>
      <c r="AP153" s="54">
        <f t="shared" si="96"/>
        <v>80</v>
      </c>
      <c r="AQ153" s="54">
        <f t="shared" si="96"/>
        <v>0</v>
      </c>
      <c r="AR153" s="67">
        <f t="shared" si="96"/>
        <v>1032</v>
      </c>
      <c r="AS153" s="67">
        <f t="shared" si="96"/>
        <v>199</v>
      </c>
      <c r="AT153" s="67">
        <f t="shared" si="96"/>
        <v>0</v>
      </c>
      <c r="AU153" s="67">
        <f t="shared" si="96"/>
        <v>0</v>
      </c>
      <c r="AV153" s="67">
        <f t="shared" si="96"/>
        <v>0</v>
      </c>
      <c r="AW153" s="67">
        <f t="shared" si="96"/>
        <v>0</v>
      </c>
      <c r="AX153" s="67">
        <f t="shared" si="96"/>
        <v>0</v>
      </c>
      <c r="AY153" s="67">
        <f t="shared" si="96"/>
        <v>75</v>
      </c>
      <c r="AZ153" s="67">
        <f t="shared" si="96"/>
        <v>0</v>
      </c>
      <c r="BA153" s="67">
        <f t="shared" si="96"/>
        <v>1306</v>
      </c>
      <c r="BB153" s="54">
        <f t="shared" si="96"/>
        <v>104</v>
      </c>
      <c r="BC153" s="54">
        <f t="shared" si="96"/>
        <v>269</v>
      </c>
      <c r="BD153" s="54">
        <f t="shared" si="96"/>
        <v>0</v>
      </c>
      <c r="BE153" s="54">
        <f t="shared" si="96"/>
        <v>1</v>
      </c>
      <c r="BF153" s="54">
        <f t="shared" si="96"/>
        <v>1</v>
      </c>
    </row>
    <row r="154" spans="1:58" s="29" customFormat="1" ht="12.95" customHeight="1">
      <c r="A154" s="62"/>
      <c r="B154" s="63"/>
      <c r="C154" s="63"/>
      <c r="D154" s="63"/>
      <c r="E154" s="64"/>
      <c r="F154" s="64"/>
      <c r="G154" s="65"/>
      <c r="H154" s="65"/>
      <c r="I154" s="65"/>
      <c r="J154" s="91"/>
      <c r="K154" s="91"/>
      <c r="L154" s="68"/>
      <c r="M154" s="68"/>
      <c r="N154" s="69"/>
      <c r="O154" s="594"/>
      <c r="P154" s="595"/>
      <c r="Q154" s="65">
        <f>30*1440-Q153</f>
        <v>0</v>
      </c>
      <c r="R154" s="72">
        <f>R153/Q153</f>
        <v>3.0231481481481481E-2</v>
      </c>
      <c r="S154" s="72">
        <f>S153/Q153</f>
        <v>4.4652777777777777E-2</v>
      </c>
      <c r="T154" s="361"/>
      <c r="U154" s="361"/>
      <c r="V154" s="363">
        <f>V153/K153</f>
        <v>7.6120418413547997E-2</v>
      </c>
      <c r="W154" s="380" t="s">
        <v>173</v>
      </c>
      <c r="X154" s="381">
        <v>0.85</v>
      </c>
      <c r="Y154" s="377">
        <f>Y153/K153</f>
        <v>1.4326859392492129E-3</v>
      </c>
      <c r="Z154" s="73">
        <f>Z153/K153</f>
        <v>1.0730176183809777E-2</v>
      </c>
      <c r="AA154" s="73">
        <f>AA153/K153</f>
        <v>7.7947103887186031E-3</v>
      </c>
      <c r="AB154" s="73">
        <f>AB153/K153</f>
        <v>-4.3328904866148255E-3</v>
      </c>
      <c r="AC154" s="96">
        <f>AC153/K153</f>
        <v>5.5562995264613051E-2</v>
      </c>
      <c r="AD154" s="364"/>
      <c r="AE154" s="41"/>
      <c r="AF154" s="73">
        <f>AF153/$AD$153*$V$154</f>
        <v>1.1741603953125332E-2</v>
      </c>
      <c r="AG154" s="73">
        <f>AG153/$AD$153*$V$154</f>
        <v>7.9532307337802852E-3</v>
      </c>
      <c r="AH154" s="73">
        <f>AH153/$AD$153*$V$154</f>
        <v>1.7318277574148788E-2</v>
      </c>
      <c r="AI154" s="73">
        <f>AI153/$AD$153*$V$154</f>
        <v>4.5413418095254293E-3</v>
      </c>
      <c r="AJ154" s="73">
        <f t="shared" ref="AJ154:AS154" si="97">AJ153/$AD$153*$V$154</f>
        <v>1.8118306701215444E-3</v>
      </c>
      <c r="AK154" s="73">
        <f t="shared" si="97"/>
        <v>2.023603086109777E-3</v>
      </c>
      <c r="AL154" s="73">
        <f>AL153/$AD$153*$V$154</f>
        <v>0</v>
      </c>
      <c r="AM154" s="73">
        <f t="shared" si="97"/>
        <v>4.5389887826811151E-2</v>
      </c>
      <c r="AN154" s="73">
        <f t="shared" si="97"/>
        <v>8.235593955097929E-3</v>
      </c>
      <c r="AO154" s="73">
        <f t="shared" si="97"/>
        <v>1.4165221602768438E-2</v>
      </c>
      <c r="AP154" s="73">
        <f t="shared" si="97"/>
        <v>1.8824214754509551E-3</v>
      </c>
      <c r="AQ154" s="73">
        <f>AQ153/$AD$153*$V$154</f>
        <v>0</v>
      </c>
      <c r="AR154" s="73">
        <f t="shared" si="97"/>
        <v>2.428323703331732E-2</v>
      </c>
      <c r="AS154" s="73">
        <f t="shared" si="97"/>
        <v>4.6825234201842503E-3</v>
      </c>
      <c r="AT154" s="73">
        <f t="shared" ref="AT154:BA154" si="98">AT153/$AD$153*$V$154</f>
        <v>0</v>
      </c>
      <c r="AU154" s="73">
        <f t="shared" si="98"/>
        <v>0</v>
      </c>
      <c r="AV154" s="73">
        <f t="shared" si="98"/>
        <v>0</v>
      </c>
      <c r="AW154" s="73">
        <f t="shared" si="98"/>
        <v>0</v>
      </c>
      <c r="AX154" s="73">
        <f t="shared" si="98"/>
        <v>0</v>
      </c>
      <c r="AY154" s="73">
        <f t="shared" si="98"/>
        <v>1.7647701332352704E-3</v>
      </c>
      <c r="AZ154" s="73">
        <f t="shared" si="98"/>
        <v>0</v>
      </c>
      <c r="BA154" s="73">
        <f t="shared" si="98"/>
        <v>3.0730530586736839E-2</v>
      </c>
      <c r="BB154" s="36" t="s">
        <v>172</v>
      </c>
      <c r="BC154" s="36" t="s">
        <v>172</v>
      </c>
      <c r="BD154" s="36" t="s">
        <v>411</v>
      </c>
      <c r="BE154" s="36" t="s">
        <v>411</v>
      </c>
      <c r="BF154" s="36" t="s">
        <v>411</v>
      </c>
    </row>
    <row r="155" spans="1:58" ht="12.95" customHeight="1">
      <c r="A155" s="62"/>
      <c r="B155" s="63"/>
      <c r="C155" s="63"/>
      <c r="D155" s="63"/>
      <c r="E155" s="64"/>
      <c r="F155" s="64"/>
      <c r="G155" s="36"/>
      <c r="H155" s="36"/>
      <c r="I155" s="36"/>
      <c r="J155" s="88"/>
      <c r="K155" s="88"/>
      <c r="L155" s="37"/>
      <c r="M155" s="37"/>
      <c r="N155" s="35"/>
      <c r="O155" s="38"/>
      <c r="P155" s="30"/>
      <c r="Q155" s="36"/>
      <c r="R155" s="95">
        <f>R153-(BA153)</f>
        <v>0</v>
      </c>
      <c r="S155" s="95">
        <f>+S153-AM153</f>
        <v>0</v>
      </c>
      <c r="T155" s="35"/>
      <c r="U155" s="35"/>
      <c r="V155" s="35"/>
      <c r="W155" s="39">
        <f>+W153-'31'!$M$34/1000</f>
        <v>0</v>
      </c>
      <c r="X155" s="378"/>
      <c r="Y155" s="74">
        <f>+Y153-SUM(RBP!AG3:AG4)</f>
        <v>0</v>
      </c>
      <c r="Z155" s="39">
        <f>+Z153-'31'!J56/1000</f>
        <v>0</v>
      </c>
      <c r="AA155" s="35"/>
      <c r="AB155" s="35"/>
      <c r="AC155" s="35"/>
      <c r="AD155" s="35"/>
      <c r="AE155" s="41"/>
      <c r="AF155" s="351"/>
      <c r="AG155" s="351"/>
      <c r="AH155" s="351"/>
      <c r="AI155" s="351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93">
        <f>BB153/($Q$153/1440)/2</f>
        <v>1.7333333333333334</v>
      </c>
      <c r="BC155" s="93">
        <f t="shared" ref="BC155" si="99">BC153/($Q$153/1440)/2</f>
        <v>4.4833333333333334</v>
      </c>
      <c r="BD155" s="93">
        <f>BD153/($Q$153/1440)</f>
        <v>0</v>
      </c>
      <c r="BE155" s="93">
        <f t="shared" ref="BE155:BF155" si="100">BE153/($Q$153/1440)</f>
        <v>3.3333333333333333E-2</v>
      </c>
      <c r="BF155" s="93">
        <f t="shared" si="100"/>
        <v>3.3333333333333333E-2</v>
      </c>
    </row>
    <row r="156" spans="1:58">
      <c r="A156" s="75"/>
      <c r="B156" s="76"/>
      <c r="C156" s="76"/>
      <c r="D156" s="76"/>
      <c r="E156" s="77"/>
      <c r="F156" s="77"/>
      <c r="G156" s="78"/>
      <c r="H156" s="78"/>
      <c r="I156" s="78"/>
      <c r="J156" s="92"/>
      <c r="K156" s="92"/>
      <c r="O156" s="79"/>
      <c r="P156" s="80"/>
      <c r="Q156" s="78"/>
      <c r="R156" s="59"/>
      <c r="S156" s="59"/>
      <c r="U156" s="81"/>
      <c r="V156" s="81"/>
      <c r="W156" s="82" t="s">
        <v>119</v>
      </c>
      <c r="X156" s="94">
        <f>W153/U153</f>
        <v>0.97712990949726042</v>
      </c>
      <c r="Y156" s="94"/>
      <c r="Z156" s="59"/>
      <c r="AD156" s="89"/>
      <c r="AE156" s="84"/>
      <c r="AF156" s="85"/>
      <c r="AG156" s="85"/>
      <c r="AH156" s="85"/>
      <c r="AI156" s="85"/>
      <c r="AJ156" s="85"/>
      <c r="AK156" s="85"/>
      <c r="AL156" s="85"/>
      <c r="AM156" s="85"/>
      <c r="AN156" s="83"/>
      <c r="AO156" s="83"/>
      <c r="AP156" s="83"/>
      <c r="AQ156" s="83"/>
      <c r="AR156" s="83"/>
      <c r="AS156" s="85"/>
      <c r="AT156" s="85"/>
      <c r="AU156" s="85"/>
      <c r="AV156" s="85"/>
      <c r="AW156" s="85"/>
      <c r="AX156" s="85"/>
      <c r="AY156" s="85"/>
      <c r="AZ156" s="85"/>
      <c r="BA156" s="83"/>
      <c r="BB156" s="29"/>
      <c r="BC156" s="83"/>
      <c r="BD156" s="83"/>
      <c r="BE156" s="29"/>
      <c r="BF156" s="83"/>
    </row>
    <row r="157" spans="1:58">
      <c r="A157" s="75"/>
      <c r="B157" s="76"/>
      <c r="C157" s="76"/>
      <c r="D157" s="76"/>
      <c r="E157" s="77"/>
      <c r="F157" s="77"/>
      <c r="G157" s="78"/>
      <c r="H157" s="78"/>
      <c r="I157" s="78"/>
      <c r="J157" s="92"/>
      <c r="K157" s="92"/>
      <c r="O157" s="79"/>
      <c r="P157" s="80"/>
      <c r="Q157" s="78"/>
      <c r="R157" s="59"/>
      <c r="S157" s="59"/>
      <c r="U157" s="81"/>
      <c r="V157" s="81"/>
      <c r="W157" s="82"/>
      <c r="X157" s="83"/>
      <c r="Y157" s="83"/>
      <c r="Z157" s="59"/>
      <c r="AA157" s="99"/>
      <c r="AB157" s="99"/>
      <c r="AD157" s="89"/>
      <c r="AE157" s="84"/>
      <c r="AF157" s="85"/>
      <c r="AG157" s="85"/>
      <c r="AH157" s="85"/>
      <c r="AI157" s="85"/>
      <c r="AJ157" s="85"/>
      <c r="AK157" s="85"/>
      <c r="AL157" s="85"/>
      <c r="AM157" s="85"/>
      <c r="AN157" s="85"/>
      <c r="AO157" s="83"/>
      <c r="AP157" s="83"/>
      <c r="AQ157" s="83"/>
      <c r="AR157" s="85"/>
      <c r="AS157" s="83"/>
      <c r="AT157" s="83"/>
      <c r="AU157" s="83"/>
      <c r="AV157" s="83"/>
      <c r="AW157" s="83"/>
      <c r="AX157" s="83"/>
      <c r="AY157" s="83"/>
      <c r="AZ157" s="83"/>
      <c r="BA157" s="83"/>
      <c r="BB157" s="29"/>
      <c r="BC157" s="83"/>
      <c r="BD157" s="83"/>
      <c r="BE157" s="29"/>
      <c r="BF157" s="83"/>
    </row>
    <row r="158" spans="1:58">
      <c r="A158" s="75"/>
      <c r="B158" s="76"/>
      <c r="C158" s="76"/>
      <c r="D158" s="76"/>
      <c r="E158" s="77"/>
      <c r="F158" s="77"/>
      <c r="G158" s="78"/>
      <c r="H158" s="78"/>
      <c r="I158" s="78"/>
      <c r="J158" s="92"/>
      <c r="K158" s="92"/>
      <c r="O158" s="79"/>
      <c r="P158" s="80"/>
      <c r="Q158" s="78"/>
      <c r="R158" s="362"/>
      <c r="S158" s="59"/>
      <c r="U158" s="81"/>
      <c r="V158" s="81"/>
      <c r="W158" s="82" t="s">
        <v>142</v>
      </c>
      <c r="X158" s="351">
        <f>+W153+Y153</f>
        <v>1597.7360000000001</v>
      </c>
      <c r="Y158" s="83"/>
      <c r="Z158" s="59"/>
      <c r="AD158" s="89"/>
      <c r="AE158" s="84"/>
      <c r="AF158" s="89"/>
      <c r="AG158" s="89"/>
      <c r="AH158" s="89"/>
      <c r="AI158" s="89"/>
      <c r="AJ158" s="83"/>
      <c r="AK158" s="83"/>
      <c r="AL158" s="83"/>
      <c r="AM158" s="85"/>
      <c r="AN158" s="83"/>
      <c r="AO158" s="83"/>
      <c r="AP158" s="83"/>
      <c r="AQ158" s="83"/>
      <c r="AR158" s="85"/>
      <c r="AS158" s="83"/>
      <c r="AT158" s="83"/>
      <c r="AU158" s="83"/>
      <c r="AV158" s="83"/>
      <c r="AW158" s="83"/>
      <c r="AX158" s="83"/>
      <c r="AY158" s="83"/>
      <c r="AZ158" s="83"/>
      <c r="BA158" s="83"/>
      <c r="BB158" s="29"/>
      <c r="BC158" s="83"/>
      <c r="BD158" s="83"/>
      <c r="BE158" s="29"/>
      <c r="BF158" s="83"/>
    </row>
    <row r="159" spans="1:58">
      <c r="A159" s="75"/>
      <c r="C159" s="76" t="s">
        <v>232</v>
      </c>
      <c r="D159" s="76"/>
      <c r="E159" s="77"/>
      <c r="F159" s="77"/>
      <c r="G159" s="78"/>
      <c r="H159" s="78"/>
      <c r="I159" s="78"/>
      <c r="J159" s="92"/>
      <c r="K159" s="92"/>
      <c r="O159" s="79"/>
      <c r="P159" s="80"/>
      <c r="Q159" s="78"/>
      <c r="R159" s="362"/>
      <c r="S159" s="59"/>
      <c r="U159" s="81"/>
      <c r="V159" s="373"/>
      <c r="W159" s="374"/>
      <c r="X159" s="367"/>
      <c r="Y159" s="374"/>
      <c r="Z159" s="367"/>
      <c r="AD159" s="360"/>
      <c r="AE159" s="84"/>
      <c r="AF159" s="360"/>
      <c r="AG159" s="360"/>
      <c r="AH159" s="360"/>
      <c r="AI159" s="360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29"/>
      <c r="BC159" s="83"/>
      <c r="BD159" s="83"/>
      <c r="BE159" s="29"/>
      <c r="BF159" s="83"/>
    </row>
    <row r="160" spans="1:58">
      <c r="A160" s="75"/>
      <c r="B160" s="76"/>
      <c r="C160" s="76" t="s">
        <v>235</v>
      </c>
      <c r="D160" s="76"/>
      <c r="E160" s="77"/>
      <c r="F160" s="77"/>
      <c r="G160" s="78"/>
      <c r="H160" s="78"/>
      <c r="I160" s="78"/>
      <c r="J160" s="92"/>
      <c r="K160" s="92"/>
      <c r="O160" s="79"/>
      <c r="P160" s="80"/>
      <c r="Q160" s="78"/>
      <c r="R160" s="362"/>
      <c r="S160" s="59"/>
      <c r="V160" s="365"/>
      <c r="W160" s="366" t="s">
        <v>230</v>
      </c>
      <c r="X160" s="365"/>
      <c r="Y160" s="365"/>
      <c r="Z160" s="367"/>
      <c r="AE160" s="84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29"/>
      <c r="BE160" s="29"/>
    </row>
    <row r="161" spans="1:57">
      <c r="A161" s="75"/>
      <c r="B161" s="76"/>
      <c r="C161" s="76"/>
      <c r="D161" s="76"/>
      <c r="E161" s="77"/>
      <c r="F161" s="77"/>
      <c r="G161" s="78"/>
      <c r="H161" s="78"/>
      <c r="I161" s="78"/>
      <c r="J161" s="92"/>
      <c r="K161" s="92"/>
      <c r="O161" s="79"/>
      <c r="P161" s="80"/>
      <c r="Q161" s="78"/>
      <c r="R161" s="362"/>
      <c r="S161" s="59"/>
      <c r="V161" s="365"/>
      <c r="W161" s="368" t="s">
        <v>328</v>
      </c>
      <c r="X161" s="372">
        <f>Y154</f>
        <v>1.4326859392492129E-3</v>
      </c>
      <c r="Y161" s="369"/>
      <c r="Z161" s="367"/>
      <c r="AE161" s="84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29"/>
      <c r="BE161" s="29"/>
    </row>
    <row r="162" spans="1:57">
      <c r="R162" s="99"/>
      <c r="V162" s="365"/>
      <c r="W162" s="368" t="s">
        <v>152</v>
      </c>
      <c r="X162" s="371">
        <f>Z154</f>
        <v>1.0730176183809777E-2</v>
      </c>
      <c r="Y162" s="370"/>
      <c r="Z162" s="365"/>
    </row>
    <row r="163" spans="1:57">
      <c r="R163" s="99"/>
      <c r="V163" s="365"/>
      <c r="W163" s="368" t="s">
        <v>153</v>
      </c>
      <c r="X163" s="371">
        <f>AC154</f>
        <v>5.5562995264613051E-2</v>
      </c>
      <c r="Y163" s="371"/>
      <c r="Z163" s="365"/>
    </row>
    <row r="164" spans="1:57">
      <c r="R164" s="99"/>
      <c r="V164" s="365"/>
      <c r="W164" s="368" t="s">
        <v>154</v>
      </c>
      <c r="X164" s="371">
        <f>AA154</f>
        <v>7.7947103887186031E-3</v>
      </c>
      <c r="Y164" s="370"/>
      <c r="Z164" s="365"/>
    </row>
    <row r="165" spans="1:57">
      <c r="V165" s="365"/>
      <c r="W165" s="368" t="s">
        <v>170</v>
      </c>
      <c r="X165" s="371">
        <f>AB154</f>
        <v>-4.3328904866148255E-3</v>
      </c>
      <c r="Y165" s="370" t="s">
        <v>168</v>
      </c>
      <c r="Z165" s="365"/>
    </row>
    <row r="166" spans="1:57">
      <c r="V166" s="365"/>
      <c r="W166" s="368" t="s">
        <v>206</v>
      </c>
      <c r="X166" s="371">
        <f>AF154</f>
        <v>1.1741603953125332E-2</v>
      </c>
      <c r="Y166" s="370"/>
      <c r="Z166" s="365"/>
    </row>
    <row r="167" spans="1:57">
      <c r="V167" s="365"/>
      <c r="W167" s="368" t="s">
        <v>207</v>
      </c>
      <c r="X167" s="371">
        <f>+AG154</f>
        <v>7.9532307337802852E-3</v>
      </c>
      <c r="Y167" s="370"/>
      <c r="Z167" s="365"/>
    </row>
    <row r="168" spans="1:57">
      <c r="V168" s="365"/>
      <c r="W168" s="368" t="s">
        <v>208</v>
      </c>
      <c r="X168" s="371">
        <f>+AH154</f>
        <v>1.7318277574148788E-2</v>
      </c>
      <c r="Y168" s="370"/>
      <c r="Z168" s="365"/>
    </row>
    <row r="169" spans="1:57">
      <c r="V169" s="365"/>
      <c r="W169" s="368" t="s">
        <v>209</v>
      </c>
      <c r="X169" s="371">
        <f>+AI154</f>
        <v>4.5413418095254293E-3</v>
      </c>
      <c r="Y169" s="370"/>
      <c r="Z169" s="365"/>
    </row>
    <row r="170" spans="1:57">
      <c r="V170" s="365"/>
      <c r="W170" s="368" t="s">
        <v>161</v>
      </c>
      <c r="X170" s="371">
        <f>+AJ154</f>
        <v>1.8118306701215444E-3</v>
      </c>
      <c r="Y170" s="370"/>
      <c r="Z170" s="365"/>
    </row>
    <row r="171" spans="1:57">
      <c r="V171" s="365"/>
      <c r="W171" s="368" t="s">
        <v>163</v>
      </c>
      <c r="X171" s="371">
        <f>+AK154</f>
        <v>2.023603086109777E-3</v>
      </c>
      <c r="Y171" s="370"/>
      <c r="Z171" s="365"/>
    </row>
    <row r="172" spans="1:57">
      <c r="V172" s="365"/>
      <c r="W172" s="368" t="s">
        <v>162</v>
      </c>
      <c r="X172" s="371">
        <f>+AL154</f>
        <v>0</v>
      </c>
      <c r="Y172" s="370"/>
      <c r="Z172" s="365"/>
    </row>
    <row r="173" spans="1:57">
      <c r="V173" s="365"/>
      <c r="W173" s="368" t="s">
        <v>155</v>
      </c>
      <c r="X173" s="371">
        <f>+AN154</f>
        <v>8.235593955097929E-3</v>
      </c>
      <c r="Y173" s="370"/>
      <c r="Z173" s="365"/>
    </row>
    <row r="174" spans="1:57">
      <c r="V174" s="365"/>
      <c r="W174" s="368" t="s">
        <v>165</v>
      </c>
      <c r="X174" s="371">
        <f>+AO154</f>
        <v>1.4165221602768438E-2</v>
      </c>
      <c r="Y174" s="370"/>
      <c r="Z174" s="365"/>
    </row>
    <row r="175" spans="1:57">
      <c r="V175" s="365"/>
      <c r="W175" s="368" t="s">
        <v>156</v>
      </c>
      <c r="X175" s="371">
        <f>+AP154</f>
        <v>1.8824214754509551E-3</v>
      </c>
      <c r="Y175" s="370"/>
      <c r="Z175" s="365"/>
    </row>
    <row r="176" spans="1:57">
      <c r="V176" s="365"/>
      <c r="W176" s="368" t="s">
        <v>164</v>
      </c>
      <c r="X176" s="371">
        <f>+AQ154</f>
        <v>0</v>
      </c>
      <c r="Y176" s="370"/>
      <c r="Z176" s="365"/>
    </row>
    <row r="177" spans="22:26">
      <c r="V177" s="365"/>
      <c r="W177" s="368" t="s">
        <v>167</v>
      </c>
      <c r="X177" s="371">
        <f>+AS154</f>
        <v>4.6825234201842503E-3</v>
      </c>
      <c r="Y177" s="370"/>
      <c r="Z177" s="365"/>
    </row>
    <row r="178" spans="22:26">
      <c r="V178" s="365"/>
      <c r="W178" s="368" t="s">
        <v>329</v>
      </c>
      <c r="X178" s="371">
        <f>+AT154</f>
        <v>0</v>
      </c>
      <c r="Y178" s="370"/>
      <c r="Z178" s="365"/>
    </row>
    <row r="179" spans="22:26">
      <c r="V179" s="365"/>
      <c r="W179" s="368" t="s">
        <v>247</v>
      </c>
      <c r="X179" s="371">
        <f>+AU154</f>
        <v>0</v>
      </c>
      <c r="Y179" s="370"/>
      <c r="Z179" s="365"/>
    </row>
    <row r="180" spans="22:26">
      <c r="V180" s="365"/>
      <c r="W180" s="368" t="s">
        <v>333</v>
      </c>
      <c r="X180" s="371">
        <f>AV154</f>
        <v>0</v>
      </c>
      <c r="Y180" s="370"/>
      <c r="Z180" s="365"/>
    </row>
    <row r="181" spans="22:26">
      <c r="V181" s="365"/>
      <c r="W181" s="368" t="s">
        <v>334</v>
      </c>
      <c r="X181" s="371">
        <f>AW154</f>
        <v>0</v>
      </c>
      <c r="Y181" s="370"/>
      <c r="Z181" s="365"/>
    </row>
    <row r="182" spans="22:26">
      <c r="V182" s="365"/>
      <c r="W182" s="365" t="s">
        <v>166</v>
      </c>
      <c r="X182" s="371">
        <f>AX154+AY154</f>
        <v>1.7647701332352704E-3</v>
      </c>
      <c r="Y182" s="371"/>
      <c r="Z182" s="365"/>
    </row>
    <row r="183" spans="22:26">
      <c r="V183" s="365"/>
      <c r="W183" s="365" t="s">
        <v>332</v>
      </c>
      <c r="X183" s="371">
        <f>AZ154</f>
        <v>0</v>
      </c>
      <c r="Y183" s="365"/>
      <c r="Z183" s="365"/>
    </row>
    <row r="184" spans="22:26">
      <c r="V184" s="365"/>
      <c r="W184" s="365"/>
      <c r="X184" s="525">
        <f>SUM(X161:X183)</f>
        <v>0.14730809570332382</v>
      </c>
      <c r="Y184" s="365"/>
      <c r="Z184" s="365"/>
    </row>
    <row r="186" spans="22:26">
      <c r="X186" s="99">
        <f>+X184+X153</f>
        <v>1</v>
      </c>
    </row>
  </sheetData>
  <mergeCells count="49">
    <mergeCell ref="F3:F5"/>
    <mergeCell ref="A3:A5"/>
    <mergeCell ref="B3:B5"/>
    <mergeCell ref="C3:C5"/>
    <mergeCell ref="D3:D5"/>
    <mergeCell ref="E3:E5"/>
    <mergeCell ref="R3:R5"/>
    <mergeCell ref="AI4:AI5"/>
    <mergeCell ref="AJ4:AJ5"/>
    <mergeCell ref="AK4:AK5"/>
    <mergeCell ref="AL4:AL5"/>
    <mergeCell ref="AD3:AD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G3:K4"/>
    <mergeCell ref="L3:N4"/>
    <mergeCell ref="O3:O5"/>
    <mergeCell ref="P3:P5"/>
    <mergeCell ref="Q3:Q5"/>
    <mergeCell ref="AC3:AC5"/>
    <mergeCell ref="AE3:AE5"/>
    <mergeCell ref="AF3:AL3"/>
    <mergeCell ref="AM3:AM5"/>
    <mergeCell ref="AN3:AR3"/>
    <mergeCell ref="AR4:AR5"/>
    <mergeCell ref="AV3:AW3"/>
    <mergeCell ref="AX3:AY3"/>
    <mergeCell ref="AZ3:AZ5"/>
    <mergeCell ref="BA3:BA5"/>
    <mergeCell ref="AF4:AH4"/>
    <mergeCell ref="AN4:AN5"/>
    <mergeCell ref="AO4:AO5"/>
    <mergeCell ref="AP4:AP5"/>
    <mergeCell ref="AQ4:AQ5"/>
    <mergeCell ref="AT3:AU4"/>
    <mergeCell ref="AS3:AS5"/>
    <mergeCell ref="BD3:BD5"/>
    <mergeCell ref="BE3:BE5"/>
    <mergeCell ref="BF3:BF5"/>
    <mergeCell ref="BB3:BB5"/>
    <mergeCell ref="BC3:BC5"/>
  </mergeCells>
  <phoneticPr fontId="32" type="noConversion"/>
  <conditionalFormatting sqref="B10:B11 C114 B115:C115">
    <cfRule type="cellIs" dxfId="14732" priority="8088" stopIfTrue="1" operator="equal">
      <formula>"Towel"</formula>
    </cfRule>
    <cfRule type="cellIs" dxfId="14731" priority="8089" stopIfTrue="1" operator="equal">
      <formula>"Napkin Hs"</formula>
    </cfRule>
  </conditionalFormatting>
  <conditionalFormatting sqref="B15:B16">
    <cfRule type="cellIs" dxfId="14730" priority="8042" stopIfTrue="1" operator="equal">
      <formula>"Towel"</formula>
    </cfRule>
    <cfRule type="cellIs" dxfId="14729" priority="8043" stopIfTrue="1" operator="equal">
      <formula>"Napkin Hs"</formula>
    </cfRule>
  </conditionalFormatting>
  <conditionalFormatting sqref="B33:B35">
    <cfRule type="cellIs" dxfId="14728" priority="7854" stopIfTrue="1" operator="equal">
      <formula>"Towel"</formula>
    </cfRule>
    <cfRule type="cellIs" dxfId="14727" priority="7855" stopIfTrue="1" operator="equal">
      <formula>"Napkin Hs"</formula>
    </cfRule>
  </conditionalFormatting>
  <conditionalFormatting sqref="B38:B40">
    <cfRule type="cellIs" dxfId="14726" priority="7752" stopIfTrue="1" operator="equal">
      <formula>"Towel"</formula>
    </cfRule>
    <cfRule type="cellIs" dxfId="14725" priority="7753" stopIfTrue="1" operator="equal">
      <formula>"Napkin Hs"</formula>
    </cfRule>
  </conditionalFormatting>
  <conditionalFormatting sqref="B42:B44">
    <cfRule type="cellIs" dxfId="14724" priority="7608" stopIfTrue="1" operator="equal">
      <formula>"Towel"</formula>
    </cfRule>
    <cfRule type="cellIs" dxfId="14723" priority="7609" stopIfTrue="1" operator="equal">
      <formula>"Napkin Hs"</formula>
    </cfRule>
  </conditionalFormatting>
  <conditionalFormatting sqref="B47:B48">
    <cfRule type="cellIs" dxfId="14722" priority="7452" stopIfTrue="1" operator="equal">
      <formula>"Towel"</formula>
    </cfRule>
    <cfRule type="cellIs" dxfId="14721" priority="7453" stopIfTrue="1" operator="equal">
      <formula>"Napkin Hs"</formula>
    </cfRule>
  </conditionalFormatting>
  <conditionalFormatting sqref="B50:B52">
    <cfRule type="cellIs" dxfId="14720" priority="7244" stopIfTrue="1" operator="equal">
      <formula>"Towel"</formula>
    </cfRule>
    <cfRule type="cellIs" dxfId="14719" priority="7245" stopIfTrue="1" operator="equal">
      <formula>"Napkin Hs"</formula>
    </cfRule>
  </conditionalFormatting>
  <conditionalFormatting sqref="B55:B56">
    <cfRule type="cellIs" dxfId="14718" priority="6984" stopIfTrue="1" operator="equal">
      <formula>"Towel"</formula>
    </cfRule>
    <cfRule type="cellIs" dxfId="14717" priority="6985" stopIfTrue="1" operator="equal">
      <formula>"Napkin Hs"</formula>
    </cfRule>
  </conditionalFormatting>
  <conditionalFormatting sqref="B55:B57">
    <cfRule type="cellIs" dxfId="14716" priority="7062" stopIfTrue="1" operator="equal">
      <formula>"Towel"</formula>
    </cfRule>
    <cfRule type="cellIs" dxfId="14715" priority="7063" stopIfTrue="1" operator="equal">
      <formula>"Napkin Hs"</formula>
    </cfRule>
  </conditionalFormatting>
  <conditionalFormatting sqref="B64">
    <cfRule type="cellIs" dxfId="14714" priority="6304" stopIfTrue="1" operator="equal">
      <formula>"Towel"</formula>
    </cfRule>
    <cfRule type="cellIs" dxfId="14713" priority="6305" stopIfTrue="1" operator="equal">
      <formula>"Napkin Hs"</formula>
    </cfRule>
    <cfRule type="cellIs" dxfId="14712" priority="6306" stopIfTrue="1" operator="equal">
      <formula>"Towel"</formula>
    </cfRule>
    <cfRule type="cellIs" dxfId="14711" priority="6307" stopIfTrue="1" operator="equal">
      <formula>"Napkin Hs"</formula>
    </cfRule>
    <cfRule type="cellIs" dxfId="14710" priority="6308" stopIfTrue="1" operator="equal">
      <formula>"Towel"</formula>
    </cfRule>
    <cfRule type="cellIs" dxfId="14709" priority="6309" stopIfTrue="1" operator="equal">
      <formula>"Napkin Hs"</formula>
    </cfRule>
  </conditionalFormatting>
  <conditionalFormatting sqref="B67:B68">
    <cfRule type="cellIs" dxfId="14708" priority="6296" stopIfTrue="1" operator="equal">
      <formula>"Towel"</formula>
    </cfRule>
    <cfRule type="cellIs" dxfId="14707" priority="6297" stopIfTrue="1" operator="equal">
      <formula>"Napkin Hs"</formula>
    </cfRule>
    <cfRule type="cellIs" dxfId="14706" priority="6298" stopIfTrue="1" operator="equal">
      <formula>"Towel"</formula>
    </cfRule>
    <cfRule type="cellIs" dxfId="14705" priority="6299" stopIfTrue="1" operator="equal">
      <formula>"Napkin Hs"</formula>
    </cfRule>
    <cfRule type="cellIs" dxfId="14704" priority="6300" stopIfTrue="1" operator="equal">
      <formula>"Towel"</formula>
    </cfRule>
    <cfRule type="cellIs" dxfId="14703" priority="6301" stopIfTrue="1" operator="equal">
      <formula>"Napkin Hs"</formula>
    </cfRule>
    <cfRule type="cellIs" dxfId="14702" priority="6302" stopIfTrue="1" operator="equal">
      <formula>"Towel"</formula>
    </cfRule>
    <cfRule type="cellIs" dxfId="14701" priority="6303" stopIfTrue="1" operator="equal">
      <formula>"Napkin Hs"</formula>
    </cfRule>
  </conditionalFormatting>
  <conditionalFormatting sqref="B72:B73">
    <cfRule type="cellIs" dxfId="14700" priority="6190" stopIfTrue="1" operator="equal">
      <formula>"Towel"</formula>
    </cfRule>
    <cfRule type="cellIs" dxfId="14699" priority="6191" stopIfTrue="1" operator="equal">
      <formula>"Napkin Hs"</formula>
    </cfRule>
  </conditionalFormatting>
  <conditionalFormatting sqref="B77:B78">
    <cfRule type="cellIs" dxfId="14698" priority="6008" stopIfTrue="1" operator="equal">
      <formula>"Towel"</formula>
    </cfRule>
    <cfRule type="cellIs" dxfId="14697" priority="6009" stopIfTrue="1" operator="equal">
      <formula>"Napkin Hs"</formula>
    </cfRule>
  </conditionalFormatting>
  <conditionalFormatting sqref="B81">
    <cfRule type="cellIs" dxfId="14696" priority="5872" stopIfTrue="1" operator="equal">
      <formula>"Towel"</formula>
    </cfRule>
    <cfRule type="cellIs" dxfId="14695" priority="5873" stopIfTrue="1" operator="equal">
      <formula>"Napkin Hs"</formula>
    </cfRule>
  </conditionalFormatting>
  <conditionalFormatting sqref="B85:B86">
    <cfRule type="cellIs" dxfId="14694" priority="5696" stopIfTrue="1" operator="equal">
      <formula>"Towel"</formula>
    </cfRule>
    <cfRule type="cellIs" dxfId="14693" priority="5697" stopIfTrue="1" operator="equal">
      <formula>"Napkin Hs"</formula>
    </cfRule>
  </conditionalFormatting>
  <conditionalFormatting sqref="B91:B92">
    <cfRule type="cellIs" dxfId="14692" priority="5294" stopIfTrue="1" operator="equal">
      <formula>"Towel"</formula>
    </cfRule>
    <cfRule type="cellIs" dxfId="14691" priority="5295" stopIfTrue="1" operator="equal">
      <formula>"Napkin Hs"</formula>
    </cfRule>
  </conditionalFormatting>
  <conditionalFormatting sqref="B98:B99">
    <cfRule type="cellIs" dxfId="14690" priority="4820" stopIfTrue="1" operator="equal">
      <formula>"Towel"</formula>
    </cfRule>
    <cfRule type="cellIs" dxfId="14689" priority="4821" stopIfTrue="1" operator="equal">
      <formula>"Napkin Hs"</formula>
    </cfRule>
  </conditionalFormatting>
  <conditionalFormatting sqref="B6:C6 B8:C9 B25:C26 B130:C130 B134:C134 B139:C139 C154 B143:C143 B147:C147 B151:B154 C151:C152">
    <cfRule type="cellIs" dxfId="14688" priority="12463" stopIfTrue="1" operator="equal">
      <formula>"Towel"</formula>
    </cfRule>
    <cfRule type="cellIs" dxfId="14687" priority="12464" stopIfTrue="1" operator="equal">
      <formula>"Napkin Hs"</formula>
    </cfRule>
  </conditionalFormatting>
  <conditionalFormatting sqref="B7:C7">
    <cfRule type="cellIs" dxfId="14686" priority="8292" stopIfTrue="1" operator="equal">
      <formula>"Towel"</formula>
    </cfRule>
    <cfRule type="cellIs" dxfId="14685" priority="8293" stopIfTrue="1" operator="equal">
      <formula>"Napkin Hs"</formula>
    </cfRule>
  </conditionalFormatting>
  <conditionalFormatting sqref="B9:C9">
    <cfRule type="cellIs" dxfId="14684" priority="8112" stopIfTrue="1" operator="equal">
      <formula>"Towel"</formula>
    </cfRule>
    <cfRule type="cellIs" dxfId="14683" priority="8113" stopIfTrue="1" operator="equal">
      <formula>"Napkin Hs"</formula>
    </cfRule>
  </conditionalFormatting>
  <conditionalFormatting sqref="B12:C12">
    <cfRule type="cellIs" dxfId="14682" priority="8124" stopIfTrue="1" operator="equal">
      <formula>"Towel"</formula>
    </cfRule>
    <cfRule type="cellIs" dxfId="14681" priority="8125" stopIfTrue="1" operator="equal">
      <formula>"Napkin Hs"</formula>
    </cfRule>
  </conditionalFormatting>
  <conditionalFormatting sqref="B14:C14">
    <cfRule type="cellIs" dxfId="14680" priority="8118" stopIfTrue="1" operator="equal">
      <formula>"Towel"</formula>
    </cfRule>
    <cfRule type="cellIs" dxfId="14679" priority="8119" stopIfTrue="1" operator="equal">
      <formula>"Napkin Hs"</formula>
    </cfRule>
  </conditionalFormatting>
  <conditionalFormatting sqref="B17:C17">
    <cfRule type="cellIs" dxfId="14678" priority="8074" stopIfTrue="1" operator="equal">
      <formula>"Towel"</formula>
    </cfRule>
    <cfRule type="cellIs" dxfId="14677" priority="8075" stopIfTrue="1" operator="equal">
      <formula>"Napkin Hs"</formula>
    </cfRule>
  </conditionalFormatting>
  <conditionalFormatting sqref="B19:C19">
    <cfRule type="cellIs" dxfId="14676" priority="8068" stopIfTrue="1" operator="equal">
      <formula>"Towel"</formula>
    </cfRule>
    <cfRule type="cellIs" dxfId="14675" priority="8069" stopIfTrue="1" operator="equal">
      <formula>"Napkin Hs"</formula>
    </cfRule>
  </conditionalFormatting>
  <conditionalFormatting sqref="B20:C25">
    <cfRule type="cellIs" dxfId="14674" priority="8010" stopIfTrue="1" operator="equal">
      <formula>"Towel"</formula>
    </cfRule>
    <cfRule type="cellIs" dxfId="14673" priority="8011" stopIfTrue="1" operator="equal">
      <formula>"Napkin Hs"</formula>
    </cfRule>
  </conditionalFormatting>
  <conditionalFormatting sqref="B22:C22">
    <cfRule type="cellIs" dxfId="14672" priority="8034" stopIfTrue="1" operator="equal">
      <formula>"Towel"</formula>
    </cfRule>
    <cfRule type="cellIs" dxfId="14671" priority="8035" stopIfTrue="1" operator="equal">
      <formula>"Napkin Hs"</formula>
    </cfRule>
  </conditionalFormatting>
  <conditionalFormatting sqref="B24:C24 B25">
    <cfRule type="cellIs" dxfId="14670" priority="11864" stopIfTrue="1" operator="equal">
      <formula>"Towel"</formula>
    </cfRule>
    <cfRule type="cellIs" dxfId="14669" priority="11865" stopIfTrue="1" operator="equal">
      <formula>"Napkin Hs"</formula>
    </cfRule>
  </conditionalFormatting>
  <conditionalFormatting sqref="B25:C25">
    <cfRule type="cellIs" dxfId="14668" priority="8196" stopIfTrue="1" operator="equal">
      <formula>"Towel"</formula>
    </cfRule>
    <cfRule type="cellIs" dxfId="14667" priority="8197" stopIfTrue="1" operator="equal">
      <formula>"Napkin Hs"</formula>
    </cfRule>
  </conditionalFormatting>
  <conditionalFormatting sqref="B26:C26">
    <cfRule type="cellIs" dxfId="14666" priority="8202" stopIfTrue="1" operator="equal">
      <formula>"Towel"</formula>
    </cfRule>
    <cfRule type="cellIs" dxfId="14665" priority="8203" stopIfTrue="1" operator="equal">
      <formula>"Napkin Hs"</formula>
    </cfRule>
  </conditionalFormatting>
  <conditionalFormatting sqref="B27:C27">
    <cfRule type="cellIs" dxfId="14664" priority="7976" stopIfTrue="1" operator="equal">
      <formula>"Towel"</formula>
    </cfRule>
    <cfRule type="cellIs" dxfId="14663" priority="7977" stopIfTrue="1" operator="equal">
      <formula>"Napkin Hs"</formula>
    </cfRule>
  </conditionalFormatting>
  <conditionalFormatting sqref="B27:C28">
    <cfRule type="cellIs" dxfId="14662" priority="7956" stopIfTrue="1" operator="equal">
      <formula>"Towel"</formula>
    </cfRule>
    <cfRule type="cellIs" dxfId="14661" priority="7957" stopIfTrue="1" operator="equal">
      <formula>"Napkin Hs"</formula>
    </cfRule>
  </conditionalFormatting>
  <conditionalFormatting sqref="B28:C28">
    <cfRule type="cellIs" dxfId="14660" priority="7938" stopIfTrue="1" operator="equal">
      <formula>"Towel"</formula>
    </cfRule>
    <cfRule type="cellIs" dxfId="14659" priority="7939" stopIfTrue="1" operator="equal">
      <formula>"Napkin Hs"</formula>
    </cfRule>
  </conditionalFormatting>
  <conditionalFormatting sqref="B29:C29">
    <cfRule type="cellIs" dxfId="14658" priority="8002" stopIfTrue="1" operator="equal">
      <formula>"Towel"</formula>
    </cfRule>
    <cfRule type="cellIs" dxfId="14657" priority="8003" stopIfTrue="1" operator="equal">
      <formula>"Napkin Hs"</formula>
    </cfRule>
    <cfRule type="cellIs" dxfId="14656" priority="8008" stopIfTrue="1" operator="equal">
      <formula>"Towel"</formula>
    </cfRule>
    <cfRule type="cellIs" dxfId="14655" priority="8009" stopIfTrue="1" operator="equal">
      <formula>"Napkin Hs"</formula>
    </cfRule>
  </conditionalFormatting>
  <conditionalFormatting sqref="B30:C30">
    <cfRule type="cellIs" dxfId="14654" priority="8154" stopIfTrue="1" operator="equal">
      <formula>"Towel"</formula>
    </cfRule>
    <cfRule type="cellIs" dxfId="14653" priority="8155" stopIfTrue="1" operator="equal">
      <formula>"Napkin Hs"</formula>
    </cfRule>
    <cfRule type="cellIs" dxfId="14652" priority="8178" stopIfTrue="1" operator="equal">
      <formula>"Towel"</formula>
    </cfRule>
    <cfRule type="cellIs" dxfId="14651" priority="8179" stopIfTrue="1" operator="equal">
      <formula>"Napkin Hs"</formula>
    </cfRule>
  </conditionalFormatting>
  <conditionalFormatting sqref="B31:C31">
    <cfRule type="cellIs" dxfId="14650" priority="8136" stopIfTrue="1" operator="equal">
      <formula>"Towel"</formula>
    </cfRule>
    <cfRule type="cellIs" dxfId="14649" priority="8137" stopIfTrue="1" operator="equal">
      <formula>"Napkin Hs"</formula>
    </cfRule>
  </conditionalFormatting>
  <conditionalFormatting sqref="B32:C32">
    <cfRule type="cellIs" dxfId="14648" priority="8166" stopIfTrue="1" operator="equal">
      <formula>"Towel"</formula>
    </cfRule>
    <cfRule type="cellIs" dxfId="14647" priority="8167" stopIfTrue="1" operator="equal">
      <formula>"Napkin Hs"</formula>
    </cfRule>
    <cfRule type="cellIs" dxfId="14646" priority="8172" stopIfTrue="1" operator="equal">
      <formula>"Towel"</formula>
    </cfRule>
    <cfRule type="cellIs" dxfId="14645" priority="8173" stopIfTrue="1" operator="equal">
      <formula>"Napkin Hs"</formula>
    </cfRule>
  </conditionalFormatting>
  <conditionalFormatting sqref="B33:C33">
    <cfRule type="cellIs" dxfId="14644" priority="7872" stopIfTrue="1" operator="equal">
      <formula>"Towel"</formula>
    </cfRule>
    <cfRule type="cellIs" dxfId="14643" priority="7873" stopIfTrue="1" operator="equal">
      <formula>"Napkin Hs"</formula>
    </cfRule>
  </conditionalFormatting>
  <conditionalFormatting sqref="B34:C35">
    <cfRule type="cellIs" dxfId="14642" priority="7892" stopIfTrue="1" operator="equal">
      <formula>"Towel"</formula>
    </cfRule>
    <cfRule type="cellIs" dxfId="14641" priority="7893" stopIfTrue="1" operator="equal">
      <formula>"Napkin Hs"</formula>
    </cfRule>
  </conditionalFormatting>
  <conditionalFormatting sqref="B36:C36">
    <cfRule type="cellIs" dxfId="14640" priority="7930" stopIfTrue="1" operator="equal">
      <formula>"Towel"</formula>
    </cfRule>
    <cfRule type="cellIs" dxfId="14639" priority="7931" stopIfTrue="1" operator="equal">
      <formula>"Napkin Hs"</formula>
    </cfRule>
    <cfRule type="cellIs" dxfId="14638" priority="7936" stopIfTrue="1" operator="equal">
      <formula>"Towel"</formula>
    </cfRule>
    <cfRule type="cellIs" dxfId="14637" priority="7937" stopIfTrue="1" operator="equal">
      <formula>"Napkin Hs"</formula>
    </cfRule>
  </conditionalFormatting>
  <conditionalFormatting sqref="B37:C37">
    <cfRule type="cellIs" dxfId="14636" priority="11760" stopIfTrue="1" operator="equal">
      <formula>"Towel"</formula>
    </cfRule>
    <cfRule type="cellIs" dxfId="14635" priority="11761" stopIfTrue="1" operator="equal">
      <formula>"Napkin Hs"</formula>
    </cfRule>
    <cfRule type="cellIs" dxfId="14634" priority="11784" stopIfTrue="1" operator="equal">
      <formula>"Towel"</formula>
    </cfRule>
    <cfRule type="cellIs" dxfId="14633" priority="11785" stopIfTrue="1" operator="equal">
      <formula>"Napkin Hs"</formula>
    </cfRule>
    <cfRule type="cellIs" dxfId="14632" priority="12324" stopIfTrue="1" operator="equal">
      <formula>"Towel"</formula>
    </cfRule>
    <cfRule type="cellIs" dxfId="14631" priority="12325" stopIfTrue="1" operator="equal">
      <formula>"Napkin Hs"</formula>
    </cfRule>
  </conditionalFormatting>
  <conditionalFormatting sqref="B38:C38">
    <cfRule type="cellIs" dxfId="14630" priority="7770" stopIfTrue="1" operator="equal">
      <formula>"Towel"</formula>
    </cfRule>
    <cfRule type="cellIs" dxfId="14629" priority="7771" stopIfTrue="1" operator="equal">
      <formula>"Napkin Hs"</formula>
    </cfRule>
  </conditionalFormatting>
  <conditionalFormatting sqref="B39:C40">
    <cfRule type="cellIs" dxfId="14628" priority="7810" stopIfTrue="1" operator="equal">
      <formula>"Towel"</formula>
    </cfRule>
    <cfRule type="cellIs" dxfId="14627" priority="7811" stopIfTrue="1" operator="equal">
      <formula>"Napkin Hs"</formula>
    </cfRule>
  </conditionalFormatting>
  <conditionalFormatting sqref="B41:C41">
    <cfRule type="cellIs" dxfId="14626" priority="7828" stopIfTrue="1" operator="equal">
      <formula>"Towel"</formula>
    </cfRule>
    <cfRule type="cellIs" dxfId="14625" priority="7829" stopIfTrue="1" operator="equal">
      <formula>"Napkin Hs"</formula>
    </cfRule>
    <cfRule type="cellIs" dxfId="14624" priority="7834" stopIfTrue="1" operator="equal">
      <formula>"Towel"</formula>
    </cfRule>
    <cfRule type="cellIs" dxfId="14623" priority="7835" stopIfTrue="1" operator="equal">
      <formula>"Napkin Hs"</formula>
    </cfRule>
  </conditionalFormatting>
  <conditionalFormatting sqref="B42:C42">
    <cfRule type="cellIs" dxfId="14622" priority="7626" stopIfTrue="1" operator="equal">
      <formula>"Towel"</formula>
    </cfRule>
    <cfRule type="cellIs" dxfId="14621" priority="7627" stopIfTrue="1" operator="equal">
      <formula>"Napkin Hs"</formula>
    </cfRule>
    <cfRule type="cellIs" dxfId="14620" priority="7632" stopIfTrue="1" operator="equal">
      <formula>"Towel"</formula>
    </cfRule>
    <cfRule type="cellIs" dxfId="14619" priority="7633" stopIfTrue="1" operator="equal">
      <formula>"Napkin Hs"</formula>
    </cfRule>
    <cfRule type="cellIs" dxfId="14618" priority="7638" stopIfTrue="1" operator="equal">
      <formula>"Towel"</formula>
    </cfRule>
    <cfRule type="cellIs" dxfId="14617" priority="7639" stopIfTrue="1" operator="equal">
      <formula>"Napkin Hs"</formula>
    </cfRule>
    <cfRule type="cellIs" dxfId="14616" priority="7644" stopIfTrue="1" operator="equal">
      <formula>"Towel"</formula>
    </cfRule>
    <cfRule type="cellIs" dxfId="14615" priority="7645" stopIfTrue="1" operator="equal">
      <formula>"Napkin Hs"</formula>
    </cfRule>
    <cfRule type="cellIs" dxfId="14614" priority="7650" stopIfTrue="1" operator="equal">
      <formula>"Towel"</formula>
    </cfRule>
    <cfRule type="cellIs" dxfId="14613" priority="7651" stopIfTrue="1" operator="equal">
      <formula>"Napkin Hs"</formula>
    </cfRule>
    <cfRule type="cellIs" dxfId="14612" priority="7656" stopIfTrue="1" operator="equal">
      <formula>"Towel"</formula>
    </cfRule>
    <cfRule type="cellIs" dxfId="14611" priority="7657" stopIfTrue="1" operator="equal">
      <formula>"Napkin Hs"</formula>
    </cfRule>
    <cfRule type="cellIs" dxfId="14610" priority="7662" stopIfTrue="1" operator="equal">
      <formula>"Towel"</formula>
    </cfRule>
    <cfRule type="cellIs" dxfId="14609" priority="7663" stopIfTrue="1" operator="equal">
      <formula>"Napkin Hs"</formula>
    </cfRule>
    <cfRule type="cellIs" dxfId="14608" priority="7668" stopIfTrue="1" operator="equal">
      <formula>"Towel"</formula>
    </cfRule>
    <cfRule type="cellIs" dxfId="14607" priority="7669" stopIfTrue="1" operator="equal">
      <formula>"Napkin Hs"</formula>
    </cfRule>
  </conditionalFormatting>
  <conditionalFormatting sqref="B43:C44">
    <cfRule type="cellIs" dxfId="14606" priority="7708" stopIfTrue="1" operator="equal">
      <formula>"Towel"</formula>
    </cfRule>
    <cfRule type="cellIs" dxfId="14605" priority="7709" stopIfTrue="1" operator="equal">
      <formula>"Napkin Hs"</formula>
    </cfRule>
    <cfRule type="cellIs" dxfId="14604" priority="11484" stopIfTrue="1" operator="equal">
      <formula>"Towel"</formula>
    </cfRule>
    <cfRule type="cellIs" dxfId="14603" priority="11485" stopIfTrue="1" operator="equal">
      <formula>"Napkin Hs"</formula>
    </cfRule>
    <cfRule type="cellIs" dxfId="14602" priority="11490" stopIfTrue="1" operator="equal">
      <formula>"Towel"</formula>
    </cfRule>
    <cfRule type="cellIs" dxfId="14601" priority="11491" stopIfTrue="1" operator="equal">
      <formula>"Napkin Hs"</formula>
    </cfRule>
    <cfRule type="cellIs" dxfId="14600" priority="11496" stopIfTrue="1" operator="equal">
      <formula>"Towel"</formula>
    </cfRule>
    <cfRule type="cellIs" dxfId="14599" priority="11497" stopIfTrue="1" operator="equal">
      <formula>"Napkin Hs"</formula>
    </cfRule>
    <cfRule type="cellIs" dxfId="14598" priority="11502" stopIfTrue="1" operator="equal">
      <formula>"Towel"</formula>
    </cfRule>
    <cfRule type="cellIs" dxfId="14597" priority="11503" stopIfTrue="1" operator="equal">
      <formula>"Napkin Hs"</formula>
    </cfRule>
    <cfRule type="cellIs" dxfId="14596" priority="11508" stopIfTrue="1" operator="equal">
      <formula>"Towel"</formula>
    </cfRule>
    <cfRule type="cellIs" dxfId="14595" priority="11509" stopIfTrue="1" operator="equal">
      <formula>"Napkin Hs"</formula>
    </cfRule>
    <cfRule type="cellIs" dxfId="14594" priority="11514" stopIfTrue="1" operator="equal">
      <formula>"Towel"</formula>
    </cfRule>
    <cfRule type="cellIs" dxfId="14593" priority="11515" stopIfTrue="1" operator="equal">
      <formula>"Napkin Hs"</formula>
    </cfRule>
    <cfRule type="cellIs" dxfId="14592" priority="11520" stopIfTrue="1" operator="equal">
      <formula>"Towel"</formula>
    </cfRule>
    <cfRule type="cellIs" dxfId="14591" priority="11521" stopIfTrue="1" operator="equal">
      <formula>"Napkin Hs"</formula>
    </cfRule>
  </conditionalFormatting>
  <conditionalFormatting sqref="B45:C45">
    <cfRule type="cellIs" dxfId="14590" priority="7726" stopIfTrue="1" operator="equal">
      <formula>"Towel"</formula>
    </cfRule>
    <cfRule type="cellIs" dxfId="14589" priority="7727" stopIfTrue="1" operator="equal">
      <formula>"Napkin Hs"</formula>
    </cfRule>
    <cfRule type="cellIs" dxfId="14588" priority="7732" stopIfTrue="1" operator="equal">
      <formula>"Towel"</formula>
    </cfRule>
    <cfRule type="cellIs" dxfId="14587" priority="7733" stopIfTrue="1" operator="equal">
      <formula>"Napkin Hs"</formula>
    </cfRule>
    <cfRule type="cellIs" dxfId="14586" priority="11580" stopIfTrue="1" operator="equal">
      <formula>"Towel"</formula>
    </cfRule>
    <cfRule type="cellIs" dxfId="14585" priority="11581" stopIfTrue="1" operator="equal">
      <formula>"Napkin Hs"</formula>
    </cfRule>
    <cfRule type="cellIs" dxfId="14584" priority="11600" stopIfTrue="1" operator="equal">
      <formula>"Towel"</formula>
    </cfRule>
    <cfRule type="cellIs" dxfId="14583" priority="11601" stopIfTrue="1" operator="equal">
      <formula>"Napkin Hs"</formula>
    </cfRule>
    <cfRule type="cellIs" dxfId="14582" priority="11628" stopIfTrue="1" operator="equal">
      <formula>"Towel"</formula>
    </cfRule>
    <cfRule type="cellIs" dxfId="14581" priority="11629" stopIfTrue="1" operator="equal">
      <formula>"Napkin Hs"</formula>
    </cfRule>
    <cfRule type="cellIs" dxfId="14580" priority="11658" stopIfTrue="1" operator="equal">
      <formula>"Towel"</formula>
    </cfRule>
    <cfRule type="cellIs" dxfId="14579" priority="11659" stopIfTrue="1" operator="equal">
      <formula>"Napkin Hs"</formula>
    </cfRule>
    <cfRule type="cellIs" dxfId="14578" priority="12288" stopIfTrue="1" operator="equal">
      <formula>"Towel"</formula>
    </cfRule>
    <cfRule type="cellIs" dxfId="14577" priority="12289" stopIfTrue="1" operator="equal">
      <formula>"Napkin Hs"</formula>
    </cfRule>
  </conditionalFormatting>
  <conditionalFormatting sqref="B46:C46">
    <cfRule type="cellIs" dxfId="14576" priority="7490" stopIfTrue="1" operator="equal">
      <formula>"Towel"</formula>
    </cfRule>
    <cfRule type="cellIs" dxfId="14575" priority="7491" stopIfTrue="1" operator="equal">
      <formula>"Napkin Hs"</formula>
    </cfRule>
    <cfRule type="cellIs" dxfId="14574" priority="7496" stopIfTrue="1" operator="equal">
      <formula>"Towel"</formula>
    </cfRule>
    <cfRule type="cellIs" dxfId="14573" priority="7497" stopIfTrue="1" operator="equal">
      <formula>"Napkin Hs"</formula>
    </cfRule>
    <cfRule type="cellIs" dxfId="14572" priority="7502" stopIfTrue="1" operator="equal">
      <formula>"Towel"</formula>
    </cfRule>
    <cfRule type="cellIs" dxfId="14571" priority="7503" stopIfTrue="1" operator="equal">
      <formula>"Napkin Hs"</formula>
    </cfRule>
    <cfRule type="cellIs" dxfId="14570" priority="7508" stopIfTrue="1" operator="equal">
      <formula>"Towel"</formula>
    </cfRule>
    <cfRule type="cellIs" dxfId="14569" priority="7509" stopIfTrue="1" operator="equal">
      <formula>"Napkin Hs"</formula>
    </cfRule>
    <cfRule type="cellIs" dxfId="14568" priority="7514" stopIfTrue="1" operator="equal">
      <formula>"Towel"</formula>
    </cfRule>
    <cfRule type="cellIs" dxfId="14567" priority="7515" stopIfTrue="1" operator="equal">
      <formula>"Napkin Hs"</formula>
    </cfRule>
    <cfRule type="cellIs" dxfId="14566" priority="7520" stopIfTrue="1" operator="equal">
      <formula>"Towel"</formula>
    </cfRule>
    <cfRule type="cellIs" dxfId="14565" priority="7521" stopIfTrue="1" operator="equal">
      <formula>"Napkin Hs"</formula>
    </cfRule>
    <cfRule type="cellIs" dxfId="14564" priority="7526" stopIfTrue="1" operator="equal">
      <formula>"Towel"</formula>
    </cfRule>
    <cfRule type="cellIs" dxfId="14563" priority="7527" stopIfTrue="1" operator="equal">
      <formula>"Napkin Hs"</formula>
    </cfRule>
    <cfRule type="cellIs" dxfId="14562" priority="7532" stopIfTrue="1" operator="equal">
      <formula>"Towel"</formula>
    </cfRule>
    <cfRule type="cellIs" dxfId="14561" priority="7533" stopIfTrue="1" operator="equal">
      <formula>"Napkin Hs"</formula>
    </cfRule>
  </conditionalFormatting>
  <conditionalFormatting sqref="B46:C47">
    <cfRule type="cellIs" dxfId="14560" priority="7471" stopIfTrue="1" operator="equal">
      <formula>"Napkin Hs"</formula>
    </cfRule>
  </conditionalFormatting>
  <conditionalFormatting sqref="B46:C48">
    <cfRule type="cellIs" dxfId="14559" priority="7470" stopIfTrue="1" operator="equal">
      <formula>"Towel"</formula>
    </cfRule>
  </conditionalFormatting>
  <conditionalFormatting sqref="B48:C48">
    <cfRule type="cellIs" dxfId="14558" priority="7553" stopIfTrue="1" operator="equal">
      <formula>"Napkin Hs"</formula>
    </cfRule>
    <cfRule type="cellIs" dxfId="14557" priority="7570" stopIfTrue="1" operator="equal">
      <formula>"Towel"</formula>
    </cfRule>
    <cfRule type="cellIs" dxfId="14556" priority="7571" stopIfTrue="1" operator="equal">
      <formula>"Napkin Hs"</formula>
    </cfRule>
    <cfRule type="cellIs" dxfId="14555" priority="7576" stopIfTrue="1" operator="equal">
      <formula>"Towel"</formula>
    </cfRule>
    <cfRule type="cellIs" dxfId="14554" priority="7577" stopIfTrue="1" operator="equal">
      <formula>"Napkin Hs"</formula>
    </cfRule>
    <cfRule type="cellIs" dxfId="14553" priority="7582" stopIfTrue="1" operator="equal">
      <formula>"Towel"</formula>
    </cfRule>
    <cfRule type="cellIs" dxfId="14552" priority="7583" stopIfTrue="1" operator="equal">
      <formula>"Napkin Hs"</formula>
    </cfRule>
    <cfRule type="cellIs" dxfId="14551" priority="7588" stopIfTrue="1" operator="equal">
      <formula>"Towel"</formula>
    </cfRule>
    <cfRule type="cellIs" dxfId="14550" priority="7589" stopIfTrue="1" operator="equal">
      <formula>"Napkin Hs"</formula>
    </cfRule>
    <cfRule type="cellIs" dxfId="14549" priority="7594" stopIfTrue="1" operator="equal">
      <formula>"Towel"</formula>
    </cfRule>
    <cfRule type="cellIs" dxfId="14548" priority="7595" stopIfTrue="1" operator="equal">
      <formula>"Napkin Hs"</formula>
    </cfRule>
    <cfRule type="cellIs" dxfId="14547" priority="7600" stopIfTrue="1" operator="equal">
      <formula>"Towel"</formula>
    </cfRule>
    <cfRule type="cellIs" dxfId="14546" priority="7601" stopIfTrue="1" operator="equal">
      <formula>"Napkin Hs"</formula>
    </cfRule>
    <cfRule type="cellIs" dxfId="14545" priority="7606" stopIfTrue="1" operator="equal">
      <formula>"Towel"</formula>
    </cfRule>
    <cfRule type="cellIs" dxfId="14544" priority="7607" stopIfTrue="1" operator="equal">
      <formula>"Napkin Hs"</formula>
    </cfRule>
  </conditionalFormatting>
  <conditionalFormatting sqref="B49:C49">
    <cfRule type="cellIs" dxfId="14543" priority="11382" stopIfTrue="1" operator="equal">
      <formula>"Towel"</formula>
    </cfRule>
    <cfRule type="cellIs" dxfId="14542" priority="11383" stopIfTrue="1" operator="equal">
      <formula>"Napkin Hs"</formula>
    </cfRule>
    <cfRule type="cellIs" dxfId="14541" priority="11388" stopIfTrue="1" operator="equal">
      <formula>"Towel"</formula>
    </cfRule>
    <cfRule type="cellIs" dxfId="14540" priority="11389" stopIfTrue="1" operator="equal">
      <formula>"Napkin Hs"</formula>
    </cfRule>
    <cfRule type="cellIs" dxfId="14539" priority="11394" stopIfTrue="1" operator="equal">
      <formula>"Towel"</formula>
    </cfRule>
    <cfRule type="cellIs" dxfId="14538" priority="11395" stopIfTrue="1" operator="equal">
      <formula>"Napkin Hs"</formula>
    </cfRule>
    <cfRule type="cellIs" dxfId="14537" priority="11400" stopIfTrue="1" operator="equal">
      <formula>"Towel"</formula>
    </cfRule>
    <cfRule type="cellIs" dxfId="14536" priority="11401" stopIfTrue="1" operator="equal">
      <formula>"Napkin Hs"</formula>
    </cfRule>
    <cfRule type="cellIs" dxfId="14535" priority="11406" stopIfTrue="1" operator="equal">
      <formula>"Towel"</formula>
    </cfRule>
    <cfRule type="cellIs" dxfId="14534" priority="11407" stopIfTrue="1" operator="equal">
      <formula>"Napkin Hs"</formula>
    </cfRule>
    <cfRule type="cellIs" dxfId="14533" priority="11412" stopIfTrue="1" operator="equal">
      <formula>"Towel"</formula>
    </cfRule>
    <cfRule type="cellIs" dxfId="14532" priority="11413" stopIfTrue="1" operator="equal">
      <formula>"Napkin Hs"</formula>
    </cfRule>
    <cfRule type="cellIs" dxfId="14531" priority="11418" stopIfTrue="1" operator="equal">
      <formula>"Towel"</formula>
    </cfRule>
    <cfRule type="cellIs" dxfId="14530" priority="11419" stopIfTrue="1" operator="equal">
      <formula>"Napkin Hs"</formula>
    </cfRule>
    <cfRule type="cellIs" dxfId="14529" priority="12276" stopIfTrue="1" operator="equal">
      <formula>"Towel"</formula>
    </cfRule>
    <cfRule type="cellIs" dxfId="14528" priority="12277" stopIfTrue="1" operator="equal">
      <formula>"Napkin Hs"</formula>
    </cfRule>
  </conditionalFormatting>
  <conditionalFormatting sqref="B50:C50">
    <cfRule type="cellIs" dxfId="14527" priority="7262" stopIfTrue="1" operator="equal">
      <formula>"Towel"</formula>
    </cfRule>
    <cfRule type="cellIs" dxfId="14526" priority="7263" stopIfTrue="1" operator="equal">
      <formula>"Napkin Hs"</formula>
    </cfRule>
  </conditionalFormatting>
  <conditionalFormatting sqref="B51:C51">
    <cfRule type="cellIs" dxfId="14525" priority="7283" stopIfTrue="1" operator="equal">
      <formula>"Napkin Hs"</formula>
    </cfRule>
  </conditionalFormatting>
  <conditionalFormatting sqref="B51:C52">
    <cfRule type="cellIs" dxfId="14524" priority="7282" stopIfTrue="1" operator="equal">
      <formula>"Towel"</formula>
    </cfRule>
  </conditionalFormatting>
  <conditionalFormatting sqref="B52:C52">
    <cfRule type="cellIs" dxfId="14523" priority="7349" stopIfTrue="1" operator="equal">
      <formula>"Napkin Hs"</formula>
    </cfRule>
    <cfRule type="cellIs" dxfId="14522" priority="7366" stopIfTrue="1" operator="equal">
      <formula>"Towel"</formula>
    </cfRule>
    <cfRule type="cellIs" dxfId="14521" priority="7367" stopIfTrue="1" operator="equal">
      <formula>"Napkin Hs"</formula>
    </cfRule>
    <cfRule type="cellIs" dxfId="14520" priority="7372" stopIfTrue="1" operator="equal">
      <formula>"Towel"</formula>
    </cfRule>
    <cfRule type="cellIs" dxfId="14519" priority="7373" stopIfTrue="1" operator="equal">
      <formula>"Napkin Hs"</formula>
    </cfRule>
    <cfRule type="cellIs" dxfId="14518" priority="7378" stopIfTrue="1" operator="equal">
      <formula>"Towel"</formula>
    </cfRule>
    <cfRule type="cellIs" dxfId="14517" priority="7379" stopIfTrue="1" operator="equal">
      <formula>"Napkin Hs"</formula>
    </cfRule>
    <cfRule type="cellIs" dxfId="14516" priority="7384" stopIfTrue="1" operator="equal">
      <formula>"Towel"</formula>
    </cfRule>
    <cfRule type="cellIs" dxfId="14515" priority="7385" stopIfTrue="1" operator="equal">
      <formula>"Napkin Hs"</formula>
    </cfRule>
    <cfRule type="cellIs" dxfId="14514" priority="7390" stopIfTrue="1" operator="equal">
      <formula>"Towel"</formula>
    </cfRule>
    <cfRule type="cellIs" dxfId="14513" priority="7391" stopIfTrue="1" operator="equal">
      <formula>"Napkin Hs"</formula>
    </cfRule>
    <cfRule type="cellIs" dxfId="14512" priority="7396" stopIfTrue="1" operator="equal">
      <formula>"Towel"</formula>
    </cfRule>
    <cfRule type="cellIs" dxfId="14511" priority="7397" stopIfTrue="1" operator="equal">
      <formula>"Napkin Hs"</formula>
    </cfRule>
    <cfRule type="cellIs" dxfId="14510" priority="7402" stopIfTrue="1" operator="equal">
      <formula>"Towel"</formula>
    </cfRule>
    <cfRule type="cellIs" dxfId="14509" priority="7403" stopIfTrue="1" operator="equal">
      <formula>"Napkin Hs"</formula>
    </cfRule>
  </conditionalFormatting>
  <conditionalFormatting sqref="B53:C53">
    <cfRule type="cellIs" dxfId="14508" priority="7408" stopIfTrue="1" operator="equal">
      <formula>"Towel"</formula>
    </cfRule>
    <cfRule type="cellIs" dxfId="14507" priority="7409" stopIfTrue="1" operator="equal">
      <formula>"Napkin Hs"</formula>
    </cfRule>
    <cfRule type="cellIs" dxfId="14506" priority="7414" stopIfTrue="1" operator="equal">
      <formula>"Towel"</formula>
    </cfRule>
    <cfRule type="cellIs" dxfId="14505" priority="7415" stopIfTrue="1" operator="equal">
      <formula>"Napkin Hs"</formula>
    </cfRule>
    <cfRule type="cellIs" dxfId="14504" priority="7420" stopIfTrue="1" operator="equal">
      <formula>"Towel"</formula>
    </cfRule>
    <cfRule type="cellIs" dxfId="14503" priority="7421" stopIfTrue="1" operator="equal">
      <formula>"Napkin Hs"</formula>
    </cfRule>
    <cfRule type="cellIs" dxfId="14502" priority="7426" stopIfTrue="1" operator="equal">
      <formula>"Towel"</formula>
    </cfRule>
    <cfRule type="cellIs" dxfId="14501" priority="7427" stopIfTrue="1" operator="equal">
      <formula>"Napkin Hs"</formula>
    </cfRule>
    <cfRule type="cellIs" dxfId="14500" priority="7432" stopIfTrue="1" operator="equal">
      <formula>"Towel"</formula>
    </cfRule>
    <cfRule type="cellIs" dxfId="14499" priority="7433" stopIfTrue="1" operator="equal">
      <formula>"Napkin Hs"</formula>
    </cfRule>
    <cfRule type="cellIs" dxfId="14498" priority="7438" stopIfTrue="1" operator="equal">
      <formula>"Towel"</formula>
    </cfRule>
    <cfRule type="cellIs" dxfId="14497" priority="7439" stopIfTrue="1" operator="equal">
      <formula>"Napkin Hs"</formula>
    </cfRule>
    <cfRule type="cellIs" dxfId="14496" priority="7444" stopIfTrue="1" operator="equal">
      <formula>"Towel"</formula>
    </cfRule>
    <cfRule type="cellIs" dxfId="14495" priority="7445" stopIfTrue="1" operator="equal">
      <formula>"Napkin Hs"</formula>
    </cfRule>
    <cfRule type="cellIs" dxfId="14494" priority="7450" stopIfTrue="1" operator="equal">
      <formula>"Towel"</formula>
    </cfRule>
    <cfRule type="cellIs" dxfId="14493" priority="7451" stopIfTrue="1" operator="equal">
      <formula>"Napkin Hs"</formula>
    </cfRule>
  </conditionalFormatting>
  <conditionalFormatting sqref="B54:C54">
    <cfRule type="cellIs" dxfId="14492" priority="11276" stopIfTrue="1" operator="equal">
      <formula>"Towel"</formula>
    </cfRule>
    <cfRule type="cellIs" dxfId="14491" priority="11277" stopIfTrue="1" operator="equal">
      <formula>"Napkin Hs"</formula>
    </cfRule>
    <cfRule type="cellIs" dxfId="14490" priority="11284" stopIfTrue="1" operator="equal">
      <formula>"Towel"</formula>
    </cfRule>
    <cfRule type="cellIs" dxfId="14489" priority="11285" stopIfTrue="1" operator="equal">
      <formula>"Napkin Hs"</formula>
    </cfRule>
    <cfRule type="cellIs" dxfId="14488" priority="11298" stopIfTrue="1" operator="equal">
      <formula>"Towel"</formula>
    </cfRule>
    <cfRule type="cellIs" dxfId="14487" priority="11299" stopIfTrue="1" operator="equal">
      <formula>"Napkin Hs"</formula>
    </cfRule>
    <cfRule type="cellIs" dxfId="14486" priority="11304" stopIfTrue="1" operator="equal">
      <formula>"Towel"</formula>
    </cfRule>
    <cfRule type="cellIs" dxfId="14485" priority="11305" stopIfTrue="1" operator="equal">
      <formula>"Napkin Hs"</formula>
    </cfRule>
    <cfRule type="cellIs" dxfId="14484" priority="11314" stopIfTrue="1" operator="equal">
      <formula>"Towel"</formula>
    </cfRule>
    <cfRule type="cellIs" dxfId="14483" priority="11315" stopIfTrue="1" operator="equal">
      <formula>"Napkin Hs"</formula>
    </cfRule>
    <cfRule type="cellIs" dxfId="14482" priority="11328" stopIfTrue="1" operator="equal">
      <formula>"Towel"</formula>
    </cfRule>
    <cfRule type="cellIs" dxfId="14481" priority="11329" stopIfTrue="1" operator="equal">
      <formula>"Napkin Hs"</formula>
    </cfRule>
  </conditionalFormatting>
  <conditionalFormatting sqref="B55:C55">
    <cfRule type="cellIs" dxfId="14480" priority="7003" stopIfTrue="1" operator="equal">
      <formula>"Napkin Hs"</formula>
    </cfRule>
    <cfRule type="cellIs" dxfId="14479" priority="7080" stopIfTrue="1" operator="equal">
      <formula>"Towel"</formula>
    </cfRule>
    <cfRule type="cellIs" dxfId="14478" priority="7081" stopIfTrue="1" operator="equal">
      <formula>"Napkin Hs"</formula>
    </cfRule>
  </conditionalFormatting>
  <conditionalFormatting sqref="B55:C56">
    <cfRule type="cellIs" dxfId="14477" priority="7002" stopIfTrue="1" operator="equal">
      <formula>"Towel"</formula>
    </cfRule>
  </conditionalFormatting>
  <conditionalFormatting sqref="B56:C56">
    <cfRule type="cellIs" dxfId="14476" priority="7007" stopIfTrue="1" operator="equal">
      <formula>"Napkin Hs"</formula>
    </cfRule>
    <cfRule type="cellIs" dxfId="14475" priority="7024" stopIfTrue="1" operator="equal">
      <formula>"Towel"</formula>
    </cfRule>
    <cfRule type="cellIs" dxfId="14474" priority="7025" stopIfTrue="1" operator="equal">
      <formula>"Napkin Hs"</formula>
    </cfRule>
    <cfRule type="cellIs" dxfId="14473" priority="7030" stopIfTrue="1" operator="equal">
      <formula>"Towel"</formula>
    </cfRule>
    <cfRule type="cellIs" dxfId="14472" priority="7031" stopIfTrue="1" operator="equal">
      <formula>"Napkin Hs"</formula>
    </cfRule>
    <cfRule type="cellIs" dxfId="14471" priority="7036" stopIfTrue="1" operator="equal">
      <formula>"Towel"</formula>
    </cfRule>
    <cfRule type="cellIs" dxfId="14470" priority="7037" stopIfTrue="1" operator="equal">
      <formula>"Napkin Hs"</formula>
    </cfRule>
    <cfRule type="cellIs" dxfId="14469" priority="7042" stopIfTrue="1" operator="equal">
      <formula>"Towel"</formula>
    </cfRule>
    <cfRule type="cellIs" dxfId="14468" priority="7043" stopIfTrue="1" operator="equal">
      <formula>"Napkin Hs"</formula>
    </cfRule>
    <cfRule type="cellIs" dxfId="14467" priority="7048" stopIfTrue="1" operator="equal">
      <formula>"Towel"</formula>
    </cfRule>
    <cfRule type="cellIs" dxfId="14466" priority="7049" stopIfTrue="1" operator="equal">
      <formula>"Napkin Hs"</formula>
    </cfRule>
    <cfRule type="cellIs" dxfId="14465" priority="7054" stopIfTrue="1" operator="equal">
      <formula>"Towel"</formula>
    </cfRule>
    <cfRule type="cellIs" dxfId="14464" priority="7055" stopIfTrue="1" operator="equal">
      <formula>"Napkin Hs"</formula>
    </cfRule>
    <cfRule type="cellIs" dxfId="14463" priority="7060" stopIfTrue="1" operator="equal">
      <formula>"Towel"</formula>
    </cfRule>
    <cfRule type="cellIs" dxfId="14462" priority="7061" stopIfTrue="1" operator="equal">
      <formula>"Napkin Hs"</formula>
    </cfRule>
    <cfRule type="cellIs" dxfId="14461" priority="7101" stopIfTrue="1" operator="equal">
      <formula>"Napkin Hs"</formula>
    </cfRule>
  </conditionalFormatting>
  <conditionalFormatting sqref="B56:C57">
    <cfRule type="cellIs" dxfId="14460" priority="7100" stopIfTrue="1" operator="equal">
      <formula>"Towel"</formula>
    </cfRule>
  </conditionalFormatting>
  <conditionalFormatting sqref="B57:C57">
    <cfRule type="cellIs" dxfId="14459" priority="7105" stopIfTrue="1" operator="equal">
      <formula>"Napkin Hs"</formula>
    </cfRule>
    <cfRule type="cellIs" dxfId="14458" priority="7122" stopIfTrue="1" operator="equal">
      <formula>"Towel"</formula>
    </cfRule>
    <cfRule type="cellIs" dxfId="14457" priority="7123" stopIfTrue="1" operator="equal">
      <formula>"Napkin Hs"</formula>
    </cfRule>
    <cfRule type="cellIs" dxfId="14456" priority="7128" stopIfTrue="1" operator="equal">
      <formula>"Towel"</formula>
    </cfRule>
    <cfRule type="cellIs" dxfId="14455" priority="7129" stopIfTrue="1" operator="equal">
      <formula>"Napkin Hs"</formula>
    </cfRule>
    <cfRule type="cellIs" dxfId="14454" priority="7134" stopIfTrue="1" operator="equal">
      <formula>"Towel"</formula>
    </cfRule>
    <cfRule type="cellIs" dxfId="14453" priority="7135" stopIfTrue="1" operator="equal">
      <formula>"Napkin Hs"</formula>
    </cfRule>
    <cfRule type="cellIs" dxfId="14452" priority="7140" stopIfTrue="1" operator="equal">
      <formula>"Towel"</formula>
    </cfRule>
    <cfRule type="cellIs" dxfId="14451" priority="7141" stopIfTrue="1" operator="equal">
      <formula>"Napkin Hs"</formula>
    </cfRule>
    <cfRule type="cellIs" dxfId="14450" priority="7146" stopIfTrue="1" operator="equal">
      <formula>"Towel"</formula>
    </cfRule>
    <cfRule type="cellIs" dxfId="14449" priority="7147" stopIfTrue="1" operator="equal">
      <formula>"Napkin Hs"</formula>
    </cfRule>
    <cfRule type="cellIs" dxfId="14448" priority="7152" stopIfTrue="1" operator="equal">
      <formula>"Towel"</formula>
    </cfRule>
    <cfRule type="cellIs" dxfId="14447" priority="7153" stopIfTrue="1" operator="equal">
      <formula>"Napkin Hs"</formula>
    </cfRule>
    <cfRule type="cellIs" dxfId="14446" priority="7158" stopIfTrue="1" operator="equal">
      <formula>"Towel"</formula>
    </cfRule>
    <cfRule type="cellIs" dxfId="14445" priority="7159" stopIfTrue="1" operator="equal">
      <formula>"Napkin Hs"</formula>
    </cfRule>
  </conditionalFormatting>
  <conditionalFormatting sqref="B58:C58">
    <cfRule type="cellIs" dxfId="14444" priority="7164" stopIfTrue="1" operator="equal">
      <formula>"Towel"</formula>
    </cfRule>
    <cfRule type="cellIs" dxfId="14443" priority="7165" stopIfTrue="1" operator="equal">
      <formula>"Napkin Hs"</formula>
    </cfRule>
    <cfRule type="cellIs" dxfId="14442" priority="7170" stopIfTrue="1" operator="equal">
      <formula>"Towel"</formula>
    </cfRule>
    <cfRule type="cellIs" dxfId="14441" priority="7171" stopIfTrue="1" operator="equal">
      <formula>"Napkin Hs"</formula>
    </cfRule>
    <cfRule type="cellIs" dxfId="14440" priority="7176" stopIfTrue="1" operator="equal">
      <formula>"Towel"</formula>
    </cfRule>
    <cfRule type="cellIs" dxfId="14439" priority="7177" stopIfTrue="1" operator="equal">
      <formula>"Napkin Hs"</formula>
    </cfRule>
    <cfRule type="cellIs" dxfId="14438" priority="7182" stopIfTrue="1" operator="equal">
      <formula>"Towel"</formula>
    </cfRule>
    <cfRule type="cellIs" dxfId="14437" priority="7183" stopIfTrue="1" operator="equal">
      <formula>"Napkin Hs"</formula>
    </cfRule>
    <cfRule type="cellIs" dxfId="14436" priority="7188" stopIfTrue="1" operator="equal">
      <formula>"Towel"</formula>
    </cfRule>
    <cfRule type="cellIs" dxfId="14435" priority="7189" stopIfTrue="1" operator="equal">
      <formula>"Napkin Hs"</formula>
    </cfRule>
    <cfRule type="cellIs" dxfId="14434" priority="7194" stopIfTrue="1" operator="equal">
      <formula>"Towel"</formula>
    </cfRule>
    <cfRule type="cellIs" dxfId="14433" priority="7195" stopIfTrue="1" operator="equal">
      <formula>"Napkin Hs"</formula>
    </cfRule>
    <cfRule type="cellIs" dxfId="14432" priority="7200" stopIfTrue="1" operator="equal">
      <formula>"Towel"</formula>
    </cfRule>
    <cfRule type="cellIs" dxfId="14431" priority="7201" stopIfTrue="1" operator="equal">
      <formula>"Napkin Hs"</formula>
    </cfRule>
    <cfRule type="cellIs" dxfId="14430" priority="7206" stopIfTrue="1" operator="equal">
      <formula>"Towel"</formula>
    </cfRule>
    <cfRule type="cellIs" dxfId="14429" priority="7207" stopIfTrue="1" operator="equal">
      <formula>"Napkin Hs"</formula>
    </cfRule>
  </conditionalFormatting>
  <conditionalFormatting sqref="B59:C59">
    <cfRule type="cellIs" dxfId="14428" priority="7212" stopIfTrue="1" operator="equal">
      <formula>"Towel"</formula>
    </cfRule>
    <cfRule type="cellIs" dxfId="14427" priority="7213" stopIfTrue="1" operator="equal">
      <formula>"Napkin Hs"</formula>
    </cfRule>
    <cfRule type="cellIs" dxfId="14426" priority="7218" stopIfTrue="1" operator="equal">
      <formula>"Towel"</formula>
    </cfRule>
    <cfRule type="cellIs" dxfId="14425" priority="7219" stopIfTrue="1" operator="equal">
      <formula>"Napkin Hs"</formula>
    </cfRule>
    <cfRule type="cellIs" dxfId="14424" priority="7224" stopIfTrue="1" operator="equal">
      <formula>"Towel"</formula>
    </cfRule>
    <cfRule type="cellIs" dxfId="14423" priority="7225" stopIfTrue="1" operator="equal">
      <formula>"Napkin Hs"</formula>
    </cfRule>
    <cfRule type="cellIs" dxfId="14422" priority="7230" stopIfTrue="1" operator="equal">
      <formula>"Towel"</formula>
    </cfRule>
    <cfRule type="cellIs" dxfId="14421" priority="7231" stopIfTrue="1" operator="equal">
      <formula>"Napkin Hs"</formula>
    </cfRule>
    <cfRule type="cellIs" dxfId="14420" priority="7236" stopIfTrue="1" operator="equal">
      <formula>"Towel"</formula>
    </cfRule>
    <cfRule type="cellIs" dxfId="14419" priority="7237" stopIfTrue="1" operator="equal">
      <formula>"Napkin Hs"</formula>
    </cfRule>
    <cfRule type="cellIs" dxfId="14418" priority="7242" stopIfTrue="1" operator="equal">
      <formula>"Towel"</formula>
    </cfRule>
    <cfRule type="cellIs" dxfId="14417" priority="7243" stopIfTrue="1" operator="equal">
      <formula>"Napkin Hs"</formula>
    </cfRule>
  </conditionalFormatting>
  <conditionalFormatting sqref="B60:C62">
    <cfRule type="cellIs" dxfId="14416" priority="6808" stopIfTrue="1" operator="equal">
      <formula>"Towel"</formula>
    </cfRule>
    <cfRule type="cellIs" dxfId="14415" priority="6809" stopIfTrue="1" operator="equal">
      <formula>"Napkin Hs"</formula>
    </cfRule>
    <cfRule type="cellIs" dxfId="14414" priority="6826" stopIfTrue="1" operator="equal">
      <formula>"Towel"</formula>
    </cfRule>
    <cfRule type="cellIs" dxfId="14413" priority="6827" stopIfTrue="1" operator="equal">
      <formula>"Napkin Hs"</formula>
    </cfRule>
    <cfRule type="cellIs" dxfId="14412" priority="6886" stopIfTrue="1" operator="equal">
      <formula>"Towel"</formula>
    </cfRule>
    <cfRule type="cellIs" dxfId="14411" priority="6887" stopIfTrue="1" operator="equal">
      <formula>"Napkin Hs"</formula>
    </cfRule>
    <cfRule type="cellIs" dxfId="14410" priority="6904" stopIfTrue="1" operator="equal">
      <formula>"Towel"</formula>
    </cfRule>
    <cfRule type="cellIs" dxfId="14409" priority="6905" stopIfTrue="1" operator="equal">
      <formula>"Napkin Hs"</formula>
    </cfRule>
  </conditionalFormatting>
  <conditionalFormatting sqref="B63:C63">
    <cfRule type="cellIs" dxfId="14408" priority="10860" stopIfTrue="1" operator="equal">
      <formula>"Towel"</formula>
    </cfRule>
    <cfRule type="cellIs" dxfId="14407" priority="10861" stopIfTrue="1" operator="equal">
      <formula>"Napkin Hs"</formula>
    </cfRule>
    <cfRule type="cellIs" dxfId="14406" priority="10866" stopIfTrue="1" operator="equal">
      <formula>"Towel"</formula>
    </cfRule>
    <cfRule type="cellIs" dxfId="14405" priority="10867" stopIfTrue="1" operator="equal">
      <formula>"Napkin Hs"</formula>
    </cfRule>
    <cfRule type="cellIs" dxfId="14404" priority="10872" stopIfTrue="1" operator="equal">
      <formula>"Towel"</formula>
    </cfRule>
    <cfRule type="cellIs" dxfId="14403" priority="10873" stopIfTrue="1" operator="equal">
      <formula>"Napkin Hs"</formula>
    </cfRule>
    <cfRule type="cellIs" dxfId="14402" priority="10878" stopIfTrue="1" operator="equal">
      <formula>"Towel"</formula>
    </cfRule>
    <cfRule type="cellIs" dxfId="14401" priority="10879" stopIfTrue="1" operator="equal">
      <formula>"Napkin Hs"</formula>
    </cfRule>
    <cfRule type="cellIs" dxfId="14400" priority="10884" stopIfTrue="1" operator="equal">
      <formula>"Towel"</formula>
    </cfRule>
    <cfRule type="cellIs" dxfId="14399" priority="10885" stopIfTrue="1" operator="equal">
      <formula>"Napkin Hs"</formula>
    </cfRule>
    <cfRule type="cellIs" dxfId="14398" priority="10890" stopIfTrue="1" operator="equal">
      <formula>"Towel"</formula>
    </cfRule>
    <cfRule type="cellIs" dxfId="14397" priority="10891" stopIfTrue="1" operator="equal">
      <formula>"Napkin Hs"</formula>
    </cfRule>
    <cfRule type="cellIs" dxfId="14396" priority="10896" stopIfTrue="1" operator="equal">
      <formula>"Towel"</formula>
    </cfRule>
    <cfRule type="cellIs" dxfId="14395" priority="10897" stopIfTrue="1" operator="equal">
      <formula>"Napkin Hs"</formula>
    </cfRule>
    <cfRule type="cellIs" dxfId="14394" priority="10902" stopIfTrue="1" operator="equal">
      <formula>"Towel"</formula>
    </cfRule>
    <cfRule type="cellIs" dxfId="14393" priority="10903" stopIfTrue="1" operator="equal">
      <formula>"Napkin Hs"</formula>
    </cfRule>
  </conditionalFormatting>
  <conditionalFormatting sqref="B64:C64">
    <cfRule type="cellIs" dxfId="14392" priority="6310" stopIfTrue="1" operator="equal">
      <formula>"Towel"</formula>
    </cfRule>
    <cfRule type="cellIs" dxfId="14391" priority="6311" stopIfTrue="1" operator="equal">
      <formula>"Napkin Hs"</formula>
    </cfRule>
  </conditionalFormatting>
  <conditionalFormatting sqref="B65:C65">
    <cfRule type="cellIs" dxfId="14390" priority="6460" stopIfTrue="1" operator="equal">
      <formula>"Towel"</formula>
    </cfRule>
    <cfRule type="cellIs" dxfId="14389" priority="6461" stopIfTrue="1" operator="equal">
      <formula>"Napkin Hs"</formula>
    </cfRule>
    <cfRule type="cellIs" dxfId="14388" priority="6466" stopIfTrue="1" operator="equal">
      <formula>"Towel"</formula>
    </cfRule>
    <cfRule type="cellIs" dxfId="14387" priority="6467" stopIfTrue="1" operator="equal">
      <formula>"Napkin Hs"</formula>
    </cfRule>
    <cfRule type="cellIs" dxfId="14386" priority="6472" stopIfTrue="1" operator="equal">
      <formula>"Towel"</formula>
    </cfRule>
    <cfRule type="cellIs" dxfId="14385" priority="6473" stopIfTrue="1" operator="equal">
      <formula>"Napkin Hs"</formula>
    </cfRule>
    <cfRule type="cellIs" dxfId="14384" priority="6478" stopIfTrue="1" operator="equal">
      <formula>"Towel"</formula>
    </cfRule>
    <cfRule type="cellIs" dxfId="14383" priority="6479" stopIfTrue="1" operator="equal">
      <formula>"Napkin Hs"</formula>
    </cfRule>
    <cfRule type="cellIs" dxfId="14382" priority="6484" stopIfTrue="1" operator="equal">
      <formula>"Towel"</formula>
    </cfRule>
    <cfRule type="cellIs" dxfId="14381" priority="6485" stopIfTrue="1" operator="equal">
      <formula>"Napkin Hs"</formula>
    </cfRule>
    <cfRule type="cellIs" dxfId="14380" priority="6490" stopIfTrue="1" operator="equal">
      <formula>"Towel"</formula>
    </cfRule>
    <cfRule type="cellIs" dxfId="14379" priority="6491" stopIfTrue="1" operator="equal">
      <formula>"Napkin Hs"</formula>
    </cfRule>
  </conditionalFormatting>
  <conditionalFormatting sqref="B66:C66">
    <cfRule type="cellIs" dxfId="14378" priority="6494" stopIfTrue="1" operator="equal">
      <formula>"Towel"</formula>
    </cfRule>
    <cfRule type="cellIs" dxfId="14377" priority="6495" stopIfTrue="1" operator="equal">
      <formula>"Napkin Hs"</formula>
    </cfRule>
  </conditionalFormatting>
  <conditionalFormatting sqref="B69:C69">
    <cfRule type="cellIs" dxfId="14376" priority="6766" stopIfTrue="1" operator="equal">
      <formula>"Towel"</formula>
    </cfRule>
    <cfRule type="cellIs" dxfId="14375" priority="6767" stopIfTrue="1" operator="equal">
      <formula>"Napkin Hs"</formula>
    </cfRule>
    <cfRule type="cellIs" dxfId="14374" priority="6772" stopIfTrue="1" operator="equal">
      <formula>"Towel"</formula>
    </cfRule>
    <cfRule type="cellIs" dxfId="14373" priority="6773" stopIfTrue="1" operator="equal">
      <formula>"Napkin Hs"</formula>
    </cfRule>
    <cfRule type="cellIs" dxfId="14372" priority="6778" stopIfTrue="1" operator="equal">
      <formula>"Towel"</formula>
    </cfRule>
    <cfRule type="cellIs" dxfId="14371" priority="6779" stopIfTrue="1" operator="equal">
      <formula>"Napkin Hs"</formula>
    </cfRule>
    <cfRule type="cellIs" dxfId="14370" priority="6784" stopIfTrue="1" operator="equal">
      <formula>"Towel"</formula>
    </cfRule>
    <cfRule type="cellIs" dxfId="14369" priority="6785" stopIfTrue="1" operator="equal">
      <formula>"Napkin Hs"</formula>
    </cfRule>
    <cfRule type="cellIs" dxfId="14368" priority="6790" stopIfTrue="1" operator="equal">
      <formula>"Towel"</formula>
    </cfRule>
    <cfRule type="cellIs" dxfId="14367" priority="6791" stopIfTrue="1" operator="equal">
      <formula>"Napkin Hs"</formula>
    </cfRule>
    <cfRule type="cellIs" dxfId="14366" priority="6800" stopIfTrue="1" operator="equal">
      <formula>"Towel"</formula>
    </cfRule>
    <cfRule type="cellIs" dxfId="14365" priority="6801" stopIfTrue="1" operator="equal">
      <formula>"Napkin Hs"</formula>
    </cfRule>
    <cfRule type="cellIs" dxfId="14364" priority="10820" stopIfTrue="1" operator="equal">
      <formula>"Towel"</formula>
    </cfRule>
    <cfRule type="cellIs" dxfId="14363" priority="10821" stopIfTrue="1" operator="equal">
      <formula>"Napkin Hs"</formula>
    </cfRule>
    <cfRule type="cellIs" dxfId="14362" priority="10826" stopIfTrue="1" operator="equal">
      <formula>"Towel"</formula>
    </cfRule>
    <cfRule type="cellIs" dxfId="14361" priority="10827" stopIfTrue="1" operator="equal">
      <formula>"Napkin Hs"</formula>
    </cfRule>
    <cfRule type="cellIs" dxfId="14360" priority="10832" stopIfTrue="1" operator="equal">
      <formula>"Towel"</formula>
    </cfRule>
    <cfRule type="cellIs" dxfId="14359" priority="10833" stopIfTrue="1" operator="equal">
      <formula>"Napkin Hs"</formula>
    </cfRule>
    <cfRule type="cellIs" dxfId="14358" priority="10838" stopIfTrue="1" operator="equal">
      <formula>"Towel"</formula>
    </cfRule>
    <cfRule type="cellIs" dxfId="14357" priority="10839" stopIfTrue="1" operator="equal">
      <formula>"Napkin Hs"</formula>
    </cfRule>
    <cfRule type="cellIs" dxfId="14356" priority="10844" stopIfTrue="1" operator="equal">
      <formula>"Towel"</formula>
    </cfRule>
    <cfRule type="cellIs" dxfId="14355" priority="10845" stopIfTrue="1" operator="equal">
      <formula>"Napkin Hs"</formula>
    </cfRule>
    <cfRule type="cellIs" dxfId="14354" priority="10854" stopIfTrue="1" operator="equal">
      <formula>"Towel"</formula>
    </cfRule>
    <cfRule type="cellIs" dxfId="14353" priority="10855" stopIfTrue="1" operator="equal">
      <formula>"Napkin Hs"</formula>
    </cfRule>
  </conditionalFormatting>
  <conditionalFormatting sqref="B70:C70">
    <cfRule type="cellIs" dxfId="14352" priority="6104" stopIfTrue="1" operator="equal">
      <formula>"Towel"</formula>
    </cfRule>
    <cfRule type="cellIs" dxfId="14351" priority="6105" stopIfTrue="1" operator="equal">
      <formula>"Napkin Hs"</formula>
    </cfRule>
  </conditionalFormatting>
  <conditionalFormatting sqref="B71:C71">
    <cfRule type="cellIs" dxfId="14350" priority="6070" stopIfTrue="1" operator="equal">
      <formula>"Towel"</formula>
    </cfRule>
    <cfRule type="cellIs" dxfId="14349" priority="6071" stopIfTrue="1" operator="equal">
      <formula>"Napkin Hs"</formula>
    </cfRule>
    <cfRule type="cellIs" dxfId="14348" priority="6076" stopIfTrue="1" operator="equal">
      <formula>"Towel"</formula>
    </cfRule>
    <cfRule type="cellIs" dxfId="14347" priority="6077" stopIfTrue="1" operator="equal">
      <formula>"Napkin Hs"</formula>
    </cfRule>
    <cfRule type="cellIs" dxfId="14346" priority="6082" stopIfTrue="1" operator="equal">
      <formula>"Towel"</formula>
    </cfRule>
    <cfRule type="cellIs" dxfId="14345" priority="6083" stopIfTrue="1" operator="equal">
      <formula>"Napkin Hs"</formula>
    </cfRule>
    <cfRule type="cellIs" dxfId="14344" priority="6088" stopIfTrue="1" operator="equal">
      <formula>"Towel"</formula>
    </cfRule>
    <cfRule type="cellIs" dxfId="14343" priority="6089" stopIfTrue="1" operator="equal">
      <formula>"Napkin Hs"</formula>
    </cfRule>
    <cfRule type="cellIs" dxfId="14342" priority="6094" stopIfTrue="1" operator="equal">
      <formula>"Towel"</formula>
    </cfRule>
    <cfRule type="cellIs" dxfId="14341" priority="6095" stopIfTrue="1" operator="equal">
      <formula>"Napkin Hs"</formula>
    </cfRule>
    <cfRule type="cellIs" dxfId="14340" priority="6100" stopIfTrue="1" operator="equal">
      <formula>"Towel"</formula>
    </cfRule>
    <cfRule type="cellIs" dxfId="14339" priority="6101" stopIfTrue="1" operator="equal">
      <formula>"Napkin Hs"</formula>
    </cfRule>
  </conditionalFormatting>
  <conditionalFormatting sqref="B72:C73">
    <cfRule type="cellIs" dxfId="14338" priority="6192" stopIfTrue="1" operator="equal">
      <formula>"Towel"</formula>
    </cfRule>
    <cfRule type="cellIs" dxfId="14337" priority="6193" stopIfTrue="1" operator="equal">
      <formula>"Napkin Hs"</formula>
    </cfRule>
    <cfRule type="cellIs" dxfId="14336" priority="6210" stopIfTrue="1" operator="equal">
      <formula>"Towel"</formula>
    </cfRule>
    <cfRule type="cellIs" dxfId="14335" priority="6211" stopIfTrue="1" operator="equal">
      <formula>"Napkin Hs"</formula>
    </cfRule>
    <cfRule type="cellIs" dxfId="14334" priority="6216" stopIfTrue="1" operator="equal">
      <formula>"Towel"</formula>
    </cfRule>
    <cfRule type="cellIs" dxfId="14333" priority="6217" stopIfTrue="1" operator="equal">
      <formula>"Napkin Hs"</formula>
    </cfRule>
    <cfRule type="cellIs" dxfId="14332" priority="6222" stopIfTrue="1" operator="equal">
      <formula>"Towel"</formula>
    </cfRule>
    <cfRule type="cellIs" dxfId="14331" priority="6223" stopIfTrue="1" operator="equal">
      <formula>"Napkin Hs"</formula>
    </cfRule>
    <cfRule type="cellIs" dxfId="14330" priority="6228" stopIfTrue="1" operator="equal">
      <formula>"Towel"</formula>
    </cfRule>
    <cfRule type="cellIs" dxfId="14329" priority="6229" stopIfTrue="1" operator="equal">
      <formula>"Napkin Hs"</formula>
    </cfRule>
    <cfRule type="cellIs" dxfId="14328" priority="6234" stopIfTrue="1" operator="equal">
      <formula>"Towel"</formula>
    </cfRule>
    <cfRule type="cellIs" dxfId="14327" priority="6235" stopIfTrue="1" operator="equal">
      <formula>"Napkin Hs"</formula>
    </cfRule>
    <cfRule type="cellIs" dxfId="14326" priority="6240" stopIfTrue="1" operator="equal">
      <formula>"Towel"</formula>
    </cfRule>
    <cfRule type="cellIs" dxfId="14325" priority="6241" stopIfTrue="1" operator="equal">
      <formula>"Napkin Hs"</formula>
    </cfRule>
    <cfRule type="cellIs" dxfId="14324" priority="6246" stopIfTrue="1" operator="equal">
      <formula>"Towel"</formula>
    </cfRule>
    <cfRule type="cellIs" dxfId="14323" priority="6247" stopIfTrue="1" operator="equal">
      <formula>"Napkin Hs"</formula>
    </cfRule>
  </conditionalFormatting>
  <conditionalFormatting sqref="B74:C74">
    <cfRule type="cellIs" dxfId="14322" priority="10690" stopIfTrue="1" operator="equal">
      <formula>"Towel"</formula>
    </cfRule>
    <cfRule type="cellIs" dxfId="14321" priority="10691" stopIfTrue="1" operator="equal">
      <formula>"Napkin Hs"</formula>
    </cfRule>
    <cfRule type="cellIs" dxfId="14320" priority="10696" stopIfTrue="1" operator="equal">
      <formula>"Towel"</formula>
    </cfRule>
    <cfRule type="cellIs" dxfId="14319" priority="10697" stopIfTrue="1" operator="equal">
      <formula>"Napkin Hs"</formula>
    </cfRule>
    <cfRule type="cellIs" dxfId="14318" priority="10702" stopIfTrue="1" operator="equal">
      <formula>"Towel"</formula>
    </cfRule>
    <cfRule type="cellIs" dxfId="14317" priority="10703" stopIfTrue="1" operator="equal">
      <formula>"Napkin Hs"</formula>
    </cfRule>
    <cfRule type="cellIs" dxfId="14316" priority="10708" stopIfTrue="1" operator="equal">
      <formula>"Towel"</formula>
    </cfRule>
    <cfRule type="cellIs" dxfId="14315" priority="10709" stopIfTrue="1" operator="equal">
      <formula>"Napkin Hs"</formula>
    </cfRule>
    <cfRule type="cellIs" dxfId="14314" priority="10714" stopIfTrue="1" operator="equal">
      <formula>"Towel"</formula>
    </cfRule>
    <cfRule type="cellIs" dxfId="14313" priority="10715" stopIfTrue="1" operator="equal">
      <formula>"Napkin Hs"</formula>
    </cfRule>
    <cfRule type="cellIs" dxfId="14312" priority="10724" stopIfTrue="1" operator="equal">
      <formula>"Towel"</formula>
    </cfRule>
    <cfRule type="cellIs" dxfId="14311" priority="10725" stopIfTrue="1" operator="equal">
      <formula>"Napkin Hs"</formula>
    </cfRule>
  </conditionalFormatting>
  <conditionalFormatting sqref="B75:C75">
    <cfRule type="cellIs" dxfId="14310" priority="5934" stopIfTrue="1" operator="equal">
      <formula>"Towel"</formula>
    </cfRule>
    <cfRule type="cellIs" dxfId="14309" priority="5935" stopIfTrue="1" operator="equal">
      <formula>"Napkin Hs"</formula>
    </cfRule>
    <cfRule type="cellIs" dxfId="14308" priority="5940" stopIfTrue="1" operator="equal">
      <formula>"Towel"</formula>
    </cfRule>
    <cfRule type="cellIs" dxfId="14307" priority="5941" stopIfTrue="1" operator="equal">
      <formula>"Napkin Hs"</formula>
    </cfRule>
    <cfRule type="cellIs" dxfId="14306" priority="5946" stopIfTrue="1" operator="equal">
      <formula>"Towel"</formula>
    </cfRule>
    <cfRule type="cellIs" dxfId="14305" priority="5947" stopIfTrue="1" operator="equal">
      <formula>"Napkin Hs"</formula>
    </cfRule>
    <cfRule type="cellIs" dxfId="14304" priority="5952" stopIfTrue="1" operator="equal">
      <formula>"Towel"</formula>
    </cfRule>
    <cfRule type="cellIs" dxfId="14303" priority="5953" stopIfTrue="1" operator="equal">
      <formula>"Napkin Hs"</formula>
    </cfRule>
    <cfRule type="cellIs" dxfId="14302" priority="5958" stopIfTrue="1" operator="equal">
      <formula>"Towel"</formula>
    </cfRule>
    <cfRule type="cellIs" dxfId="14301" priority="5959" stopIfTrue="1" operator="equal">
      <formula>"Napkin Hs"</formula>
    </cfRule>
    <cfRule type="cellIs" dxfId="14300" priority="5964" stopIfTrue="1" operator="equal">
      <formula>"Towel"</formula>
    </cfRule>
    <cfRule type="cellIs" dxfId="14299" priority="5965" stopIfTrue="1" operator="equal">
      <formula>"Napkin Hs"</formula>
    </cfRule>
  </conditionalFormatting>
  <conditionalFormatting sqref="B76:C76">
    <cfRule type="cellIs" dxfId="14298" priority="5970" stopIfTrue="1" operator="equal">
      <formula>"Towel"</formula>
    </cfRule>
    <cfRule type="cellIs" dxfId="14297" priority="5971" stopIfTrue="1" operator="equal">
      <formula>"Napkin Hs"</formula>
    </cfRule>
    <cfRule type="cellIs" dxfId="14296" priority="5976" stopIfTrue="1" operator="equal">
      <formula>"Towel"</formula>
    </cfRule>
    <cfRule type="cellIs" dxfId="14295" priority="5977" stopIfTrue="1" operator="equal">
      <formula>"Napkin Hs"</formula>
    </cfRule>
    <cfRule type="cellIs" dxfId="14294" priority="5982" stopIfTrue="1" operator="equal">
      <formula>"Towel"</formula>
    </cfRule>
    <cfRule type="cellIs" dxfId="14293" priority="5983" stopIfTrue="1" operator="equal">
      <formula>"Napkin Hs"</formula>
    </cfRule>
    <cfRule type="cellIs" dxfId="14292" priority="5988" stopIfTrue="1" operator="equal">
      <formula>"Towel"</formula>
    </cfRule>
    <cfRule type="cellIs" dxfId="14291" priority="5989" stopIfTrue="1" operator="equal">
      <formula>"Napkin Hs"</formula>
    </cfRule>
    <cfRule type="cellIs" dxfId="14290" priority="5994" stopIfTrue="1" operator="equal">
      <formula>"Towel"</formula>
    </cfRule>
    <cfRule type="cellIs" dxfId="14289" priority="5995" stopIfTrue="1" operator="equal">
      <formula>"Napkin Hs"</formula>
    </cfRule>
    <cfRule type="cellIs" dxfId="14288" priority="6000" stopIfTrue="1" operator="equal">
      <formula>"Towel"</formula>
    </cfRule>
    <cfRule type="cellIs" dxfId="14287" priority="6001" stopIfTrue="1" operator="equal">
      <formula>"Napkin Hs"</formula>
    </cfRule>
  </conditionalFormatting>
  <conditionalFormatting sqref="B77:C78">
    <cfRule type="cellIs" dxfId="14286" priority="6010" stopIfTrue="1" operator="equal">
      <formula>"Towel"</formula>
    </cfRule>
    <cfRule type="cellIs" dxfId="14285" priority="6011" stopIfTrue="1" operator="equal">
      <formula>"Napkin Hs"</formula>
    </cfRule>
    <cfRule type="cellIs" dxfId="14284" priority="6028" stopIfTrue="1" operator="equal">
      <formula>"Towel"</formula>
    </cfRule>
    <cfRule type="cellIs" dxfId="14283" priority="6029" stopIfTrue="1" operator="equal">
      <formula>"Napkin Hs"</formula>
    </cfRule>
    <cfRule type="cellIs" dxfId="14282" priority="6034" stopIfTrue="1" operator="equal">
      <formula>"Towel"</formula>
    </cfRule>
    <cfRule type="cellIs" dxfId="14281" priority="6035" stopIfTrue="1" operator="equal">
      <formula>"Napkin Hs"</formula>
    </cfRule>
    <cfRule type="cellIs" dxfId="14280" priority="6040" stopIfTrue="1" operator="equal">
      <formula>"Towel"</formula>
    </cfRule>
    <cfRule type="cellIs" dxfId="14279" priority="6041" stopIfTrue="1" operator="equal">
      <formula>"Napkin Hs"</formula>
    </cfRule>
    <cfRule type="cellIs" dxfId="14278" priority="6046" stopIfTrue="1" operator="equal">
      <formula>"Towel"</formula>
    </cfRule>
    <cfRule type="cellIs" dxfId="14277" priority="6047" stopIfTrue="1" operator="equal">
      <formula>"Napkin Hs"</formula>
    </cfRule>
    <cfRule type="cellIs" dxfId="14276" priority="6052" stopIfTrue="1" operator="equal">
      <formula>"Towel"</formula>
    </cfRule>
    <cfRule type="cellIs" dxfId="14275" priority="6053" stopIfTrue="1" operator="equal">
      <formula>"Napkin Hs"</formula>
    </cfRule>
    <cfRule type="cellIs" dxfId="14274" priority="6058" stopIfTrue="1" operator="equal">
      <formula>"Towel"</formula>
    </cfRule>
    <cfRule type="cellIs" dxfId="14273" priority="6059" stopIfTrue="1" operator="equal">
      <formula>"Napkin Hs"</formula>
    </cfRule>
    <cfRule type="cellIs" dxfId="14272" priority="6064" stopIfTrue="1" operator="equal">
      <formula>"Towel"</formula>
    </cfRule>
    <cfRule type="cellIs" dxfId="14271" priority="6065" stopIfTrue="1" operator="equal">
      <formula>"Napkin Hs"</formula>
    </cfRule>
  </conditionalFormatting>
  <conditionalFormatting sqref="B79:C79">
    <cfRule type="cellIs" dxfId="14270" priority="5768" stopIfTrue="1" operator="equal">
      <formula>"Towel"</formula>
    </cfRule>
    <cfRule type="cellIs" dxfId="14269" priority="5769" stopIfTrue="1" operator="equal">
      <formula>"Napkin Hs"</formula>
    </cfRule>
    <cfRule type="cellIs" dxfId="14268" priority="5774" stopIfTrue="1" operator="equal">
      <formula>"Towel"</formula>
    </cfRule>
    <cfRule type="cellIs" dxfId="14267" priority="5775" stopIfTrue="1" operator="equal">
      <formula>"Napkin Hs"</formula>
    </cfRule>
    <cfRule type="cellIs" dxfId="14266" priority="5780" stopIfTrue="1" operator="equal">
      <formula>"Towel"</formula>
    </cfRule>
    <cfRule type="cellIs" dxfId="14265" priority="5781" stopIfTrue="1" operator="equal">
      <formula>"Napkin Hs"</formula>
    </cfRule>
    <cfRule type="cellIs" dxfId="14264" priority="5786" stopIfTrue="1" operator="equal">
      <formula>"Towel"</formula>
    </cfRule>
    <cfRule type="cellIs" dxfId="14263" priority="5787" stopIfTrue="1" operator="equal">
      <formula>"Napkin Hs"</formula>
    </cfRule>
    <cfRule type="cellIs" dxfId="14262" priority="5792" stopIfTrue="1" operator="equal">
      <formula>"Towel"</formula>
    </cfRule>
    <cfRule type="cellIs" dxfId="14261" priority="5793" stopIfTrue="1" operator="equal">
      <formula>"Napkin Hs"</formula>
    </cfRule>
    <cfRule type="cellIs" dxfId="14260" priority="5798" stopIfTrue="1" operator="equal">
      <formula>"Towel"</formula>
    </cfRule>
    <cfRule type="cellIs" dxfId="14259" priority="5799" stopIfTrue="1" operator="equal">
      <formula>"Napkin Hs"</formula>
    </cfRule>
  </conditionalFormatting>
  <conditionalFormatting sqref="B80:C80">
    <cfRule type="cellIs" dxfId="14258" priority="5840" stopIfTrue="1" operator="equal">
      <formula>"Towel"</formula>
    </cfRule>
    <cfRule type="cellIs" dxfId="14257" priority="5841" stopIfTrue="1" operator="equal">
      <formula>"Napkin Hs"</formula>
    </cfRule>
    <cfRule type="cellIs" dxfId="14256" priority="5846" stopIfTrue="1" operator="equal">
      <formula>"Towel"</formula>
    </cfRule>
    <cfRule type="cellIs" dxfId="14255" priority="5847" stopIfTrue="1" operator="equal">
      <formula>"Napkin Hs"</formula>
    </cfRule>
    <cfRule type="cellIs" dxfId="14254" priority="5852" stopIfTrue="1" operator="equal">
      <formula>"Towel"</formula>
    </cfRule>
    <cfRule type="cellIs" dxfId="14253" priority="5853" stopIfTrue="1" operator="equal">
      <formula>"Napkin Hs"</formula>
    </cfRule>
    <cfRule type="cellIs" dxfId="14252" priority="5858" stopIfTrue="1" operator="equal">
      <formula>"Towel"</formula>
    </cfRule>
    <cfRule type="cellIs" dxfId="14251" priority="5859" stopIfTrue="1" operator="equal">
      <formula>"Napkin Hs"</formula>
    </cfRule>
    <cfRule type="cellIs" dxfId="14250" priority="5864" stopIfTrue="1" operator="equal">
      <formula>"Towel"</formula>
    </cfRule>
    <cfRule type="cellIs" dxfId="14249" priority="5865" stopIfTrue="1" operator="equal">
      <formula>"Napkin Hs"</formula>
    </cfRule>
    <cfRule type="cellIs" dxfId="14248" priority="5870" stopIfTrue="1" operator="equal">
      <formula>"Towel"</formula>
    </cfRule>
    <cfRule type="cellIs" dxfId="14247" priority="5871" stopIfTrue="1" operator="equal">
      <formula>"Napkin Hs"</formula>
    </cfRule>
  </conditionalFormatting>
  <conditionalFormatting sqref="B81:C81">
    <cfRule type="cellIs" dxfId="14246" priority="5874" stopIfTrue="1" operator="equal">
      <formula>"Towel"</formula>
    </cfRule>
    <cfRule type="cellIs" dxfId="14245" priority="5875" stopIfTrue="1" operator="equal">
      <formula>"Napkin Hs"</formula>
    </cfRule>
    <cfRule type="cellIs" dxfId="14244" priority="5892" stopIfTrue="1" operator="equal">
      <formula>"Towel"</formula>
    </cfRule>
    <cfRule type="cellIs" dxfId="14243" priority="5893" stopIfTrue="1" operator="equal">
      <formula>"Napkin Hs"</formula>
    </cfRule>
    <cfRule type="cellIs" dxfId="14242" priority="5898" stopIfTrue="1" operator="equal">
      <formula>"Towel"</formula>
    </cfRule>
    <cfRule type="cellIs" dxfId="14241" priority="5899" stopIfTrue="1" operator="equal">
      <formula>"Napkin Hs"</formula>
    </cfRule>
    <cfRule type="cellIs" dxfId="14240" priority="5904" stopIfTrue="1" operator="equal">
      <formula>"Towel"</formula>
    </cfRule>
    <cfRule type="cellIs" dxfId="14239" priority="5905" stopIfTrue="1" operator="equal">
      <formula>"Napkin Hs"</formula>
    </cfRule>
    <cfRule type="cellIs" dxfId="14238" priority="5910" stopIfTrue="1" operator="equal">
      <formula>"Towel"</formula>
    </cfRule>
    <cfRule type="cellIs" dxfId="14237" priority="5911" stopIfTrue="1" operator="equal">
      <formula>"Napkin Hs"</formula>
    </cfRule>
    <cfRule type="cellIs" dxfId="14236" priority="5916" stopIfTrue="1" operator="equal">
      <formula>"Towel"</formula>
    </cfRule>
    <cfRule type="cellIs" dxfId="14235" priority="5917" stopIfTrue="1" operator="equal">
      <formula>"Napkin Hs"</formula>
    </cfRule>
    <cfRule type="cellIs" dxfId="14234" priority="5922" stopIfTrue="1" operator="equal">
      <formula>"Towel"</formula>
    </cfRule>
    <cfRule type="cellIs" dxfId="14233" priority="5923" stopIfTrue="1" operator="equal">
      <formula>"Napkin Hs"</formula>
    </cfRule>
    <cfRule type="cellIs" dxfId="14232" priority="5928" stopIfTrue="1" operator="equal">
      <formula>"Towel"</formula>
    </cfRule>
    <cfRule type="cellIs" dxfId="14231" priority="5929" stopIfTrue="1" operator="equal">
      <formula>"Napkin Hs"</formula>
    </cfRule>
  </conditionalFormatting>
  <conditionalFormatting sqref="B82:C82">
    <cfRule type="cellIs" dxfId="14230" priority="5586" stopIfTrue="1" operator="equal">
      <formula>"Towel"</formula>
    </cfRule>
    <cfRule type="cellIs" dxfId="14229" priority="5587" stopIfTrue="1" operator="equal">
      <formula>"Napkin Hs"</formula>
    </cfRule>
    <cfRule type="cellIs" dxfId="14228" priority="5592" stopIfTrue="1" operator="equal">
      <formula>"Towel"</formula>
    </cfRule>
    <cfRule type="cellIs" dxfId="14227" priority="5593" stopIfTrue="1" operator="equal">
      <formula>"Napkin Hs"</formula>
    </cfRule>
    <cfRule type="cellIs" dxfId="14226" priority="5598" stopIfTrue="1" operator="equal">
      <formula>"Towel"</formula>
    </cfRule>
    <cfRule type="cellIs" dxfId="14225" priority="5599" stopIfTrue="1" operator="equal">
      <formula>"Napkin Hs"</formula>
    </cfRule>
    <cfRule type="cellIs" dxfId="14224" priority="5604" stopIfTrue="1" operator="equal">
      <formula>"Towel"</formula>
    </cfRule>
    <cfRule type="cellIs" dxfId="14223" priority="5605" stopIfTrue="1" operator="equal">
      <formula>"Napkin Hs"</formula>
    </cfRule>
    <cfRule type="cellIs" dxfId="14222" priority="5610" stopIfTrue="1" operator="equal">
      <formula>"Towel"</formula>
    </cfRule>
    <cfRule type="cellIs" dxfId="14221" priority="5611" stopIfTrue="1" operator="equal">
      <formula>"Napkin Hs"</formula>
    </cfRule>
    <cfRule type="cellIs" dxfId="14220" priority="5616" stopIfTrue="1" operator="equal">
      <formula>"Towel"</formula>
    </cfRule>
    <cfRule type="cellIs" dxfId="14219" priority="5617" stopIfTrue="1" operator="equal">
      <formula>"Napkin Hs"</formula>
    </cfRule>
    <cfRule type="cellIs" dxfId="14218" priority="5620" stopIfTrue="1" operator="equal">
      <formula>"Towel"</formula>
    </cfRule>
    <cfRule type="cellIs" dxfId="14217" priority="5621" stopIfTrue="1" operator="equal">
      <formula>"Napkin Hs"</formula>
    </cfRule>
  </conditionalFormatting>
  <conditionalFormatting sqref="B83:C83">
    <cfRule type="cellIs" dxfId="14216" priority="5504" stopIfTrue="1" operator="equal">
      <formula>"Towel"</formula>
    </cfRule>
    <cfRule type="cellIs" dxfId="14215" priority="5505" stopIfTrue="1" operator="equal">
      <formula>"Napkin Hs"</formula>
    </cfRule>
    <cfRule type="cellIs" dxfId="14214" priority="5510" stopIfTrue="1" operator="equal">
      <formula>"Towel"</formula>
    </cfRule>
    <cfRule type="cellIs" dxfId="14213" priority="5511" stopIfTrue="1" operator="equal">
      <formula>"Napkin Hs"</formula>
    </cfRule>
    <cfRule type="cellIs" dxfId="14212" priority="5516" stopIfTrue="1" operator="equal">
      <formula>"Towel"</formula>
    </cfRule>
    <cfRule type="cellIs" dxfId="14211" priority="5517" stopIfTrue="1" operator="equal">
      <formula>"Napkin Hs"</formula>
    </cfRule>
    <cfRule type="cellIs" dxfId="14210" priority="5522" stopIfTrue="1" operator="equal">
      <formula>"Towel"</formula>
    </cfRule>
    <cfRule type="cellIs" dxfId="14209" priority="5523" stopIfTrue="1" operator="equal">
      <formula>"Napkin Hs"</formula>
    </cfRule>
    <cfRule type="cellIs" dxfId="14208" priority="5528" stopIfTrue="1" operator="equal">
      <formula>"Towel"</formula>
    </cfRule>
    <cfRule type="cellIs" dxfId="14207" priority="5529" stopIfTrue="1" operator="equal">
      <formula>"Napkin Hs"</formula>
    </cfRule>
    <cfRule type="cellIs" dxfId="14206" priority="5534" stopIfTrue="1" operator="equal">
      <formula>"Towel"</formula>
    </cfRule>
    <cfRule type="cellIs" dxfId="14205" priority="5535" stopIfTrue="1" operator="equal">
      <formula>"Napkin Hs"</formula>
    </cfRule>
    <cfRule type="cellIs" dxfId="14204" priority="5538" stopIfTrue="1" operator="equal">
      <formula>"Towel"</formula>
    </cfRule>
    <cfRule type="cellIs" dxfId="14203" priority="5539" stopIfTrue="1" operator="equal">
      <formula>"Napkin Hs"</formula>
    </cfRule>
    <cfRule type="cellIs" dxfId="14202" priority="5628" stopIfTrue="1" operator="equal">
      <formula>"Towel"</formula>
    </cfRule>
    <cfRule type="cellIs" dxfId="14201" priority="5629" stopIfTrue="1" operator="equal">
      <formula>"Napkin Hs"</formula>
    </cfRule>
    <cfRule type="cellIs" dxfId="14200" priority="5634" stopIfTrue="1" operator="equal">
      <formula>"Towel"</formula>
    </cfRule>
    <cfRule type="cellIs" dxfId="14199" priority="5635" stopIfTrue="1" operator="equal">
      <formula>"Napkin Hs"</formula>
    </cfRule>
    <cfRule type="cellIs" dxfId="14198" priority="5640" stopIfTrue="1" operator="equal">
      <formula>"Towel"</formula>
    </cfRule>
    <cfRule type="cellIs" dxfId="14197" priority="5641" stopIfTrue="1" operator="equal">
      <formula>"Napkin Hs"</formula>
    </cfRule>
    <cfRule type="cellIs" dxfId="14196" priority="5646" stopIfTrue="1" operator="equal">
      <formula>"Towel"</formula>
    </cfRule>
    <cfRule type="cellIs" dxfId="14195" priority="5647" stopIfTrue="1" operator="equal">
      <formula>"Napkin Hs"</formula>
    </cfRule>
    <cfRule type="cellIs" dxfId="14194" priority="5652" stopIfTrue="1" operator="equal">
      <formula>"Towel"</formula>
    </cfRule>
    <cfRule type="cellIs" dxfId="14193" priority="5653" stopIfTrue="1" operator="equal">
      <formula>"Napkin Hs"</formula>
    </cfRule>
    <cfRule type="cellIs" dxfId="14192" priority="5658" stopIfTrue="1" operator="equal">
      <formula>"Towel"</formula>
    </cfRule>
    <cfRule type="cellIs" dxfId="14191" priority="5659" stopIfTrue="1" operator="equal">
      <formula>"Napkin Hs"</formula>
    </cfRule>
    <cfRule type="cellIs" dxfId="14190" priority="12160" stopIfTrue="1" operator="equal">
      <formula>"Towel"</formula>
    </cfRule>
    <cfRule type="cellIs" dxfId="14189" priority="12161" stopIfTrue="1" operator="equal">
      <formula>"Napkin Hs"</formula>
    </cfRule>
  </conditionalFormatting>
  <conditionalFormatting sqref="B84:C84">
    <cfRule type="cellIs" dxfId="14188" priority="5546" stopIfTrue="1" operator="equal">
      <formula>"Towel"</formula>
    </cfRule>
    <cfRule type="cellIs" dxfId="14187" priority="5547" stopIfTrue="1" operator="equal">
      <formula>"Napkin Hs"</formula>
    </cfRule>
    <cfRule type="cellIs" dxfId="14186" priority="5552" stopIfTrue="1" operator="equal">
      <formula>"Towel"</formula>
    </cfRule>
    <cfRule type="cellIs" dxfId="14185" priority="5553" stopIfTrue="1" operator="equal">
      <formula>"Napkin Hs"</formula>
    </cfRule>
    <cfRule type="cellIs" dxfId="14184" priority="5558" stopIfTrue="1" operator="equal">
      <formula>"Towel"</formula>
    </cfRule>
    <cfRule type="cellIs" dxfId="14183" priority="5559" stopIfTrue="1" operator="equal">
      <formula>"Napkin Hs"</formula>
    </cfRule>
    <cfRule type="cellIs" dxfId="14182" priority="5564" stopIfTrue="1" operator="equal">
      <formula>"Towel"</formula>
    </cfRule>
    <cfRule type="cellIs" dxfId="14181" priority="5565" stopIfTrue="1" operator="equal">
      <formula>"Napkin Hs"</formula>
    </cfRule>
    <cfRule type="cellIs" dxfId="14180" priority="5570" stopIfTrue="1" operator="equal">
      <formula>"Towel"</formula>
    </cfRule>
    <cfRule type="cellIs" dxfId="14179" priority="5571" stopIfTrue="1" operator="equal">
      <formula>"Napkin Hs"</formula>
    </cfRule>
    <cfRule type="cellIs" dxfId="14178" priority="5576" stopIfTrue="1" operator="equal">
      <formula>"Towel"</formula>
    </cfRule>
    <cfRule type="cellIs" dxfId="14177" priority="5577" stopIfTrue="1" operator="equal">
      <formula>"Napkin Hs"</formula>
    </cfRule>
    <cfRule type="cellIs" dxfId="14176" priority="5580" stopIfTrue="1" operator="equal">
      <formula>"Towel"</formula>
    </cfRule>
    <cfRule type="cellIs" dxfId="14175" priority="5581" stopIfTrue="1" operator="equal">
      <formula>"Napkin Hs"</formula>
    </cfRule>
    <cfRule type="cellIs" dxfId="14174" priority="5664" stopIfTrue="1" operator="equal">
      <formula>"Towel"</formula>
    </cfRule>
    <cfRule type="cellIs" dxfId="14173" priority="5665" stopIfTrue="1" operator="equal">
      <formula>"Napkin Hs"</formula>
    </cfRule>
    <cfRule type="cellIs" dxfId="14172" priority="5670" stopIfTrue="1" operator="equal">
      <formula>"Towel"</formula>
    </cfRule>
    <cfRule type="cellIs" dxfId="14171" priority="5671" stopIfTrue="1" operator="equal">
      <formula>"Napkin Hs"</formula>
    </cfRule>
    <cfRule type="cellIs" dxfId="14170" priority="5676" stopIfTrue="1" operator="equal">
      <formula>"Towel"</formula>
    </cfRule>
    <cfRule type="cellIs" dxfId="14169" priority="5677" stopIfTrue="1" operator="equal">
      <formula>"Napkin Hs"</formula>
    </cfRule>
    <cfRule type="cellIs" dxfId="14168" priority="5682" stopIfTrue="1" operator="equal">
      <formula>"Towel"</formula>
    </cfRule>
    <cfRule type="cellIs" dxfId="14167" priority="5683" stopIfTrue="1" operator="equal">
      <formula>"Napkin Hs"</formula>
    </cfRule>
    <cfRule type="cellIs" dxfId="14166" priority="5688" stopIfTrue="1" operator="equal">
      <formula>"Towel"</formula>
    </cfRule>
    <cfRule type="cellIs" dxfId="14165" priority="5689" stopIfTrue="1" operator="equal">
      <formula>"Napkin Hs"</formula>
    </cfRule>
    <cfRule type="cellIs" dxfId="14164" priority="5694" stopIfTrue="1" operator="equal">
      <formula>"Towel"</formula>
    </cfRule>
    <cfRule type="cellIs" dxfId="14163" priority="5695" stopIfTrue="1" operator="equal">
      <formula>"Napkin Hs"</formula>
    </cfRule>
    <cfRule type="cellIs" dxfId="14162" priority="12153" stopIfTrue="1" operator="equal">
      <formula>"Napkin Hs"</formula>
    </cfRule>
  </conditionalFormatting>
  <conditionalFormatting sqref="B84:C85">
    <cfRule type="cellIs" dxfId="14161" priority="10146" stopIfTrue="1" operator="equal">
      <formula>"Towel"</formula>
    </cfRule>
  </conditionalFormatting>
  <conditionalFormatting sqref="B85:C85">
    <cfRule type="cellIs" dxfId="14160" priority="10104" stopIfTrue="1" operator="equal">
      <formula>"Towel"</formula>
    </cfRule>
    <cfRule type="cellIs" dxfId="14159" priority="10105" stopIfTrue="1" operator="equal">
      <formula>"Napkin Hs"</formula>
    </cfRule>
    <cfRule type="cellIs" dxfId="14158" priority="10110" stopIfTrue="1" operator="equal">
      <formula>"Towel"</formula>
    </cfRule>
    <cfRule type="cellIs" dxfId="14157" priority="10111" stopIfTrue="1" operator="equal">
      <formula>"Napkin Hs"</formula>
    </cfRule>
    <cfRule type="cellIs" dxfId="14156" priority="10116" stopIfTrue="1" operator="equal">
      <formula>"Towel"</formula>
    </cfRule>
    <cfRule type="cellIs" dxfId="14155" priority="10117" stopIfTrue="1" operator="equal">
      <formula>"Napkin Hs"</formula>
    </cfRule>
    <cfRule type="cellIs" dxfId="14154" priority="10122" stopIfTrue="1" operator="equal">
      <formula>"Towel"</formula>
    </cfRule>
    <cfRule type="cellIs" dxfId="14153" priority="10123" stopIfTrue="1" operator="equal">
      <formula>"Napkin Hs"</formula>
    </cfRule>
    <cfRule type="cellIs" dxfId="14152" priority="10128" stopIfTrue="1" operator="equal">
      <formula>"Towel"</formula>
    </cfRule>
    <cfRule type="cellIs" dxfId="14151" priority="10129" stopIfTrue="1" operator="equal">
      <formula>"Napkin Hs"</formula>
    </cfRule>
    <cfRule type="cellIs" dxfId="14150" priority="10134" stopIfTrue="1" operator="equal">
      <formula>"Towel"</formula>
    </cfRule>
    <cfRule type="cellIs" dxfId="14149" priority="10135" stopIfTrue="1" operator="equal">
      <formula>"Napkin Hs"</formula>
    </cfRule>
    <cfRule type="cellIs" dxfId="14148" priority="10140" stopIfTrue="1" operator="equal">
      <formula>"Towel"</formula>
    </cfRule>
    <cfRule type="cellIs" dxfId="14147" priority="10141" stopIfTrue="1" operator="equal">
      <formula>"Napkin Hs"</formula>
    </cfRule>
    <cfRule type="cellIs" dxfId="14146" priority="10147" stopIfTrue="1" operator="equal">
      <formula>"Napkin Hs"</formula>
    </cfRule>
  </conditionalFormatting>
  <conditionalFormatting sqref="B85:C86">
    <cfRule type="cellIs" dxfId="14145" priority="5698" stopIfTrue="1" operator="equal">
      <formula>"Towel"</formula>
    </cfRule>
    <cfRule type="cellIs" dxfId="14144" priority="5699" stopIfTrue="1" operator="equal">
      <formula>"Napkin Hs"</formula>
    </cfRule>
    <cfRule type="cellIs" dxfId="14143" priority="5716" stopIfTrue="1" operator="equal">
      <formula>"Towel"</formula>
    </cfRule>
    <cfRule type="cellIs" dxfId="14142" priority="5717" stopIfTrue="1" operator="equal">
      <formula>"Napkin Hs"</formula>
    </cfRule>
    <cfRule type="cellIs" dxfId="14141" priority="5722" stopIfTrue="1" operator="equal">
      <formula>"Towel"</formula>
    </cfRule>
    <cfRule type="cellIs" dxfId="14140" priority="5723" stopIfTrue="1" operator="equal">
      <formula>"Napkin Hs"</formula>
    </cfRule>
    <cfRule type="cellIs" dxfId="14139" priority="5728" stopIfTrue="1" operator="equal">
      <formula>"Towel"</formula>
    </cfRule>
    <cfRule type="cellIs" dxfId="14138" priority="5729" stopIfTrue="1" operator="equal">
      <formula>"Napkin Hs"</formula>
    </cfRule>
    <cfRule type="cellIs" dxfId="14137" priority="5734" stopIfTrue="1" operator="equal">
      <formula>"Towel"</formula>
    </cfRule>
    <cfRule type="cellIs" dxfId="14136" priority="5735" stopIfTrue="1" operator="equal">
      <formula>"Napkin Hs"</formula>
    </cfRule>
    <cfRule type="cellIs" dxfId="14135" priority="5740" stopIfTrue="1" operator="equal">
      <formula>"Towel"</formula>
    </cfRule>
    <cfRule type="cellIs" dxfId="14134" priority="5741" stopIfTrue="1" operator="equal">
      <formula>"Napkin Hs"</formula>
    </cfRule>
    <cfRule type="cellIs" dxfId="14133" priority="5746" stopIfTrue="1" operator="equal">
      <formula>"Towel"</formula>
    </cfRule>
    <cfRule type="cellIs" dxfId="14132" priority="5747" stopIfTrue="1" operator="equal">
      <formula>"Napkin Hs"</formula>
    </cfRule>
    <cfRule type="cellIs" dxfId="14131" priority="5752" stopIfTrue="1" operator="equal">
      <formula>"Towel"</formula>
    </cfRule>
    <cfRule type="cellIs" dxfId="14130" priority="5753" stopIfTrue="1" operator="equal">
      <formula>"Napkin Hs"</formula>
    </cfRule>
  </conditionalFormatting>
  <conditionalFormatting sqref="B86:C86">
    <cfRule type="cellIs" dxfId="14129" priority="10152" stopIfTrue="1" operator="equal">
      <formula>"Towel"</formula>
    </cfRule>
    <cfRule type="cellIs" dxfId="14128" priority="10153" stopIfTrue="1" operator="equal">
      <formula>"Napkin Hs"</formula>
    </cfRule>
    <cfRule type="cellIs" dxfId="14127" priority="10158" stopIfTrue="1" operator="equal">
      <formula>"Towel"</formula>
    </cfRule>
    <cfRule type="cellIs" dxfId="14126" priority="10159" stopIfTrue="1" operator="equal">
      <formula>"Napkin Hs"</formula>
    </cfRule>
    <cfRule type="cellIs" dxfId="14125" priority="10164" stopIfTrue="1" operator="equal">
      <formula>"Towel"</formula>
    </cfRule>
    <cfRule type="cellIs" dxfId="14124" priority="10165" stopIfTrue="1" operator="equal">
      <formula>"Napkin Hs"</formula>
    </cfRule>
    <cfRule type="cellIs" dxfId="14123" priority="10170" stopIfTrue="1" operator="equal">
      <formula>"Towel"</formula>
    </cfRule>
    <cfRule type="cellIs" dxfId="14122" priority="10171" stopIfTrue="1" operator="equal">
      <formula>"Napkin Hs"</formula>
    </cfRule>
    <cfRule type="cellIs" dxfId="14121" priority="10176" stopIfTrue="1" operator="equal">
      <formula>"Towel"</formula>
    </cfRule>
    <cfRule type="cellIs" dxfId="14120" priority="10177" stopIfTrue="1" operator="equal">
      <formula>"Napkin Hs"</formula>
    </cfRule>
    <cfRule type="cellIs" dxfId="14119" priority="10182" stopIfTrue="1" operator="equal">
      <formula>"Towel"</formula>
    </cfRule>
    <cfRule type="cellIs" dxfId="14118" priority="10183" stopIfTrue="1" operator="equal">
      <formula>"Napkin Hs"</formula>
    </cfRule>
    <cfRule type="cellIs" dxfId="14117" priority="10188" stopIfTrue="1" operator="equal">
      <formula>"Towel"</formula>
    </cfRule>
    <cfRule type="cellIs" dxfId="14116" priority="10189" stopIfTrue="1" operator="equal">
      <formula>"Napkin Hs"</formula>
    </cfRule>
    <cfRule type="cellIs" dxfId="14115" priority="10194" stopIfTrue="1" operator="equal">
      <formula>"Towel"</formula>
    </cfRule>
    <cfRule type="cellIs" dxfId="14114" priority="10195" stopIfTrue="1" operator="equal">
      <formula>"Napkin Hs"</formula>
    </cfRule>
  </conditionalFormatting>
  <conditionalFormatting sqref="B87:C87">
    <cfRule type="cellIs" dxfId="14113" priority="5762" stopIfTrue="1" operator="equal">
      <formula>"Towel"</formula>
    </cfRule>
    <cfRule type="cellIs" dxfId="14112" priority="5763" stopIfTrue="1" operator="equal">
      <formula>"Napkin Hs"</formula>
    </cfRule>
    <cfRule type="cellIs" dxfId="14111" priority="10200" stopIfTrue="1" operator="equal">
      <formula>"Towel"</formula>
    </cfRule>
    <cfRule type="cellIs" dxfId="14110" priority="10201" stopIfTrue="1" operator="equal">
      <formula>"Napkin Hs"</formula>
    </cfRule>
    <cfRule type="cellIs" dxfId="14109" priority="10206" stopIfTrue="1" operator="equal">
      <formula>"Towel"</formula>
    </cfRule>
    <cfRule type="cellIs" dxfId="14108" priority="10207" stopIfTrue="1" operator="equal">
      <formula>"Napkin Hs"</formula>
    </cfRule>
    <cfRule type="cellIs" dxfId="14107" priority="10212" stopIfTrue="1" operator="equal">
      <formula>"Towel"</formula>
    </cfRule>
    <cfRule type="cellIs" dxfId="14106" priority="10213" stopIfTrue="1" operator="equal">
      <formula>"Napkin Hs"</formula>
    </cfRule>
    <cfRule type="cellIs" dxfId="14105" priority="10218" stopIfTrue="1" operator="equal">
      <formula>"Towel"</formula>
    </cfRule>
    <cfRule type="cellIs" dxfId="14104" priority="10219" stopIfTrue="1" operator="equal">
      <formula>"Napkin Hs"</formula>
    </cfRule>
    <cfRule type="cellIs" dxfId="14103" priority="10224" stopIfTrue="1" operator="equal">
      <formula>"Towel"</formula>
    </cfRule>
    <cfRule type="cellIs" dxfId="14102" priority="10225" stopIfTrue="1" operator="equal">
      <formula>"Napkin Hs"</formula>
    </cfRule>
    <cfRule type="cellIs" dxfId="14101" priority="10230" stopIfTrue="1" operator="equal">
      <formula>"Towel"</formula>
    </cfRule>
    <cfRule type="cellIs" dxfId="14100" priority="10231" stopIfTrue="1" operator="equal">
      <formula>"Napkin Hs"</formula>
    </cfRule>
  </conditionalFormatting>
  <conditionalFormatting sqref="B88:C88">
    <cfRule type="cellIs" dxfId="14099" priority="5756" stopIfTrue="1" operator="equal">
      <formula>"Towel"</formula>
    </cfRule>
    <cfRule type="cellIs" dxfId="14098" priority="5757" stopIfTrue="1" operator="equal">
      <formula>"Napkin Hs"</formula>
    </cfRule>
    <cfRule type="cellIs" dxfId="14097" priority="10236" stopIfTrue="1" operator="equal">
      <formula>"Towel"</formula>
    </cfRule>
    <cfRule type="cellIs" dxfId="14096" priority="10237" stopIfTrue="1" operator="equal">
      <formula>"Napkin Hs"</formula>
    </cfRule>
  </conditionalFormatting>
  <conditionalFormatting sqref="B89:C89">
    <cfRule type="cellIs" dxfId="14095" priority="5062" stopIfTrue="1" operator="equal">
      <formula>"Towel"</formula>
    </cfRule>
    <cfRule type="cellIs" dxfId="14094" priority="5063" stopIfTrue="1" operator="equal">
      <formula>"Napkin Hs"</formula>
    </cfRule>
    <cfRule type="cellIs" dxfId="14093" priority="5068" stopIfTrue="1" operator="equal">
      <formula>"Towel"</formula>
    </cfRule>
    <cfRule type="cellIs" dxfId="14092" priority="5069" stopIfTrue="1" operator="equal">
      <formula>"Napkin Hs"</formula>
    </cfRule>
    <cfRule type="cellIs" dxfId="14091" priority="5074" stopIfTrue="1" operator="equal">
      <formula>"Towel"</formula>
    </cfRule>
    <cfRule type="cellIs" dxfId="14090" priority="5075" stopIfTrue="1" operator="equal">
      <formula>"Napkin Hs"</formula>
    </cfRule>
    <cfRule type="cellIs" dxfId="14089" priority="5080" stopIfTrue="1" operator="equal">
      <formula>"Towel"</formula>
    </cfRule>
    <cfRule type="cellIs" dxfId="14088" priority="5081" stopIfTrue="1" operator="equal">
      <formula>"Napkin Hs"</formula>
    </cfRule>
    <cfRule type="cellIs" dxfId="14087" priority="5086" stopIfTrue="1" operator="equal">
      <formula>"Towel"</formula>
    </cfRule>
    <cfRule type="cellIs" dxfId="14086" priority="5087" stopIfTrue="1" operator="equal">
      <formula>"Napkin Hs"</formula>
    </cfRule>
    <cfRule type="cellIs" dxfId="14085" priority="5092" stopIfTrue="1" operator="equal">
      <formula>"Towel"</formula>
    </cfRule>
    <cfRule type="cellIs" dxfId="14084" priority="5093" stopIfTrue="1" operator="equal">
      <formula>"Napkin Hs"</formula>
    </cfRule>
    <cfRule type="cellIs" dxfId="14083" priority="5096" stopIfTrue="1" operator="equal">
      <formula>"Towel"</formula>
    </cfRule>
    <cfRule type="cellIs" dxfId="14082" priority="5097" stopIfTrue="1" operator="equal">
      <formula>"Napkin Hs"</formula>
    </cfRule>
    <cfRule type="cellIs" dxfId="14081" priority="5102" stopIfTrue="1" operator="equal">
      <formula>"Towel"</formula>
    </cfRule>
    <cfRule type="cellIs" dxfId="14080" priority="5103" stopIfTrue="1" operator="equal">
      <formula>"Napkin Hs"</formula>
    </cfRule>
    <cfRule type="cellIs" dxfId="14079" priority="5108" stopIfTrue="1" operator="equal">
      <formula>"Towel"</formula>
    </cfRule>
    <cfRule type="cellIs" dxfId="14078" priority="5109" stopIfTrue="1" operator="equal">
      <formula>"Napkin Hs"</formula>
    </cfRule>
    <cfRule type="cellIs" dxfId="14077" priority="5114" stopIfTrue="1" operator="equal">
      <formula>"Towel"</formula>
    </cfRule>
    <cfRule type="cellIs" dxfId="14076" priority="5115" stopIfTrue="1" operator="equal">
      <formula>"Napkin Hs"</formula>
    </cfRule>
    <cfRule type="cellIs" dxfId="14075" priority="5120" stopIfTrue="1" operator="equal">
      <formula>"Towel"</formula>
    </cfRule>
    <cfRule type="cellIs" dxfId="14074" priority="5121" stopIfTrue="1" operator="equal">
      <formula>"Napkin Hs"</formula>
    </cfRule>
    <cfRule type="cellIs" dxfId="14073" priority="5126" stopIfTrue="1" operator="equal">
      <formula>"Towel"</formula>
    </cfRule>
    <cfRule type="cellIs" dxfId="14072" priority="5127" stopIfTrue="1" operator="equal">
      <formula>"Napkin Hs"</formula>
    </cfRule>
    <cfRule type="cellIs" dxfId="14071" priority="5132" stopIfTrue="1" operator="equal">
      <formula>"Towel"</formula>
    </cfRule>
    <cfRule type="cellIs" dxfId="14070" priority="5133" stopIfTrue="1" operator="equal">
      <formula>"Napkin Hs"</formula>
    </cfRule>
    <cfRule type="cellIs" dxfId="14069" priority="5136" stopIfTrue="1" operator="equal">
      <formula>"Towel"</formula>
    </cfRule>
    <cfRule type="cellIs" dxfId="14068" priority="5137" stopIfTrue="1" operator="equal">
      <formula>"Napkin Hs"</formula>
    </cfRule>
  </conditionalFormatting>
  <conditionalFormatting sqref="B90:C90">
    <cfRule type="cellIs" dxfId="14067" priority="4978" stopIfTrue="1" operator="equal">
      <formula>"Towel"</formula>
    </cfRule>
    <cfRule type="cellIs" dxfId="14066" priority="4979" stopIfTrue="1" operator="equal">
      <formula>"Napkin Hs"</formula>
    </cfRule>
    <cfRule type="cellIs" dxfId="14065" priority="4984" stopIfTrue="1" operator="equal">
      <formula>"Towel"</formula>
    </cfRule>
    <cfRule type="cellIs" dxfId="14064" priority="4985" stopIfTrue="1" operator="equal">
      <formula>"Napkin Hs"</formula>
    </cfRule>
    <cfRule type="cellIs" dxfId="14063" priority="4990" stopIfTrue="1" operator="equal">
      <formula>"Towel"</formula>
    </cfRule>
    <cfRule type="cellIs" dxfId="14062" priority="4991" stopIfTrue="1" operator="equal">
      <formula>"Napkin Hs"</formula>
    </cfRule>
    <cfRule type="cellIs" dxfId="14061" priority="4996" stopIfTrue="1" operator="equal">
      <formula>"Towel"</formula>
    </cfRule>
    <cfRule type="cellIs" dxfId="14060" priority="4997" stopIfTrue="1" operator="equal">
      <formula>"Napkin Hs"</formula>
    </cfRule>
    <cfRule type="cellIs" dxfId="14059" priority="5002" stopIfTrue="1" operator="equal">
      <formula>"Towel"</formula>
    </cfRule>
    <cfRule type="cellIs" dxfId="14058" priority="5003" stopIfTrue="1" operator="equal">
      <formula>"Napkin Hs"</formula>
    </cfRule>
    <cfRule type="cellIs" dxfId="14057" priority="5008" stopIfTrue="1" operator="equal">
      <formula>"Towel"</formula>
    </cfRule>
    <cfRule type="cellIs" dxfId="14056" priority="5009" stopIfTrue="1" operator="equal">
      <formula>"Napkin Hs"</formula>
    </cfRule>
    <cfRule type="cellIs" dxfId="14055" priority="5012" stopIfTrue="1" operator="equal">
      <formula>"Towel"</formula>
    </cfRule>
    <cfRule type="cellIs" dxfId="14054" priority="5013" stopIfTrue="1" operator="equal">
      <formula>"Napkin Hs"</formula>
    </cfRule>
    <cfRule type="cellIs" dxfId="14053" priority="5020" stopIfTrue="1" operator="equal">
      <formula>"Towel"</formula>
    </cfRule>
    <cfRule type="cellIs" dxfId="14052" priority="5021" stopIfTrue="1" operator="equal">
      <formula>"Napkin Hs"</formula>
    </cfRule>
    <cfRule type="cellIs" dxfId="14051" priority="5026" stopIfTrue="1" operator="equal">
      <formula>"Towel"</formula>
    </cfRule>
    <cfRule type="cellIs" dxfId="14050" priority="5027" stopIfTrue="1" operator="equal">
      <formula>"Napkin Hs"</formula>
    </cfRule>
    <cfRule type="cellIs" dxfId="14049" priority="5032" stopIfTrue="1" operator="equal">
      <formula>"Towel"</formula>
    </cfRule>
    <cfRule type="cellIs" dxfId="14048" priority="5033" stopIfTrue="1" operator="equal">
      <formula>"Napkin Hs"</formula>
    </cfRule>
    <cfRule type="cellIs" dxfId="14047" priority="5038" stopIfTrue="1" operator="equal">
      <formula>"Towel"</formula>
    </cfRule>
    <cfRule type="cellIs" dxfId="14046" priority="5039" stopIfTrue="1" operator="equal">
      <formula>"Napkin Hs"</formula>
    </cfRule>
    <cfRule type="cellIs" dxfId="14045" priority="5044" stopIfTrue="1" operator="equal">
      <formula>"Towel"</formula>
    </cfRule>
    <cfRule type="cellIs" dxfId="14044" priority="5045" stopIfTrue="1" operator="equal">
      <formula>"Napkin Hs"</formula>
    </cfRule>
    <cfRule type="cellIs" dxfId="14043" priority="5050" stopIfTrue="1" operator="equal">
      <formula>"Towel"</formula>
    </cfRule>
    <cfRule type="cellIs" dxfId="14042" priority="5051" stopIfTrue="1" operator="equal">
      <formula>"Napkin Hs"</formula>
    </cfRule>
    <cfRule type="cellIs" dxfId="14041" priority="5056" stopIfTrue="1" operator="equal">
      <formula>"Towel"</formula>
    </cfRule>
    <cfRule type="cellIs" dxfId="14040" priority="5057" stopIfTrue="1" operator="equal">
      <formula>"Napkin Hs"</formula>
    </cfRule>
  </conditionalFormatting>
  <conditionalFormatting sqref="B91:C91">
    <cfRule type="cellIs" dxfId="14039" priority="5362" stopIfTrue="1" operator="equal">
      <formula>"Towel"</formula>
    </cfRule>
    <cfRule type="cellIs" dxfId="14038" priority="5363" stopIfTrue="1" operator="equal">
      <formula>"Napkin Hs"</formula>
    </cfRule>
    <cfRule type="cellIs" dxfId="14037" priority="5368" stopIfTrue="1" operator="equal">
      <formula>"Towel"</formula>
    </cfRule>
    <cfRule type="cellIs" dxfId="14036" priority="5369" stopIfTrue="1" operator="equal">
      <formula>"Napkin Hs"</formula>
    </cfRule>
    <cfRule type="cellIs" dxfId="14035" priority="5374" stopIfTrue="1" operator="equal">
      <formula>"Towel"</formula>
    </cfRule>
    <cfRule type="cellIs" dxfId="14034" priority="5375" stopIfTrue="1" operator="equal">
      <formula>"Napkin Hs"</formula>
    </cfRule>
    <cfRule type="cellIs" dxfId="14033" priority="5380" stopIfTrue="1" operator="equal">
      <formula>"Towel"</formula>
    </cfRule>
    <cfRule type="cellIs" dxfId="14032" priority="5381" stopIfTrue="1" operator="equal">
      <formula>"Napkin Hs"</formula>
    </cfRule>
    <cfRule type="cellIs" dxfId="14031" priority="5386" stopIfTrue="1" operator="equal">
      <formula>"Towel"</formula>
    </cfRule>
    <cfRule type="cellIs" dxfId="14030" priority="5387" stopIfTrue="1" operator="equal">
      <formula>"Napkin Hs"</formula>
    </cfRule>
    <cfRule type="cellIs" dxfId="14029" priority="5392" stopIfTrue="1" operator="equal">
      <formula>"Towel"</formula>
    </cfRule>
    <cfRule type="cellIs" dxfId="14028" priority="5393" stopIfTrue="1" operator="equal">
      <formula>"Napkin Hs"</formula>
    </cfRule>
    <cfRule type="cellIs" dxfId="14027" priority="5398" stopIfTrue="1" operator="equal">
      <formula>"Towel"</formula>
    </cfRule>
    <cfRule type="cellIs" dxfId="14026" priority="5399" stopIfTrue="1" operator="equal">
      <formula>"Napkin Hs"</formula>
    </cfRule>
    <cfRule type="cellIs" dxfId="14025" priority="5404" stopIfTrue="1" operator="equal">
      <formula>"Towel"</formula>
    </cfRule>
    <cfRule type="cellIs" dxfId="14024" priority="5405" stopIfTrue="1" operator="equal">
      <formula>"Napkin Hs"</formula>
    </cfRule>
  </conditionalFormatting>
  <conditionalFormatting sqref="B91:C92">
    <cfRule type="cellIs" dxfId="14023" priority="5296" stopIfTrue="1" operator="equal">
      <formula>"Towel"</formula>
    </cfRule>
    <cfRule type="cellIs" dxfId="14022" priority="5297" stopIfTrue="1" operator="equal">
      <formula>"Napkin Hs"</formula>
    </cfRule>
    <cfRule type="cellIs" dxfId="14021" priority="5314" stopIfTrue="1" operator="equal">
      <formula>"Towel"</formula>
    </cfRule>
    <cfRule type="cellIs" dxfId="14020" priority="5315" stopIfTrue="1" operator="equal">
      <formula>"Napkin Hs"</formula>
    </cfRule>
    <cfRule type="cellIs" dxfId="14019" priority="5320" stopIfTrue="1" operator="equal">
      <formula>"Towel"</formula>
    </cfRule>
    <cfRule type="cellIs" dxfId="14018" priority="5321" stopIfTrue="1" operator="equal">
      <formula>"Napkin Hs"</formula>
    </cfRule>
    <cfRule type="cellIs" dxfId="14017" priority="5326" stopIfTrue="1" operator="equal">
      <formula>"Towel"</formula>
    </cfRule>
    <cfRule type="cellIs" dxfId="14016" priority="5327" stopIfTrue="1" operator="equal">
      <formula>"Napkin Hs"</formula>
    </cfRule>
    <cfRule type="cellIs" dxfId="14015" priority="5332" stopIfTrue="1" operator="equal">
      <formula>"Towel"</formula>
    </cfRule>
    <cfRule type="cellIs" dxfId="14014" priority="5333" stopIfTrue="1" operator="equal">
      <formula>"Napkin Hs"</formula>
    </cfRule>
    <cfRule type="cellIs" dxfId="14013" priority="5338" stopIfTrue="1" operator="equal">
      <formula>"Towel"</formula>
    </cfRule>
    <cfRule type="cellIs" dxfId="14012" priority="5339" stopIfTrue="1" operator="equal">
      <formula>"Napkin Hs"</formula>
    </cfRule>
    <cfRule type="cellIs" dxfId="14011" priority="5344" stopIfTrue="1" operator="equal">
      <formula>"Towel"</formula>
    </cfRule>
    <cfRule type="cellIs" dxfId="14010" priority="5345" stopIfTrue="1" operator="equal">
      <formula>"Napkin Hs"</formula>
    </cfRule>
    <cfRule type="cellIs" dxfId="14009" priority="5350" stopIfTrue="1" operator="equal">
      <formula>"Towel"</formula>
    </cfRule>
    <cfRule type="cellIs" dxfId="14008" priority="5351" stopIfTrue="1" operator="equal">
      <formula>"Napkin Hs"</formula>
    </cfRule>
  </conditionalFormatting>
  <conditionalFormatting sqref="B92:C92">
    <cfRule type="cellIs" dxfId="14007" priority="5410" stopIfTrue="1" operator="equal">
      <formula>"Towel"</formula>
    </cfRule>
    <cfRule type="cellIs" dxfId="14006" priority="5411" stopIfTrue="1" operator="equal">
      <formula>"Napkin Hs"</formula>
    </cfRule>
    <cfRule type="cellIs" dxfId="14005" priority="5416" stopIfTrue="1" operator="equal">
      <formula>"Towel"</formula>
    </cfRule>
    <cfRule type="cellIs" dxfId="14004" priority="5417" stopIfTrue="1" operator="equal">
      <formula>"Napkin Hs"</formula>
    </cfRule>
    <cfRule type="cellIs" dxfId="14003" priority="5422" stopIfTrue="1" operator="equal">
      <formula>"Towel"</formula>
    </cfRule>
    <cfRule type="cellIs" dxfId="14002" priority="5423" stopIfTrue="1" operator="equal">
      <formula>"Napkin Hs"</formula>
    </cfRule>
    <cfRule type="cellIs" dxfId="14001" priority="5428" stopIfTrue="1" operator="equal">
      <formula>"Towel"</formula>
    </cfRule>
    <cfRule type="cellIs" dxfId="14000" priority="5429" stopIfTrue="1" operator="equal">
      <formula>"Napkin Hs"</formula>
    </cfRule>
    <cfRule type="cellIs" dxfId="13999" priority="5434" stopIfTrue="1" operator="equal">
      <formula>"Towel"</formula>
    </cfRule>
    <cfRule type="cellIs" dxfId="13998" priority="5435" stopIfTrue="1" operator="equal">
      <formula>"Napkin Hs"</formula>
    </cfRule>
    <cfRule type="cellIs" dxfId="13997" priority="5440" stopIfTrue="1" operator="equal">
      <formula>"Towel"</formula>
    </cfRule>
    <cfRule type="cellIs" dxfId="13996" priority="5441" stopIfTrue="1" operator="equal">
      <formula>"Napkin Hs"</formula>
    </cfRule>
    <cfRule type="cellIs" dxfId="13995" priority="5446" stopIfTrue="1" operator="equal">
      <formula>"Towel"</formula>
    </cfRule>
    <cfRule type="cellIs" dxfId="13994" priority="5447" stopIfTrue="1" operator="equal">
      <formula>"Napkin Hs"</formula>
    </cfRule>
    <cfRule type="cellIs" dxfId="13993" priority="5452" stopIfTrue="1" operator="equal">
      <formula>"Towel"</formula>
    </cfRule>
    <cfRule type="cellIs" dxfId="13992" priority="5453" stopIfTrue="1" operator="equal">
      <formula>"Napkin Hs"</formula>
    </cfRule>
  </conditionalFormatting>
  <conditionalFormatting sqref="B93:C93">
    <cfRule type="cellIs" dxfId="13991" priority="5356" stopIfTrue="1" operator="equal">
      <formula>"Towel"</formula>
    </cfRule>
    <cfRule type="cellIs" dxfId="13990" priority="5357" stopIfTrue="1" operator="equal">
      <formula>"Napkin Hs"</formula>
    </cfRule>
    <cfRule type="cellIs" dxfId="13989" priority="5458" stopIfTrue="1" operator="equal">
      <formula>"Towel"</formula>
    </cfRule>
    <cfRule type="cellIs" dxfId="13988" priority="5459" stopIfTrue="1" operator="equal">
      <formula>"Napkin Hs"</formula>
    </cfRule>
    <cfRule type="cellIs" dxfId="13987" priority="5464" stopIfTrue="1" operator="equal">
      <formula>"Towel"</formula>
    </cfRule>
    <cfRule type="cellIs" dxfId="13986" priority="5465" stopIfTrue="1" operator="equal">
      <formula>"Napkin Hs"</formula>
    </cfRule>
    <cfRule type="cellIs" dxfId="13985" priority="5470" stopIfTrue="1" operator="equal">
      <formula>"Towel"</formula>
    </cfRule>
    <cfRule type="cellIs" dxfId="13984" priority="5471" stopIfTrue="1" operator="equal">
      <formula>"Napkin Hs"</formula>
    </cfRule>
    <cfRule type="cellIs" dxfId="13983" priority="5476" stopIfTrue="1" operator="equal">
      <formula>"Towel"</formula>
    </cfRule>
    <cfRule type="cellIs" dxfId="13982" priority="5477" stopIfTrue="1" operator="equal">
      <formula>"Napkin Hs"</formula>
    </cfRule>
    <cfRule type="cellIs" dxfId="13981" priority="5482" stopIfTrue="1" operator="equal">
      <formula>"Towel"</formula>
    </cfRule>
    <cfRule type="cellIs" dxfId="13980" priority="5483" stopIfTrue="1" operator="equal">
      <formula>"Napkin Hs"</formula>
    </cfRule>
    <cfRule type="cellIs" dxfId="13979" priority="5488" stopIfTrue="1" operator="equal">
      <formula>"Towel"</formula>
    </cfRule>
    <cfRule type="cellIs" dxfId="13978" priority="5489" stopIfTrue="1" operator="equal">
      <formula>"Napkin Hs"</formula>
    </cfRule>
  </conditionalFormatting>
  <conditionalFormatting sqref="B94:C94">
    <cfRule type="cellIs" dxfId="13977" priority="9738" stopIfTrue="1" operator="equal">
      <formula>"Towel"</formula>
    </cfRule>
    <cfRule type="cellIs" dxfId="13976" priority="9739" stopIfTrue="1" operator="equal">
      <formula>"Napkin Hs"</formula>
    </cfRule>
    <cfRule type="cellIs" dxfId="13975" priority="9744" stopIfTrue="1" operator="equal">
      <formula>"Towel"</formula>
    </cfRule>
    <cfRule type="cellIs" dxfId="13974" priority="9745" stopIfTrue="1" operator="equal">
      <formula>"Napkin Hs"</formula>
    </cfRule>
    <cfRule type="cellIs" dxfId="13973" priority="9750" stopIfTrue="1" operator="equal">
      <formula>"Towel"</formula>
    </cfRule>
    <cfRule type="cellIs" dxfId="13972" priority="9751" stopIfTrue="1" operator="equal">
      <formula>"Napkin Hs"</formula>
    </cfRule>
    <cfRule type="cellIs" dxfId="13971" priority="9756" stopIfTrue="1" operator="equal">
      <formula>"Towel"</formula>
    </cfRule>
    <cfRule type="cellIs" dxfId="13970" priority="9757" stopIfTrue="1" operator="equal">
      <formula>"Napkin Hs"</formula>
    </cfRule>
    <cfRule type="cellIs" dxfId="13969" priority="9762" stopIfTrue="1" operator="equal">
      <formula>"Towel"</formula>
    </cfRule>
    <cfRule type="cellIs" dxfId="13968" priority="9763" stopIfTrue="1" operator="equal">
      <formula>"Napkin Hs"</formula>
    </cfRule>
    <cfRule type="cellIs" dxfId="13967" priority="9768" stopIfTrue="1" operator="equal">
      <formula>"Towel"</formula>
    </cfRule>
    <cfRule type="cellIs" dxfId="13966" priority="9769" stopIfTrue="1" operator="equal">
      <formula>"Napkin Hs"</formula>
    </cfRule>
    <cfRule type="cellIs" dxfId="13965" priority="9774" stopIfTrue="1" operator="equal">
      <formula>"Towel"</formula>
    </cfRule>
    <cfRule type="cellIs" dxfId="13964" priority="9775" stopIfTrue="1" operator="equal">
      <formula>"Napkin Hs"</formula>
    </cfRule>
    <cfRule type="cellIs" dxfId="13963" priority="9780" stopIfTrue="1" operator="equal">
      <formula>"Towel"</formula>
    </cfRule>
    <cfRule type="cellIs" dxfId="13962" priority="9781" stopIfTrue="1" operator="equal">
      <formula>"Napkin Hs"</formula>
    </cfRule>
  </conditionalFormatting>
  <conditionalFormatting sqref="B95:C95">
    <cfRule type="cellIs" dxfId="13961" priority="9786" stopIfTrue="1" operator="equal">
      <formula>"Towel"</formula>
    </cfRule>
    <cfRule type="cellIs" dxfId="13960" priority="9787" stopIfTrue="1" operator="equal">
      <formula>"Napkin Hs"</formula>
    </cfRule>
    <cfRule type="cellIs" dxfId="13959" priority="9792" stopIfTrue="1" operator="equal">
      <formula>"Towel"</formula>
    </cfRule>
    <cfRule type="cellIs" dxfId="13958" priority="9793" stopIfTrue="1" operator="equal">
      <formula>"Napkin Hs"</formula>
    </cfRule>
    <cfRule type="cellIs" dxfId="13957" priority="9798" stopIfTrue="1" operator="equal">
      <formula>"Towel"</formula>
    </cfRule>
    <cfRule type="cellIs" dxfId="13956" priority="9799" stopIfTrue="1" operator="equal">
      <formula>"Napkin Hs"</formula>
    </cfRule>
    <cfRule type="cellIs" dxfId="13955" priority="9804" stopIfTrue="1" operator="equal">
      <formula>"Towel"</formula>
    </cfRule>
    <cfRule type="cellIs" dxfId="13954" priority="9805" stopIfTrue="1" operator="equal">
      <formula>"Napkin Hs"</formula>
    </cfRule>
    <cfRule type="cellIs" dxfId="13953" priority="9810" stopIfTrue="1" operator="equal">
      <formula>"Towel"</formula>
    </cfRule>
    <cfRule type="cellIs" dxfId="13952" priority="9811" stopIfTrue="1" operator="equal">
      <formula>"Napkin Hs"</formula>
    </cfRule>
    <cfRule type="cellIs" dxfId="13951" priority="9816" stopIfTrue="1" operator="equal">
      <formula>"Towel"</formula>
    </cfRule>
    <cfRule type="cellIs" dxfId="13950" priority="9817" stopIfTrue="1" operator="equal">
      <formula>"Napkin Hs"</formula>
    </cfRule>
    <cfRule type="cellIs" dxfId="13949" priority="9822" stopIfTrue="1" operator="equal">
      <formula>"Towel"</formula>
    </cfRule>
    <cfRule type="cellIs" dxfId="13948" priority="9823" stopIfTrue="1" operator="equal">
      <formula>"Napkin Hs"</formula>
    </cfRule>
    <cfRule type="cellIs" dxfId="13947" priority="9828" stopIfTrue="1" operator="equal">
      <formula>"Towel"</formula>
    </cfRule>
    <cfRule type="cellIs" dxfId="13946" priority="9829" stopIfTrue="1" operator="equal">
      <formula>"Napkin Hs"</formula>
    </cfRule>
  </conditionalFormatting>
  <conditionalFormatting sqref="B96:C96">
    <cfRule type="cellIs" dxfId="13945" priority="4574" stopIfTrue="1" operator="equal">
      <formula>"Towel"</formula>
    </cfRule>
    <cfRule type="cellIs" dxfId="13944" priority="4575" stopIfTrue="1" operator="equal">
      <formula>"Napkin Hs"</formula>
    </cfRule>
    <cfRule type="cellIs" dxfId="13943" priority="4580" stopIfTrue="1" operator="equal">
      <formula>"Towel"</formula>
    </cfRule>
    <cfRule type="cellIs" dxfId="13942" priority="4581" stopIfTrue="1" operator="equal">
      <formula>"Napkin Hs"</formula>
    </cfRule>
    <cfRule type="cellIs" dxfId="13941" priority="4586" stopIfTrue="1" operator="equal">
      <formula>"Towel"</formula>
    </cfRule>
    <cfRule type="cellIs" dxfId="13940" priority="4587" stopIfTrue="1" operator="equal">
      <formula>"Napkin Hs"</formula>
    </cfRule>
    <cfRule type="cellIs" dxfId="13939" priority="4592" stopIfTrue="1" operator="equal">
      <formula>"Towel"</formula>
    </cfRule>
    <cfRule type="cellIs" dxfId="13938" priority="4593" stopIfTrue="1" operator="equal">
      <formula>"Napkin Hs"</formula>
    </cfRule>
    <cfRule type="cellIs" dxfId="13937" priority="4598" stopIfTrue="1" operator="equal">
      <formula>"Towel"</formula>
    </cfRule>
    <cfRule type="cellIs" dxfId="13936" priority="4599" stopIfTrue="1" operator="equal">
      <formula>"Napkin Hs"</formula>
    </cfRule>
    <cfRule type="cellIs" dxfId="13935" priority="4604" stopIfTrue="1" operator="equal">
      <formula>"Towel"</formula>
    </cfRule>
    <cfRule type="cellIs" dxfId="13934" priority="4605" stopIfTrue="1" operator="equal">
      <formula>"Napkin Hs"</formula>
    </cfRule>
    <cfRule type="cellIs" dxfId="13933" priority="4608" stopIfTrue="1" operator="equal">
      <formula>"Towel"</formula>
    </cfRule>
    <cfRule type="cellIs" dxfId="13932" priority="4609" stopIfTrue="1" operator="equal">
      <formula>"Napkin Hs"</formula>
    </cfRule>
    <cfRule type="cellIs" dxfId="13931" priority="4616" stopIfTrue="1" operator="equal">
      <formula>"Towel"</formula>
    </cfRule>
    <cfRule type="cellIs" dxfId="13930" priority="4617" stopIfTrue="1" operator="equal">
      <formula>"Napkin Hs"</formula>
    </cfRule>
    <cfRule type="cellIs" dxfId="13929" priority="4622" stopIfTrue="1" operator="equal">
      <formula>"Towel"</formula>
    </cfRule>
    <cfRule type="cellIs" dxfId="13928" priority="4623" stopIfTrue="1" operator="equal">
      <formula>"Napkin Hs"</formula>
    </cfRule>
    <cfRule type="cellIs" dxfId="13927" priority="4628" stopIfTrue="1" operator="equal">
      <formula>"Towel"</formula>
    </cfRule>
    <cfRule type="cellIs" dxfId="13926" priority="4629" stopIfTrue="1" operator="equal">
      <formula>"Napkin Hs"</formula>
    </cfRule>
    <cfRule type="cellIs" dxfId="13925" priority="4634" stopIfTrue="1" operator="equal">
      <formula>"Towel"</formula>
    </cfRule>
    <cfRule type="cellIs" dxfId="13924" priority="4635" stopIfTrue="1" operator="equal">
      <formula>"Napkin Hs"</formula>
    </cfRule>
    <cfRule type="cellIs" dxfId="13923" priority="4640" stopIfTrue="1" operator="equal">
      <formula>"Towel"</formula>
    </cfRule>
    <cfRule type="cellIs" dxfId="13922" priority="4641" stopIfTrue="1" operator="equal">
      <formula>"Napkin Hs"</formula>
    </cfRule>
    <cfRule type="cellIs" dxfId="13921" priority="4646" stopIfTrue="1" operator="equal">
      <formula>"Towel"</formula>
    </cfRule>
    <cfRule type="cellIs" dxfId="13920" priority="4647" stopIfTrue="1" operator="equal">
      <formula>"Napkin Hs"</formula>
    </cfRule>
    <cfRule type="cellIs" dxfId="13919" priority="4652" stopIfTrue="1" operator="equal">
      <formula>"Towel"</formula>
    </cfRule>
    <cfRule type="cellIs" dxfId="13918" priority="4653" stopIfTrue="1" operator="equal">
      <formula>"Napkin Hs"</formula>
    </cfRule>
  </conditionalFormatting>
  <conditionalFormatting sqref="B97:C97">
    <cfRule type="cellIs" dxfId="13917" priority="4658" stopIfTrue="1" operator="equal">
      <formula>"Towel"</formula>
    </cfRule>
    <cfRule type="cellIs" dxfId="13916" priority="4659" stopIfTrue="1" operator="equal">
      <formula>"Napkin Hs"</formula>
    </cfRule>
    <cfRule type="cellIs" dxfId="13915" priority="4664" stopIfTrue="1" operator="equal">
      <formula>"Towel"</formula>
    </cfRule>
    <cfRule type="cellIs" dxfId="13914" priority="4665" stopIfTrue="1" operator="equal">
      <formula>"Napkin Hs"</formula>
    </cfRule>
    <cfRule type="cellIs" dxfId="13913" priority="4670" stopIfTrue="1" operator="equal">
      <formula>"Towel"</formula>
    </cfRule>
    <cfRule type="cellIs" dxfId="13912" priority="4671" stopIfTrue="1" operator="equal">
      <formula>"Napkin Hs"</formula>
    </cfRule>
    <cfRule type="cellIs" dxfId="13911" priority="4676" stopIfTrue="1" operator="equal">
      <formula>"Towel"</formula>
    </cfRule>
    <cfRule type="cellIs" dxfId="13910" priority="4677" stopIfTrue="1" operator="equal">
      <formula>"Napkin Hs"</formula>
    </cfRule>
    <cfRule type="cellIs" dxfId="13909" priority="4682" stopIfTrue="1" operator="equal">
      <formula>"Towel"</formula>
    </cfRule>
    <cfRule type="cellIs" dxfId="13908" priority="4683" stopIfTrue="1" operator="equal">
      <formula>"Napkin Hs"</formula>
    </cfRule>
    <cfRule type="cellIs" dxfId="13907" priority="4688" stopIfTrue="1" operator="equal">
      <formula>"Towel"</formula>
    </cfRule>
    <cfRule type="cellIs" dxfId="13906" priority="4689" stopIfTrue="1" operator="equal">
      <formula>"Napkin Hs"</formula>
    </cfRule>
    <cfRule type="cellIs" dxfId="13905" priority="4692" stopIfTrue="1" operator="equal">
      <formula>"Towel"</formula>
    </cfRule>
    <cfRule type="cellIs" dxfId="13904" priority="4693" stopIfTrue="1" operator="equal">
      <formula>"Napkin Hs"</formula>
    </cfRule>
    <cfRule type="cellIs" dxfId="13903" priority="4700" stopIfTrue="1" operator="equal">
      <formula>"Towel"</formula>
    </cfRule>
    <cfRule type="cellIs" dxfId="13902" priority="4701" stopIfTrue="1" operator="equal">
      <formula>"Napkin Hs"</formula>
    </cfRule>
    <cfRule type="cellIs" dxfId="13901" priority="4706" stopIfTrue="1" operator="equal">
      <formula>"Towel"</formula>
    </cfRule>
    <cfRule type="cellIs" dxfId="13900" priority="4707" stopIfTrue="1" operator="equal">
      <formula>"Napkin Hs"</formula>
    </cfRule>
    <cfRule type="cellIs" dxfId="13899" priority="4712" stopIfTrue="1" operator="equal">
      <formula>"Towel"</formula>
    </cfRule>
    <cfRule type="cellIs" dxfId="13898" priority="4713" stopIfTrue="1" operator="equal">
      <formula>"Napkin Hs"</formula>
    </cfRule>
    <cfRule type="cellIs" dxfId="13897" priority="4718" stopIfTrue="1" operator="equal">
      <formula>"Towel"</formula>
    </cfRule>
    <cfRule type="cellIs" dxfId="13896" priority="4719" stopIfTrue="1" operator="equal">
      <formula>"Napkin Hs"</formula>
    </cfRule>
    <cfRule type="cellIs" dxfId="13895" priority="4724" stopIfTrue="1" operator="equal">
      <formula>"Towel"</formula>
    </cfRule>
    <cfRule type="cellIs" dxfId="13894" priority="4725" stopIfTrue="1" operator="equal">
      <formula>"Napkin Hs"</formula>
    </cfRule>
    <cfRule type="cellIs" dxfId="13893" priority="4730" stopIfTrue="1" operator="equal">
      <formula>"Towel"</formula>
    </cfRule>
    <cfRule type="cellIs" dxfId="13892" priority="4731" stopIfTrue="1" operator="equal">
      <formula>"Napkin Hs"</formula>
    </cfRule>
    <cfRule type="cellIs" dxfId="13891" priority="4736" stopIfTrue="1" operator="equal">
      <formula>"Towel"</formula>
    </cfRule>
    <cfRule type="cellIs" dxfId="13890" priority="4737" stopIfTrue="1" operator="equal">
      <formula>"Napkin Hs"</formula>
    </cfRule>
  </conditionalFormatting>
  <conditionalFormatting sqref="B98:C98">
    <cfRule type="cellIs" dxfId="13889" priority="4882" stopIfTrue="1" operator="equal">
      <formula>"Towel"</formula>
    </cfRule>
    <cfRule type="cellIs" dxfId="13888" priority="4883" stopIfTrue="1" operator="equal">
      <formula>"Napkin Hs"</formula>
    </cfRule>
    <cfRule type="cellIs" dxfId="13887" priority="4888" stopIfTrue="1" operator="equal">
      <formula>"Towel"</formula>
    </cfRule>
    <cfRule type="cellIs" dxfId="13886" priority="4889" stopIfTrue="1" operator="equal">
      <formula>"Napkin Hs"</formula>
    </cfRule>
    <cfRule type="cellIs" dxfId="13885" priority="4894" stopIfTrue="1" operator="equal">
      <formula>"Towel"</formula>
    </cfRule>
    <cfRule type="cellIs" dxfId="13884" priority="4895" stopIfTrue="1" operator="equal">
      <formula>"Napkin Hs"</formula>
    </cfRule>
    <cfRule type="cellIs" dxfId="13883" priority="4900" stopIfTrue="1" operator="equal">
      <formula>"Towel"</formula>
    </cfRule>
    <cfRule type="cellIs" dxfId="13882" priority="4901" stopIfTrue="1" operator="equal">
      <formula>"Napkin Hs"</formula>
    </cfRule>
    <cfRule type="cellIs" dxfId="13881" priority="4906" stopIfTrue="1" operator="equal">
      <formula>"Towel"</formula>
    </cfRule>
    <cfRule type="cellIs" dxfId="13880" priority="4907" stopIfTrue="1" operator="equal">
      <formula>"Napkin Hs"</formula>
    </cfRule>
    <cfRule type="cellIs" dxfId="13879" priority="4912" stopIfTrue="1" operator="equal">
      <formula>"Towel"</formula>
    </cfRule>
    <cfRule type="cellIs" dxfId="13878" priority="4913" stopIfTrue="1" operator="equal">
      <formula>"Napkin Hs"</formula>
    </cfRule>
    <cfRule type="cellIs" dxfId="13877" priority="4918" stopIfTrue="1" operator="equal">
      <formula>"Towel"</formula>
    </cfRule>
    <cfRule type="cellIs" dxfId="13876" priority="4919" stopIfTrue="1" operator="equal">
      <formula>"Napkin Hs"</formula>
    </cfRule>
    <cfRule type="cellIs" dxfId="13875" priority="4924" stopIfTrue="1" operator="equal">
      <formula>"Towel"</formula>
    </cfRule>
    <cfRule type="cellIs" dxfId="13874" priority="4925" stopIfTrue="1" operator="equal">
      <formula>"Napkin Hs"</formula>
    </cfRule>
  </conditionalFormatting>
  <conditionalFormatting sqref="B98:C99">
    <cfRule type="cellIs" dxfId="13873" priority="4822" stopIfTrue="1" operator="equal">
      <formula>"Towel"</formula>
    </cfRule>
    <cfRule type="cellIs" dxfId="13872" priority="4823" stopIfTrue="1" operator="equal">
      <formula>"Napkin Hs"</formula>
    </cfRule>
    <cfRule type="cellIs" dxfId="13871" priority="4840" stopIfTrue="1" operator="equal">
      <formula>"Towel"</formula>
    </cfRule>
    <cfRule type="cellIs" dxfId="13870" priority="4841" stopIfTrue="1" operator="equal">
      <formula>"Napkin Hs"</formula>
    </cfRule>
    <cfRule type="cellIs" dxfId="13869" priority="4846" stopIfTrue="1" operator="equal">
      <formula>"Towel"</formula>
    </cfRule>
    <cfRule type="cellIs" dxfId="13868" priority="4847" stopIfTrue="1" operator="equal">
      <formula>"Napkin Hs"</formula>
    </cfRule>
    <cfRule type="cellIs" dxfId="13867" priority="4852" stopIfTrue="1" operator="equal">
      <formula>"Towel"</formula>
    </cfRule>
    <cfRule type="cellIs" dxfId="13866" priority="4853" stopIfTrue="1" operator="equal">
      <formula>"Napkin Hs"</formula>
    </cfRule>
    <cfRule type="cellIs" dxfId="13865" priority="4858" stopIfTrue="1" operator="equal">
      <formula>"Towel"</formula>
    </cfRule>
    <cfRule type="cellIs" dxfId="13864" priority="4859" stopIfTrue="1" operator="equal">
      <formula>"Napkin Hs"</formula>
    </cfRule>
    <cfRule type="cellIs" dxfId="13863" priority="4864" stopIfTrue="1" operator="equal">
      <formula>"Towel"</formula>
    </cfRule>
    <cfRule type="cellIs" dxfId="13862" priority="4865" stopIfTrue="1" operator="equal">
      <formula>"Napkin Hs"</formula>
    </cfRule>
    <cfRule type="cellIs" dxfId="13861" priority="4870" stopIfTrue="1" operator="equal">
      <formula>"Towel"</formula>
    </cfRule>
    <cfRule type="cellIs" dxfId="13860" priority="4871" stopIfTrue="1" operator="equal">
      <formula>"Napkin Hs"</formula>
    </cfRule>
    <cfRule type="cellIs" dxfId="13859" priority="4876" stopIfTrue="1" operator="equal">
      <formula>"Towel"</formula>
    </cfRule>
    <cfRule type="cellIs" dxfId="13858" priority="4877" stopIfTrue="1" operator="equal">
      <formula>"Napkin Hs"</formula>
    </cfRule>
  </conditionalFormatting>
  <conditionalFormatting sqref="B99:C99">
    <cfRule type="cellIs" dxfId="13857" priority="4930" stopIfTrue="1" operator="equal">
      <formula>"Towel"</formula>
    </cfRule>
    <cfRule type="cellIs" dxfId="13856" priority="4931" stopIfTrue="1" operator="equal">
      <formula>"Napkin Hs"</formula>
    </cfRule>
    <cfRule type="cellIs" dxfId="13855" priority="4936" stopIfTrue="1" operator="equal">
      <formula>"Towel"</formula>
    </cfRule>
    <cfRule type="cellIs" dxfId="13854" priority="4937" stopIfTrue="1" operator="equal">
      <formula>"Napkin Hs"</formula>
    </cfRule>
    <cfRule type="cellIs" dxfId="13853" priority="4942" stopIfTrue="1" operator="equal">
      <formula>"Towel"</formula>
    </cfRule>
    <cfRule type="cellIs" dxfId="13852" priority="4943" stopIfTrue="1" operator="equal">
      <formula>"Napkin Hs"</formula>
    </cfRule>
    <cfRule type="cellIs" dxfId="13851" priority="4948" stopIfTrue="1" operator="equal">
      <formula>"Towel"</formula>
    </cfRule>
    <cfRule type="cellIs" dxfId="13850" priority="4949" stopIfTrue="1" operator="equal">
      <formula>"Napkin Hs"</formula>
    </cfRule>
    <cfRule type="cellIs" dxfId="13849" priority="4954" stopIfTrue="1" operator="equal">
      <formula>"Towel"</formula>
    </cfRule>
    <cfRule type="cellIs" dxfId="13848" priority="4955" stopIfTrue="1" operator="equal">
      <formula>"Napkin Hs"</formula>
    </cfRule>
    <cfRule type="cellIs" dxfId="13847" priority="4960" stopIfTrue="1" operator="equal">
      <formula>"Towel"</formula>
    </cfRule>
    <cfRule type="cellIs" dxfId="13846" priority="4961" stopIfTrue="1" operator="equal">
      <formula>"Napkin Hs"</formula>
    </cfRule>
    <cfRule type="cellIs" dxfId="13845" priority="4966" stopIfTrue="1" operator="equal">
      <formula>"Towel"</formula>
    </cfRule>
    <cfRule type="cellIs" dxfId="13844" priority="4967" stopIfTrue="1" operator="equal">
      <formula>"Napkin Hs"</formula>
    </cfRule>
    <cfRule type="cellIs" dxfId="13843" priority="4972" stopIfTrue="1" operator="equal">
      <formula>"Towel"</formula>
    </cfRule>
    <cfRule type="cellIs" dxfId="13842" priority="4973" stopIfTrue="1" operator="equal">
      <formula>"Napkin Hs"</formula>
    </cfRule>
  </conditionalFormatting>
  <conditionalFormatting sqref="B100:C100">
    <cfRule type="cellIs" dxfId="13841" priority="9532" stopIfTrue="1" operator="equal">
      <formula>"Towel"</formula>
    </cfRule>
    <cfRule type="cellIs" dxfId="13840" priority="9533" stopIfTrue="1" operator="equal">
      <formula>"Napkin Hs"</formula>
    </cfRule>
    <cfRule type="cellIs" dxfId="13839" priority="9538" stopIfTrue="1" operator="equal">
      <formula>"Towel"</formula>
    </cfRule>
    <cfRule type="cellIs" dxfId="13838" priority="9539" stopIfTrue="1" operator="equal">
      <formula>"Napkin Hs"</formula>
    </cfRule>
    <cfRule type="cellIs" dxfId="13837" priority="9544" stopIfTrue="1" operator="equal">
      <formula>"Towel"</formula>
    </cfRule>
    <cfRule type="cellIs" dxfId="13836" priority="9545" stopIfTrue="1" operator="equal">
      <formula>"Napkin Hs"</formula>
    </cfRule>
    <cfRule type="cellIs" dxfId="13835" priority="9550" stopIfTrue="1" operator="equal">
      <formula>"Towel"</formula>
    </cfRule>
    <cfRule type="cellIs" dxfId="13834" priority="9551" stopIfTrue="1" operator="equal">
      <formula>"Napkin Hs"</formula>
    </cfRule>
    <cfRule type="cellIs" dxfId="13833" priority="9556" stopIfTrue="1" operator="equal">
      <formula>"Towel"</formula>
    </cfRule>
    <cfRule type="cellIs" dxfId="13832" priority="9557" stopIfTrue="1" operator="equal">
      <formula>"Napkin Hs"</formula>
    </cfRule>
    <cfRule type="cellIs" dxfId="13831" priority="9562" stopIfTrue="1" operator="equal">
      <formula>"Towel"</formula>
    </cfRule>
    <cfRule type="cellIs" dxfId="13830" priority="9563" stopIfTrue="1" operator="equal">
      <formula>"Napkin Hs"</formula>
    </cfRule>
    <cfRule type="cellIs" dxfId="13829" priority="9568" stopIfTrue="1" operator="equal">
      <formula>"Towel"</formula>
    </cfRule>
    <cfRule type="cellIs" dxfId="13828" priority="9569" stopIfTrue="1" operator="equal">
      <formula>"Napkin Hs"</formula>
    </cfRule>
    <cfRule type="cellIs" dxfId="13827" priority="9574" stopIfTrue="1" operator="equal">
      <formula>"Towel"</formula>
    </cfRule>
    <cfRule type="cellIs" dxfId="13826" priority="9575" stopIfTrue="1" operator="equal">
      <formula>"Napkin Hs"</formula>
    </cfRule>
    <cfRule type="cellIs" dxfId="13825" priority="9581" stopIfTrue="1" operator="equal">
      <formula>"Napkin Hs"</formula>
    </cfRule>
  </conditionalFormatting>
  <conditionalFormatting sqref="B100:C100">
    <cfRule type="cellIs" dxfId="13824" priority="9580" stopIfTrue="1" operator="equal">
      <formula>"Towel"</formula>
    </cfRule>
  </conditionalFormatting>
  <conditionalFormatting sqref="B105">
    <cfRule type="cellIs" dxfId="13823" priority="9484" stopIfTrue="1" operator="equal">
      <formula>"Towel"</formula>
    </cfRule>
    <cfRule type="cellIs" dxfId="13822" priority="9485" stopIfTrue="1" operator="equal">
      <formula>"Napkin Hs"</formula>
    </cfRule>
    <cfRule type="cellIs" dxfId="13821" priority="9490" stopIfTrue="1" operator="equal">
      <formula>"Towel"</formula>
    </cfRule>
    <cfRule type="cellIs" dxfId="13820" priority="9491" stopIfTrue="1" operator="equal">
      <formula>"Napkin Hs"</formula>
    </cfRule>
    <cfRule type="cellIs" dxfId="13819" priority="9496" stopIfTrue="1" operator="equal">
      <formula>"Towel"</formula>
    </cfRule>
    <cfRule type="cellIs" dxfId="13818" priority="9497" stopIfTrue="1" operator="equal">
      <formula>"Napkin Hs"</formula>
    </cfRule>
    <cfRule type="cellIs" dxfId="13817" priority="9502" stopIfTrue="1" operator="equal">
      <formula>"Towel"</formula>
    </cfRule>
    <cfRule type="cellIs" dxfId="13816" priority="9503" stopIfTrue="1" operator="equal">
      <formula>"Napkin Hs"</formula>
    </cfRule>
    <cfRule type="cellIs" dxfId="13815" priority="9508" stopIfTrue="1" operator="equal">
      <formula>"Towel"</formula>
    </cfRule>
    <cfRule type="cellIs" dxfId="13814" priority="9509" stopIfTrue="1" operator="equal">
      <formula>"Napkin Hs"</formula>
    </cfRule>
    <cfRule type="cellIs" dxfId="13813" priority="9514" stopIfTrue="1" operator="equal">
      <formula>"Towel"</formula>
    </cfRule>
    <cfRule type="cellIs" dxfId="13812" priority="9515" stopIfTrue="1" operator="equal">
      <formula>"Napkin Hs"</formula>
    </cfRule>
    <cfRule type="cellIs" dxfId="13811" priority="9520" stopIfTrue="1" operator="equal">
      <formula>"Towel"</formula>
    </cfRule>
    <cfRule type="cellIs" dxfId="13810" priority="9521" stopIfTrue="1" operator="equal">
      <formula>"Napkin Hs"</formula>
    </cfRule>
    <cfRule type="cellIs" dxfId="13809" priority="9526" stopIfTrue="1" operator="equal">
      <formula>"Towel"</formula>
    </cfRule>
    <cfRule type="cellIs" dxfId="13808" priority="9527" stopIfTrue="1" operator="equal">
      <formula>"Napkin Hs"</formula>
    </cfRule>
  </conditionalFormatting>
  <conditionalFormatting sqref="B105:C106">
    <cfRule type="cellIs" dxfId="13807" priority="9466" stopIfTrue="1" operator="equal">
      <formula>"Towel"</formula>
    </cfRule>
    <cfRule type="cellIs" dxfId="13806" priority="9467" stopIfTrue="1" operator="equal">
      <formula>"Napkin Hs"</formula>
    </cfRule>
  </conditionalFormatting>
  <conditionalFormatting sqref="B107:C107">
    <cfRule type="cellIs" dxfId="13805" priority="12039" stopIfTrue="1" operator="equal">
      <formula>"Napkin Hs"</formula>
    </cfRule>
  </conditionalFormatting>
  <conditionalFormatting sqref="B108:C108 B115:C115">
    <cfRule type="cellIs" dxfId="13804" priority="9370" stopIfTrue="1" operator="equal">
      <formula>"Towel"</formula>
    </cfRule>
    <cfRule type="cellIs" dxfId="13803" priority="9371" stopIfTrue="1" operator="equal">
      <formula>"Napkin Hs"</formula>
    </cfRule>
    <cfRule type="cellIs" dxfId="13802" priority="9376" stopIfTrue="1" operator="equal">
      <formula>"Towel"</formula>
    </cfRule>
    <cfRule type="cellIs" dxfId="13801" priority="9377" stopIfTrue="1" operator="equal">
      <formula>"Napkin Hs"</formula>
    </cfRule>
    <cfRule type="cellIs" dxfId="13800" priority="9382" stopIfTrue="1" operator="equal">
      <formula>"Towel"</formula>
    </cfRule>
    <cfRule type="cellIs" dxfId="13799" priority="9383" stopIfTrue="1" operator="equal">
      <formula>"Napkin Hs"</formula>
    </cfRule>
    <cfRule type="cellIs" dxfId="13798" priority="9388" stopIfTrue="1" operator="equal">
      <formula>"Towel"</formula>
    </cfRule>
    <cfRule type="cellIs" dxfId="13797" priority="9389" stopIfTrue="1" operator="equal">
      <formula>"Napkin Hs"</formula>
    </cfRule>
    <cfRule type="cellIs" dxfId="13796" priority="9394" stopIfTrue="1" operator="equal">
      <formula>"Towel"</formula>
    </cfRule>
    <cfRule type="cellIs" dxfId="13795" priority="9395" stopIfTrue="1" operator="equal">
      <formula>"Napkin Hs"</formula>
    </cfRule>
    <cfRule type="cellIs" dxfId="13794" priority="9400" stopIfTrue="1" operator="equal">
      <formula>"Towel"</formula>
    </cfRule>
    <cfRule type="cellIs" dxfId="13793" priority="9401" stopIfTrue="1" operator="equal">
      <formula>"Napkin Hs"</formula>
    </cfRule>
    <cfRule type="cellIs" dxfId="13792" priority="9406" stopIfTrue="1" operator="equal">
      <formula>"Towel"</formula>
    </cfRule>
    <cfRule type="cellIs" dxfId="13791" priority="9407" stopIfTrue="1" operator="equal">
      <formula>"Napkin Hs"</formula>
    </cfRule>
    <cfRule type="cellIs" dxfId="13790" priority="9412" stopIfTrue="1" operator="equal">
      <formula>"Towel"</formula>
    </cfRule>
    <cfRule type="cellIs" dxfId="13789" priority="9413" stopIfTrue="1" operator="equal">
      <formula>"Napkin Hs"</formula>
    </cfRule>
    <cfRule type="cellIs" dxfId="13788" priority="9418" stopIfTrue="1" operator="equal">
      <formula>"Towel"</formula>
    </cfRule>
    <cfRule type="cellIs" dxfId="13787" priority="9419" stopIfTrue="1" operator="equal">
      <formula>"Napkin Hs"</formula>
    </cfRule>
  </conditionalFormatting>
  <conditionalFormatting sqref="B109:C110">
    <cfRule type="cellIs" dxfId="13786" priority="9316" stopIfTrue="1" operator="equal">
      <formula>"Towel"</formula>
    </cfRule>
    <cfRule type="cellIs" dxfId="13785" priority="9317" stopIfTrue="1" operator="equal">
      <formula>"Napkin Hs"</formula>
    </cfRule>
    <cfRule type="cellIs" dxfId="13784" priority="9322" stopIfTrue="1" operator="equal">
      <formula>"Towel"</formula>
    </cfRule>
    <cfRule type="cellIs" dxfId="13783" priority="9323" stopIfTrue="1" operator="equal">
      <formula>"Napkin Hs"</formula>
    </cfRule>
    <cfRule type="cellIs" dxfId="13782" priority="9328" stopIfTrue="1" operator="equal">
      <formula>"Towel"</formula>
    </cfRule>
    <cfRule type="cellIs" dxfId="13781" priority="9329" stopIfTrue="1" operator="equal">
      <formula>"Napkin Hs"</formula>
    </cfRule>
    <cfRule type="cellIs" dxfId="13780" priority="9334" stopIfTrue="1" operator="equal">
      <formula>"Towel"</formula>
    </cfRule>
    <cfRule type="cellIs" dxfId="13779" priority="9335" stopIfTrue="1" operator="equal">
      <formula>"Napkin Hs"</formula>
    </cfRule>
    <cfRule type="cellIs" dxfId="13778" priority="9340" stopIfTrue="1" operator="equal">
      <formula>"Towel"</formula>
    </cfRule>
    <cfRule type="cellIs" dxfId="13777" priority="9341" stopIfTrue="1" operator="equal">
      <formula>"Napkin Hs"</formula>
    </cfRule>
    <cfRule type="cellIs" dxfId="13776" priority="9346" stopIfTrue="1" operator="equal">
      <formula>"Towel"</formula>
    </cfRule>
    <cfRule type="cellIs" dxfId="13775" priority="9347" stopIfTrue="1" operator="equal">
      <formula>"Napkin Hs"</formula>
    </cfRule>
    <cfRule type="cellIs" dxfId="13774" priority="9352" stopIfTrue="1" operator="equal">
      <formula>"Towel"</formula>
    </cfRule>
    <cfRule type="cellIs" dxfId="13773" priority="9353" stopIfTrue="1" operator="equal">
      <formula>"Napkin Hs"</formula>
    </cfRule>
    <cfRule type="cellIs" dxfId="13772" priority="9358" stopIfTrue="1" operator="equal">
      <formula>"Towel"</formula>
    </cfRule>
    <cfRule type="cellIs" dxfId="13771" priority="9359" stopIfTrue="1" operator="equal">
      <formula>"Napkin Hs"</formula>
    </cfRule>
    <cfRule type="cellIs" dxfId="13770" priority="9364" stopIfTrue="1" operator="equal">
      <formula>"Towel"</formula>
    </cfRule>
    <cfRule type="cellIs" dxfId="13769" priority="9365" stopIfTrue="1" operator="equal">
      <formula>"Napkin Hs"</formula>
    </cfRule>
  </conditionalFormatting>
  <conditionalFormatting sqref="B125:C125">
    <cfRule type="cellIs" dxfId="13768" priority="8586" stopIfTrue="1" operator="equal">
      <formula>"Towel"</formula>
    </cfRule>
    <cfRule type="cellIs" dxfId="13767" priority="8587" stopIfTrue="1" operator="equal">
      <formula>"Napkin Hs"</formula>
    </cfRule>
    <cfRule type="cellIs" dxfId="13766" priority="8592" stopIfTrue="1" operator="equal">
      <formula>"Towel"</formula>
    </cfRule>
    <cfRule type="cellIs" dxfId="13765" priority="8593" stopIfTrue="1" operator="equal">
      <formula>"Napkin Hs"</formula>
    </cfRule>
    <cfRule type="cellIs" dxfId="13764" priority="8598" stopIfTrue="1" operator="equal">
      <formula>"Towel"</formula>
    </cfRule>
    <cfRule type="cellIs" dxfId="13763" priority="8599" stopIfTrue="1" operator="equal">
      <formula>"Napkin Hs"</formula>
    </cfRule>
    <cfRule type="cellIs" dxfId="13762" priority="8604" stopIfTrue="1" operator="equal">
      <formula>"Towel"</formula>
    </cfRule>
    <cfRule type="cellIs" dxfId="13761" priority="8605" stopIfTrue="1" operator="equal">
      <formula>"Napkin Hs"</formula>
    </cfRule>
    <cfRule type="cellIs" dxfId="13760" priority="8610" stopIfTrue="1" operator="equal">
      <formula>"Towel"</formula>
    </cfRule>
    <cfRule type="cellIs" dxfId="13759" priority="8611" stopIfTrue="1" operator="equal">
      <formula>"Napkin Hs"</formula>
    </cfRule>
    <cfRule type="cellIs" dxfId="13758" priority="8616" stopIfTrue="1" operator="equal">
      <formula>"Towel"</formula>
    </cfRule>
    <cfRule type="cellIs" dxfId="13757" priority="8617" stopIfTrue="1" operator="equal">
      <formula>"Napkin Hs"</formula>
    </cfRule>
    <cfRule type="cellIs" dxfId="13756" priority="8622" stopIfTrue="1" operator="equal">
      <formula>"Towel"</formula>
    </cfRule>
    <cfRule type="cellIs" dxfId="13755" priority="8623" stopIfTrue="1" operator="equal">
      <formula>"Napkin Hs"</formula>
    </cfRule>
    <cfRule type="cellIs" dxfId="13754" priority="8628" stopIfTrue="1" operator="equal">
      <formula>"Towel"</formula>
    </cfRule>
    <cfRule type="cellIs" dxfId="13753" priority="8629" stopIfTrue="1" operator="equal">
      <formula>"Napkin Hs"</formula>
    </cfRule>
    <cfRule type="cellIs" dxfId="13752" priority="8634" stopIfTrue="1" operator="equal">
      <formula>"Towel"</formula>
    </cfRule>
    <cfRule type="cellIs" dxfId="13751" priority="8635" stopIfTrue="1" operator="equal">
      <formula>"Napkin Hs"</formula>
    </cfRule>
    <cfRule type="cellIs" dxfId="13750" priority="8640" stopIfTrue="1" operator="equal">
      <formula>"Towel"</formula>
    </cfRule>
    <cfRule type="cellIs" dxfId="13749" priority="8641" stopIfTrue="1" operator="equal">
      <formula>"Napkin Hs"</formula>
    </cfRule>
  </conditionalFormatting>
  <conditionalFormatting sqref="B126:C126">
    <cfRule type="cellIs" dxfId="13748" priority="8580" stopIfTrue="1" operator="equal">
      <formula>"Towel"</formula>
    </cfRule>
    <cfRule type="cellIs" dxfId="13747" priority="8581" stopIfTrue="1" operator="equal">
      <formula>"Napkin Hs"</formula>
    </cfRule>
  </conditionalFormatting>
  <conditionalFormatting sqref="C6 C8:C9 C25:C26 C130 C134 C139 C143 C147 C151">
    <cfRule type="cellIs" dxfId="13746" priority="12451" stopIfTrue="1" operator="equal">
      <formula>"Napkin Hs"</formula>
    </cfRule>
  </conditionalFormatting>
  <conditionalFormatting sqref="C6:C7">
    <cfRule type="cellIs" dxfId="13745" priority="8290" stopIfTrue="1" operator="equal">
      <formula>"Towel"</formula>
    </cfRule>
    <cfRule type="cellIs" dxfId="13744" priority="8291" stopIfTrue="1" operator="equal">
      <formula>"Napkin Hs"</formula>
    </cfRule>
  </conditionalFormatting>
  <conditionalFormatting sqref="C7">
    <cfRule type="cellIs" dxfId="13743" priority="8288" stopIfTrue="1" operator="equal">
      <formula>"Towel"</formula>
    </cfRule>
    <cfRule type="cellIs" dxfId="13742" priority="8289" stopIfTrue="1" operator="equal">
      <formula>"Napkin Hs"</formula>
    </cfRule>
  </conditionalFormatting>
  <conditionalFormatting sqref="C8:C10">
    <cfRule type="cellIs" dxfId="13741" priority="11890" stopIfTrue="1" operator="equal">
      <formula>"Towel"</formula>
    </cfRule>
    <cfRule type="cellIs" dxfId="13740" priority="11891" stopIfTrue="1" operator="equal">
      <formula>"Napkin Hs"</formula>
    </cfRule>
  </conditionalFormatting>
  <conditionalFormatting sqref="C9">
    <cfRule type="cellIs" dxfId="13739" priority="8108" stopIfTrue="1" operator="equal">
      <formula>"Towel"</formula>
    </cfRule>
    <cfRule type="cellIs" dxfId="13738" priority="8109" stopIfTrue="1" operator="equal">
      <formula>"Napkin Hs"</formula>
    </cfRule>
    <cfRule type="cellIs" dxfId="13737" priority="8110" stopIfTrue="1" operator="equal">
      <formula>"Towel"</formula>
    </cfRule>
    <cfRule type="cellIs" dxfId="13736" priority="8111" stopIfTrue="1" operator="equal">
      <formula>"Napkin Hs"</formula>
    </cfRule>
  </conditionalFormatting>
  <conditionalFormatting sqref="C10">
    <cfRule type="cellIs" dxfId="13735" priority="11884" stopIfTrue="1" operator="equal">
      <formula>"Towel"</formula>
    </cfRule>
    <cfRule type="cellIs" dxfId="13734" priority="11885" stopIfTrue="1" operator="equal">
      <formula>"Napkin Hs"</formula>
    </cfRule>
    <cfRule type="cellIs" dxfId="13733" priority="11888" stopIfTrue="1" operator="equal">
      <formula>"Towel"</formula>
    </cfRule>
    <cfRule type="cellIs" dxfId="13732" priority="11889" stopIfTrue="1" operator="equal">
      <formula>"Napkin Hs"</formula>
    </cfRule>
  </conditionalFormatting>
  <conditionalFormatting sqref="C10:C11 B12:C14">
    <cfRule type="cellIs" dxfId="13731" priority="8130" stopIfTrue="1" operator="equal">
      <formula>"Towel"</formula>
    </cfRule>
    <cfRule type="cellIs" dxfId="13730" priority="8131" stopIfTrue="1" operator="equal">
      <formula>"Napkin Hs"</formula>
    </cfRule>
  </conditionalFormatting>
  <conditionalFormatting sqref="C10:C14">
    <cfRule type="cellIs" dxfId="13729" priority="8126" stopIfTrue="1" operator="equal">
      <formula>"Towel"</formula>
    </cfRule>
    <cfRule type="cellIs" dxfId="13728" priority="8127" stopIfTrue="1" operator="equal">
      <formula>"Napkin Hs"</formula>
    </cfRule>
    <cfRule type="cellIs" dxfId="13727" priority="8128" stopIfTrue="1" operator="equal">
      <formula>"Towel"</formula>
    </cfRule>
    <cfRule type="cellIs" dxfId="13726" priority="8129" stopIfTrue="1" operator="equal">
      <formula>"Napkin Hs"</formula>
    </cfRule>
  </conditionalFormatting>
  <conditionalFormatting sqref="C11">
    <cfRule type="cellIs" dxfId="13725" priority="8090" stopIfTrue="1" operator="equal">
      <formula>"Towel"</formula>
    </cfRule>
    <cfRule type="cellIs" dxfId="13724" priority="8091" stopIfTrue="1" operator="equal">
      <formula>"Napkin Hs"</formula>
    </cfRule>
    <cfRule type="cellIs" dxfId="13723" priority="8092" stopIfTrue="1" operator="equal">
      <formula>"Towel"</formula>
    </cfRule>
    <cfRule type="cellIs" dxfId="13722" priority="8093" stopIfTrue="1" operator="equal">
      <formula>"Napkin Hs"</formula>
    </cfRule>
  </conditionalFormatting>
  <conditionalFormatting sqref="C11:C12">
    <cfRule type="cellIs" dxfId="13721" priority="8094" stopIfTrue="1" operator="equal">
      <formula>"Towel"</formula>
    </cfRule>
    <cfRule type="cellIs" dxfId="13720" priority="8095" stopIfTrue="1" operator="equal">
      <formula>"Napkin Hs"</formula>
    </cfRule>
  </conditionalFormatting>
  <conditionalFormatting sqref="C12">
    <cfRule type="cellIs" dxfId="13719" priority="8122" stopIfTrue="1" operator="equal">
      <formula>"Towel"</formula>
    </cfRule>
    <cfRule type="cellIs" dxfId="13718" priority="8123" stopIfTrue="1" operator="equal">
      <formula>"Napkin Hs"</formula>
    </cfRule>
  </conditionalFormatting>
  <conditionalFormatting sqref="C14">
    <cfRule type="cellIs" dxfId="13717" priority="8116" stopIfTrue="1" operator="equal">
      <formula>"Towel"</formula>
    </cfRule>
    <cfRule type="cellIs" dxfId="13716" priority="8117" stopIfTrue="1" operator="equal">
      <formula>"Napkin Hs"</formula>
    </cfRule>
  </conditionalFormatting>
  <conditionalFormatting sqref="C14:C16">
    <cfRule type="cellIs" dxfId="13715" priority="8054" stopIfTrue="1" operator="equal">
      <formula>"Towel"</formula>
    </cfRule>
    <cfRule type="cellIs" dxfId="13714" priority="8055" stopIfTrue="1" operator="equal">
      <formula>"Napkin Hs"</formula>
    </cfRule>
  </conditionalFormatting>
  <conditionalFormatting sqref="C15">
    <cfRule type="cellIs" dxfId="13713" priority="8044" stopIfTrue="1" operator="equal">
      <formula>"Towel"</formula>
    </cfRule>
    <cfRule type="cellIs" dxfId="13712" priority="8045" stopIfTrue="1" operator="equal">
      <formula>"Napkin Hs"</formula>
    </cfRule>
    <cfRule type="cellIs" dxfId="13711" priority="8046" stopIfTrue="1" operator="equal">
      <formula>"Towel"</formula>
    </cfRule>
    <cfRule type="cellIs" dxfId="13710" priority="8047" stopIfTrue="1" operator="equal">
      <formula>"Napkin Hs"</formula>
    </cfRule>
    <cfRule type="cellIs" dxfId="13709" priority="8048" stopIfTrue="1" operator="equal">
      <formula>"Towel"</formula>
    </cfRule>
    <cfRule type="cellIs" dxfId="13708" priority="8049" stopIfTrue="1" operator="equal">
      <formula>"Napkin Hs"</formula>
    </cfRule>
    <cfRule type="cellIs" dxfId="13707" priority="8050" stopIfTrue="1" operator="equal">
      <formula>"Towel"</formula>
    </cfRule>
    <cfRule type="cellIs" dxfId="13706" priority="8051" stopIfTrue="1" operator="equal">
      <formula>"Napkin Hs"</formula>
    </cfRule>
    <cfRule type="cellIs" dxfId="13705" priority="8052" stopIfTrue="1" operator="equal">
      <formula>"Towel"</formula>
    </cfRule>
    <cfRule type="cellIs" dxfId="13704" priority="8053" stopIfTrue="1" operator="equal">
      <formula>"Napkin Hs"</formula>
    </cfRule>
  </conditionalFormatting>
  <conditionalFormatting sqref="C16 B17:C19">
    <cfRule type="cellIs" dxfId="13703" priority="8080" stopIfTrue="1" operator="equal">
      <formula>"Towel"</formula>
    </cfRule>
    <cfRule type="cellIs" dxfId="13702" priority="8081" stopIfTrue="1" operator="equal">
      <formula>"Napkin Hs"</formula>
    </cfRule>
  </conditionalFormatting>
  <conditionalFormatting sqref="C16">
    <cfRule type="cellIs" dxfId="13701" priority="8060" stopIfTrue="1" operator="equal">
      <formula>"Towel"</formula>
    </cfRule>
    <cfRule type="cellIs" dxfId="13700" priority="8061" stopIfTrue="1" operator="equal">
      <formula>"Napkin Hs"</formula>
    </cfRule>
  </conditionalFormatting>
  <conditionalFormatting sqref="C16:C17">
    <cfRule type="cellIs" dxfId="13699" priority="8062" stopIfTrue="1" operator="equal">
      <formula>"Towel"</formula>
    </cfRule>
    <cfRule type="cellIs" dxfId="13698" priority="8063" stopIfTrue="1" operator="equal">
      <formula>"Napkin Hs"</formula>
    </cfRule>
  </conditionalFormatting>
  <conditionalFormatting sqref="C16:C19">
    <cfRule type="cellIs" dxfId="13697" priority="8076" stopIfTrue="1" operator="equal">
      <formula>"Towel"</formula>
    </cfRule>
    <cfRule type="cellIs" dxfId="13696" priority="8077" stopIfTrue="1" operator="equal">
      <formula>"Napkin Hs"</formula>
    </cfRule>
    <cfRule type="cellIs" dxfId="13695" priority="8078" stopIfTrue="1" operator="equal">
      <formula>"Towel"</formula>
    </cfRule>
    <cfRule type="cellIs" dxfId="13694" priority="8079" stopIfTrue="1" operator="equal">
      <formula>"Napkin Hs"</formula>
    </cfRule>
  </conditionalFormatting>
  <conditionalFormatting sqref="C17">
    <cfRule type="cellIs" dxfId="13693" priority="8072" stopIfTrue="1" operator="equal">
      <formula>"Towel"</formula>
    </cfRule>
    <cfRule type="cellIs" dxfId="13692" priority="8073" stopIfTrue="1" operator="equal">
      <formula>"Napkin Hs"</formula>
    </cfRule>
  </conditionalFormatting>
  <conditionalFormatting sqref="C19">
    <cfRule type="cellIs" dxfId="13691" priority="8066" stopIfTrue="1" operator="equal">
      <formula>"Towel"</formula>
    </cfRule>
    <cfRule type="cellIs" dxfId="13690" priority="8067" stopIfTrue="1" operator="equal">
      <formula>"Napkin Hs"</formula>
    </cfRule>
  </conditionalFormatting>
  <conditionalFormatting sqref="C19:C25">
    <cfRule type="cellIs" dxfId="13689" priority="8022" stopIfTrue="1" operator="equal">
      <formula>"Towel"</formula>
    </cfRule>
    <cfRule type="cellIs" dxfId="13688" priority="8023" stopIfTrue="1" operator="equal">
      <formula>"Napkin Hs"</formula>
    </cfRule>
  </conditionalFormatting>
  <conditionalFormatting sqref="C20:C25">
    <cfRule type="cellIs" dxfId="13687" priority="8014" stopIfTrue="1" operator="equal">
      <formula>"Towel"</formula>
    </cfRule>
    <cfRule type="cellIs" dxfId="13686" priority="8015" stopIfTrue="1" operator="equal">
      <formula>"Napkin Hs"</formula>
    </cfRule>
    <cfRule type="cellIs" dxfId="13685" priority="8016" stopIfTrue="1" operator="equal">
      <formula>"Towel"</formula>
    </cfRule>
    <cfRule type="cellIs" dxfId="13684" priority="8017" stopIfTrue="1" operator="equal">
      <formula>"Napkin Hs"</formula>
    </cfRule>
    <cfRule type="cellIs" dxfId="13683" priority="8018" stopIfTrue="1" operator="equal">
      <formula>"Towel"</formula>
    </cfRule>
    <cfRule type="cellIs" dxfId="13682" priority="8019" stopIfTrue="1" operator="equal">
      <formula>"Napkin Hs"</formula>
    </cfRule>
    <cfRule type="cellIs" dxfId="13681" priority="8020" stopIfTrue="1" operator="equal">
      <formula>"Towel"</formula>
    </cfRule>
    <cfRule type="cellIs" dxfId="13680" priority="8021" stopIfTrue="1" operator="equal">
      <formula>"Napkin Hs"</formula>
    </cfRule>
  </conditionalFormatting>
  <conditionalFormatting sqref="C21 B22:C23">
    <cfRule type="cellIs" dxfId="13679" priority="8040" stopIfTrue="1" operator="equal">
      <formula>"Towel"</formula>
    </cfRule>
    <cfRule type="cellIs" dxfId="13678" priority="8041" stopIfTrue="1" operator="equal">
      <formula>"Napkin Hs"</formula>
    </cfRule>
  </conditionalFormatting>
  <conditionalFormatting sqref="C21">
    <cfRule type="cellIs" dxfId="13677" priority="8024" stopIfTrue="1" operator="equal">
      <formula>"Towel"</formula>
    </cfRule>
    <cfRule type="cellIs" dxfId="13676" priority="8025" stopIfTrue="1" operator="equal">
      <formula>"Napkin Hs"</formula>
    </cfRule>
    <cfRule type="cellIs" dxfId="13675" priority="8026" stopIfTrue="1" operator="equal">
      <formula>"Towel"</formula>
    </cfRule>
    <cfRule type="cellIs" dxfId="13674" priority="8027" stopIfTrue="1" operator="equal">
      <formula>"Napkin Hs"</formula>
    </cfRule>
  </conditionalFormatting>
  <conditionalFormatting sqref="C21:C22">
    <cfRule type="cellIs" dxfId="13673" priority="8028" stopIfTrue="1" operator="equal">
      <formula>"Towel"</formula>
    </cfRule>
    <cfRule type="cellIs" dxfId="13672" priority="8029" stopIfTrue="1" operator="equal">
      <formula>"Napkin Hs"</formula>
    </cfRule>
  </conditionalFormatting>
  <conditionalFormatting sqref="C21:C23">
    <cfRule type="cellIs" dxfId="13671" priority="8036" stopIfTrue="1" operator="equal">
      <formula>"Towel"</formula>
    </cfRule>
    <cfRule type="cellIs" dxfId="13670" priority="8037" stopIfTrue="1" operator="equal">
      <formula>"Napkin Hs"</formula>
    </cfRule>
    <cfRule type="cellIs" dxfId="13669" priority="8038" stopIfTrue="1" operator="equal">
      <formula>"Towel"</formula>
    </cfRule>
    <cfRule type="cellIs" dxfId="13668" priority="8039" stopIfTrue="1" operator="equal">
      <formula>"Napkin Hs"</formula>
    </cfRule>
  </conditionalFormatting>
  <conditionalFormatting sqref="C22">
    <cfRule type="cellIs" dxfId="13667" priority="8032" stopIfTrue="1" operator="equal">
      <formula>"Towel"</formula>
    </cfRule>
    <cfRule type="cellIs" dxfId="13666" priority="8033" stopIfTrue="1" operator="equal">
      <formula>"Napkin Hs"</formula>
    </cfRule>
  </conditionalFormatting>
  <conditionalFormatting sqref="C24:C26">
    <cfRule type="cellIs" dxfId="13665" priority="8194" stopIfTrue="1" operator="equal">
      <formula>"Towel"</formula>
    </cfRule>
    <cfRule type="cellIs" dxfId="13664" priority="8195" stopIfTrue="1" operator="equal">
      <formula>"Napkin Hs"</formula>
    </cfRule>
    <cfRule type="cellIs" dxfId="13663" priority="11862" stopIfTrue="1" operator="equal">
      <formula>"Towel"</formula>
    </cfRule>
    <cfRule type="cellIs" dxfId="13662" priority="11863" stopIfTrue="1" operator="equal">
      <formula>"Napkin Hs"</formula>
    </cfRule>
  </conditionalFormatting>
  <conditionalFormatting sqref="C25">
    <cfRule type="cellIs" dxfId="13661" priority="8192" stopIfTrue="1" operator="equal">
      <formula>"Towel"</formula>
    </cfRule>
    <cfRule type="cellIs" dxfId="13660" priority="8193" stopIfTrue="1" operator="equal">
      <formula>"Napkin Hs"</formula>
    </cfRule>
  </conditionalFormatting>
  <conditionalFormatting sqref="C26">
    <cfRule type="cellIs" dxfId="13659" priority="8200" stopIfTrue="1" operator="equal">
      <formula>"Towel"</formula>
    </cfRule>
    <cfRule type="cellIs" dxfId="13658" priority="8201" stopIfTrue="1" operator="equal">
      <formula>"Napkin Hs"</formula>
    </cfRule>
  </conditionalFormatting>
  <conditionalFormatting sqref="C27">
    <cfRule type="cellIs" dxfId="13657" priority="7962" stopIfTrue="1" operator="equal">
      <formula>"Towel"</formula>
    </cfRule>
    <cfRule type="cellIs" dxfId="13656" priority="7963" stopIfTrue="1" operator="equal">
      <formula>"Napkin Hs"</formula>
    </cfRule>
    <cfRule type="cellIs" dxfId="13655" priority="7964" stopIfTrue="1" operator="equal">
      <formula>"Towel"</formula>
    </cfRule>
    <cfRule type="cellIs" dxfId="13654" priority="7965" stopIfTrue="1" operator="equal">
      <formula>"Napkin Hs"</formula>
    </cfRule>
    <cfRule type="cellIs" dxfId="13653" priority="7966" stopIfTrue="1" operator="equal">
      <formula>"Towel"</formula>
    </cfRule>
    <cfRule type="cellIs" dxfId="13652" priority="7967" stopIfTrue="1" operator="equal">
      <formula>"Napkin Hs"</formula>
    </cfRule>
    <cfRule type="cellIs" dxfId="13651" priority="7968" stopIfTrue="1" operator="equal">
      <formula>"Towel"</formula>
    </cfRule>
    <cfRule type="cellIs" dxfId="13650" priority="7969" stopIfTrue="1" operator="equal">
      <formula>"Napkin Hs"</formula>
    </cfRule>
    <cfRule type="cellIs" dxfId="13649" priority="7970" stopIfTrue="1" operator="equal">
      <formula>"Towel"</formula>
    </cfRule>
    <cfRule type="cellIs" dxfId="13648" priority="7971" stopIfTrue="1" operator="equal">
      <formula>"Napkin Hs"</formula>
    </cfRule>
    <cfRule type="cellIs" dxfId="13647" priority="7972" stopIfTrue="1" operator="equal">
      <formula>"Towel"</formula>
    </cfRule>
    <cfRule type="cellIs" dxfId="13646" priority="7973" stopIfTrue="1" operator="equal">
      <formula>"Napkin Hs"</formula>
    </cfRule>
    <cfRule type="cellIs" dxfId="13645" priority="7974" stopIfTrue="1" operator="equal">
      <formula>"Towel"</formula>
    </cfRule>
    <cfRule type="cellIs" dxfId="13644" priority="7975" stopIfTrue="1" operator="equal">
      <formula>"Napkin Hs"</formula>
    </cfRule>
  </conditionalFormatting>
  <conditionalFormatting sqref="C28">
    <cfRule type="cellIs" dxfId="13643" priority="7942" stopIfTrue="1" operator="equal">
      <formula>"Towel"</formula>
    </cfRule>
    <cfRule type="cellIs" dxfId="13642" priority="7943" stopIfTrue="1" operator="equal">
      <formula>"Napkin Hs"</formula>
    </cfRule>
    <cfRule type="cellIs" dxfId="13641" priority="7944" stopIfTrue="1" operator="equal">
      <formula>"Towel"</formula>
    </cfRule>
    <cfRule type="cellIs" dxfId="13640" priority="7945" stopIfTrue="1" operator="equal">
      <formula>"Napkin Hs"</formula>
    </cfRule>
    <cfRule type="cellIs" dxfId="13639" priority="7946" stopIfTrue="1" operator="equal">
      <formula>"Towel"</formula>
    </cfRule>
    <cfRule type="cellIs" dxfId="13638" priority="7947" stopIfTrue="1" operator="equal">
      <formula>"Napkin Hs"</formula>
    </cfRule>
    <cfRule type="cellIs" dxfId="13637" priority="7948" stopIfTrue="1" operator="equal">
      <formula>"Towel"</formula>
    </cfRule>
    <cfRule type="cellIs" dxfId="13636" priority="7949" stopIfTrue="1" operator="equal">
      <formula>"Napkin Hs"</formula>
    </cfRule>
    <cfRule type="cellIs" dxfId="13635" priority="7950" stopIfTrue="1" operator="equal">
      <formula>"Towel"</formula>
    </cfRule>
    <cfRule type="cellIs" dxfId="13634" priority="7951" stopIfTrue="1" operator="equal">
      <formula>"Napkin Hs"</formula>
    </cfRule>
    <cfRule type="cellIs" dxfId="13633" priority="7952" stopIfTrue="1" operator="equal">
      <formula>"Towel"</formula>
    </cfRule>
    <cfRule type="cellIs" dxfId="13632" priority="7953" stopIfTrue="1" operator="equal">
      <formula>"Napkin Hs"</formula>
    </cfRule>
  </conditionalFormatting>
  <conditionalFormatting sqref="C28:C29">
    <cfRule type="cellIs" dxfId="13631" priority="7954" stopIfTrue="1" operator="equal">
      <formula>"Towel"</formula>
    </cfRule>
    <cfRule type="cellIs" dxfId="13630" priority="7955" stopIfTrue="1" operator="equal">
      <formula>"Napkin Hs"</formula>
    </cfRule>
  </conditionalFormatting>
  <conditionalFormatting sqref="C29">
    <cfRule type="cellIs" dxfId="13629" priority="8000" stopIfTrue="1" operator="equal">
      <formula>"Towel"</formula>
    </cfRule>
    <cfRule type="cellIs" dxfId="13628" priority="8001" stopIfTrue="1" operator="equal">
      <formula>"Napkin Hs"</formula>
    </cfRule>
    <cfRule type="cellIs" dxfId="13627" priority="8004" stopIfTrue="1" operator="equal">
      <formula>"Towel"</formula>
    </cfRule>
    <cfRule type="cellIs" dxfId="13626" priority="8005" stopIfTrue="1" operator="equal">
      <formula>"Napkin Hs"</formula>
    </cfRule>
    <cfRule type="cellIs" dxfId="13625" priority="8006" stopIfTrue="1" operator="equal">
      <formula>"Towel"</formula>
    </cfRule>
    <cfRule type="cellIs" dxfId="13624" priority="8007" stopIfTrue="1" operator="equal">
      <formula>"Napkin Hs"</formula>
    </cfRule>
  </conditionalFormatting>
  <conditionalFormatting sqref="C30">
    <cfRule type="cellIs" dxfId="13623" priority="8152" stopIfTrue="1" operator="equal">
      <formula>"Towel"</formula>
    </cfRule>
    <cfRule type="cellIs" dxfId="13622" priority="8153" stopIfTrue="1" operator="equal">
      <formula>"Napkin Hs"</formula>
    </cfRule>
    <cfRule type="cellIs" dxfId="13621" priority="8174" stopIfTrue="1" operator="equal">
      <formula>"Towel"</formula>
    </cfRule>
    <cfRule type="cellIs" dxfId="13620" priority="8175" stopIfTrue="1" operator="equal">
      <formula>"Napkin Hs"</formula>
    </cfRule>
    <cfRule type="cellIs" dxfId="13619" priority="8176" stopIfTrue="1" operator="equal">
      <formula>"Towel"</formula>
    </cfRule>
    <cfRule type="cellIs" dxfId="13618" priority="8177" stopIfTrue="1" operator="equal">
      <formula>"Napkin Hs"</formula>
    </cfRule>
  </conditionalFormatting>
  <conditionalFormatting sqref="C30:C32">
    <cfRule type="cellIs" dxfId="13617" priority="8134" stopIfTrue="1" operator="equal">
      <formula>"Towel"</formula>
    </cfRule>
    <cfRule type="cellIs" dxfId="13616" priority="8135" stopIfTrue="1" operator="equal">
      <formula>"Napkin Hs"</formula>
    </cfRule>
  </conditionalFormatting>
  <conditionalFormatting sqref="C31">
    <cfRule type="cellIs" dxfId="13615" priority="8132" stopIfTrue="1" operator="equal">
      <formula>"Towel"</formula>
    </cfRule>
    <cfRule type="cellIs" dxfId="13614" priority="8133" stopIfTrue="1" operator="equal">
      <formula>"Napkin Hs"</formula>
    </cfRule>
  </conditionalFormatting>
  <conditionalFormatting sqref="C32">
    <cfRule type="cellIs" dxfId="13613" priority="8164" stopIfTrue="1" operator="equal">
      <formula>"Towel"</formula>
    </cfRule>
    <cfRule type="cellIs" dxfId="13612" priority="8165" stopIfTrue="1" operator="equal">
      <formula>"Napkin Hs"</formula>
    </cfRule>
    <cfRule type="cellIs" dxfId="13611" priority="8168" stopIfTrue="1" operator="equal">
      <formula>"Towel"</formula>
    </cfRule>
    <cfRule type="cellIs" dxfId="13610" priority="8169" stopIfTrue="1" operator="equal">
      <formula>"Napkin Hs"</formula>
    </cfRule>
    <cfRule type="cellIs" dxfId="13609" priority="8170" stopIfTrue="1" operator="equal">
      <formula>"Towel"</formula>
    </cfRule>
    <cfRule type="cellIs" dxfId="13608" priority="8171" stopIfTrue="1" operator="equal">
      <formula>"Napkin Hs"</formula>
    </cfRule>
  </conditionalFormatting>
  <conditionalFormatting sqref="C33">
    <cfRule type="cellIs" dxfId="13607" priority="7856" stopIfTrue="1" operator="equal">
      <formula>"Towel"</formula>
    </cfRule>
    <cfRule type="cellIs" dxfId="13606" priority="7857" stopIfTrue="1" operator="equal">
      <formula>"Napkin Hs"</formula>
    </cfRule>
    <cfRule type="cellIs" dxfId="13605" priority="7858" stopIfTrue="1" operator="equal">
      <formula>"Towel"</formula>
    </cfRule>
    <cfRule type="cellIs" dxfId="13604" priority="7859" stopIfTrue="1" operator="equal">
      <formula>"Napkin Hs"</formula>
    </cfRule>
    <cfRule type="cellIs" dxfId="13603" priority="7860" stopIfTrue="1" operator="equal">
      <formula>"Towel"</formula>
    </cfRule>
    <cfRule type="cellIs" dxfId="13602" priority="7861" stopIfTrue="1" operator="equal">
      <formula>"Napkin Hs"</formula>
    </cfRule>
    <cfRule type="cellIs" dxfId="13601" priority="7862" stopIfTrue="1" operator="equal">
      <formula>"Towel"</formula>
    </cfRule>
    <cfRule type="cellIs" dxfId="13600" priority="7863" stopIfTrue="1" operator="equal">
      <formula>"Napkin Hs"</formula>
    </cfRule>
    <cfRule type="cellIs" dxfId="13599" priority="7864" stopIfTrue="1" operator="equal">
      <formula>"Towel"</formula>
    </cfRule>
    <cfRule type="cellIs" dxfId="13598" priority="7865" stopIfTrue="1" operator="equal">
      <formula>"Napkin Hs"</formula>
    </cfRule>
    <cfRule type="cellIs" dxfId="13597" priority="7866" stopIfTrue="1" operator="equal">
      <formula>"Towel"</formula>
    </cfRule>
    <cfRule type="cellIs" dxfId="13596" priority="7867" stopIfTrue="1" operator="equal">
      <formula>"Napkin Hs"</formula>
    </cfRule>
    <cfRule type="cellIs" dxfId="13595" priority="7868" stopIfTrue="1" operator="equal">
      <formula>"Towel"</formula>
    </cfRule>
    <cfRule type="cellIs" dxfId="13594" priority="7869" stopIfTrue="1" operator="equal">
      <formula>"Napkin Hs"</formula>
    </cfRule>
  </conditionalFormatting>
  <conditionalFormatting sqref="C33:C34">
    <cfRule type="cellIs" dxfId="13593" priority="7870" stopIfTrue="1" operator="equal">
      <formula>"Towel"</formula>
    </cfRule>
    <cfRule type="cellIs" dxfId="13592" priority="7871" stopIfTrue="1" operator="equal">
      <formula>"Napkin Hs"</formula>
    </cfRule>
  </conditionalFormatting>
  <conditionalFormatting sqref="C34">
    <cfRule type="cellIs" dxfId="13591" priority="7878" stopIfTrue="1" operator="equal">
      <formula>"Towel"</formula>
    </cfRule>
    <cfRule type="cellIs" dxfId="13590" priority="7879" stopIfTrue="1" operator="equal">
      <formula>"Napkin Hs"</formula>
    </cfRule>
    <cfRule type="cellIs" dxfId="13589" priority="7880" stopIfTrue="1" operator="equal">
      <formula>"Towel"</formula>
    </cfRule>
    <cfRule type="cellIs" dxfId="13588" priority="7881" stopIfTrue="1" operator="equal">
      <formula>"Napkin Hs"</formula>
    </cfRule>
    <cfRule type="cellIs" dxfId="13587" priority="7882" stopIfTrue="1" operator="equal">
      <formula>"Towel"</formula>
    </cfRule>
    <cfRule type="cellIs" dxfId="13586" priority="7883" stopIfTrue="1" operator="equal">
      <formula>"Napkin Hs"</formula>
    </cfRule>
    <cfRule type="cellIs" dxfId="13585" priority="7884" stopIfTrue="1" operator="equal">
      <formula>"Towel"</formula>
    </cfRule>
    <cfRule type="cellIs" dxfId="13584" priority="7885" stopIfTrue="1" operator="equal">
      <formula>"Napkin Hs"</formula>
    </cfRule>
    <cfRule type="cellIs" dxfId="13583" priority="7886" stopIfTrue="1" operator="equal">
      <formula>"Towel"</formula>
    </cfRule>
    <cfRule type="cellIs" dxfId="13582" priority="7887" stopIfTrue="1" operator="equal">
      <formula>"Napkin Hs"</formula>
    </cfRule>
    <cfRule type="cellIs" dxfId="13581" priority="7888" stopIfTrue="1" operator="equal">
      <formula>"Towel"</formula>
    </cfRule>
    <cfRule type="cellIs" dxfId="13580" priority="7889" stopIfTrue="1" operator="equal">
      <formula>"Napkin Hs"</formula>
    </cfRule>
    <cfRule type="cellIs" dxfId="13579" priority="7890" stopIfTrue="1" operator="equal">
      <formula>"Towel"</formula>
    </cfRule>
    <cfRule type="cellIs" dxfId="13578" priority="7891" stopIfTrue="1" operator="equal">
      <formula>"Napkin Hs"</formula>
    </cfRule>
  </conditionalFormatting>
  <conditionalFormatting sqref="C35">
    <cfRule type="cellIs" dxfId="13577" priority="7916" stopIfTrue="1" operator="equal">
      <formula>"Towel"</formula>
    </cfRule>
    <cfRule type="cellIs" dxfId="13576" priority="7917" stopIfTrue="1" operator="equal">
      <formula>"Napkin Hs"</formula>
    </cfRule>
    <cfRule type="cellIs" dxfId="13575" priority="7918" stopIfTrue="1" operator="equal">
      <formula>"Towel"</formula>
    </cfRule>
    <cfRule type="cellIs" dxfId="13574" priority="7919" stopIfTrue="1" operator="equal">
      <formula>"Napkin Hs"</formula>
    </cfRule>
    <cfRule type="cellIs" dxfId="13573" priority="7920" stopIfTrue="1" operator="equal">
      <formula>"Towel"</formula>
    </cfRule>
    <cfRule type="cellIs" dxfId="13572" priority="7921" stopIfTrue="1" operator="equal">
      <formula>"Napkin Hs"</formula>
    </cfRule>
    <cfRule type="cellIs" dxfId="13571" priority="7922" stopIfTrue="1" operator="equal">
      <formula>"Towel"</formula>
    </cfRule>
    <cfRule type="cellIs" dxfId="13570" priority="7923" stopIfTrue="1" operator="equal">
      <formula>"Napkin Hs"</formula>
    </cfRule>
  </conditionalFormatting>
  <conditionalFormatting sqref="C35:C36">
    <cfRule type="cellIs" dxfId="13569" priority="7924" stopIfTrue="1" operator="equal">
      <formula>"Towel"</formula>
    </cfRule>
    <cfRule type="cellIs" dxfId="13568" priority="7925" stopIfTrue="1" operator="equal">
      <formula>"Napkin Hs"</formula>
    </cfRule>
  </conditionalFormatting>
  <conditionalFormatting sqref="C36">
    <cfRule type="cellIs" dxfId="13567" priority="7928" stopIfTrue="1" operator="equal">
      <formula>"Towel"</formula>
    </cfRule>
    <cfRule type="cellIs" dxfId="13566" priority="7929" stopIfTrue="1" operator="equal">
      <formula>"Napkin Hs"</formula>
    </cfRule>
    <cfRule type="cellIs" dxfId="13565" priority="7932" stopIfTrue="1" operator="equal">
      <formula>"Towel"</formula>
    </cfRule>
    <cfRule type="cellIs" dxfId="13564" priority="7933" stopIfTrue="1" operator="equal">
      <formula>"Napkin Hs"</formula>
    </cfRule>
  </conditionalFormatting>
  <conditionalFormatting sqref="C36:C37">
    <cfRule type="cellIs" dxfId="13563" priority="7934" stopIfTrue="1" operator="equal">
      <formula>"Towel"</formula>
    </cfRule>
    <cfRule type="cellIs" dxfId="13562" priority="7935" stopIfTrue="1" operator="equal">
      <formula>"Napkin Hs"</formula>
    </cfRule>
  </conditionalFormatting>
  <conditionalFormatting sqref="C37">
    <cfRule type="cellIs" dxfId="13561" priority="11758" stopIfTrue="1" operator="equal">
      <formula>"Towel"</formula>
    </cfRule>
    <cfRule type="cellIs" dxfId="13560" priority="11759" stopIfTrue="1" operator="equal">
      <formula>"Napkin Hs"</formula>
    </cfRule>
    <cfRule type="cellIs" dxfId="13559" priority="11780" stopIfTrue="1" operator="equal">
      <formula>"Towel"</formula>
    </cfRule>
    <cfRule type="cellIs" dxfId="13558" priority="11781" stopIfTrue="1" operator="equal">
      <formula>"Napkin Hs"</formula>
    </cfRule>
    <cfRule type="cellIs" dxfId="13557" priority="11782" stopIfTrue="1" operator="equal">
      <formula>"Towel"</formula>
    </cfRule>
    <cfRule type="cellIs" dxfId="13556" priority="11783" stopIfTrue="1" operator="equal">
      <formula>"Napkin Hs"</formula>
    </cfRule>
    <cfRule type="cellIs" dxfId="13555" priority="12316" stopIfTrue="1" operator="equal">
      <formula>"Towel"</formula>
    </cfRule>
    <cfRule type="cellIs" dxfId="13554" priority="12317" stopIfTrue="1" operator="equal">
      <formula>"Napkin Hs"</formula>
    </cfRule>
    <cfRule type="cellIs" dxfId="13553" priority="12322" stopIfTrue="1" operator="equal">
      <formula>"Towel"</formula>
    </cfRule>
    <cfRule type="cellIs" dxfId="13552" priority="12323" stopIfTrue="1" operator="equal">
      <formula>"Napkin Hs"</formula>
    </cfRule>
  </conditionalFormatting>
  <conditionalFormatting sqref="C38">
    <cfRule type="cellIs" dxfId="13551" priority="7754" stopIfTrue="1" operator="equal">
      <formula>"Towel"</formula>
    </cfRule>
    <cfRule type="cellIs" dxfId="13550" priority="7755" stopIfTrue="1" operator="equal">
      <formula>"Napkin Hs"</formula>
    </cfRule>
    <cfRule type="cellIs" dxfId="13549" priority="7756" stopIfTrue="1" operator="equal">
      <formula>"Towel"</formula>
    </cfRule>
    <cfRule type="cellIs" dxfId="13548" priority="7757" stopIfTrue="1" operator="equal">
      <formula>"Napkin Hs"</formula>
    </cfRule>
    <cfRule type="cellIs" dxfId="13547" priority="7758" stopIfTrue="1" operator="equal">
      <formula>"Towel"</formula>
    </cfRule>
    <cfRule type="cellIs" dxfId="13546" priority="7759" stopIfTrue="1" operator="equal">
      <formula>"Napkin Hs"</formula>
    </cfRule>
    <cfRule type="cellIs" dxfId="13545" priority="7760" stopIfTrue="1" operator="equal">
      <formula>"Towel"</formula>
    </cfRule>
    <cfRule type="cellIs" dxfId="13544" priority="7761" stopIfTrue="1" operator="equal">
      <formula>"Napkin Hs"</formula>
    </cfRule>
    <cfRule type="cellIs" dxfId="13543" priority="7762" stopIfTrue="1" operator="equal">
      <formula>"Towel"</formula>
    </cfRule>
    <cfRule type="cellIs" dxfId="13542" priority="7763" stopIfTrue="1" operator="equal">
      <formula>"Napkin Hs"</formula>
    </cfRule>
    <cfRule type="cellIs" dxfId="13541" priority="7764" stopIfTrue="1" operator="equal">
      <formula>"Towel"</formula>
    </cfRule>
    <cfRule type="cellIs" dxfId="13540" priority="7765" stopIfTrue="1" operator="equal">
      <formula>"Napkin Hs"</formula>
    </cfRule>
    <cfRule type="cellIs" dxfId="13539" priority="7766" stopIfTrue="1" operator="equal">
      <formula>"Towel"</formula>
    </cfRule>
    <cfRule type="cellIs" dxfId="13538" priority="7767" stopIfTrue="1" operator="equal">
      <formula>"Napkin Hs"</formula>
    </cfRule>
  </conditionalFormatting>
  <conditionalFormatting sqref="C38:C39">
    <cfRule type="cellIs" dxfId="13537" priority="7768" stopIfTrue="1" operator="equal">
      <formula>"Towel"</formula>
    </cfRule>
    <cfRule type="cellIs" dxfId="13536" priority="7769" stopIfTrue="1" operator="equal">
      <formula>"Napkin Hs"</formula>
    </cfRule>
  </conditionalFormatting>
  <conditionalFormatting sqref="C39">
    <cfRule type="cellIs" dxfId="13535" priority="7796" stopIfTrue="1" operator="equal">
      <formula>"Towel"</formula>
    </cfRule>
    <cfRule type="cellIs" dxfId="13534" priority="7797" stopIfTrue="1" operator="equal">
      <formula>"Napkin Hs"</formula>
    </cfRule>
    <cfRule type="cellIs" dxfId="13533" priority="7798" stopIfTrue="1" operator="equal">
      <formula>"Towel"</formula>
    </cfRule>
    <cfRule type="cellIs" dxfId="13532" priority="7799" stopIfTrue="1" operator="equal">
      <formula>"Napkin Hs"</formula>
    </cfRule>
    <cfRule type="cellIs" dxfId="13531" priority="7800" stopIfTrue="1" operator="equal">
      <formula>"Towel"</formula>
    </cfRule>
    <cfRule type="cellIs" dxfId="13530" priority="7801" stopIfTrue="1" operator="equal">
      <formula>"Napkin Hs"</formula>
    </cfRule>
    <cfRule type="cellIs" dxfId="13529" priority="7802" stopIfTrue="1" operator="equal">
      <formula>"Towel"</formula>
    </cfRule>
    <cfRule type="cellIs" dxfId="13528" priority="7803" stopIfTrue="1" operator="equal">
      <formula>"Napkin Hs"</formula>
    </cfRule>
    <cfRule type="cellIs" dxfId="13527" priority="7804" stopIfTrue="1" operator="equal">
      <formula>"Towel"</formula>
    </cfRule>
    <cfRule type="cellIs" dxfId="13526" priority="7805" stopIfTrue="1" operator="equal">
      <formula>"Napkin Hs"</formula>
    </cfRule>
    <cfRule type="cellIs" dxfId="13525" priority="7806" stopIfTrue="1" operator="equal">
      <formula>"Towel"</formula>
    </cfRule>
    <cfRule type="cellIs" dxfId="13524" priority="7807" stopIfTrue="1" operator="equal">
      <formula>"Napkin Hs"</formula>
    </cfRule>
    <cfRule type="cellIs" dxfId="13523" priority="7808" stopIfTrue="1" operator="equal">
      <formula>"Towel"</formula>
    </cfRule>
    <cfRule type="cellIs" dxfId="13522" priority="7809" stopIfTrue="1" operator="equal">
      <formula>"Napkin Hs"</formula>
    </cfRule>
  </conditionalFormatting>
  <conditionalFormatting sqref="C40">
    <cfRule type="cellIs" dxfId="13521" priority="7814" stopIfTrue="1" operator="equal">
      <formula>"Towel"</formula>
    </cfRule>
    <cfRule type="cellIs" dxfId="13520" priority="7815" stopIfTrue="1" operator="equal">
      <formula>"Napkin Hs"</formula>
    </cfRule>
    <cfRule type="cellIs" dxfId="13519" priority="7816" stopIfTrue="1" operator="equal">
      <formula>"Towel"</formula>
    </cfRule>
    <cfRule type="cellIs" dxfId="13518" priority="7817" stopIfTrue="1" operator="equal">
      <formula>"Napkin Hs"</formula>
    </cfRule>
    <cfRule type="cellIs" dxfId="13517" priority="7818" stopIfTrue="1" operator="equal">
      <formula>"Towel"</formula>
    </cfRule>
    <cfRule type="cellIs" dxfId="13516" priority="7819" stopIfTrue="1" operator="equal">
      <formula>"Napkin Hs"</formula>
    </cfRule>
    <cfRule type="cellIs" dxfId="13515" priority="7820" stopIfTrue="1" operator="equal">
      <formula>"Towel"</formula>
    </cfRule>
    <cfRule type="cellIs" dxfId="13514" priority="7821" stopIfTrue="1" operator="equal">
      <formula>"Napkin Hs"</formula>
    </cfRule>
  </conditionalFormatting>
  <conditionalFormatting sqref="C40:C41">
    <cfRule type="cellIs" dxfId="13513" priority="7822" stopIfTrue="1" operator="equal">
      <formula>"Towel"</formula>
    </cfRule>
    <cfRule type="cellIs" dxfId="13512" priority="7823" stopIfTrue="1" operator="equal">
      <formula>"Napkin Hs"</formula>
    </cfRule>
  </conditionalFormatting>
  <conditionalFormatting sqref="C41">
    <cfRule type="cellIs" dxfId="13511" priority="7826" stopIfTrue="1" operator="equal">
      <formula>"Towel"</formula>
    </cfRule>
    <cfRule type="cellIs" dxfId="13510" priority="7827" stopIfTrue="1" operator="equal">
      <formula>"Napkin Hs"</formula>
    </cfRule>
    <cfRule type="cellIs" dxfId="13509" priority="7830" stopIfTrue="1" operator="equal">
      <formula>"Towel"</formula>
    </cfRule>
    <cfRule type="cellIs" dxfId="13508" priority="7831" stopIfTrue="1" operator="equal">
      <formula>"Napkin Hs"</formula>
    </cfRule>
    <cfRule type="cellIs" dxfId="13507" priority="7832" stopIfTrue="1" operator="equal">
      <formula>"Towel"</formula>
    </cfRule>
    <cfRule type="cellIs" dxfId="13506" priority="7833" stopIfTrue="1" operator="equal">
      <formula>"Napkin Hs"</formula>
    </cfRule>
  </conditionalFormatting>
  <conditionalFormatting sqref="C42">
    <cfRule type="cellIs" dxfId="13505" priority="7610" stopIfTrue="1" operator="equal">
      <formula>"Towel"</formula>
    </cfRule>
    <cfRule type="cellIs" dxfId="13504" priority="7611" stopIfTrue="1" operator="equal">
      <formula>"Napkin Hs"</formula>
    </cfRule>
    <cfRule type="cellIs" dxfId="13503" priority="7612" stopIfTrue="1" operator="equal">
      <formula>"Towel"</formula>
    </cfRule>
    <cfRule type="cellIs" dxfId="13502" priority="7613" stopIfTrue="1" operator="equal">
      <formula>"Napkin Hs"</formula>
    </cfRule>
    <cfRule type="cellIs" dxfId="13501" priority="7614" stopIfTrue="1" operator="equal">
      <formula>"Towel"</formula>
    </cfRule>
    <cfRule type="cellIs" dxfId="13500" priority="7615" stopIfTrue="1" operator="equal">
      <formula>"Napkin Hs"</formula>
    </cfRule>
    <cfRule type="cellIs" dxfId="13499" priority="7616" stopIfTrue="1" operator="equal">
      <formula>"Towel"</formula>
    </cfRule>
    <cfRule type="cellIs" dxfId="13498" priority="7617" stopIfTrue="1" operator="equal">
      <formula>"Napkin Hs"</formula>
    </cfRule>
    <cfRule type="cellIs" dxfId="13497" priority="7618" stopIfTrue="1" operator="equal">
      <formula>"Towel"</formula>
    </cfRule>
    <cfRule type="cellIs" dxfId="13496" priority="7619" stopIfTrue="1" operator="equal">
      <formula>"Napkin Hs"</formula>
    </cfRule>
    <cfRule type="cellIs" dxfId="13495" priority="7620" stopIfTrue="1" operator="equal">
      <formula>"Towel"</formula>
    </cfRule>
    <cfRule type="cellIs" dxfId="13494" priority="7621" stopIfTrue="1" operator="equal">
      <formula>"Napkin Hs"</formula>
    </cfRule>
    <cfRule type="cellIs" dxfId="13493" priority="7622" stopIfTrue="1" operator="equal">
      <formula>"Towel"</formula>
    </cfRule>
    <cfRule type="cellIs" dxfId="13492" priority="7623" stopIfTrue="1" operator="equal">
      <formula>"Napkin Hs"</formula>
    </cfRule>
    <cfRule type="cellIs" dxfId="13491" priority="7624" stopIfTrue="1" operator="equal">
      <formula>"Towel"</formula>
    </cfRule>
    <cfRule type="cellIs" dxfId="13490" priority="7625" stopIfTrue="1" operator="equal">
      <formula>"Napkin Hs"</formula>
    </cfRule>
    <cfRule type="cellIs" dxfId="13489" priority="7628" stopIfTrue="1" operator="equal">
      <formula>"Towel"</formula>
    </cfRule>
    <cfRule type="cellIs" dxfId="13488" priority="7629" stopIfTrue="1" operator="equal">
      <formula>"Napkin Hs"</formula>
    </cfRule>
    <cfRule type="cellIs" dxfId="13487" priority="7630" stopIfTrue="1" operator="equal">
      <formula>"Towel"</formula>
    </cfRule>
    <cfRule type="cellIs" dxfId="13486" priority="7631" stopIfTrue="1" operator="equal">
      <formula>"Napkin Hs"</formula>
    </cfRule>
    <cfRule type="cellIs" dxfId="13485" priority="7634" stopIfTrue="1" operator="equal">
      <formula>"Towel"</formula>
    </cfRule>
    <cfRule type="cellIs" dxfId="13484" priority="7635" stopIfTrue="1" operator="equal">
      <formula>"Napkin Hs"</formula>
    </cfRule>
    <cfRule type="cellIs" dxfId="13483" priority="7636" stopIfTrue="1" operator="equal">
      <formula>"Towel"</formula>
    </cfRule>
    <cfRule type="cellIs" dxfId="13482" priority="7637" stopIfTrue="1" operator="equal">
      <formula>"Napkin Hs"</formula>
    </cfRule>
    <cfRule type="cellIs" dxfId="13481" priority="7640" stopIfTrue="1" operator="equal">
      <formula>"Towel"</formula>
    </cfRule>
    <cfRule type="cellIs" dxfId="13480" priority="7641" stopIfTrue="1" operator="equal">
      <formula>"Napkin Hs"</formula>
    </cfRule>
    <cfRule type="cellIs" dxfId="13479" priority="7642" stopIfTrue="1" operator="equal">
      <formula>"Towel"</formula>
    </cfRule>
    <cfRule type="cellIs" dxfId="13478" priority="7643" stopIfTrue="1" operator="equal">
      <formula>"Napkin Hs"</formula>
    </cfRule>
    <cfRule type="cellIs" dxfId="13477" priority="7646" stopIfTrue="1" operator="equal">
      <formula>"Towel"</formula>
    </cfRule>
    <cfRule type="cellIs" dxfId="13476" priority="7647" stopIfTrue="1" operator="equal">
      <formula>"Napkin Hs"</formula>
    </cfRule>
    <cfRule type="cellIs" dxfId="13475" priority="7648" stopIfTrue="1" operator="equal">
      <formula>"Towel"</formula>
    </cfRule>
    <cfRule type="cellIs" dxfId="13474" priority="7649" stopIfTrue="1" operator="equal">
      <formula>"Napkin Hs"</formula>
    </cfRule>
    <cfRule type="cellIs" dxfId="13473" priority="7652" stopIfTrue="1" operator="equal">
      <formula>"Towel"</formula>
    </cfRule>
    <cfRule type="cellIs" dxfId="13472" priority="7653" stopIfTrue="1" operator="equal">
      <formula>"Napkin Hs"</formula>
    </cfRule>
    <cfRule type="cellIs" dxfId="13471" priority="7654" stopIfTrue="1" operator="equal">
      <formula>"Towel"</formula>
    </cfRule>
    <cfRule type="cellIs" dxfId="13470" priority="7655" stopIfTrue="1" operator="equal">
      <formula>"Napkin Hs"</formula>
    </cfRule>
    <cfRule type="cellIs" dxfId="13469" priority="7658" stopIfTrue="1" operator="equal">
      <formula>"Towel"</formula>
    </cfRule>
    <cfRule type="cellIs" dxfId="13468" priority="7659" stopIfTrue="1" operator="equal">
      <formula>"Napkin Hs"</formula>
    </cfRule>
    <cfRule type="cellIs" dxfId="13467" priority="7660" stopIfTrue="1" operator="equal">
      <formula>"Towel"</formula>
    </cfRule>
    <cfRule type="cellIs" dxfId="13466" priority="7661" stopIfTrue="1" operator="equal">
      <formula>"Napkin Hs"</formula>
    </cfRule>
    <cfRule type="cellIs" dxfId="13465" priority="7664" stopIfTrue="1" operator="equal">
      <formula>"Towel"</formula>
    </cfRule>
    <cfRule type="cellIs" dxfId="13464" priority="7665" stopIfTrue="1" operator="equal">
      <formula>"Napkin Hs"</formula>
    </cfRule>
  </conditionalFormatting>
  <conditionalFormatting sqref="C42:C43">
    <cfRule type="cellIs" dxfId="13463" priority="7666" stopIfTrue="1" operator="equal">
      <formula>"Towel"</formula>
    </cfRule>
    <cfRule type="cellIs" dxfId="13462" priority="7667" stopIfTrue="1" operator="equal">
      <formula>"Napkin Hs"</formula>
    </cfRule>
  </conditionalFormatting>
  <conditionalFormatting sqref="C43">
    <cfRule type="cellIs" dxfId="13461" priority="7694" stopIfTrue="1" operator="equal">
      <formula>"Towel"</formula>
    </cfRule>
    <cfRule type="cellIs" dxfId="13460" priority="7695" stopIfTrue="1" operator="equal">
      <formula>"Napkin Hs"</formula>
    </cfRule>
    <cfRule type="cellIs" dxfId="13459" priority="7696" stopIfTrue="1" operator="equal">
      <formula>"Towel"</formula>
    </cfRule>
    <cfRule type="cellIs" dxfId="13458" priority="7697" stopIfTrue="1" operator="equal">
      <formula>"Napkin Hs"</formula>
    </cfRule>
    <cfRule type="cellIs" dxfId="13457" priority="7698" stopIfTrue="1" operator="equal">
      <formula>"Towel"</formula>
    </cfRule>
    <cfRule type="cellIs" dxfId="13456" priority="7699" stopIfTrue="1" operator="equal">
      <formula>"Napkin Hs"</formula>
    </cfRule>
    <cfRule type="cellIs" dxfId="13455" priority="7700" stopIfTrue="1" operator="equal">
      <formula>"Towel"</formula>
    </cfRule>
    <cfRule type="cellIs" dxfId="13454" priority="7701" stopIfTrue="1" operator="equal">
      <formula>"Napkin Hs"</formula>
    </cfRule>
    <cfRule type="cellIs" dxfId="13453" priority="7702" stopIfTrue="1" operator="equal">
      <formula>"Towel"</formula>
    </cfRule>
    <cfRule type="cellIs" dxfId="13452" priority="7703" stopIfTrue="1" operator="equal">
      <formula>"Napkin Hs"</formula>
    </cfRule>
    <cfRule type="cellIs" dxfId="13451" priority="7704" stopIfTrue="1" operator="equal">
      <formula>"Towel"</formula>
    </cfRule>
    <cfRule type="cellIs" dxfId="13450" priority="7705" stopIfTrue="1" operator="equal">
      <formula>"Napkin Hs"</formula>
    </cfRule>
    <cfRule type="cellIs" dxfId="13449" priority="7706" stopIfTrue="1" operator="equal">
      <formula>"Towel"</formula>
    </cfRule>
    <cfRule type="cellIs" dxfId="13448" priority="7707" stopIfTrue="1" operator="equal">
      <formula>"Napkin Hs"</formula>
    </cfRule>
  </conditionalFormatting>
  <conditionalFormatting sqref="C43:C44">
    <cfRule type="cellIs" dxfId="13447" priority="11482" stopIfTrue="1" operator="equal">
      <formula>"Towel"</formula>
    </cfRule>
    <cfRule type="cellIs" dxfId="13446" priority="11483" stopIfTrue="1" operator="equal">
      <formula>"Napkin Hs"</formula>
    </cfRule>
    <cfRule type="cellIs" dxfId="13445" priority="11486" stopIfTrue="1" operator="equal">
      <formula>"Towel"</formula>
    </cfRule>
    <cfRule type="cellIs" dxfId="13444" priority="11487" stopIfTrue="1" operator="equal">
      <formula>"Napkin Hs"</formula>
    </cfRule>
    <cfRule type="cellIs" dxfId="13443" priority="11488" stopIfTrue="1" operator="equal">
      <formula>"Towel"</formula>
    </cfRule>
    <cfRule type="cellIs" dxfId="13442" priority="11489" stopIfTrue="1" operator="equal">
      <formula>"Napkin Hs"</formula>
    </cfRule>
    <cfRule type="cellIs" dxfId="13441" priority="11492" stopIfTrue="1" operator="equal">
      <formula>"Towel"</formula>
    </cfRule>
    <cfRule type="cellIs" dxfId="13440" priority="11493" stopIfTrue="1" operator="equal">
      <formula>"Napkin Hs"</formula>
    </cfRule>
    <cfRule type="cellIs" dxfId="13439" priority="11494" stopIfTrue="1" operator="equal">
      <formula>"Towel"</formula>
    </cfRule>
    <cfRule type="cellIs" dxfId="13438" priority="11495" stopIfTrue="1" operator="equal">
      <formula>"Napkin Hs"</formula>
    </cfRule>
    <cfRule type="cellIs" dxfId="13437" priority="11498" stopIfTrue="1" operator="equal">
      <formula>"Towel"</formula>
    </cfRule>
    <cfRule type="cellIs" dxfId="13436" priority="11499" stopIfTrue="1" operator="equal">
      <formula>"Napkin Hs"</formula>
    </cfRule>
    <cfRule type="cellIs" dxfId="13435" priority="11500" stopIfTrue="1" operator="equal">
      <formula>"Towel"</formula>
    </cfRule>
    <cfRule type="cellIs" dxfId="13434" priority="11501" stopIfTrue="1" operator="equal">
      <formula>"Napkin Hs"</formula>
    </cfRule>
    <cfRule type="cellIs" dxfId="13433" priority="11504" stopIfTrue="1" operator="equal">
      <formula>"Towel"</formula>
    </cfRule>
    <cfRule type="cellIs" dxfId="13432" priority="11505" stopIfTrue="1" operator="equal">
      <formula>"Napkin Hs"</formula>
    </cfRule>
    <cfRule type="cellIs" dxfId="13431" priority="11506" stopIfTrue="1" operator="equal">
      <formula>"Towel"</formula>
    </cfRule>
    <cfRule type="cellIs" dxfId="13430" priority="11507" stopIfTrue="1" operator="equal">
      <formula>"Napkin Hs"</formula>
    </cfRule>
    <cfRule type="cellIs" dxfId="13429" priority="11510" stopIfTrue="1" operator="equal">
      <formula>"Towel"</formula>
    </cfRule>
    <cfRule type="cellIs" dxfId="13428" priority="11511" stopIfTrue="1" operator="equal">
      <formula>"Napkin Hs"</formula>
    </cfRule>
    <cfRule type="cellIs" dxfId="13427" priority="11512" stopIfTrue="1" operator="equal">
      <formula>"Towel"</formula>
    </cfRule>
    <cfRule type="cellIs" dxfId="13426" priority="11513" stopIfTrue="1" operator="equal">
      <formula>"Napkin Hs"</formula>
    </cfRule>
    <cfRule type="cellIs" dxfId="13425" priority="11516" stopIfTrue="1" operator="equal">
      <formula>"Towel"</formula>
    </cfRule>
    <cfRule type="cellIs" dxfId="13424" priority="11517" stopIfTrue="1" operator="equal">
      <formula>"Napkin Hs"</formula>
    </cfRule>
  </conditionalFormatting>
  <conditionalFormatting sqref="C43:C45">
    <cfRule type="cellIs" dxfId="13423" priority="7730" stopIfTrue="1" operator="equal">
      <formula>"Towel"</formula>
    </cfRule>
    <cfRule type="cellIs" dxfId="13422" priority="7731" stopIfTrue="1" operator="equal">
      <formula>"Napkin Hs"</formula>
    </cfRule>
    <cfRule type="cellIs" dxfId="13421" priority="11518" stopIfTrue="1" operator="equal">
      <formula>"Towel"</formula>
    </cfRule>
    <cfRule type="cellIs" dxfId="13420" priority="11519" stopIfTrue="1" operator="equal">
      <formula>"Napkin Hs"</formula>
    </cfRule>
  </conditionalFormatting>
  <conditionalFormatting sqref="C44">
    <cfRule type="cellIs" dxfId="13419" priority="7712" stopIfTrue="1" operator="equal">
      <formula>"Towel"</formula>
    </cfRule>
    <cfRule type="cellIs" dxfId="13418" priority="7713" stopIfTrue="1" operator="equal">
      <formula>"Napkin Hs"</formula>
    </cfRule>
    <cfRule type="cellIs" dxfId="13417" priority="7714" stopIfTrue="1" operator="equal">
      <formula>"Towel"</formula>
    </cfRule>
    <cfRule type="cellIs" dxfId="13416" priority="7715" stopIfTrue="1" operator="equal">
      <formula>"Napkin Hs"</formula>
    </cfRule>
    <cfRule type="cellIs" dxfId="13415" priority="7716" stopIfTrue="1" operator="equal">
      <formula>"Towel"</formula>
    </cfRule>
    <cfRule type="cellIs" dxfId="13414" priority="7717" stopIfTrue="1" operator="equal">
      <formula>"Napkin Hs"</formula>
    </cfRule>
    <cfRule type="cellIs" dxfId="13413" priority="7718" stopIfTrue="1" operator="equal">
      <formula>"Towel"</formula>
    </cfRule>
    <cfRule type="cellIs" dxfId="13412" priority="7719" stopIfTrue="1" operator="equal">
      <formula>"Napkin Hs"</formula>
    </cfRule>
  </conditionalFormatting>
  <conditionalFormatting sqref="C44:C45">
    <cfRule type="cellIs" dxfId="13411" priority="7720" stopIfTrue="1" operator="equal">
      <formula>"Towel"</formula>
    </cfRule>
    <cfRule type="cellIs" dxfId="13410" priority="7721" stopIfTrue="1" operator="equal">
      <formula>"Napkin Hs"</formula>
    </cfRule>
  </conditionalFormatting>
  <conditionalFormatting sqref="C45">
    <cfRule type="cellIs" dxfId="13409" priority="7724" stopIfTrue="1" operator="equal">
      <formula>"Towel"</formula>
    </cfRule>
    <cfRule type="cellIs" dxfId="13408" priority="7725" stopIfTrue="1" operator="equal">
      <formula>"Napkin Hs"</formula>
    </cfRule>
    <cfRule type="cellIs" dxfId="13407" priority="7728" stopIfTrue="1" operator="equal">
      <formula>"Towel"</formula>
    </cfRule>
    <cfRule type="cellIs" dxfId="13406" priority="7729" stopIfTrue="1" operator="equal">
      <formula>"Napkin Hs"</formula>
    </cfRule>
    <cfRule type="cellIs" dxfId="13405" priority="11578" stopIfTrue="1" operator="equal">
      <formula>"Towel"</formula>
    </cfRule>
    <cfRule type="cellIs" dxfId="13404" priority="11579" stopIfTrue="1" operator="equal">
      <formula>"Napkin Hs"</formula>
    </cfRule>
    <cfRule type="cellIs" dxfId="13403" priority="11596" stopIfTrue="1" operator="equal">
      <formula>"Towel"</formula>
    </cfRule>
    <cfRule type="cellIs" dxfId="13402" priority="11597" stopIfTrue="1" operator="equal">
      <formula>"Napkin Hs"</formula>
    </cfRule>
    <cfRule type="cellIs" dxfId="13401" priority="11598" stopIfTrue="1" operator="equal">
      <formula>"Towel"</formula>
    </cfRule>
    <cfRule type="cellIs" dxfId="13400" priority="11599" stopIfTrue="1" operator="equal">
      <formula>"Napkin Hs"</formula>
    </cfRule>
    <cfRule type="cellIs" dxfId="13399" priority="11622" stopIfTrue="1" operator="equal">
      <formula>"Towel"</formula>
    </cfRule>
    <cfRule type="cellIs" dxfId="13398" priority="11623" stopIfTrue="1" operator="equal">
      <formula>"Napkin Hs"</formula>
    </cfRule>
    <cfRule type="cellIs" dxfId="13397" priority="11626" stopIfTrue="1" operator="equal">
      <formula>"Towel"</formula>
    </cfRule>
    <cfRule type="cellIs" dxfId="13396" priority="11627" stopIfTrue="1" operator="equal">
      <formula>"Napkin Hs"</formula>
    </cfRule>
    <cfRule type="cellIs" dxfId="13395" priority="11654" stopIfTrue="1" operator="equal">
      <formula>"Towel"</formula>
    </cfRule>
    <cfRule type="cellIs" dxfId="13394" priority="11655" stopIfTrue="1" operator="equal">
      <formula>"Napkin Hs"</formula>
    </cfRule>
    <cfRule type="cellIs" dxfId="13393" priority="11656" stopIfTrue="1" operator="equal">
      <formula>"Towel"</formula>
    </cfRule>
    <cfRule type="cellIs" dxfId="13392" priority="11657" stopIfTrue="1" operator="equal">
      <formula>"Napkin Hs"</formula>
    </cfRule>
    <cfRule type="cellIs" dxfId="13391" priority="12284" stopIfTrue="1" operator="equal">
      <formula>"Towel"</formula>
    </cfRule>
    <cfRule type="cellIs" dxfId="13390" priority="12285" stopIfTrue="1" operator="equal">
      <formula>"Napkin Hs"</formula>
    </cfRule>
    <cfRule type="cellIs" dxfId="13389" priority="12286" stopIfTrue="1" operator="equal">
      <formula>"Towel"</formula>
    </cfRule>
    <cfRule type="cellIs" dxfId="13388" priority="12287" stopIfTrue="1" operator="equal">
      <formula>"Napkin Hs"</formula>
    </cfRule>
  </conditionalFormatting>
  <conditionalFormatting sqref="C46">
    <cfRule type="cellIs" dxfId="13387" priority="7476" stopIfTrue="1" operator="equal">
      <formula>"Towel"</formula>
    </cfRule>
    <cfRule type="cellIs" dxfId="13386" priority="7477" stopIfTrue="1" operator="equal">
      <formula>"Napkin Hs"</formula>
    </cfRule>
    <cfRule type="cellIs" dxfId="13385" priority="7478" stopIfTrue="1" operator="equal">
      <formula>"Towel"</formula>
    </cfRule>
    <cfRule type="cellIs" dxfId="13384" priority="7479" stopIfTrue="1" operator="equal">
      <formula>"Napkin Hs"</formula>
    </cfRule>
    <cfRule type="cellIs" dxfId="13383" priority="7480" stopIfTrue="1" operator="equal">
      <formula>"Towel"</formula>
    </cfRule>
    <cfRule type="cellIs" dxfId="13382" priority="7481" stopIfTrue="1" operator="equal">
      <formula>"Napkin Hs"</formula>
    </cfRule>
    <cfRule type="cellIs" dxfId="13381" priority="7482" stopIfTrue="1" operator="equal">
      <formula>"Towel"</formula>
    </cfRule>
    <cfRule type="cellIs" dxfId="13380" priority="7483" stopIfTrue="1" operator="equal">
      <formula>"Napkin Hs"</formula>
    </cfRule>
    <cfRule type="cellIs" dxfId="13379" priority="7484" stopIfTrue="1" operator="equal">
      <formula>"Towel"</formula>
    </cfRule>
    <cfRule type="cellIs" dxfId="13378" priority="7485" stopIfTrue="1" operator="equal">
      <formula>"Napkin Hs"</formula>
    </cfRule>
    <cfRule type="cellIs" dxfId="13377" priority="7486" stopIfTrue="1" operator="equal">
      <formula>"Towel"</formula>
    </cfRule>
    <cfRule type="cellIs" dxfId="13376" priority="7487" stopIfTrue="1" operator="equal">
      <formula>"Napkin Hs"</formula>
    </cfRule>
    <cfRule type="cellIs" dxfId="13375" priority="7488" stopIfTrue="1" operator="equal">
      <formula>"Towel"</formula>
    </cfRule>
    <cfRule type="cellIs" dxfId="13374" priority="7489" stopIfTrue="1" operator="equal">
      <formula>"Napkin Hs"</formula>
    </cfRule>
    <cfRule type="cellIs" dxfId="13373" priority="7492" stopIfTrue="1" operator="equal">
      <formula>"Towel"</formula>
    </cfRule>
    <cfRule type="cellIs" dxfId="13372" priority="7493" stopIfTrue="1" operator="equal">
      <formula>"Napkin Hs"</formula>
    </cfRule>
    <cfRule type="cellIs" dxfId="13371" priority="7494" stopIfTrue="1" operator="equal">
      <formula>"Towel"</formula>
    </cfRule>
    <cfRule type="cellIs" dxfId="13370" priority="7495" stopIfTrue="1" operator="equal">
      <formula>"Napkin Hs"</formula>
    </cfRule>
    <cfRule type="cellIs" dxfId="13369" priority="7498" stopIfTrue="1" operator="equal">
      <formula>"Towel"</formula>
    </cfRule>
    <cfRule type="cellIs" dxfId="13368" priority="7499" stopIfTrue="1" operator="equal">
      <formula>"Napkin Hs"</formula>
    </cfRule>
    <cfRule type="cellIs" dxfId="13367" priority="7500" stopIfTrue="1" operator="equal">
      <formula>"Towel"</formula>
    </cfRule>
    <cfRule type="cellIs" dxfId="13366" priority="7501" stopIfTrue="1" operator="equal">
      <formula>"Napkin Hs"</formula>
    </cfRule>
    <cfRule type="cellIs" dxfId="13365" priority="7504" stopIfTrue="1" operator="equal">
      <formula>"Towel"</formula>
    </cfRule>
    <cfRule type="cellIs" dxfId="13364" priority="7505" stopIfTrue="1" operator="equal">
      <formula>"Napkin Hs"</formula>
    </cfRule>
    <cfRule type="cellIs" dxfId="13363" priority="7506" stopIfTrue="1" operator="equal">
      <formula>"Towel"</formula>
    </cfRule>
    <cfRule type="cellIs" dxfId="13362" priority="7507" stopIfTrue="1" operator="equal">
      <formula>"Napkin Hs"</formula>
    </cfRule>
    <cfRule type="cellIs" dxfId="13361" priority="7510" stopIfTrue="1" operator="equal">
      <formula>"Towel"</formula>
    </cfRule>
    <cfRule type="cellIs" dxfId="13360" priority="7511" stopIfTrue="1" operator="equal">
      <formula>"Napkin Hs"</formula>
    </cfRule>
    <cfRule type="cellIs" dxfId="13359" priority="7512" stopIfTrue="1" operator="equal">
      <formula>"Towel"</formula>
    </cfRule>
    <cfRule type="cellIs" dxfId="13358" priority="7513" stopIfTrue="1" operator="equal">
      <formula>"Napkin Hs"</formula>
    </cfRule>
    <cfRule type="cellIs" dxfId="13357" priority="7516" stopIfTrue="1" operator="equal">
      <formula>"Towel"</formula>
    </cfRule>
    <cfRule type="cellIs" dxfId="13356" priority="7517" stopIfTrue="1" operator="equal">
      <formula>"Napkin Hs"</formula>
    </cfRule>
    <cfRule type="cellIs" dxfId="13355" priority="7518" stopIfTrue="1" operator="equal">
      <formula>"Towel"</formula>
    </cfRule>
    <cfRule type="cellIs" dxfId="13354" priority="7519" stopIfTrue="1" operator="equal">
      <formula>"Napkin Hs"</formula>
    </cfRule>
    <cfRule type="cellIs" dxfId="13353" priority="7522" stopIfTrue="1" operator="equal">
      <formula>"Towel"</formula>
    </cfRule>
    <cfRule type="cellIs" dxfId="13352" priority="7523" stopIfTrue="1" operator="equal">
      <formula>"Napkin Hs"</formula>
    </cfRule>
    <cfRule type="cellIs" dxfId="13351" priority="7524" stopIfTrue="1" operator="equal">
      <formula>"Towel"</formula>
    </cfRule>
    <cfRule type="cellIs" dxfId="13350" priority="7525" stopIfTrue="1" operator="equal">
      <formula>"Napkin Hs"</formula>
    </cfRule>
    <cfRule type="cellIs" dxfId="13349" priority="7528" stopIfTrue="1" operator="equal">
      <formula>"Towel"</formula>
    </cfRule>
    <cfRule type="cellIs" dxfId="13348" priority="7529" stopIfTrue="1" operator="equal">
      <formula>"Napkin Hs"</formula>
    </cfRule>
    <cfRule type="cellIs" dxfId="13347" priority="7530" stopIfTrue="1" operator="equal">
      <formula>"Towel"</formula>
    </cfRule>
    <cfRule type="cellIs" dxfId="13346" priority="7531" stopIfTrue="1" operator="equal">
      <formula>"Napkin Hs"</formula>
    </cfRule>
  </conditionalFormatting>
  <conditionalFormatting sqref="C47">
    <cfRule type="cellIs" dxfId="13345" priority="7454" stopIfTrue="1" operator="equal">
      <formula>"Towel"</formula>
    </cfRule>
    <cfRule type="cellIs" dxfId="13344" priority="7455" stopIfTrue="1" operator="equal">
      <formula>"Napkin Hs"</formula>
    </cfRule>
    <cfRule type="cellIs" dxfId="13343" priority="7456" stopIfTrue="1" operator="equal">
      <formula>"Towel"</formula>
    </cfRule>
    <cfRule type="cellIs" dxfId="13342" priority="7457" stopIfTrue="1" operator="equal">
      <formula>"Napkin Hs"</formula>
    </cfRule>
    <cfRule type="cellIs" dxfId="13341" priority="7458" stopIfTrue="1" operator="equal">
      <formula>"Towel"</formula>
    </cfRule>
    <cfRule type="cellIs" dxfId="13340" priority="7459" stopIfTrue="1" operator="equal">
      <formula>"Napkin Hs"</formula>
    </cfRule>
    <cfRule type="cellIs" dxfId="13339" priority="7460" stopIfTrue="1" operator="equal">
      <formula>"Towel"</formula>
    </cfRule>
    <cfRule type="cellIs" dxfId="13338" priority="7461" stopIfTrue="1" operator="equal">
      <formula>"Napkin Hs"</formula>
    </cfRule>
    <cfRule type="cellIs" dxfId="13337" priority="7462" stopIfTrue="1" operator="equal">
      <formula>"Towel"</formula>
    </cfRule>
    <cfRule type="cellIs" dxfId="13336" priority="7463" stopIfTrue="1" operator="equal">
      <formula>"Napkin Hs"</formula>
    </cfRule>
    <cfRule type="cellIs" dxfId="13335" priority="7464" stopIfTrue="1" operator="equal">
      <formula>"Towel"</formula>
    </cfRule>
    <cfRule type="cellIs" dxfId="13334" priority="7465" stopIfTrue="1" operator="equal">
      <formula>"Napkin Hs"</formula>
    </cfRule>
    <cfRule type="cellIs" dxfId="13333" priority="7466" stopIfTrue="1" operator="equal">
      <formula>"Towel"</formula>
    </cfRule>
    <cfRule type="cellIs" dxfId="13332" priority="7467" stopIfTrue="1" operator="equal">
      <formula>"Napkin Hs"</formula>
    </cfRule>
    <cfRule type="cellIs" dxfId="13331" priority="7468" stopIfTrue="1" operator="equal">
      <formula>"Towel"</formula>
    </cfRule>
    <cfRule type="cellIs" dxfId="13330" priority="7469" stopIfTrue="1" operator="equal">
      <formula>"Napkin Hs"</formula>
    </cfRule>
  </conditionalFormatting>
  <conditionalFormatting sqref="C48">
    <cfRule type="cellIs" dxfId="13329" priority="7556" stopIfTrue="1" operator="equal">
      <formula>"Towel"</formula>
    </cfRule>
    <cfRule type="cellIs" dxfId="13328" priority="7557" stopIfTrue="1" operator="equal">
      <formula>"Napkin Hs"</formula>
    </cfRule>
    <cfRule type="cellIs" dxfId="13327" priority="7558" stopIfTrue="1" operator="equal">
      <formula>"Towel"</formula>
    </cfRule>
    <cfRule type="cellIs" dxfId="13326" priority="7559" stopIfTrue="1" operator="equal">
      <formula>"Napkin Hs"</formula>
    </cfRule>
    <cfRule type="cellIs" dxfId="13325" priority="7560" stopIfTrue="1" operator="equal">
      <formula>"Towel"</formula>
    </cfRule>
    <cfRule type="cellIs" dxfId="13324" priority="7561" stopIfTrue="1" operator="equal">
      <formula>"Napkin Hs"</formula>
    </cfRule>
    <cfRule type="cellIs" dxfId="13323" priority="7562" stopIfTrue="1" operator="equal">
      <formula>"Towel"</formula>
    </cfRule>
    <cfRule type="cellIs" dxfId="13322" priority="7563" stopIfTrue="1" operator="equal">
      <formula>"Napkin Hs"</formula>
    </cfRule>
    <cfRule type="cellIs" dxfId="13321" priority="7564" stopIfTrue="1" operator="equal">
      <formula>"Towel"</formula>
    </cfRule>
    <cfRule type="cellIs" dxfId="13320" priority="7565" stopIfTrue="1" operator="equal">
      <formula>"Napkin Hs"</formula>
    </cfRule>
    <cfRule type="cellIs" dxfId="13319" priority="7566" stopIfTrue="1" operator="equal">
      <formula>"Towel"</formula>
    </cfRule>
    <cfRule type="cellIs" dxfId="13318" priority="7567" stopIfTrue="1" operator="equal">
      <formula>"Napkin Hs"</formula>
    </cfRule>
    <cfRule type="cellIs" dxfId="13317" priority="7568" stopIfTrue="1" operator="equal">
      <formula>"Towel"</formula>
    </cfRule>
    <cfRule type="cellIs" dxfId="13316" priority="7569" stopIfTrue="1" operator="equal">
      <formula>"Napkin Hs"</formula>
    </cfRule>
    <cfRule type="cellIs" dxfId="13315" priority="7572" stopIfTrue="1" operator="equal">
      <formula>"Towel"</formula>
    </cfRule>
    <cfRule type="cellIs" dxfId="13314" priority="7573" stopIfTrue="1" operator="equal">
      <formula>"Napkin Hs"</formula>
    </cfRule>
    <cfRule type="cellIs" dxfId="13313" priority="7574" stopIfTrue="1" operator="equal">
      <formula>"Towel"</formula>
    </cfRule>
    <cfRule type="cellIs" dxfId="13312" priority="7575" stopIfTrue="1" operator="equal">
      <formula>"Napkin Hs"</formula>
    </cfRule>
    <cfRule type="cellIs" dxfId="13311" priority="7578" stopIfTrue="1" operator="equal">
      <formula>"Towel"</formula>
    </cfRule>
    <cfRule type="cellIs" dxfId="13310" priority="7579" stopIfTrue="1" operator="equal">
      <formula>"Napkin Hs"</formula>
    </cfRule>
    <cfRule type="cellIs" dxfId="13309" priority="7580" stopIfTrue="1" operator="equal">
      <formula>"Towel"</formula>
    </cfRule>
    <cfRule type="cellIs" dxfId="13308" priority="7581" stopIfTrue="1" operator="equal">
      <formula>"Napkin Hs"</formula>
    </cfRule>
    <cfRule type="cellIs" dxfId="13307" priority="7584" stopIfTrue="1" operator="equal">
      <formula>"Towel"</formula>
    </cfRule>
    <cfRule type="cellIs" dxfId="13306" priority="7585" stopIfTrue="1" operator="equal">
      <formula>"Napkin Hs"</formula>
    </cfRule>
    <cfRule type="cellIs" dxfId="13305" priority="7586" stopIfTrue="1" operator="equal">
      <formula>"Towel"</formula>
    </cfRule>
    <cfRule type="cellIs" dxfId="13304" priority="7587" stopIfTrue="1" operator="equal">
      <formula>"Napkin Hs"</formula>
    </cfRule>
    <cfRule type="cellIs" dxfId="13303" priority="7590" stopIfTrue="1" operator="equal">
      <formula>"Towel"</formula>
    </cfRule>
    <cfRule type="cellIs" dxfId="13302" priority="7591" stopIfTrue="1" operator="equal">
      <formula>"Napkin Hs"</formula>
    </cfRule>
    <cfRule type="cellIs" dxfId="13301" priority="7592" stopIfTrue="1" operator="equal">
      <formula>"Towel"</formula>
    </cfRule>
    <cfRule type="cellIs" dxfId="13300" priority="7593" stopIfTrue="1" operator="equal">
      <formula>"Napkin Hs"</formula>
    </cfRule>
    <cfRule type="cellIs" dxfId="13299" priority="7596" stopIfTrue="1" operator="equal">
      <formula>"Towel"</formula>
    </cfRule>
    <cfRule type="cellIs" dxfId="13298" priority="7597" stopIfTrue="1" operator="equal">
      <formula>"Napkin Hs"</formula>
    </cfRule>
    <cfRule type="cellIs" dxfId="13297" priority="7598" stopIfTrue="1" operator="equal">
      <formula>"Towel"</formula>
    </cfRule>
    <cfRule type="cellIs" dxfId="13296" priority="7599" stopIfTrue="1" operator="equal">
      <formula>"Napkin Hs"</formula>
    </cfRule>
    <cfRule type="cellIs" dxfId="13295" priority="7602" stopIfTrue="1" operator="equal">
      <formula>"Towel"</formula>
    </cfRule>
    <cfRule type="cellIs" dxfId="13294" priority="7603" stopIfTrue="1" operator="equal">
      <formula>"Napkin Hs"</formula>
    </cfRule>
  </conditionalFormatting>
  <conditionalFormatting sqref="C48:C49">
    <cfRule type="cellIs" dxfId="13293" priority="7604" stopIfTrue="1" operator="equal">
      <formula>"Towel"</formula>
    </cfRule>
    <cfRule type="cellIs" dxfId="13292" priority="7605" stopIfTrue="1" operator="equal">
      <formula>"Napkin Hs"</formula>
    </cfRule>
  </conditionalFormatting>
  <conditionalFormatting sqref="C49">
    <cfRule type="cellIs" dxfId="13291" priority="11380" stopIfTrue="1" operator="equal">
      <formula>"Towel"</formula>
    </cfRule>
    <cfRule type="cellIs" dxfId="13290" priority="11381" stopIfTrue="1" operator="equal">
      <formula>"Napkin Hs"</formula>
    </cfRule>
    <cfRule type="cellIs" dxfId="13289" priority="11384" stopIfTrue="1" operator="equal">
      <formula>"Towel"</formula>
    </cfRule>
    <cfRule type="cellIs" dxfId="13288" priority="11385" stopIfTrue="1" operator="equal">
      <formula>"Napkin Hs"</formula>
    </cfRule>
    <cfRule type="cellIs" dxfId="13287" priority="11386" stopIfTrue="1" operator="equal">
      <formula>"Towel"</formula>
    </cfRule>
    <cfRule type="cellIs" dxfId="13286" priority="11387" stopIfTrue="1" operator="equal">
      <formula>"Napkin Hs"</formula>
    </cfRule>
    <cfRule type="cellIs" dxfId="13285" priority="11390" stopIfTrue="1" operator="equal">
      <formula>"Towel"</formula>
    </cfRule>
    <cfRule type="cellIs" dxfId="13284" priority="11391" stopIfTrue="1" operator="equal">
      <formula>"Napkin Hs"</formula>
    </cfRule>
    <cfRule type="cellIs" dxfId="13283" priority="11392" stopIfTrue="1" operator="equal">
      <formula>"Towel"</formula>
    </cfRule>
    <cfRule type="cellIs" dxfId="13282" priority="11393" stopIfTrue="1" operator="equal">
      <formula>"Napkin Hs"</formula>
    </cfRule>
    <cfRule type="cellIs" dxfId="13281" priority="11396" stopIfTrue="1" operator="equal">
      <formula>"Towel"</formula>
    </cfRule>
    <cfRule type="cellIs" dxfId="13280" priority="11397" stopIfTrue="1" operator="equal">
      <formula>"Napkin Hs"</formula>
    </cfRule>
    <cfRule type="cellIs" dxfId="13279" priority="11398" stopIfTrue="1" operator="equal">
      <formula>"Towel"</formula>
    </cfRule>
    <cfRule type="cellIs" dxfId="13278" priority="11399" stopIfTrue="1" operator="equal">
      <formula>"Napkin Hs"</formula>
    </cfRule>
    <cfRule type="cellIs" dxfId="13277" priority="11402" stopIfTrue="1" operator="equal">
      <formula>"Towel"</formula>
    </cfRule>
    <cfRule type="cellIs" dxfId="13276" priority="11403" stopIfTrue="1" operator="equal">
      <formula>"Napkin Hs"</formula>
    </cfRule>
    <cfRule type="cellIs" dxfId="13275" priority="11404" stopIfTrue="1" operator="equal">
      <formula>"Towel"</formula>
    </cfRule>
    <cfRule type="cellIs" dxfId="13274" priority="11405" stopIfTrue="1" operator="equal">
      <formula>"Napkin Hs"</formula>
    </cfRule>
    <cfRule type="cellIs" dxfId="13273" priority="11408" stopIfTrue="1" operator="equal">
      <formula>"Towel"</formula>
    </cfRule>
    <cfRule type="cellIs" dxfId="13272" priority="11409" stopIfTrue="1" operator="equal">
      <formula>"Napkin Hs"</formula>
    </cfRule>
    <cfRule type="cellIs" dxfId="13271" priority="11410" stopIfTrue="1" operator="equal">
      <formula>"Towel"</formula>
    </cfRule>
    <cfRule type="cellIs" dxfId="13270" priority="11411" stopIfTrue="1" operator="equal">
      <formula>"Napkin Hs"</formula>
    </cfRule>
    <cfRule type="cellIs" dxfId="13269" priority="11414" stopIfTrue="1" operator="equal">
      <formula>"Towel"</formula>
    </cfRule>
    <cfRule type="cellIs" dxfId="13268" priority="11415" stopIfTrue="1" operator="equal">
      <formula>"Napkin Hs"</formula>
    </cfRule>
    <cfRule type="cellIs" dxfId="13267" priority="11416" stopIfTrue="1" operator="equal">
      <formula>"Towel"</formula>
    </cfRule>
    <cfRule type="cellIs" dxfId="13266" priority="11417" stopIfTrue="1" operator="equal">
      <formula>"Napkin Hs"</formula>
    </cfRule>
    <cfRule type="cellIs" dxfId="13265" priority="12272" stopIfTrue="1" operator="equal">
      <formula>"Towel"</formula>
    </cfRule>
    <cfRule type="cellIs" dxfId="13264" priority="12273" stopIfTrue="1" operator="equal">
      <formula>"Napkin Hs"</formula>
    </cfRule>
    <cfRule type="cellIs" dxfId="13263" priority="12274" stopIfTrue="1" operator="equal">
      <formula>"Towel"</formula>
    </cfRule>
    <cfRule type="cellIs" dxfId="13262" priority="12275" stopIfTrue="1" operator="equal">
      <formula>"Napkin Hs"</formula>
    </cfRule>
  </conditionalFormatting>
  <conditionalFormatting sqref="C50">
    <cfRule type="cellIs" dxfId="13261" priority="7246" stopIfTrue="1" operator="equal">
      <formula>"Towel"</formula>
    </cfRule>
    <cfRule type="cellIs" dxfId="13260" priority="7247" stopIfTrue="1" operator="equal">
      <formula>"Napkin Hs"</formula>
    </cfRule>
    <cfRule type="cellIs" dxfId="13259" priority="7248" stopIfTrue="1" operator="equal">
      <formula>"Towel"</formula>
    </cfRule>
    <cfRule type="cellIs" dxfId="13258" priority="7249" stopIfTrue="1" operator="equal">
      <formula>"Napkin Hs"</formula>
    </cfRule>
    <cfRule type="cellIs" dxfId="13257" priority="7250" stopIfTrue="1" operator="equal">
      <formula>"Towel"</formula>
    </cfRule>
    <cfRule type="cellIs" dxfId="13256" priority="7251" stopIfTrue="1" operator="equal">
      <formula>"Napkin Hs"</formula>
    </cfRule>
    <cfRule type="cellIs" dxfId="13255" priority="7252" stopIfTrue="1" operator="equal">
      <formula>"Towel"</formula>
    </cfRule>
    <cfRule type="cellIs" dxfId="13254" priority="7253" stopIfTrue="1" operator="equal">
      <formula>"Napkin Hs"</formula>
    </cfRule>
    <cfRule type="cellIs" dxfId="13253" priority="7254" stopIfTrue="1" operator="equal">
      <formula>"Towel"</formula>
    </cfRule>
    <cfRule type="cellIs" dxfId="13252" priority="7255" stopIfTrue="1" operator="equal">
      <formula>"Napkin Hs"</formula>
    </cfRule>
    <cfRule type="cellIs" dxfId="13251" priority="7256" stopIfTrue="1" operator="equal">
      <formula>"Towel"</formula>
    </cfRule>
    <cfRule type="cellIs" dxfId="13250" priority="7257" stopIfTrue="1" operator="equal">
      <formula>"Napkin Hs"</formula>
    </cfRule>
    <cfRule type="cellIs" dxfId="13249" priority="7258" stopIfTrue="1" operator="equal">
      <formula>"Towel"</formula>
    </cfRule>
    <cfRule type="cellIs" dxfId="13248" priority="7259" stopIfTrue="1" operator="equal">
      <formula>"Napkin Hs"</formula>
    </cfRule>
  </conditionalFormatting>
  <conditionalFormatting sqref="C50:C51">
    <cfRule type="cellIs" dxfId="13247" priority="7260" stopIfTrue="1" operator="equal">
      <formula>"Towel"</formula>
    </cfRule>
    <cfRule type="cellIs" dxfId="13246" priority="7261" stopIfTrue="1" operator="equal">
      <formula>"Napkin Hs"</formula>
    </cfRule>
  </conditionalFormatting>
  <conditionalFormatting sqref="C51">
    <cfRule type="cellIs" dxfId="13245" priority="7268" stopIfTrue="1" operator="equal">
      <formula>"Towel"</formula>
    </cfRule>
    <cfRule type="cellIs" dxfId="13244" priority="7269" stopIfTrue="1" operator="equal">
      <formula>"Napkin Hs"</formula>
    </cfRule>
    <cfRule type="cellIs" dxfId="13243" priority="7270" stopIfTrue="1" operator="equal">
      <formula>"Towel"</formula>
    </cfRule>
    <cfRule type="cellIs" dxfId="13242" priority="7271" stopIfTrue="1" operator="equal">
      <formula>"Napkin Hs"</formula>
    </cfRule>
    <cfRule type="cellIs" dxfId="13241" priority="7272" stopIfTrue="1" operator="equal">
      <formula>"Towel"</formula>
    </cfRule>
    <cfRule type="cellIs" dxfId="13240" priority="7273" stopIfTrue="1" operator="equal">
      <formula>"Napkin Hs"</formula>
    </cfRule>
    <cfRule type="cellIs" dxfId="13239" priority="7274" stopIfTrue="1" operator="equal">
      <formula>"Towel"</formula>
    </cfRule>
    <cfRule type="cellIs" dxfId="13238" priority="7275" stopIfTrue="1" operator="equal">
      <formula>"Napkin Hs"</formula>
    </cfRule>
    <cfRule type="cellIs" dxfId="13237" priority="7276" stopIfTrue="1" operator="equal">
      <formula>"Towel"</formula>
    </cfRule>
    <cfRule type="cellIs" dxfId="13236" priority="7277" stopIfTrue="1" operator="equal">
      <formula>"Napkin Hs"</formula>
    </cfRule>
    <cfRule type="cellIs" dxfId="13235" priority="7278" stopIfTrue="1" operator="equal">
      <formula>"Towel"</formula>
    </cfRule>
    <cfRule type="cellIs" dxfId="13234" priority="7279" stopIfTrue="1" operator="equal">
      <formula>"Napkin Hs"</formula>
    </cfRule>
    <cfRule type="cellIs" dxfId="13233" priority="7280" stopIfTrue="1" operator="equal">
      <formula>"Towel"</formula>
    </cfRule>
    <cfRule type="cellIs" dxfId="13232" priority="7281" stopIfTrue="1" operator="equal">
      <formula>"Napkin Hs"</formula>
    </cfRule>
  </conditionalFormatting>
  <conditionalFormatting sqref="C52">
    <cfRule type="cellIs" dxfId="13231" priority="7352" stopIfTrue="1" operator="equal">
      <formula>"Towel"</formula>
    </cfRule>
    <cfRule type="cellIs" dxfId="13230" priority="7353" stopIfTrue="1" operator="equal">
      <formula>"Napkin Hs"</formula>
    </cfRule>
    <cfRule type="cellIs" dxfId="13229" priority="7354" stopIfTrue="1" operator="equal">
      <formula>"Towel"</formula>
    </cfRule>
    <cfRule type="cellIs" dxfId="13228" priority="7355" stopIfTrue="1" operator="equal">
      <formula>"Napkin Hs"</formula>
    </cfRule>
    <cfRule type="cellIs" dxfId="13227" priority="7356" stopIfTrue="1" operator="equal">
      <formula>"Towel"</formula>
    </cfRule>
    <cfRule type="cellIs" dxfId="13226" priority="7357" stopIfTrue="1" operator="equal">
      <formula>"Napkin Hs"</formula>
    </cfRule>
    <cfRule type="cellIs" dxfId="13225" priority="7358" stopIfTrue="1" operator="equal">
      <formula>"Towel"</formula>
    </cfRule>
    <cfRule type="cellIs" dxfId="13224" priority="7359" stopIfTrue="1" operator="equal">
      <formula>"Napkin Hs"</formula>
    </cfRule>
    <cfRule type="cellIs" dxfId="13223" priority="7360" stopIfTrue="1" operator="equal">
      <formula>"Towel"</formula>
    </cfRule>
    <cfRule type="cellIs" dxfId="13222" priority="7361" stopIfTrue="1" operator="equal">
      <formula>"Napkin Hs"</formula>
    </cfRule>
    <cfRule type="cellIs" dxfId="13221" priority="7362" stopIfTrue="1" operator="equal">
      <formula>"Towel"</formula>
    </cfRule>
    <cfRule type="cellIs" dxfId="13220" priority="7363" stopIfTrue="1" operator="equal">
      <formula>"Napkin Hs"</formula>
    </cfRule>
    <cfRule type="cellIs" dxfId="13219" priority="7364" stopIfTrue="1" operator="equal">
      <formula>"Towel"</formula>
    </cfRule>
    <cfRule type="cellIs" dxfId="13218" priority="7365" stopIfTrue="1" operator="equal">
      <formula>"Napkin Hs"</formula>
    </cfRule>
    <cfRule type="cellIs" dxfId="13217" priority="7368" stopIfTrue="1" operator="equal">
      <formula>"Towel"</formula>
    </cfRule>
    <cfRule type="cellIs" dxfId="13216" priority="7369" stopIfTrue="1" operator="equal">
      <formula>"Napkin Hs"</formula>
    </cfRule>
    <cfRule type="cellIs" dxfId="13215" priority="7370" stopIfTrue="1" operator="equal">
      <formula>"Towel"</formula>
    </cfRule>
    <cfRule type="cellIs" dxfId="13214" priority="7371" stopIfTrue="1" operator="equal">
      <formula>"Napkin Hs"</formula>
    </cfRule>
    <cfRule type="cellIs" dxfId="13213" priority="7374" stopIfTrue="1" operator="equal">
      <formula>"Towel"</formula>
    </cfRule>
    <cfRule type="cellIs" dxfId="13212" priority="7375" stopIfTrue="1" operator="equal">
      <formula>"Napkin Hs"</formula>
    </cfRule>
    <cfRule type="cellIs" dxfId="13211" priority="7376" stopIfTrue="1" operator="equal">
      <formula>"Towel"</formula>
    </cfRule>
    <cfRule type="cellIs" dxfId="13210" priority="7377" stopIfTrue="1" operator="equal">
      <formula>"Napkin Hs"</formula>
    </cfRule>
    <cfRule type="cellIs" dxfId="13209" priority="7380" stopIfTrue="1" operator="equal">
      <formula>"Towel"</formula>
    </cfRule>
    <cfRule type="cellIs" dxfId="13208" priority="7381" stopIfTrue="1" operator="equal">
      <formula>"Napkin Hs"</formula>
    </cfRule>
    <cfRule type="cellIs" dxfId="13207" priority="7382" stopIfTrue="1" operator="equal">
      <formula>"Towel"</formula>
    </cfRule>
    <cfRule type="cellIs" dxfId="13206" priority="7383" stopIfTrue="1" operator="equal">
      <formula>"Napkin Hs"</formula>
    </cfRule>
    <cfRule type="cellIs" dxfId="13205" priority="7386" stopIfTrue="1" operator="equal">
      <formula>"Towel"</formula>
    </cfRule>
    <cfRule type="cellIs" dxfId="13204" priority="7387" stopIfTrue="1" operator="equal">
      <formula>"Napkin Hs"</formula>
    </cfRule>
    <cfRule type="cellIs" dxfId="13203" priority="7388" stopIfTrue="1" operator="equal">
      <formula>"Towel"</formula>
    </cfRule>
    <cfRule type="cellIs" dxfId="13202" priority="7389" stopIfTrue="1" operator="equal">
      <formula>"Napkin Hs"</formula>
    </cfRule>
    <cfRule type="cellIs" dxfId="13201" priority="7392" stopIfTrue="1" operator="equal">
      <formula>"Towel"</formula>
    </cfRule>
    <cfRule type="cellIs" dxfId="13200" priority="7393" stopIfTrue="1" operator="equal">
      <formula>"Napkin Hs"</formula>
    </cfRule>
    <cfRule type="cellIs" dxfId="13199" priority="7394" stopIfTrue="1" operator="equal">
      <formula>"Towel"</formula>
    </cfRule>
    <cfRule type="cellIs" dxfId="13198" priority="7395" stopIfTrue="1" operator="equal">
      <formula>"Napkin Hs"</formula>
    </cfRule>
    <cfRule type="cellIs" dxfId="13197" priority="7398" stopIfTrue="1" operator="equal">
      <formula>"Towel"</formula>
    </cfRule>
    <cfRule type="cellIs" dxfId="13196" priority="7399" stopIfTrue="1" operator="equal">
      <formula>"Napkin Hs"</formula>
    </cfRule>
  </conditionalFormatting>
  <conditionalFormatting sqref="C52:C53">
    <cfRule type="cellIs" dxfId="13195" priority="7400" stopIfTrue="1" operator="equal">
      <formula>"Towel"</formula>
    </cfRule>
    <cfRule type="cellIs" dxfId="13194" priority="7401" stopIfTrue="1" operator="equal">
      <formula>"Napkin Hs"</formula>
    </cfRule>
  </conditionalFormatting>
  <conditionalFormatting sqref="C53">
    <cfRule type="cellIs" dxfId="13193" priority="7406" stopIfTrue="1" operator="equal">
      <formula>"Towel"</formula>
    </cfRule>
    <cfRule type="cellIs" dxfId="13192" priority="7407" stopIfTrue="1" operator="equal">
      <formula>"Napkin Hs"</formula>
    </cfRule>
    <cfRule type="cellIs" dxfId="13191" priority="7410" stopIfTrue="1" operator="equal">
      <formula>"Towel"</formula>
    </cfRule>
    <cfRule type="cellIs" dxfId="13190" priority="7411" stopIfTrue="1" operator="equal">
      <formula>"Napkin Hs"</formula>
    </cfRule>
    <cfRule type="cellIs" dxfId="13189" priority="7412" stopIfTrue="1" operator="equal">
      <formula>"Towel"</formula>
    </cfRule>
    <cfRule type="cellIs" dxfId="13188" priority="7413" stopIfTrue="1" operator="equal">
      <formula>"Napkin Hs"</formula>
    </cfRule>
    <cfRule type="cellIs" dxfId="13187" priority="7416" stopIfTrue="1" operator="equal">
      <formula>"Towel"</formula>
    </cfRule>
    <cfRule type="cellIs" dxfId="13186" priority="7417" stopIfTrue="1" operator="equal">
      <formula>"Napkin Hs"</formula>
    </cfRule>
    <cfRule type="cellIs" dxfId="13185" priority="7418" stopIfTrue="1" operator="equal">
      <formula>"Towel"</formula>
    </cfRule>
    <cfRule type="cellIs" dxfId="13184" priority="7419" stopIfTrue="1" operator="equal">
      <formula>"Napkin Hs"</formula>
    </cfRule>
    <cfRule type="cellIs" dxfId="13183" priority="7422" stopIfTrue="1" operator="equal">
      <formula>"Towel"</formula>
    </cfRule>
    <cfRule type="cellIs" dxfId="13182" priority="7423" stopIfTrue="1" operator="equal">
      <formula>"Napkin Hs"</formula>
    </cfRule>
    <cfRule type="cellIs" dxfId="13181" priority="7424" stopIfTrue="1" operator="equal">
      <formula>"Towel"</formula>
    </cfRule>
    <cfRule type="cellIs" dxfId="13180" priority="7425" stopIfTrue="1" operator="equal">
      <formula>"Napkin Hs"</formula>
    </cfRule>
    <cfRule type="cellIs" dxfId="13179" priority="7428" stopIfTrue="1" operator="equal">
      <formula>"Towel"</formula>
    </cfRule>
    <cfRule type="cellIs" dxfId="13178" priority="7429" stopIfTrue="1" operator="equal">
      <formula>"Napkin Hs"</formula>
    </cfRule>
    <cfRule type="cellIs" dxfId="13177" priority="7430" stopIfTrue="1" operator="equal">
      <formula>"Towel"</formula>
    </cfRule>
    <cfRule type="cellIs" dxfId="13176" priority="7431" stopIfTrue="1" operator="equal">
      <formula>"Napkin Hs"</formula>
    </cfRule>
    <cfRule type="cellIs" dxfId="13175" priority="7434" stopIfTrue="1" operator="equal">
      <formula>"Towel"</formula>
    </cfRule>
    <cfRule type="cellIs" dxfId="13174" priority="7435" stopIfTrue="1" operator="equal">
      <formula>"Napkin Hs"</formula>
    </cfRule>
    <cfRule type="cellIs" dxfId="13173" priority="7436" stopIfTrue="1" operator="equal">
      <formula>"Towel"</formula>
    </cfRule>
    <cfRule type="cellIs" dxfId="13172" priority="7437" stopIfTrue="1" operator="equal">
      <formula>"Napkin Hs"</formula>
    </cfRule>
    <cfRule type="cellIs" dxfId="13171" priority="7440" stopIfTrue="1" operator="equal">
      <formula>"Towel"</formula>
    </cfRule>
    <cfRule type="cellIs" dxfId="13170" priority="7441" stopIfTrue="1" operator="equal">
      <formula>"Napkin Hs"</formula>
    </cfRule>
    <cfRule type="cellIs" dxfId="13169" priority="7442" stopIfTrue="1" operator="equal">
      <formula>"Towel"</formula>
    </cfRule>
    <cfRule type="cellIs" dxfId="13168" priority="7443" stopIfTrue="1" operator="equal">
      <formula>"Napkin Hs"</formula>
    </cfRule>
    <cfRule type="cellIs" dxfId="13167" priority="7446" stopIfTrue="1" operator="equal">
      <formula>"Towel"</formula>
    </cfRule>
    <cfRule type="cellIs" dxfId="13166" priority="7447" stopIfTrue="1" operator="equal">
      <formula>"Napkin Hs"</formula>
    </cfRule>
  </conditionalFormatting>
  <conditionalFormatting sqref="C53:C54">
    <cfRule type="cellIs" dxfId="13165" priority="7448" stopIfTrue="1" operator="equal">
      <formula>"Towel"</formula>
    </cfRule>
    <cfRule type="cellIs" dxfId="13164" priority="7449" stopIfTrue="1" operator="equal">
      <formula>"Napkin Hs"</formula>
    </cfRule>
  </conditionalFormatting>
  <conditionalFormatting sqref="C54">
    <cfRule type="cellIs" dxfId="13163" priority="11274" stopIfTrue="1" operator="equal">
      <formula>"Towel"</formula>
    </cfRule>
    <cfRule type="cellIs" dxfId="13162" priority="11275" stopIfTrue="1" operator="equal">
      <formula>"Napkin Hs"</formula>
    </cfRule>
    <cfRule type="cellIs" dxfId="13161" priority="11280" stopIfTrue="1" operator="equal">
      <formula>"Towel"</formula>
    </cfRule>
    <cfRule type="cellIs" dxfId="13160" priority="11281" stopIfTrue="1" operator="equal">
      <formula>"Napkin Hs"</formula>
    </cfRule>
    <cfRule type="cellIs" dxfId="13159" priority="11282" stopIfTrue="1" operator="equal">
      <formula>"Towel"</formula>
    </cfRule>
    <cfRule type="cellIs" dxfId="13158" priority="11283" stopIfTrue="1" operator="equal">
      <formula>"Napkin Hs"</formula>
    </cfRule>
    <cfRule type="cellIs" dxfId="13157" priority="11292" stopIfTrue="1" operator="equal">
      <formula>"Towel"</formula>
    </cfRule>
    <cfRule type="cellIs" dxfId="13156" priority="11293" stopIfTrue="1" operator="equal">
      <formula>"Napkin Hs"</formula>
    </cfRule>
    <cfRule type="cellIs" dxfId="13155" priority="11296" stopIfTrue="1" operator="equal">
      <formula>"Towel"</formula>
    </cfRule>
    <cfRule type="cellIs" dxfId="13154" priority="11297" stopIfTrue="1" operator="equal">
      <formula>"Napkin Hs"</formula>
    </cfRule>
    <cfRule type="cellIs" dxfId="13153" priority="11300" stopIfTrue="1" operator="equal">
      <formula>"Towel"</formula>
    </cfRule>
    <cfRule type="cellIs" dxfId="13152" priority="11301" stopIfTrue="1" operator="equal">
      <formula>"Napkin Hs"</formula>
    </cfRule>
    <cfRule type="cellIs" dxfId="13151" priority="11302" stopIfTrue="1" operator="equal">
      <formula>"Towel"</formula>
    </cfRule>
    <cfRule type="cellIs" dxfId="13150" priority="11303" stopIfTrue="1" operator="equal">
      <formula>"Napkin Hs"</formula>
    </cfRule>
    <cfRule type="cellIs" dxfId="13149" priority="11310" stopIfTrue="1" operator="equal">
      <formula>"Towel"</formula>
    </cfRule>
    <cfRule type="cellIs" dxfId="13148" priority="11311" stopIfTrue="1" operator="equal">
      <formula>"Napkin Hs"</formula>
    </cfRule>
    <cfRule type="cellIs" dxfId="13147" priority="11312" stopIfTrue="1" operator="equal">
      <formula>"Towel"</formula>
    </cfRule>
    <cfRule type="cellIs" dxfId="13146" priority="11313" stopIfTrue="1" operator="equal">
      <formula>"Napkin Hs"</formula>
    </cfRule>
    <cfRule type="cellIs" dxfId="13145" priority="11322" stopIfTrue="1" operator="equal">
      <formula>"Towel"</formula>
    </cfRule>
    <cfRule type="cellIs" dxfId="13144" priority="11323" stopIfTrue="1" operator="equal">
      <formula>"Napkin Hs"</formula>
    </cfRule>
    <cfRule type="cellIs" dxfId="13143" priority="11326" stopIfTrue="1" operator="equal">
      <formula>"Towel"</formula>
    </cfRule>
    <cfRule type="cellIs" dxfId="13142" priority="11327" stopIfTrue="1" operator="equal">
      <formula>"Napkin Hs"</formula>
    </cfRule>
  </conditionalFormatting>
  <conditionalFormatting sqref="C55">
    <cfRule type="cellIs" dxfId="13141" priority="6986" stopIfTrue="1" operator="equal">
      <formula>"Towel"</formula>
    </cfRule>
    <cfRule type="cellIs" dxfId="13140" priority="6987" stopIfTrue="1" operator="equal">
      <formula>"Napkin Hs"</formula>
    </cfRule>
    <cfRule type="cellIs" dxfId="13139" priority="6988" stopIfTrue="1" operator="equal">
      <formula>"Towel"</formula>
    </cfRule>
    <cfRule type="cellIs" dxfId="13138" priority="6989" stopIfTrue="1" operator="equal">
      <formula>"Napkin Hs"</formula>
    </cfRule>
    <cfRule type="cellIs" dxfId="13137" priority="6990" stopIfTrue="1" operator="equal">
      <formula>"Towel"</formula>
    </cfRule>
    <cfRule type="cellIs" dxfId="13136" priority="6991" stopIfTrue="1" operator="equal">
      <formula>"Napkin Hs"</formula>
    </cfRule>
    <cfRule type="cellIs" dxfId="13135" priority="6992" stopIfTrue="1" operator="equal">
      <formula>"Towel"</formula>
    </cfRule>
    <cfRule type="cellIs" dxfId="13134" priority="6993" stopIfTrue="1" operator="equal">
      <formula>"Napkin Hs"</formula>
    </cfRule>
    <cfRule type="cellIs" dxfId="13133" priority="6994" stopIfTrue="1" operator="equal">
      <formula>"Towel"</formula>
    </cfRule>
    <cfRule type="cellIs" dxfId="13132" priority="6995" stopIfTrue="1" operator="equal">
      <formula>"Napkin Hs"</formula>
    </cfRule>
    <cfRule type="cellIs" dxfId="13131" priority="6996" stopIfTrue="1" operator="equal">
      <formula>"Towel"</formula>
    </cfRule>
    <cfRule type="cellIs" dxfId="13130" priority="6997" stopIfTrue="1" operator="equal">
      <formula>"Napkin Hs"</formula>
    </cfRule>
    <cfRule type="cellIs" dxfId="13129" priority="6998" stopIfTrue="1" operator="equal">
      <formula>"Towel"</formula>
    </cfRule>
    <cfRule type="cellIs" dxfId="13128" priority="6999" stopIfTrue="1" operator="equal">
      <formula>"Napkin Hs"</formula>
    </cfRule>
    <cfRule type="cellIs" dxfId="13127" priority="7000" stopIfTrue="1" operator="equal">
      <formula>"Towel"</formula>
    </cfRule>
    <cfRule type="cellIs" dxfId="13126" priority="7001" stopIfTrue="1" operator="equal">
      <formula>"Napkin Hs"</formula>
    </cfRule>
    <cfRule type="cellIs" dxfId="13125" priority="7066" stopIfTrue="1" operator="equal">
      <formula>"Towel"</formula>
    </cfRule>
    <cfRule type="cellIs" dxfId="13124" priority="7067" stopIfTrue="1" operator="equal">
      <formula>"Napkin Hs"</formula>
    </cfRule>
    <cfRule type="cellIs" dxfId="13123" priority="7068" stopIfTrue="1" operator="equal">
      <formula>"Towel"</formula>
    </cfRule>
    <cfRule type="cellIs" dxfId="13122" priority="7069" stopIfTrue="1" operator="equal">
      <formula>"Napkin Hs"</formula>
    </cfRule>
    <cfRule type="cellIs" dxfId="13121" priority="7070" stopIfTrue="1" operator="equal">
      <formula>"Towel"</formula>
    </cfRule>
    <cfRule type="cellIs" dxfId="13120" priority="7071" stopIfTrue="1" operator="equal">
      <formula>"Napkin Hs"</formula>
    </cfRule>
    <cfRule type="cellIs" dxfId="13119" priority="7072" stopIfTrue="1" operator="equal">
      <formula>"Towel"</formula>
    </cfRule>
    <cfRule type="cellIs" dxfId="13118" priority="7073" stopIfTrue="1" operator="equal">
      <formula>"Napkin Hs"</formula>
    </cfRule>
    <cfRule type="cellIs" dxfId="13117" priority="7074" stopIfTrue="1" operator="equal">
      <formula>"Towel"</formula>
    </cfRule>
    <cfRule type="cellIs" dxfId="13116" priority="7075" stopIfTrue="1" operator="equal">
      <formula>"Napkin Hs"</formula>
    </cfRule>
    <cfRule type="cellIs" dxfId="13115" priority="7076" stopIfTrue="1" operator="equal">
      <formula>"Towel"</formula>
    </cfRule>
    <cfRule type="cellIs" dxfId="13114" priority="7077" stopIfTrue="1" operator="equal">
      <formula>"Napkin Hs"</formula>
    </cfRule>
  </conditionalFormatting>
  <conditionalFormatting sqref="C55:C56">
    <cfRule type="cellIs" dxfId="13113" priority="7058" stopIfTrue="1" operator="equal">
      <formula>"Towel"</formula>
    </cfRule>
    <cfRule type="cellIs" dxfId="13112" priority="7059" stopIfTrue="1" operator="equal">
      <formula>"Napkin Hs"</formula>
    </cfRule>
    <cfRule type="cellIs" dxfId="13111" priority="7078" stopIfTrue="1" operator="equal">
      <formula>"Towel"</formula>
    </cfRule>
    <cfRule type="cellIs" dxfId="13110" priority="7079" stopIfTrue="1" operator="equal">
      <formula>"Napkin Hs"</formula>
    </cfRule>
  </conditionalFormatting>
  <conditionalFormatting sqref="C56">
    <cfRule type="cellIs" dxfId="13109" priority="7010" stopIfTrue="1" operator="equal">
      <formula>"Towel"</formula>
    </cfRule>
    <cfRule type="cellIs" dxfId="13108" priority="7011" stopIfTrue="1" operator="equal">
      <formula>"Napkin Hs"</formula>
    </cfRule>
    <cfRule type="cellIs" dxfId="13107" priority="7012" stopIfTrue="1" operator="equal">
      <formula>"Towel"</formula>
    </cfRule>
    <cfRule type="cellIs" dxfId="13106" priority="7013" stopIfTrue="1" operator="equal">
      <formula>"Napkin Hs"</formula>
    </cfRule>
    <cfRule type="cellIs" dxfId="13105" priority="7014" stopIfTrue="1" operator="equal">
      <formula>"Towel"</formula>
    </cfRule>
    <cfRule type="cellIs" dxfId="13104" priority="7015" stopIfTrue="1" operator="equal">
      <formula>"Napkin Hs"</formula>
    </cfRule>
    <cfRule type="cellIs" dxfId="13103" priority="7016" stopIfTrue="1" operator="equal">
      <formula>"Towel"</formula>
    </cfRule>
    <cfRule type="cellIs" dxfId="13102" priority="7017" stopIfTrue="1" operator="equal">
      <formula>"Napkin Hs"</formula>
    </cfRule>
    <cfRule type="cellIs" dxfId="13101" priority="7018" stopIfTrue="1" operator="equal">
      <formula>"Towel"</formula>
    </cfRule>
    <cfRule type="cellIs" dxfId="13100" priority="7019" stopIfTrue="1" operator="equal">
      <formula>"Napkin Hs"</formula>
    </cfRule>
    <cfRule type="cellIs" dxfId="13099" priority="7020" stopIfTrue="1" operator="equal">
      <formula>"Towel"</formula>
    </cfRule>
    <cfRule type="cellIs" dxfId="13098" priority="7021" stopIfTrue="1" operator="equal">
      <formula>"Napkin Hs"</formula>
    </cfRule>
    <cfRule type="cellIs" dxfId="13097" priority="7022" stopIfTrue="1" operator="equal">
      <formula>"Towel"</formula>
    </cfRule>
    <cfRule type="cellIs" dxfId="13096" priority="7023" stopIfTrue="1" operator="equal">
      <formula>"Napkin Hs"</formula>
    </cfRule>
    <cfRule type="cellIs" dxfId="13095" priority="7026" stopIfTrue="1" operator="equal">
      <formula>"Towel"</formula>
    </cfRule>
    <cfRule type="cellIs" dxfId="13094" priority="7027" stopIfTrue="1" operator="equal">
      <formula>"Napkin Hs"</formula>
    </cfRule>
    <cfRule type="cellIs" dxfId="13093" priority="7028" stopIfTrue="1" operator="equal">
      <formula>"Towel"</formula>
    </cfRule>
    <cfRule type="cellIs" dxfId="13092" priority="7029" stopIfTrue="1" operator="equal">
      <formula>"Napkin Hs"</formula>
    </cfRule>
    <cfRule type="cellIs" dxfId="13091" priority="7032" stopIfTrue="1" operator="equal">
      <formula>"Towel"</formula>
    </cfRule>
    <cfRule type="cellIs" dxfId="13090" priority="7033" stopIfTrue="1" operator="equal">
      <formula>"Napkin Hs"</formula>
    </cfRule>
    <cfRule type="cellIs" dxfId="13089" priority="7034" stopIfTrue="1" operator="equal">
      <formula>"Towel"</formula>
    </cfRule>
    <cfRule type="cellIs" dxfId="13088" priority="7035" stopIfTrue="1" operator="equal">
      <formula>"Napkin Hs"</formula>
    </cfRule>
    <cfRule type="cellIs" dxfId="13087" priority="7038" stopIfTrue="1" operator="equal">
      <formula>"Towel"</formula>
    </cfRule>
    <cfRule type="cellIs" dxfId="13086" priority="7039" stopIfTrue="1" operator="equal">
      <formula>"Napkin Hs"</formula>
    </cfRule>
    <cfRule type="cellIs" dxfId="13085" priority="7040" stopIfTrue="1" operator="equal">
      <formula>"Towel"</formula>
    </cfRule>
    <cfRule type="cellIs" dxfId="13084" priority="7041" stopIfTrue="1" operator="equal">
      <formula>"Napkin Hs"</formula>
    </cfRule>
    <cfRule type="cellIs" dxfId="13083" priority="7044" stopIfTrue="1" operator="equal">
      <formula>"Towel"</formula>
    </cfRule>
    <cfRule type="cellIs" dxfId="13082" priority="7045" stopIfTrue="1" operator="equal">
      <formula>"Napkin Hs"</formula>
    </cfRule>
    <cfRule type="cellIs" dxfId="13081" priority="7046" stopIfTrue="1" operator="equal">
      <formula>"Towel"</formula>
    </cfRule>
    <cfRule type="cellIs" dxfId="13080" priority="7047" stopIfTrue="1" operator="equal">
      <formula>"Napkin Hs"</formula>
    </cfRule>
    <cfRule type="cellIs" dxfId="13079" priority="7050" stopIfTrue="1" operator="equal">
      <formula>"Towel"</formula>
    </cfRule>
    <cfRule type="cellIs" dxfId="13078" priority="7051" stopIfTrue="1" operator="equal">
      <formula>"Napkin Hs"</formula>
    </cfRule>
    <cfRule type="cellIs" dxfId="13077" priority="7052" stopIfTrue="1" operator="equal">
      <formula>"Towel"</formula>
    </cfRule>
    <cfRule type="cellIs" dxfId="13076" priority="7053" stopIfTrue="1" operator="equal">
      <formula>"Napkin Hs"</formula>
    </cfRule>
    <cfRule type="cellIs" dxfId="13075" priority="7056" stopIfTrue="1" operator="equal">
      <formula>"Towel"</formula>
    </cfRule>
    <cfRule type="cellIs" dxfId="13074" priority="7057" stopIfTrue="1" operator="equal">
      <formula>"Napkin Hs"</formula>
    </cfRule>
    <cfRule type="cellIs" dxfId="13073" priority="7086" stopIfTrue="1" operator="equal">
      <formula>"Towel"</formula>
    </cfRule>
    <cfRule type="cellIs" dxfId="13072" priority="7087" stopIfTrue="1" operator="equal">
      <formula>"Napkin Hs"</formula>
    </cfRule>
    <cfRule type="cellIs" dxfId="13071" priority="7088" stopIfTrue="1" operator="equal">
      <formula>"Towel"</formula>
    </cfRule>
    <cfRule type="cellIs" dxfId="13070" priority="7089" stopIfTrue="1" operator="equal">
      <formula>"Napkin Hs"</formula>
    </cfRule>
    <cfRule type="cellIs" dxfId="13069" priority="7090" stopIfTrue="1" operator="equal">
      <formula>"Towel"</formula>
    </cfRule>
    <cfRule type="cellIs" dxfId="13068" priority="7091" stopIfTrue="1" operator="equal">
      <formula>"Napkin Hs"</formula>
    </cfRule>
    <cfRule type="cellIs" dxfId="13067" priority="7092" stopIfTrue="1" operator="equal">
      <formula>"Towel"</formula>
    </cfRule>
    <cfRule type="cellIs" dxfId="13066" priority="7093" stopIfTrue="1" operator="equal">
      <formula>"Napkin Hs"</formula>
    </cfRule>
    <cfRule type="cellIs" dxfId="13065" priority="7094" stopIfTrue="1" operator="equal">
      <formula>"Towel"</formula>
    </cfRule>
    <cfRule type="cellIs" dxfId="13064" priority="7095" stopIfTrue="1" operator="equal">
      <formula>"Napkin Hs"</formula>
    </cfRule>
    <cfRule type="cellIs" dxfId="13063" priority="7096" stopIfTrue="1" operator="equal">
      <formula>"Towel"</formula>
    </cfRule>
    <cfRule type="cellIs" dxfId="13062" priority="7097" stopIfTrue="1" operator="equal">
      <formula>"Napkin Hs"</formula>
    </cfRule>
    <cfRule type="cellIs" dxfId="13061" priority="7098" stopIfTrue="1" operator="equal">
      <formula>"Towel"</formula>
    </cfRule>
    <cfRule type="cellIs" dxfId="13060" priority="7099" stopIfTrue="1" operator="equal">
      <formula>"Napkin Hs"</formula>
    </cfRule>
  </conditionalFormatting>
  <conditionalFormatting sqref="C57">
    <cfRule type="cellIs" dxfId="13059" priority="7108" stopIfTrue="1" operator="equal">
      <formula>"Towel"</formula>
    </cfRule>
    <cfRule type="cellIs" dxfId="13058" priority="7109" stopIfTrue="1" operator="equal">
      <formula>"Napkin Hs"</formula>
    </cfRule>
    <cfRule type="cellIs" dxfId="13057" priority="7110" stopIfTrue="1" operator="equal">
      <formula>"Towel"</formula>
    </cfRule>
    <cfRule type="cellIs" dxfId="13056" priority="7111" stopIfTrue="1" operator="equal">
      <formula>"Napkin Hs"</formula>
    </cfRule>
    <cfRule type="cellIs" dxfId="13055" priority="7112" stopIfTrue="1" operator="equal">
      <formula>"Towel"</formula>
    </cfRule>
    <cfRule type="cellIs" dxfId="13054" priority="7113" stopIfTrue="1" operator="equal">
      <formula>"Napkin Hs"</formula>
    </cfRule>
    <cfRule type="cellIs" dxfId="13053" priority="7114" stopIfTrue="1" operator="equal">
      <formula>"Towel"</formula>
    </cfRule>
    <cfRule type="cellIs" dxfId="13052" priority="7115" stopIfTrue="1" operator="equal">
      <formula>"Napkin Hs"</formula>
    </cfRule>
    <cfRule type="cellIs" dxfId="13051" priority="7116" stopIfTrue="1" operator="equal">
      <formula>"Towel"</formula>
    </cfRule>
    <cfRule type="cellIs" dxfId="13050" priority="7117" stopIfTrue="1" operator="equal">
      <formula>"Napkin Hs"</formula>
    </cfRule>
    <cfRule type="cellIs" dxfId="13049" priority="7118" stopIfTrue="1" operator="equal">
      <formula>"Towel"</formula>
    </cfRule>
    <cfRule type="cellIs" dxfId="13048" priority="7119" stopIfTrue="1" operator="equal">
      <formula>"Napkin Hs"</formula>
    </cfRule>
    <cfRule type="cellIs" dxfId="13047" priority="7120" stopIfTrue="1" operator="equal">
      <formula>"Towel"</formula>
    </cfRule>
    <cfRule type="cellIs" dxfId="13046" priority="7121" stopIfTrue="1" operator="equal">
      <formula>"Napkin Hs"</formula>
    </cfRule>
    <cfRule type="cellIs" dxfId="13045" priority="7124" stopIfTrue="1" operator="equal">
      <formula>"Towel"</formula>
    </cfRule>
    <cfRule type="cellIs" dxfId="13044" priority="7125" stopIfTrue="1" operator="equal">
      <formula>"Napkin Hs"</formula>
    </cfRule>
    <cfRule type="cellIs" dxfId="13043" priority="7126" stopIfTrue="1" operator="equal">
      <formula>"Towel"</formula>
    </cfRule>
    <cfRule type="cellIs" dxfId="13042" priority="7127" stopIfTrue="1" operator="equal">
      <formula>"Napkin Hs"</formula>
    </cfRule>
    <cfRule type="cellIs" dxfId="13041" priority="7130" stopIfTrue="1" operator="equal">
      <formula>"Towel"</formula>
    </cfRule>
    <cfRule type="cellIs" dxfId="13040" priority="7131" stopIfTrue="1" operator="equal">
      <formula>"Napkin Hs"</formula>
    </cfRule>
    <cfRule type="cellIs" dxfId="13039" priority="7132" stopIfTrue="1" operator="equal">
      <formula>"Towel"</formula>
    </cfRule>
    <cfRule type="cellIs" dxfId="13038" priority="7133" stopIfTrue="1" operator="equal">
      <formula>"Napkin Hs"</formula>
    </cfRule>
    <cfRule type="cellIs" dxfId="13037" priority="7136" stopIfTrue="1" operator="equal">
      <formula>"Towel"</formula>
    </cfRule>
    <cfRule type="cellIs" dxfId="13036" priority="7137" stopIfTrue="1" operator="equal">
      <formula>"Napkin Hs"</formula>
    </cfRule>
    <cfRule type="cellIs" dxfId="13035" priority="7138" stopIfTrue="1" operator="equal">
      <formula>"Towel"</formula>
    </cfRule>
    <cfRule type="cellIs" dxfId="13034" priority="7139" stopIfTrue="1" operator="equal">
      <formula>"Napkin Hs"</formula>
    </cfRule>
    <cfRule type="cellIs" dxfId="13033" priority="7142" stopIfTrue="1" operator="equal">
      <formula>"Towel"</formula>
    </cfRule>
    <cfRule type="cellIs" dxfId="13032" priority="7143" stopIfTrue="1" operator="equal">
      <formula>"Napkin Hs"</formula>
    </cfRule>
    <cfRule type="cellIs" dxfId="13031" priority="7144" stopIfTrue="1" operator="equal">
      <formula>"Towel"</formula>
    </cfRule>
    <cfRule type="cellIs" dxfId="13030" priority="7145" stopIfTrue="1" operator="equal">
      <formula>"Napkin Hs"</formula>
    </cfRule>
    <cfRule type="cellIs" dxfId="13029" priority="7148" stopIfTrue="1" operator="equal">
      <formula>"Towel"</formula>
    </cfRule>
    <cfRule type="cellIs" dxfId="13028" priority="7149" stopIfTrue="1" operator="equal">
      <formula>"Napkin Hs"</formula>
    </cfRule>
    <cfRule type="cellIs" dxfId="13027" priority="7150" stopIfTrue="1" operator="equal">
      <formula>"Towel"</formula>
    </cfRule>
    <cfRule type="cellIs" dxfId="13026" priority="7151" stopIfTrue="1" operator="equal">
      <formula>"Napkin Hs"</formula>
    </cfRule>
    <cfRule type="cellIs" dxfId="13025" priority="7154" stopIfTrue="1" operator="equal">
      <formula>"Towel"</formula>
    </cfRule>
    <cfRule type="cellIs" dxfId="13024" priority="7155" stopIfTrue="1" operator="equal">
      <formula>"Napkin Hs"</formula>
    </cfRule>
  </conditionalFormatting>
  <conditionalFormatting sqref="C57:C58">
    <cfRule type="cellIs" dxfId="13023" priority="7156" stopIfTrue="1" operator="equal">
      <formula>"Towel"</formula>
    </cfRule>
    <cfRule type="cellIs" dxfId="13022" priority="7157" stopIfTrue="1" operator="equal">
      <formula>"Napkin Hs"</formula>
    </cfRule>
  </conditionalFormatting>
  <conditionalFormatting sqref="C58">
    <cfRule type="cellIs" dxfId="13021" priority="7162" stopIfTrue="1" operator="equal">
      <formula>"Towel"</formula>
    </cfRule>
    <cfRule type="cellIs" dxfId="13020" priority="7163" stopIfTrue="1" operator="equal">
      <formula>"Napkin Hs"</formula>
    </cfRule>
    <cfRule type="cellIs" dxfId="13019" priority="7166" stopIfTrue="1" operator="equal">
      <formula>"Towel"</formula>
    </cfRule>
    <cfRule type="cellIs" dxfId="13018" priority="7167" stopIfTrue="1" operator="equal">
      <formula>"Napkin Hs"</formula>
    </cfRule>
    <cfRule type="cellIs" dxfId="13017" priority="7168" stopIfTrue="1" operator="equal">
      <formula>"Towel"</formula>
    </cfRule>
    <cfRule type="cellIs" dxfId="13016" priority="7169" stopIfTrue="1" operator="equal">
      <formula>"Napkin Hs"</formula>
    </cfRule>
    <cfRule type="cellIs" dxfId="13015" priority="7172" stopIfTrue="1" operator="equal">
      <formula>"Towel"</formula>
    </cfRule>
    <cfRule type="cellIs" dxfId="13014" priority="7173" stopIfTrue="1" operator="equal">
      <formula>"Napkin Hs"</formula>
    </cfRule>
    <cfRule type="cellIs" dxfId="13013" priority="7174" stopIfTrue="1" operator="equal">
      <formula>"Towel"</formula>
    </cfRule>
    <cfRule type="cellIs" dxfId="13012" priority="7175" stopIfTrue="1" operator="equal">
      <formula>"Napkin Hs"</formula>
    </cfRule>
    <cfRule type="cellIs" dxfId="13011" priority="7178" stopIfTrue="1" operator="equal">
      <formula>"Towel"</formula>
    </cfRule>
    <cfRule type="cellIs" dxfId="13010" priority="7179" stopIfTrue="1" operator="equal">
      <formula>"Napkin Hs"</formula>
    </cfRule>
    <cfRule type="cellIs" dxfId="13009" priority="7180" stopIfTrue="1" operator="equal">
      <formula>"Towel"</formula>
    </cfRule>
    <cfRule type="cellIs" dxfId="13008" priority="7181" stopIfTrue="1" operator="equal">
      <formula>"Napkin Hs"</formula>
    </cfRule>
    <cfRule type="cellIs" dxfId="13007" priority="7184" stopIfTrue="1" operator="equal">
      <formula>"Towel"</formula>
    </cfRule>
    <cfRule type="cellIs" dxfId="13006" priority="7185" stopIfTrue="1" operator="equal">
      <formula>"Napkin Hs"</formula>
    </cfRule>
    <cfRule type="cellIs" dxfId="13005" priority="7186" stopIfTrue="1" operator="equal">
      <formula>"Towel"</formula>
    </cfRule>
    <cfRule type="cellIs" dxfId="13004" priority="7187" stopIfTrue="1" operator="equal">
      <formula>"Napkin Hs"</formula>
    </cfRule>
    <cfRule type="cellIs" dxfId="13003" priority="7190" stopIfTrue="1" operator="equal">
      <formula>"Towel"</formula>
    </cfRule>
    <cfRule type="cellIs" dxfId="13002" priority="7191" stopIfTrue="1" operator="equal">
      <formula>"Napkin Hs"</formula>
    </cfRule>
    <cfRule type="cellIs" dxfId="13001" priority="7192" stopIfTrue="1" operator="equal">
      <formula>"Towel"</formula>
    </cfRule>
    <cfRule type="cellIs" dxfId="13000" priority="7193" stopIfTrue="1" operator="equal">
      <formula>"Napkin Hs"</formula>
    </cfRule>
    <cfRule type="cellIs" dxfId="12999" priority="7196" stopIfTrue="1" operator="equal">
      <formula>"Towel"</formula>
    </cfRule>
    <cfRule type="cellIs" dxfId="12998" priority="7197" stopIfTrue="1" operator="equal">
      <formula>"Napkin Hs"</formula>
    </cfRule>
    <cfRule type="cellIs" dxfId="12997" priority="7198" stopIfTrue="1" operator="equal">
      <formula>"Towel"</formula>
    </cfRule>
    <cfRule type="cellIs" dxfId="12996" priority="7199" stopIfTrue="1" operator="equal">
      <formula>"Napkin Hs"</formula>
    </cfRule>
    <cfRule type="cellIs" dxfId="12995" priority="7202" stopIfTrue="1" operator="equal">
      <formula>"Towel"</formula>
    </cfRule>
    <cfRule type="cellIs" dxfId="12994" priority="7203" stopIfTrue="1" operator="equal">
      <formula>"Napkin Hs"</formula>
    </cfRule>
  </conditionalFormatting>
  <conditionalFormatting sqref="C58:C59">
    <cfRule type="cellIs" dxfId="12993" priority="7204" stopIfTrue="1" operator="equal">
      <formula>"Towel"</formula>
    </cfRule>
    <cfRule type="cellIs" dxfId="12992" priority="7205" stopIfTrue="1" operator="equal">
      <formula>"Napkin Hs"</formula>
    </cfRule>
  </conditionalFormatting>
  <conditionalFormatting sqref="C59">
    <cfRule type="cellIs" dxfId="12991" priority="7210" stopIfTrue="1" operator="equal">
      <formula>"Towel"</formula>
    </cfRule>
    <cfRule type="cellIs" dxfId="12990" priority="7211" stopIfTrue="1" operator="equal">
      <formula>"Napkin Hs"</formula>
    </cfRule>
    <cfRule type="cellIs" dxfId="12989" priority="7214" stopIfTrue="1" operator="equal">
      <formula>"Towel"</formula>
    </cfRule>
    <cfRule type="cellIs" dxfId="12988" priority="7215" stopIfTrue="1" operator="equal">
      <formula>"Napkin Hs"</formula>
    </cfRule>
    <cfRule type="cellIs" dxfId="12987" priority="7216" stopIfTrue="1" operator="equal">
      <formula>"Towel"</formula>
    </cfRule>
    <cfRule type="cellIs" dxfId="12986" priority="7217" stopIfTrue="1" operator="equal">
      <formula>"Napkin Hs"</formula>
    </cfRule>
    <cfRule type="cellIs" dxfId="12985" priority="7220" stopIfTrue="1" operator="equal">
      <formula>"Towel"</formula>
    </cfRule>
    <cfRule type="cellIs" dxfId="12984" priority="7221" stopIfTrue="1" operator="equal">
      <formula>"Napkin Hs"</formula>
    </cfRule>
    <cfRule type="cellIs" dxfId="12983" priority="7222" stopIfTrue="1" operator="equal">
      <formula>"Towel"</formula>
    </cfRule>
    <cfRule type="cellIs" dxfId="12982" priority="7223" stopIfTrue="1" operator="equal">
      <formula>"Napkin Hs"</formula>
    </cfRule>
    <cfRule type="cellIs" dxfId="12981" priority="7226" stopIfTrue="1" operator="equal">
      <formula>"Towel"</formula>
    </cfRule>
    <cfRule type="cellIs" dxfId="12980" priority="7227" stopIfTrue="1" operator="equal">
      <formula>"Napkin Hs"</formula>
    </cfRule>
    <cfRule type="cellIs" dxfId="12979" priority="7228" stopIfTrue="1" operator="equal">
      <formula>"Towel"</formula>
    </cfRule>
    <cfRule type="cellIs" dxfId="12978" priority="7229" stopIfTrue="1" operator="equal">
      <formula>"Napkin Hs"</formula>
    </cfRule>
    <cfRule type="cellIs" dxfId="12977" priority="7232" stopIfTrue="1" operator="equal">
      <formula>"Towel"</formula>
    </cfRule>
    <cfRule type="cellIs" dxfId="12976" priority="7233" stopIfTrue="1" operator="equal">
      <formula>"Napkin Hs"</formula>
    </cfRule>
    <cfRule type="cellIs" dxfId="12975" priority="7234" stopIfTrue="1" operator="equal">
      <formula>"Towel"</formula>
    </cfRule>
    <cfRule type="cellIs" dxfId="12974" priority="7235" stopIfTrue="1" operator="equal">
      <formula>"Napkin Hs"</formula>
    </cfRule>
    <cfRule type="cellIs" dxfId="12973" priority="7238" stopIfTrue="1" operator="equal">
      <formula>"Towel"</formula>
    </cfRule>
    <cfRule type="cellIs" dxfId="12972" priority="7239" stopIfTrue="1" operator="equal">
      <formula>"Napkin Hs"</formula>
    </cfRule>
    <cfRule type="cellIs" dxfId="12971" priority="7240" stopIfTrue="1" operator="equal">
      <formula>"Towel"</formula>
    </cfRule>
    <cfRule type="cellIs" dxfId="12970" priority="7241" stopIfTrue="1" operator="equal">
      <formula>"Napkin Hs"</formula>
    </cfRule>
  </conditionalFormatting>
  <conditionalFormatting sqref="C60:C62">
    <cfRule type="cellIs" dxfId="12969" priority="6812" stopIfTrue="1" operator="equal">
      <formula>"Towel"</formula>
    </cfRule>
    <cfRule type="cellIs" dxfId="12968" priority="6813" stopIfTrue="1" operator="equal">
      <formula>"Napkin Hs"</formula>
    </cfRule>
    <cfRule type="cellIs" dxfId="12967" priority="6814" stopIfTrue="1" operator="equal">
      <formula>"Towel"</formula>
    </cfRule>
    <cfRule type="cellIs" dxfId="12966" priority="6815" stopIfTrue="1" operator="equal">
      <formula>"Napkin Hs"</formula>
    </cfRule>
    <cfRule type="cellIs" dxfId="12965" priority="6816" stopIfTrue="1" operator="equal">
      <formula>"Towel"</formula>
    </cfRule>
    <cfRule type="cellIs" dxfId="12964" priority="6817" stopIfTrue="1" operator="equal">
      <formula>"Napkin Hs"</formula>
    </cfRule>
    <cfRule type="cellIs" dxfId="12963" priority="6818" stopIfTrue="1" operator="equal">
      <formula>"Towel"</formula>
    </cfRule>
    <cfRule type="cellIs" dxfId="12962" priority="6819" stopIfTrue="1" operator="equal">
      <formula>"Napkin Hs"</formula>
    </cfRule>
    <cfRule type="cellIs" dxfId="12961" priority="6820" stopIfTrue="1" operator="equal">
      <formula>"Towel"</formula>
    </cfRule>
    <cfRule type="cellIs" dxfId="12960" priority="6821" stopIfTrue="1" operator="equal">
      <formula>"Napkin Hs"</formula>
    </cfRule>
    <cfRule type="cellIs" dxfId="12959" priority="6822" stopIfTrue="1" operator="equal">
      <formula>"Towel"</formula>
    </cfRule>
    <cfRule type="cellIs" dxfId="12958" priority="6823" stopIfTrue="1" operator="equal">
      <formula>"Napkin Hs"</formula>
    </cfRule>
    <cfRule type="cellIs" dxfId="12957" priority="6824" stopIfTrue="1" operator="equal">
      <formula>"Towel"</formula>
    </cfRule>
    <cfRule type="cellIs" dxfId="12956" priority="6825" stopIfTrue="1" operator="equal">
      <formula>"Napkin Hs"</formula>
    </cfRule>
    <cfRule type="cellIs" dxfId="12955" priority="6890" stopIfTrue="1" operator="equal">
      <formula>"Towel"</formula>
    </cfRule>
    <cfRule type="cellIs" dxfId="12954" priority="6891" stopIfTrue="1" operator="equal">
      <formula>"Napkin Hs"</formula>
    </cfRule>
    <cfRule type="cellIs" dxfId="12953" priority="6892" stopIfTrue="1" operator="equal">
      <formula>"Towel"</formula>
    </cfRule>
    <cfRule type="cellIs" dxfId="12952" priority="6893" stopIfTrue="1" operator="equal">
      <formula>"Napkin Hs"</formula>
    </cfRule>
    <cfRule type="cellIs" dxfId="12951" priority="6894" stopIfTrue="1" operator="equal">
      <formula>"Towel"</formula>
    </cfRule>
    <cfRule type="cellIs" dxfId="12950" priority="6895" stopIfTrue="1" operator="equal">
      <formula>"Napkin Hs"</formula>
    </cfRule>
    <cfRule type="cellIs" dxfId="12949" priority="6896" stopIfTrue="1" operator="equal">
      <formula>"Towel"</formula>
    </cfRule>
    <cfRule type="cellIs" dxfId="12948" priority="6897" stopIfTrue="1" operator="equal">
      <formula>"Napkin Hs"</formula>
    </cfRule>
    <cfRule type="cellIs" dxfId="12947" priority="6898" stopIfTrue="1" operator="equal">
      <formula>"Towel"</formula>
    </cfRule>
    <cfRule type="cellIs" dxfId="12946" priority="6899" stopIfTrue="1" operator="equal">
      <formula>"Napkin Hs"</formula>
    </cfRule>
    <cfRule type="cellIs" dxfId="12945" priority="6900" stopIfTrue="1" operator="equal">
      <formula>"Towel"</formula>
    </cfRule>
    <cfRule type="cellIs" dxfId="12944" priority="6901" stopIfTrue="1" operator="equal">
      <formula>"Napkin Hs"</formula>
    </cfRule>
  </conditionalFormatting>
  <conditionalFormatting sqref="C60:C63">
    <cfRule type="cellIs" dxfId="12943" priority="6902" stopIfTrue="1" operator="equal">
      <formula>"Towel"</formula>
    </cfRule>
    <cfRule type="cellIs" dxfId="12942" priority="6903" stopIfTrue="1" operator="equal">
      <formula>"Napkin Hs"</formula>
    </cfRule>
  </conditionalFormatting>
  <conditionalFormatting sqref="C63">
    <cfRule type="cellIs" dxfId="12941" priority="10858" stopIfTrue="1" operator="equal">
      <formula>"Towel"</formula>
    </cfRule>
    <cfRule type="cellIs" dxfId="12940" priority="10859" stopIfTrue="1" operator="equal">
      <formula>"Napkin Hs"</formula>
    </cfRule>
    <cfRule type="cellIs" dxfId="12939" priority="10862" stopIfTrue="1" operator="equal">
      <formula>"Towel"</formula>
    </cfRule>
    <cfRule type="cellIs" dxfId="12938" priority="10863" stopIfTrue="1" operator="equal">
      <formula>"Napkin Hs"</formula>
    </cfRule>
    <cfRule type="cellIs" dxfId="12937" priority="10864" stopIfTrue="1" operator="equal">
      <formula>"Towel"</formula>
    </cfRule>
    <cfRule type="cellIs" dxfId="12936" priority="10865" stopIfTrue="1" operator="equal">
      <formula>"Napkin Hs"</formula>
    </cfRule>
    <cfRule type="cellIs" dxfId="12935" priority="10868" stopIfTrue="1" operator="equal">
      <formula>"Towel"</formula>
    </cfRule>
    <cfRule type="cellIs" dxfId="12934" priority="10869" stopIfTrue="1" operator="equal">
      <formula>"Napkin Hs"</formula>
    </cfRule>
    <cfRule type="cellIs" dxfId="12933" priority="10870" stopIfTrue="1" operator="equal">
      <formula>"Towel"</formula>
    </cfRule>
    <cfRule type="cellIs" dxfId="12932" priority="10871" stopIfTrue="1" operator="equal">
      <formula>"Napkin Hs"</formula>
    </cfRule>
    <cfRule type="cellIs" dxfId="12931" priority="10874" stopIfTrue="1" operator="equal">
      <formula>"Towel"</formula>
    </cfRule>
    <cfRule type="cellIs" dxfId="12930" priority="10875" stopIfTrue="1" operator="equal">
      <formula>"Napkin Hs"</formula>
    </cfRule>
    <cfRule type="cellIs" dxfId="12929" priority="10876" stopIfTrue="1" operator="equal">
      <formula>"Towel"</formula>
    </cfRule>
    <cfRule type="cellIs" dxfId="12928" priority="10877" stopIfTrue="1" operator="equal">
      <formula>"Napkin Hs"</formula>
    </cfRule>
    <cfRule type="cellIs" dxfId="12927" priority="10880" stopIfTrue="1" operator="equal">
      <formula>"Towel"</formula>
    </cfRule>
    <cfRule type="cellIs" dxfId="12926" priority="10881" stopIfTrue="1" operator="equal">
      <formula>"Napkin Hs"</formula>
    </cfRule>
    <cfRule type="cellIs" dxfId="12925" priority="10882" stopIfTrue="1" operator="equal">
      <formula>"Towel"</formula>
    </cfRule>
    <cfRule type="cellIs" dxfId="12924" priority="10883" stopIfTrue="1" operator="equal">
      <formula>"Napkin Hs"</formula>
    </cfRule>
    <cfRule type="cellIs" dxfId="12923" priority="10886" stopIfTrue="1" operator="equal">
      <formula>"Towel"</formula>
    </cfRule>
    <cfRule type="cellIs" dxfId="12922" priority="10887" stopIfTrue="1" operator="equal">
      <formula>"Napkin Hs"</formula>
    </cfRule>
    <cfRule type="cellIs" dxfId="12921" priority="10888" stopIfTrue="1" operator="equal">
      <formula>"Towel"</formula>
    </cfRule>
    <cfRule type="cellIs" dxfId="12920" priority="10889" stopIfTrue="1" operator="equal">
      <formula>"Napkin Hs"</formula>
    </cfRule>
    <cfRule type="cellIs" dxfId="12919" priority="10892" stopIfTrue="1" operator="equal">
      <formula>"Towel"</formula>
    </cfRule>
    <cfRule type="cellIs" dxfId="12918" priority="10893" stopIfTrue="1" operator="equal">
      <formula>"Napkin Hs"</formula>
    </cfRule>
    <cfRule type="cellIs" dxfId="12917" priority="10894" stopIfTrue="1" operator="equal">
      <formula>"Towel"</formula>
    </cfRule>
    <cfRule type="cellIs" dxfId="12916" priority="10895" stopIfTrue="1" operator="equal">
      <formula>"Napkin Hs"</formula>
    </cfRule>
    <cfRule type="cellIs" dxfId="12915" priority="10898" stopIfTrue="1" operator="equal">
      <formula>"Towel"</formula>
    </cfRule>
    <cfRule type="cellIs" dxfId="12914" priority="10899" stopIfTrue="1" operator="equal">
      <formula>"Napkin Hs"</formula>
    </cfRule>
    <cfRule type="cellIs" dxfId="12913" priority="10900" stopIfTrue="1" operator="equal">
      <formula>"Towel"</formula>
    </cfRule>
    <cfRule type="cellIs" dxfId="12912" priority="10901" stopIfTrue="1" operator="equal">
      <formula>"Napkin Hs"</formula>
    </cfRule>
  </conditionalFormatting>
  <conditionalFormatting sqref="C64">
    <cfRule type="cellIs" dxfId="12911" priority="6314" stopIfTrue="1" operator="equal">
      <formula>"Towel"</formula>
    </cfRule>
    <cfRule type="cellIs" dxfId="12910" priority="6315" stopIfTrue="1" operator="equal">
      <formula>"Napkin Hs"</formula>
    </cfRule>
    <cfRule type="cellIs" dxfId="12909" priority="6316" stopIfTrue="1" operator="equal">
      <formula>"Towel"</formula>
    </cfRule>
    <cfRule type="cellIs" dxfId="12908" priority="6317" stopIfTrue="1" operator="equal">
      <formula>"Napkin Hs"</formula>
    </cfRule>
    <cfRule type="cellIs" dxfId="12907" priority="6318" stopIfTrue="1" operator="equal">
      <formula>"Towel"</formula>
    </cfRule>
    <cfRule type="cellIs" dxfId="12906" priority="6319" stopIfTrue="1" operator="equal">
      <formula>"Napkin Hs"</formula>
    </cfRule>
    <cfRule type="cellIs" dxfId="12905" priority="6320" stopIfTrue="1" operator="equal">
      <formula>"Towel"</formula>
    </cfRule>
    <cfRule type="cellIs" dxfId="12904" priority="6321" stopIfTrue="1" operator="equal">
      <formula>"Napkin Hs"</formula>
    </cfRule>
    <cfRule type="cellIs" dxfId="12903" priority="6322" stopIfTrue="1" operator="equal">
      <formula>"Towel"</formula>
    </cfRule>
    <cfRule type="cellIs" dxfId="12902" priority="6323" stopIfTrue="1" operator="equal">
      <formula>"Napkin Hs"</formula>
    </cfRule>
    <cfRule type="cellIs" dxfId="12901" priority="6324" stopIfTrue="1" operator="equal">
      <formula>"Towel"</formula>
    </cfRule>
    <cfRule type="cellIs" dxfId="12900" priority="6325" stopIfTrue="1" operator="equal">
      <formula>"Napkin Hs"</formula>
    </cfRule>
    <cfRule type="cellIs" dxfId="12899" priority="6326" stopIfTrue="1" operator="equal">
      <formula>"Towel"</formula>
    </cfRule>
    <cfRule type="cellIs" dxfId="12898" priority="6327" stopIfTrue="1" operator="equal">
      <formula>"Napkin Hs"</formula>
    </cfRule>
    <cfRule type="cellIs" dxfId="12897" priority="6328" stopIfTrue="1" operator="equal">
      <formula>"Towel"</formula>
    </cfRule>
    <cfRule type="cellIs" dxfId="12896" priority="6329" stopIfTrue="1" operator="equal">
      <formula>"Napkin Hs"</formula>
    </cfRule>
    <cfRule type="cellIs" dxfId="12895" priority="6330" stopIfTrue="1" operator="equal">
      <formula>"Towel"</formula>
    </cfRule>
    <cfRule type="cellIs" dxfId="12894" priority="6331" stopIfTrue="1" operator="equal">
      <formula>"Napkin Hs"</formula>
    </cfRule>
    <cfRule type="cellIs" dxfId="12893" priority="6332" stopIfTrue="1" operator="equal">
      <formula>"Towel"</formula>
    </cfRule>
    <cfRule type="cellIs" dxfId="12892" priority="6333" stopIfTrue="1" operator="equal">
      <formula>"Napkin Hs"</formula>
    </cfRule>
    <cfRule type="cellIs" dxfId="12891" priority="6334" stopIfTrue="1" operator="equal">
      <formula>"Towel"</formula>
    </cfRule>
    <cfRule type="cellIs" dxfId="12890" priority="6335" stopIfTrue="1" operator="equal">
      <formula>"Napkin Hs"</formula>
    </cfRule>
    <cfRule type="cellIs" dxfId="12889" priority="6336" stopIfTrue="1" operator="equal">
      <formula>"Towel"</formula>
    </cfRule>
    <cfRule type="cellIs" dxfId="12888" priority="6337" stopIfTrue="1" operator="equal">
      <formula>"Napkin Hs"</formula>
    </cfRule>
    <cfRule type="cellIs" dxfId="12887" priority="6338" stopIfTrue="1" operator="equal">
      <formula>"Towel"</formula>
    </cfRule>
    <cfRule type="cellIs" dxfId="12886" priority="6339" stopIfTrue="1" operator="equal">
      <formula>"Napkin Hs"</formula>
    </cfRule>
    <cfRule type="cellIs" dxfId="12885" priority="6340" stopIfTrue="1" operator="equal">
      <formula>"Towel"</formula>
    </cfRule>
    <cfRule type="cellIs" dxfId="12884" priority="6341" stopIfTrue="1" operator="equal">
      <formula>"Napkin Hs"</formula>
    </cfRule>
    <cfRule type="cellIs" dxfId="12883" priority="6342" stopIfTrue="1" operator="equal">
      <formula>"Towel"</formula>
    </cfRule>
    <cfRule type="cellIs" dxfId="12882" priority="6343" stopIfTrue="1" operator="equal">
      <formula>"Napkin Hs"</formula>
    </cfRule>
    <cfRule type="cellIs" dxfId="12881" priority="6344" stopIfTrue="1" operator="equal">
      <formula>"Towel"</formula>
    </cfRule>
    <cfRule type="cellIs" dxfId="12880" priority="6345" stopIfTrue="1" operator="equal">
      <formula>"Napkin Hs"</formula>
    </cfRule>
    <cfRule type="cellIs" dxfId="12879" priority="6346" stopIfTrue="1" operator="equal">
      <formula>"Towel"</formula>
    </cfRule>
    <cfRule type="cellIs" dxfId="12878" priority="6347" stopIfTrue="1" operator="equal">
      <formula>"Napkin Hs"</formula>
    </cfRule>
    <cfRule type="cellIs" dxfId="12877" priority="6348" stopIfTrue="1" operator="equal">
      <formula>"Towel"</formula>
    </cfRule>
    <cfRule type="cellIs" dxfId="12876" priority="6349" stopIfTrue="1" operator="equal">
      <formula>"Napkin Hs"</formula>
    </cfRule>
    <cfRule type="cellIs" dxfId="12875" priority="6350" stopIfTrue="1" operator="equal">
      <formula>"Towel"</formula>
    </cfRule>
    <cfRule type="cellIs" dxfId="12874" priority="6351" stopIfTrue="1" operator="equal">
      <formula>"Napkin Hs"</formula>
    </cfRule>
    <cfRule type="cellIs" dxfId="12873" priority="6352" stopIfTrue="1" operator="equal">
      <formula>"Towel"</formula>
    </cfRule>
    <cfRule type="cellIs" dxfId="12872" priority="6353" stopIfTrue="1" operator="equal">
      <formula>"Napkin Hs"</formula>
    </cfRule>
    <cfRule type="cellIs" dxfId="12871" priority="6354" stopIfTrue="1" operator="equal">
      <formula>"Towel"</formula>
    </cfRule>
    <cfRule type="cellIs" dxfId="12870" priority="6355" stopIfTrue="1" operator="equal">
      <formula>"Napkin Hs"</formula>
    </cfRule>
    <cfRule type="cellIs" dxfId="12869" priority="6356" stopIfTrue="1" operator="equal">
      <formula>"Towel"</formula>
    </cfRule>
    <cfRule type="cellIs" dxfId="12868" priority="6357" stopIfTrue="1" operator="equal">
      <formula>"Napkin Hs"</formula>
    </cfRule>
  </conditionalFormatting>
  <conditionalFormatting sqref="C64:C65">
    <cfRule type="cellIs" dxfId="12867" priority="6358" stopIfTrue="1" operator="equal">
      <formula>"Towel"</formula>
    </cfRule>
    <cfRule type="cellIs" dxfId="12866" priority="6359" stopIfTrue="1" operator="equal">
      <formula>"Napkin Hs"</formula>
    </cfRule>
  </conditionalFormatting>
  <conditionalFormatting sqref="C65">
    <cfRule type="cellIs" dxfId="12865" priority="6458" stopIfTrue="1" operator="equal">
      <formula>"Towel"</formula>
    </cfRule>
    <cfRule type="cellIs" dxfId="12864" priority="6459" stopIfTrue="1" operator="equal">
      <formula>"Napkin Hs"</formula>
    </cfRule>
    <cfRule type="cellIs" dxfId="12863" priority="6462" stopIfTrue="1" operator="equal">
      <formula>"Towel"</formula>
    </cfRule>
    <cfRule type="cellIs" dxfId="12862" priority="6463" stopIfTrue="1" operator="equal">
      <formula>"Napkin Hs"</formula>
    </cfRule>
    <cfRule type="cellIs" dxfId="12861" priority="6464" stopIfTrue="1" operator="equal">
      <formula>"Towel"</formula>
    </cfRule>
    <cfRule type="cellIs" dxfId="12860" priority="6465" stopIfTrue="1" operator="equal">
      <formula>"Napkin Hs"</formula>
    </cfRule>
    <cfRule type="cellIs" dxfId="12859" priority="6468" stopIfTrue="1" operator="equal">
      <formula>"Towel"</formula>
    </cfRule>
    <cfRule type="cellIs" dxfId="12858" priority="6469" stopIfTrue="1" operator="equal">
      <formula>"Napkin Hs"</formula>
    </cfRule>
    <cfRule type="cellIs" dxfId="12857" priority="6470" stopIfTrue="1" operator="equal">
      <formula>"Towel"</formula>
    </cfRule>
    <cfRule type="cellIs" dxfId="12856" priority="6471" stopIfTrue="1" operator="equal">
      <formula>"Napkin Hs"</formula>
    </cfRule>
    <cfRule type="cellIs" dxfId="12855" priority="6474" stopIfTrue="1" operator="equal">
      <formula>"Towel"</formula>
    </cfRule>
    <cfRule type="cellIs" dxfId="12854" priority="6475" stopIfTrue="1" operator="equal">
      <formula>"Napkin Hs"</formula>
    </cfRule>
    <cfRule type="cellIs" dxfId="12853" priority="6476" stopIfTrue="1" operator="equal">
      <formula>"Towel"</formula>
    </cfRule>
    <cfRule type="cellIs" dxfId="12852" priority="6477" stopIfTrue="1" operator="equal">
      <formula>"Napkin Hs"</formula>
    </cfRule>
    <cfRule type="cellIs" dxfId="12851" priority="6480" stopIfTrue="1" operator="equal">
      <formula>"Towel"</formula>
    </cfRule>
    <cfRule type="cellIs" dxfId="12850" priority="6481" stopIfTrue="1" operator="equal">
      <formula>"Napkin Hs"</formula>
    </cfRule>
    <cfRule type="cellIs" dxfId="12849" priority="6482" stopIfTrue="1" operator="equal">
      <formula>"Towel"</formula>
    </cfRule>
    <cfRule type="cellIs" dxfId="12848" priority="6483" stopIfTrue="1" operator="equal">
      <formula>"Napkin Hs"</formula>
    </cfRule>
    <cfRule type="cellIs" dxfId="12847" priority="6486" stopIfTrue="1" operator="equal">
      <formula>"Towel"</formula>
    </cfRule>
    <cfRule type="cellIs" dxfId="12846" priority="6487" stopIfTrue="1" operator="equal">
      <formula>"Napkin Hs"</formula>
    </cfRule>
  </conditionalFormatting>
  <conditionalFormatting sqref="C65:C66">
    <cfRule type="cellIs" dxfId="12845" priority="6488" stopIfTrue="1" operator="equal">
      <formula>"Towel"</formula>
    </cfRule>
    <cfRule type="cellIs" dxfId="12844" priority="6489" stopIfTrue="1" operator="equal">
      <formula>"Napkin Hs"</formula>
    </cfRule>
  </conditionalFormatting>
  <conditionalFormatting sqref="C66">
    <cfRule type="cellIs" dxfId="12843" priority="6496" stopIfTrue="1" operator="equal">
      <formula>"Towel"</formula>
    </cfRule>
    <cfRule type="cellIs" dxfId="12842" priority="6497" stopIfTrue="1" operator="equal">
      <formula>"Napkin Hs"</formula>
    </cfRule>
  </conditionalFormatting>
  <conditionalFormatting sqref="C67">
    <cfRule type="cellIs" dxfId="12841" priority="6360" stopIfTrue="1" operator="equal">
      <formula>"Towel"</formula>
    </cfRule>
    <cfRule type="cellIs" dxfId="12840" priority="6361" stopIfTrue="1" operator="equal">
      <formula>"Napkin Hs"</formula>
    </cfRule>
    <cfRule type="cellIs" dxfId="12839" priority="6362" stopIfTrue="1" operator="equal">
      <formula>"Towel"</formula>
    </cfRule>
    <cfRule type="cellIs" dxfId="12838" priority="6363" stopIfTrue="1" operator="equal">
      <formula>"Napkin Hs"</formula>
    </cfRule>
    <cfRule type="cellIs" dxfId="12837" priority="6364" stopIfTrue="1" operator="equal">
      <formula>"Towel"</formula>
    </cfRule>
    <cfRule type="cellIs" dxfId="12836" priority="6365" stopIfTrue="1" operator="equal">
      <formula>"Napkin Hs"</formula>
    </cfRule>
    <cfRule type="cellIs" dxfId="12835" priority="6366" stopIfTrue="1" operator="equal">
      <formula>"Towel"</formula>
    </cfRule>
    <cfRule type="cellIs" dxfId="12834" priority="6367" stopIfTrue="1" operator="equal">
      <formula>"Napkin Hs"</formula>
    </cfRule>
    <cfRule type="cellIs" dxfId="12833" priority="6368" stopIfTrue="1" operator="equal">
      <formula>"Towel"</formula>
    </cfRule>
    <cfRule type="cellIs" dxfId="12832" priority="6369" stopIfTrue="1" operator="equal">
      <formula>"Napkin Hs"</formula>
    </cfRule>
    <cfRule type="cellIs" dxfId="12831" priority="6370" stopIfTrue="1" operator="equal">
      <formula>"Towel"</formula>
    </cfRule>
    <cfRule type="cellIs" dxfId="12830" priority="6371" stopIfTrue="1" operator="equal">
      <formula>"Napkin Hs"</formula>
    </cfRule>
    <cfRule type="cellIs" dxfId="12829" priority="6372" stopIfTrue="1" operator="equal">
      <formula>"Towel"</formula>
    </cfRule>
    <cfRule type="cellIs" dxfId="12828" priority="6373" stopIfTrue="1" operator="equal">
      <formula>"Napkin Hs"</formula>
    </cfRule>
    <cfRule type="cellIs" dxfId="12827" priority="6374" stopIfTrue="1" operator="equal">
      <formula>"Towel"</formula>
    </cfRule>
    <cfRule type="cellIs" dxfId="12826" priority="6375" stopIfTrue="1" operator="equal">
      <formula>"Napkin Hs"</formula>
    </cfRule>
    <cfRule type="cellIs" dxfId="12825" priority="6376" stopIfTrue="1" operator="equal">
      <formula>"Towel"</formula>
    </cfRule>
    <cfRule type="cellIs" dxfId="12824" priority="6377" stopIfTrue="1" operator="equal">
      <formula>"Napkin Hs"</formula>
    </cfRule>
    <cfRule type="cellIs" dxfId="12823" priority="6378" stopIfTrue="1" operator="equal">
      <formula>"Towel"</formula>
    </cfRule>
    <cfRule type="cellIs" dxfId="12822" priority="6379" stopIfTrue="1" operator="equal">
      <formula>"Napkin Hs"</formula>
    </cfRule>
    <cfRule type="cellIs" dxfId="12821" priority="6380" stopIfTrue="1" operator="equal">
      <formula>"Towel"</formula>
    </cfRule>
    <cfRule type="cellIs" dxfId="12820" priority="6381" stopIfTrue="1" operator="equal">
      <formula>"Napkin Hs"</formula>
    </cfRule>
    <cfRule type="cellIs" dxfId="12819" priority="6382" stopIfTrue="1" operator="equal">
      <formula>"Towel"</formula>
    </cfRule>
    <cfRule type="cellIs" dxfId="12818" priority="6383" stopIfTrue="1" operator="equal">
      <formula>"Napkin Hs"</formula>
    </cfRule>
    <cfRule type="cellIs" dxfId="12817" priority="6384" stopIfTrue="1" operator="equal">
      <formula>"Towel"</formula>
    </cfRule>
    <cfRule type="cellIs" dxfId="12816" priority="6385" stopIfTrue="1" operator="equal">
      <formula>"Napkin Hs"</formula>
    </cfRule>
    <cfRule type="cellIs" dxfId="12815" priority="6386" stopIfTrue="1" operator="equal">
      <formula>"Towel"</formula>
    </cfRule>
    <cfRule type="cellIs" dxfId="12814" priority="6387" stopIfTrue="1" operator="equal">
      <formula>"Napkin Hs"</formula>
    </cfRule>
    <cfRule type="cellIs" dxfId="12813" priority="6388" stopIfTrue="1" operator="equal">
      <formula>"Towel"</formula>
    </cfRule>
    <cfRule type="cellIs" dxfId="12812" priority="6389" stopIfTrue="1" operator="equal">
      <formula>"Napkin Hs"</formula>
    </cfRule>
    <cfRule type="cellIs" dxfId="12811" priority="6390" stopIfTrue="1" operator="equal">
      <formula>"Towel"</formula>
    </cfRule>
    <cfRule type="cellIs" dxfId="12810" priority="6391" stopIfTrue="1" operator="equal">
      <formula>"Napkin Hs"</formula>
    </cfRule>
    <cfRule type="cellIs" dxfId="12809" priority="6392" stopIfTrue="1" operator="equal">
      <formula>"Towel"</formula>
    </cfRule>
    <cfRule type="cellIs" dxfId="12808" priority="6393" stopIfTrue="1" operator="equal">
      <formula>"Napkin Hs"</formula>
    </cfRule>
    <cfRule type="cellIs" dxfId="12807" priority="6394" stopIfTrue="1" operator="equal">
      <formula>"Towel"</formula>
    </cfRule>
    <cfRule type="cellIs" dxfId="12806" priority="6395" stopIfTrue="1" operator="equal">
      <formula>"Napkin Hs"</formula>
    </cfRule>
    <cfRule type="cellIs" dxfId="12805" priority="6396" stopIfTrue="1" operator="equal">
      <formula>"Towel"</formula>
    </cfRule>
    <cfRule type="cellIs" dxfId="12804" priority="6397" stopIfTrue="1" operator="equal">
      <formula>"Napkin Hs"</formula>
    </cfRule>
    <cfRule type="cellIs" dxfId="12803" priority="6398" stopIfTrue="1" operator="equal">
      <formula>"Towel"</formula>
    </cfRule>
    <cfRule type="cellIs" dxfId="12802" priority="6399" stopIfTrue="1" operator="equal">
      <formula>"Napkin Hs"</formula>
    </cfRule>
    <cfRule type="cellIs" dxfId="12801" priority="6400" stopIfTrue="1" operator="equal">
      <formula>"Towel"</formula>
    </cfRule>
    <cfRule type="cellIs" dxfId="12800" priority="6401" stopIfTrue="1" operator="equal">
      <formula>"Napkin Hs"</formula>
    </cfRule>
    <cfRule type="cellIs" dxfId="12799" priority="6402" stopIfTrue="1" operator="equal">
      <formula>"Towel"</formula>
    </cfRule>
    <cfRule type="cellIs" dxfId="12798" priority="6403" stopIfTrue="1" operator="equal">
      <formula>"Napkin Hs"</formula>
    </cfRule>
    <cfRule type="cellIs" dxfId="12797" priority="6404" stopIfTrue="1" operator="equal">
      <formula>"Towel"</formula>
    </cfRule>
    <cfRule type="cellIs" dxfId="12796" priority="6405" stopIfTrue="1" operator="equal">
      <formula>"Napkin Hs"</formula>
    </cfRule>
  </conditionalFormatting>
  <conditionalFormatting sqref="C67:C68">
    <cfRule type="cellIs" dxfId="12795" priority="6406" stopIfTrue="1" operator="equal">
      <formula>"Towel"</formula>
    </cfRule>
    <cfRule type="cellIs" dxfId="12794" priority="6407" stopIfTrue="1" operator="equal">
      <formula>"Napkin Hs"</formula>
    </cfRule>
  </conditionalFormatting>
  <conditionalFormatting sqref="C68">
    <cfRule type="cellIs" dxfId="12793" priority="6410" stopIfTrue="1" operator="equal">
      <formula>"Towel"</formula>
    </cfRule>
    <cfRule type="cellIs" dxfId="12792" priority="6411" stopIfTrue="1" operator="equal">
      <formula>"Napkin Hs"</formula>
    </cfRule>
    <cfRule type="cellIs" dxfId="12791" priority="6412" stopIfTrue="1" operator="equal">
      <formula>"Towel"</formula>
    </cfRule>
    <cfRule type="cellIs" dxfId="12790" priority="6413" stopIfTrue="1" operator="equal">
      <formula>"Napkin Hs"</formula>
    </cfRule>
    <cfRule type="cellIs" dxfId="12789" priority="6414" stopIfTrue="1" operator="equal">
      <formula>"Towel"</formula>
    </cfRule>
    <cfRule type="cellIs" dxfId="12788" priority="6415" stopIfTrue="1" operator="equal">
      <formula>"Napkin Hs"</formula>
    </cfRule>
    <cfRule type="cellIs" dxfId="12787" priority="6416" stopIfTrue="1" operator="equal">
      <formula>"Towel"</formula>
    </cfRule>
    <cfRule type="cellIs" dxfId="12786" priority="6417" stopIfTrue="1" operator="equal">
      <formula>"Napkin Hs"</formula>
    </cfRule>
    <cfRule type="cellIs" dxfId="12785" priority="6418" stopIfTrue="1" operator="equal">
      <formula>"Towel"</formula>
    </cfRule>
    <cfRule type="cellIs" dxfId="12784" priority="6419" stopIfTrue="1" operator="equal">
      <formula>"Napkin Hs"</formula>
    </cfRule>
    <cfRule type="cellIs" dxfId="12783" priority="6420" stopIfTrue="1" operator="equal">
      <formula>"Towel"</formula>
    </cfRule>
    <cfRule type="cellIs" dxfId="12782" priority="6421" stopIfTrue="1" operator="equal">
      <formula>"Napkin Hs"</formula>
    </cfRule>
    <cfRule type="cellIs" dxfId="12781" priority="6422" stopIfTrue="1" operator="equal">
      <formula>"Towel"</formula>
    </cfRule>
    <cfRule type="cellIs" dxfId="12780" priority="6423" stopIfTrue="1" operator="equal">
      <formula>"Napkin Hs"</formula>
    </cfRule>
    <cfRule type="cellIs" dxfId="12779" priority="6424" stopIfTrue="1" operator="equal">
      <formula>"Towel"</formula>
    </cfRule>
    <cfRule type="cellIs" dxfId="12778" priority="6425" stopIfTrue="1" operator="equal">
      <formula>"Napkin Hs"</formula>
    </cfRule>
    <cfRule type="cellIs" dxfId="12777" priority="6426" stopIfTrue="1" operator="equal">
      <formula>"Towel"</formula>
    </cfRule>
    <cfRule type="cellIs" dxfId="12776" priority="6427" stopIfTrue="1" operator="equal">
      <formula>"Napkin Hs"</formula>
    </cfRule>
    <cfRule type="cellIs" dxfId="12775" priority="6428" stopIfTrue="1" operator="equal">
      <formula>"Towel"</formula>
    </cfRule>
    <cfRule type="cellIs" dxfId="12774" priority="6429" stopIfTrue="1" operator="equal">
      <formula>"Napkin Hs"</formula>
    </cfRule>
    <cfRule type="cellIs" dxfId="12773" priority="6430" stopIfTrue="1" operator="equal">
      <formula>"Towel"</formula>
    </cfRule>
    <cfRule type="cellIs" dxfId="12772" priority="6431" stopIfTrue="1" operator="equal">
      <formula>"Napkin Hs"</formula>
    </cfRule>
    <cfRule type="cellIs" dxfId="12771" priority="6432" stopIfTrue="1" operator="equal">
      <formula>"Towel"</formula>
    </cfRule>
    <cfRule type="cellIs" dxfId="12770" priority="6433" stopIfTrue="1" operator="equal">
      <formula>"Napkin Hs"</formula>
    </cfRule>
    <cfRule type="cellIs" dxfId="12769" priority="6434" stopIfTrue="1" operator="equal">
      <formula>"Towel"</formula>
    </cfRule>
    <cfRule type="cellIs" dxfId="12768" priority="6435" stopIfTrue="1" operator="equal">
      <formula>"Napkin Hs"</formula>
    </cfRule>
    <cfRule type="cellIs" dxfId="12767" priority="6436" stopIfTrue="1" operator="equal">
      <formula>"Towel"</formula>
    </cfRule>
    <cfRule type="cellIs" dxfId="12766" priority="6437" stopIfTrue="1" operator="equal">
      <formula>"Napkin Hs"</formula>
    </cfRule>
    <cfRule type="cellIs" dxfId="12765" priority="6438" stopIfTrue="1" operator="equal">
      <formula>"Towel"</formula>
    </cfRule>
    <cfRule type="cellIs" dxfId="12764" priority="6439" stopIfTrue="1" operator="equal">
      <formula>"Napkin Hs"</formula>
    </cfRule>
    <cfRule type="cellIs" dxfId="12763" priority="6440" stopIfTrue="1" operator="equal">
      <formula>"Towel"</formula>
    </cfRule>
    <cfRule type="cellIs" dxfId="12762" priority="6441" stopIfTrue="1" operator="equal">
      <formula>"Napkin Hs"</formula>
    </cfRule>
    <cfRule type="cellIs" dxfId="12761" priority="6442" stopIfTrue="1" operator="equal">
      <formula>"Towel"</formula>
    </cfRule>
    <cfRule type="cellIs" dxfId="12760" priority="6443" stopIfTrue="1" operator="equal">
      <formula>"Napkin Hs"</formula>
    </cfRule>
    <cfRule type="cellIs" dxfId="12759" priority="6444" stopIfTrue="1" operator="equal">
      <formula>"Towel"</formula>
    </cfRule>
    <cfRule type="cellIs" dxfId="12758" priority="6445" stopIfTrue="1" operator="equal">
      <formula>"Napkin Hs"</formula>
    </cfRule>
    <cfRule type="cellIs" dxfId="12757" priority="6446" stopIfTrue="1" operator="equal">
      <formula>"Towel"</formula>
    </cfRule>
    <cfRule type="cellIs" dxfId="12756" priority="6447" stopIfTrue="1" operator="equal">
      <formula>"Napkin Hs"</formula>
    </cfRule>
    <cfRule type="cellIs" dxfId="12755" priority="6448" stopIfTrue="1" operator="equal">
      <formula>"Towel"</formula>
    </cfRule>
    <cfRule type="cellIs" dxfId="12754" priority="6449" stopIfTrue="1" operator="equal">
      <formula>"Napkin Hs"</formula>
    </cfRule>
    <cfRule type="cellIs" dxfId="12753" priority="6450" stopIfTrue="1" operator="equal">
      <formula>"Towel"</formula>
    </cfRule>
    <cfRule type="cellIs" dxfId="12752" priority="6451" stopIfTrue="1" operator="equal">
      <formula>"Napkin Hs"</formula>
    </cfRule>
    <cfRule type="cellIs" dxfId="12751" priority="6452" stopIfTrue="1" operator="equal">
      <formula>"Towel"</formula>
    </cfRule>
    <cfRule type="cellIs" dxfId="12750" priority="6453" stopIfTrue="1" operator="equal">
      <formula>"Napkin Hs"</formula>
    </cfRule>
  </conditionalFormatting>
  <conditionalFormatting sqref="C68:C69">
    <cfRule type="cellIs" dxfId="12749" priority="6454" stopIfTrue="1" operator="equal">
      <formula>"Towel"</formula>
    </cfRule>
    <cfRule type="cellIs" dxfId="12748" priority="6455" stopIfTrue="1" operator="equal">
      <formula>"Napkin Hs"</formula>
    </cfRule>
  </conditionalFormatting>
  <conditionalFormatting sqref="C69">
    <cfRule type="cellIs" dxfId="12747" priority="6764" stopIfTrue="1" operator="equal">
      <formula>"Towel"</formula>
    </cfRule>
    <cfRule type="cellIs" dxfId="12746" priority="6765" stopIfTrue="1" operator="equal">
      <formula>"Napkin Hs"</formula>
    </cfRule>
    <cfRule type="cellIs" dxfId="12745" priority="6768" stopIfTrue="1" operator="equal">
      <formula>"Towel"</formula>
    </cfRule>
    <cfRule type="cellIs" dxfId="12744" priority="6769" stopIfTrue="1" operator="equal">
      <formula>"Napkin Hs"</formula>
    </cfRule>
    <cfRule type="cellIs" dxfId="12743" priority="6770" stopIfTrue="1" operator="equal">
      <formula>"Towel"</formula>
    </cfRule>
    <cfRule type="cellIs" dxfId="12742" priority="6771" stopIfTrue="1" operator="equal">
      <formula>"Napkin Hs"</formula>
    </cfRule>
    <cfRule type="cellIs" dxfId="12741" priority="6774" stopIfTrue="1" operator="equal">
      <formula>"Towel"</formula>
    </cfRule>
    <cfRule type="cellIs" dxfId="12740" priority="6775" stopIfTrue="1" operator="equal">
      <formula>"Napkin Hs"</formula>
    </cfRule>
    <cfRule type="cellIs" dxfId="12739" priority="6776" stopIfTrue="1" operator="equal">
      <formula>"Towel"</formula>
    </cfRule>
    <cfRule type="cellIs" dxfId="12738" priority="6777" stopIfTrue="1" operator="equal">
      <formula>"Napkin Hs"</formula>
    </cfRule>
    <cfRule type="cellIs" dxfId="12737" priority="6780" stopIfTrue="1" operator="equal">
      <formula>"Towel"</formula>
    </cfRule>
    <cfRule type="cellIs" dxfId="12736" priority="6781" stopIfTrue="1" operator="equal">
      <formula>"Napkin Hs"</formula>
    </cfRule>
    <cfRule type="cellIs" dxfId="12735" priority="6782" stopIfTrue="1" operator="equal">
      <formula>"Towel"</formula>
    </cfRule>
    <cfRule type="cellIs" dxfId="12734" priority="6783" stopIfTrue="1" operator="equal">
      <formula>"Napkin Hs"</formula>
    </cfRule>
    <cfRule type="cellIs" dxfId="12733" priority="6786" stopIfTrue="1" operator="equal">
      <formula>"Towel"</formula>
    </cfRule>
    <cfRule type="cellIs" dxfId="12732" priority="6787" stopIfTrue="1" operator="equal">
      <formula>"Napkin Hs"</formula>
    </cfRule>
    <cfRule type="cellIs" dxfId="12731" priority="6788" stopIfTrue="1" operator="equal">
      <formula>"Towel"</formula>
    </cfRule>
    <cfRule type="cellIs" dxfId="12730" priority="6789" stopIfTrue="1" operator="equal">
      <formula>"Napkin Hs"</formula>
    </cfRule>
    <cfRule type="cellIs" dxfId="12729" priority="6794" stopIfTrue="1" operator="equal">
      <formula>"Towel"</formula>
    </cfRule>
    <cfRule type="cellIs" dxfId="12728" priority="6795" stopIfTrue="1" operator="equal">
      <formula>"Napkin Hs"</formula>
    </cfRule>
    <cfRule type="cellIs" dxfId="12727" priority="6798" stopIfTrue="1" operator="equal">
      <formula>"Towel"</formula>
    </cfRule>
    <cfRule type="cellIs" dxfId="12726" priority="6799" stopIfTrue="1" operator="equal">
      <formula>"Napkin Hs"</formula>
    </cfRule>
    <cfRule type="cellIs" dxfId="12725" priority="10816" stopIfTrue="1" operator="equal">
      <formula>"Towel"</formula>
    </cfRule>
    <cfRule type="cellIs" dxfId="12724" priority="10817" stopIfTrue="1" operator="equal">
      <formula>"Napkin Hs"</formula>
    </cfRule>
    <cfRule type="cellIs" dxfId="12723" priority="10818" stopIfTrue="1" operator="equal">
      <formula>"Towel"</formula>
    </cfRule>
    <cfRule type="cellIs" dxfId="12722" priority="10819" stopIfTrue="1" operator="equal">
      <formula>"Napkin Hs"</formula>
    </cfRule>
    <cfRule type="cellIs" dxfId="12721" priority="10822" stopIfTrue="1" operator="equal">
      <formula>"Towel"</formula>
    </cfRule>
    <cfRule type="cellIs" dxfId="12720" priority="10823" stopIfTrue="1" operator="equal">
      <formula>"Napkin Hs"</formula>
    </cfRule>
    <cfRule type="cellIs" dxfId="12719" priority="10824" stopIfTrue="1" operator="equal">
      <formula>"Towel"</formula>
    </cfRule>
    <cfRule type="cellIs" dxfId="12718" priority="10825" stopIfTrue="1" operator="equal">
      <formula>"Napkin Hs"</formula>
    </cfRule>
    <cfRule type="cellIs" dxfId="12717" priority="10828" stopIfTrue="1" operator="equal">
      <formula>"Towel"</formula>
    </cfRule>
    <cfRule type="cellIs" dxfId="12716" priority="10829" stopIfTrue="1" operator="equal">
      <formula>"Napkin Hs"</formula>
    </cfRule>
    <cfRule type="cellIs" dxfId="12715" priority="10830" stopIfTrue="1" operator="equal">
      <formula>"Towel"</formula>
    </cfRule>
    <cfRule type="cellIs" dxfId="12714" priority="10831" stopIfTrue="1" operator="equal">
      <formula>"Napkin Hs"</formula>
    </cfRule>
    <cfRule type="cellIs" dxfId="12713" priority="10834" stopIfTrue="1" operator="equal">
      <formula>"Towel"</formula>
    </cfRule>
    <cfRule type="cellIs" dxfId="12712" priority="10835" stopIfTrue="1" operator="equal">
      <formula>"Napkin Hs"</formula>
    </cfRule>
    <cfRule type="cellIs" dxfId="12711" priority="10836" stopIfTrue="1" operator="equal">
      <formula>"Towel"</formula>
    </cfRule>
    <cfRule type="cellIs" dxfId="12710" priority="10837" stopIfTrue="1" operator="equal">
      <formula>"Napkin Hs"</formula>
    </cfRule>
    <cfRule type="cellIs" dxfId="12709" priority="10840" stopIfTrue="1" operator="equal">
      <formula>"Towel"</formula>
    </cfRule>
    <cfRule type="cellIs" dxfId="12708" priority="10841" stopIfTrue="1" operator="equal">
      <formula>"Napkin Hs"</formula>
    </cfRule>
    <cfRule type="cellIs" dxfId="12707" priority="10842" stopIfTrue="1" operator="equal">
      <formula>"Towel"</formula>
    </cfRule>
    <cfRule type="cellIs" dxfId="12706" priority="10843" stopIfTrue="1" operator="equal">
      <formula>"Napkin Hs"</formula>
    </cfRule>
    <cfRule type="cellIs" dxfId="12705" priority="10848" stopIfTrue="1" operator="equal">
      <formula>"Towel"</formula>
    </cfRule>
    <cfRule type="cellIs" dxfId="12704" priority="10849" stopIfTrue="1" operator="equal">
      <formula>"Napkin Hs"</formula>
    </cfRule>
    <cfRule type="cellIs" dxfId="12703" priority="10852" stopIfTrue="1" operator="equal">
      <formula>"Towel"</formula>
    </cfRule>
    <cfRule type="cellIs" dxfId="12702" priority="10853" stopIfTrue="1" operator="equal">
      <formula>"Napkin Hs"</formula>
    </cfRule>
  </conditionalFormatting>
  <conditionalFormatting sqref="C70">
    <cfRule type="cellIs" dxfId="12701" priority="6106" stopIfTrue="1" operator="equal">
      <formula>"Towel"</formula>
    </cfRule>
    <cfRule type="cellIs" dxfId="12700" priority="6107" stopIfTrue="1" operator="equal">
      <formula>"Napkin Hs"</formula>
    </cfRule>
  </conditionalFormatting>
  <conditionalFormatting sqref="C70:C71">
    <cfRule type="cellIs" dxfId="12699" priority="6098" stopIfTrue="1" operator="equal">
      <formula>"Towel"</formula>
    </cfRule>
    <cfRule type="cellIs" dxfId="12698" priority="6099" stopIfTrue="1" operator="equal">
      <formula>"Napkin Hs"</formula>
    </cfRule>
  </conditionalFormatting>
  <conditionalFormatting sqref="C71">
    <cfRule type="cellIs" dxfId="12697" priority="6066" stopIfTrue="1" operator="equal">
      <formula>"Towel"</formula>
    </cfRule>
    <cfRule type="cellIs" dxfId="12696" priority="6067" stopIfTrue="1" operator="equal">
      <formula>"Napkin Hs"</formula>
    </cfRule>
    <cfRule type="cellIs" dxfId="12695" priority="6068" stopIfTrue="1" operator="equal">
      <formula>"Towel"</formula>
    </cfRule>
    <cfRule type="cellIs" dxfId="12694" priority="6069" stopIfTrue="1" operator="equal">
      <formula>"Napkin Hs"</formula>
    </cfRule>
    <cfRule type="cellIs" dxfId="12693" priority="6072" stopIfTrue="1" operator="equal">
      <formula>"Towel"</formula>
    </cfRule>
    <cfRule type="cellIs" dxfId="12692" priority="6073" stopIfTrue="1" operator="equal">
      <formula>"Napkin Hs"</formula>
    </cfRule>
    <cfRule type="cellIs" dxfId="12691" priority="6074" stopIfTrue="1" operator="equal">
      <formula>"Towel"</formula>
    </cfRule>
    <cfRule type="cellIs" dxfId="12690" priority="6075" stopIfTrue="1" operator="equal">
      <formula>"Napkin Hs"</formula>
    </cfRule>
    <cfRule type="cellIs" dxfId="12689" priority="6078" stopIfTrue="1" operator="equal">
      <formula>"Towel"</formula>
    </cfRule>
    <cfRule type="cellIs" dxfId="12688" priority="6079" stopIfTrue="1" operator="equal">
      <formula>"Napkin Hs"</formula>
    </cfRule>
    <cfRule type="cellIs" dxfId="12687" priority="6080" stopIfTrue="1" operator="equal">
      <formula>"Towel"</formula>
    </cfRule>
    <cfRule type="cellIs" dxfId="12686" priority="6081" stopIfTrue="1" operator="equal">
      <formula>"Napkin Hs"</formula>
    </cfRule>
    <cfRule type="cellIs" dxfId="12685" priority="6084" stopIfTrue="1" operator="equal">
      <formula>"Towel"</formula>
    </cfRule>
    <cfRule type="cellIs" dxfId="12684" priority="6085" stopIfTrue="1" operator="equal">
      <formula>"Napkin Hs"</formula>
    </cfRule>
    <cfRule type="cellIs" dxfId="12683" priority="6086" stopIfTrue="1" operator="equal">
      <formula>"Towel"</formula>
    </cfRule>
    <cfRule type="cellIs" dxfId="12682" priority="6087" stopIfTrue="1" operator="equal">
      <formula>"Napkin Hs"</formula>
    </cfRule>
    <cfRule type="cellIs" dxfId="12681" priority="6090" stopIfTrue="1" operator="equal">
      <formula>"Towel"</formula>
    </cfRule>
    <cfRule type="cellIs" dxfId="12680" priority="6091" stopIfTrue="1" operator="equal">
      <formula>"Napkin Hs"</formula>
    </cfRule>
    <cfRule type="cellIs" dxfId="12679" priority="6092" stopIfTrue="1" operator="equal">
      <formula>"Towel"</formula>
    </cfRule>
    <cfRule type="cellIs" dxfId="12678" priority="6093" stopIfTrue="1" operator="equal">
      <formula>"Napkin Hs"</formula>
    </cfRule>
    <cfRule type="cellIs" dxfId="12677" priority="6096" stopIfTrue="1" operator="equal">
      <formula>"Towel"</formula>
    </cfRule>
    <cfRule type="cellIs" dxfId="12676" priority="6097" stopIfTrue="1" operator="equal">
      <formula>"Napkin Hs"</formula>
    </cfRule>
  </conditionalFormatting>
  <conditionalFormatting sqref="C72:C73">
    <cfRule type="cellIs" dxfId="12675" priority="6196" stopIfTrue="1" operator="equal">
      <formula>"Towel"</formula>
    </cfRule>
    <cfRule type="cellIs" dxfId="12674" priority="6197" stopIfTrue="1" operator="equal">
      <formula>"Napkin Hs"</formula>
    </cfRule>
    <cfRule type="cellIs" dxfId="12673" priority="6198" stopIfTrue="1" operator="equal">
      <formula>"Towel"</formula>
    </cfRule>
    <cfRule type="cellIs" dxfId="12672" priority="6199" stopIfTrue="1" operator="equal">
      <formula>"Napkin Hs"</formula>
    </cfRule>
    <cfRule type="cellIs" dxfId="12671" priority="6200" stopIfTrue="1" operator="equal">
      <formula>"Towel"</formula>
    </cfRule>
    <cfRule type="cellIs" dxfId="12670" priority="6201" stopIfTrue="1" operator="equal">
      <formula>"Napkin Hs"</formula>
    </cfRule>
    <cfRule type="cellIs" dxfId="12669" priority="6202" stopIfTrue="1" operator="equal">
      <formula>"Towel"</formula>
    </cfRule>
    <cfRule type="cellIs" dxfId="12668" priority="6203" stopIfTrue="1" operator="equal">
      <formula>"Napkin Hs"</formula>
    </cfRule>
    <cfRule type="cellIs" dxfId="12667" priority="6204" stopIfTrue="1" operator="equal">
      <formula>"Towel"</formula>
    </cfRule>
    <cfRule type="cellIs" dxfId="12666" priority="6205" stopIfTrue="1" operator="equal">
      <formula>"Napkin Hs"</formula>
    </cfRule>
    <cfRule type="cellIs" dxfId="12665" priority="6206" stopIfTrue="1" operator="equal">
      <formula>"Towel"</formula>
    </cfRule>
    <cfRule type="cellIs" dxfId="12664" priority="6207" stopIfTrue="1" operator="equal">
      <formula>"Napkin Hs"</formula>
    </cfRule>
    <cfRule type="cellIs" dxfId="12663" priority="6208" stopIfTrue="1" operator="equal">
      <formula>"Towel"</formula>
    </cfRule>
    <cfRule type="cellIs" dxfId="12662" priority="6209" stopIfTrue="1" operator="equal">
      <formula>"Napkin Hs"</formula>
    </cfRule>
    <cfRule type="cellIs" dxfId="12661" priority="6212" stopIfTrue="1" operator="equal">
      <formula>"Towel"</formula>
    </cfRule>
    <cfRule type="cellIs" dxfId="12660" priority="6213" stopIfTrue="1" operator="equal">
      <formula>"Napkin Hs"</formula>
    </cfRule>
    <cfRule type="cellIs" dxfId="12659" priority="6214" stopIfTrue="1" operator="equal">
      <formula>"Towel"</formula>
    </cfRule>
    <cfRule type="cellIs" dxfId="12658" priority="6215" stopIfTrue="1" operator="equal">
      <formula>"Napkin Hs"</formula>
    </cfRule>
    <cfRule type="cellIs" dxfId="12657" priority="6218" stopIfTrue="1" operator="equal">
      <formula>"Towel"</formula>
    </cfRule>
    <cfRule type="cellIs" dxfId="12656" priority="6219" stopIfTrue="1" operator="equal">
      <formula>"Napkin Hs"</formula>
    </cfRule>
    <cfRule type="cellIs" dxfId="12655" priority="6220" stopIfTrue="1" operator="equal">
      <formula>"Towel"</formula>
    </cfRule>
    <cfRule type="cellIs" dxfId="12654" priority="6221" stopIfTrue="1" operator="equal">
      <formula>"Napkin Hs"</formula>
    </cfRule>
    <cfRule type="cellIs" dxfId="12653" priority="6224" stopIfTrue="1" operator="equal">
      <formula>"Towel"</formula>
    </cfRule>
    <cfRule type="cellIs" dxfId="12652" priority="6225" stopIfTrue="1" operator="equal">
      <formula>"Napkin Hs"</formula>
    </cfRule>
    <cfRule type="cellIs" dxfId="12651" priority="6226" stopIfTrue="1" operator="equal">
      <formula>"Towel"</formula>
    </cfRule>
    <cfRule type="cellIs" dxfId="12650" priority="6227" stopIfTrue="1" operator="equal">
      <formula>"Napkin Hs"</formula>
    </cfRule>
    <cfRule type="cellIs" dxfId="12649" priority="6230" stopIfTrue="1" operator="equal">
      <formula>"Towel"</formula>
    </cfRule>
    <cfRule type="cellIs" dxfId="12648" priority="6231" stopIfTrue="1" operator="equal">
      <formula>"Napkin Hs"</formula>
    </cfRule>
    <cfRule type="cellIs" dxfId="12647" priority="6232" stopIfTrue="1" operator="equal">
      <formula>"Towel"</formula>
    </cfRule>
    <cfRule type="cellIs" dxfId="12646" priority="6233" stopIfTrue="1" operator="equal">
      <formula>"Napkin Hs"</formula>
    </cfRule>
    <cfRule type="cellIs" dxfId="12645" priority="6236" stopIfTrue="1" operator="equal">
      <formula>"Towel"</formula>
    </cfRule>
    <cfRule type="cellIs" dxfId="12644" priority="6237" stopIfTrue="1" operator="equal">
      <formula>"Napkin Hs"</formula>
    </cfRule>
    <cfRule type="cellIs" dxfId="12643" priority="6238" stopIfTrue="1" operator="equal">
      <formula>"Towel"</formula>
    </cfRule>
    <cfRule type="cellIs" dxfId="12642" priority="6239" stopIfTrue="1" operator="equal">
      <formula>"Napkin Hs"</formula>
    </cfRule>
    <cfRule type="cellIs" dxfId="12641" priority="6242" stopIfTrue="1" operator="equal">
      <formula>"Towel"</formula>
    </cfRule>
    <cfRule type="cellIs" dxfId="12640" priority="6243" stopIfTrue="1" operator="equal">
      <formula>"Napkin Hs"</formula>
    </cfRule>
  </conditionalFormatting>
  <conditionalFormatting sqref="C72:C74">
    <cfRule type="cellIs" dxfId="12639" priority="6244" stopIfTrue="1" operator="equal">
      <formula>"Towel"</formula>
    </cfRule>
    <cfRule type="cellIs" dxfId="12638" priority="6245" stopIfTrue="1" operator="equal">
      <formula>"Napkin Hs"</formula>
    </cfRule>
  </conditionalFormatting>
  <conditionalFormatting sqref="C74">
    <cfRule type="cellIs" dxfId="12637" priority="10688" stopIfTrue="1" operator="equal">
      <formula>"Towel"</formula>
    </cfRule>
    <cfRule type="cellIs" dxfId="12636" priority="10689" stopIfTrue="1" operator="equal">
      <formula>"Napkin Hs"</formula>
    </cfRule>
    <cfRule type="cellIs" dxfId="12635" priority="10692" stopIfTrue="1" operator="equal">
      <formula>"Towel"</formula>
    </cfRule>
    <cfRule type="cellIs" dxfId="12634" priority="10693" stopIfTrue="1" operator="equal">
      <formula>"Napkin Hs"</formula>
    </cfRule>
    <cfRule type="cellIs" dxfId="12633" priority="10694" stopIfTrue="1" operator="equal">
      <formula>"Towel"</formula>
    </cfRule>
    <cfRule type="cellIs" dxfId="12632" priority="10695" stopIfTrue="1" operator="equal">
      <formula>"Napkin Hs"</formula>
    </cfRule>
    <cfRule type="cellIs" dxfId="12631" priority="10698" stopIfTrue="1" operator="equal">
      <formula>"Towel"</formula>
    </cfRule>
    <cfRule type="cellIs" dxfId="12630" priority="10699" stopIfTrue="1" operator="equal">
      <formula>"Napkin Hs"</formula>
    </cfRule>
    <cfRule type="cellIs" dxfId="12629" priority="10700" stopIfTrue="1" operator="equal">
      <formula>"Towel"</formula>
    </cfRule>
    <cfRule type="cellIs" dxfId="12628" priority="10701" stopIfTrue="1" operator="equal">
      <formula>"Napkin Hs"</formula>
    </cfRule>
    <cfRule type="cellIs" dxfId="12627" priority="10704" stopIfTrue="1" operator="equal">
      <formula>"Towel"</formula>
    </cfRule>
    <cfRule type="cellIs" dxfId="12626" priority="10705" stopIfTrue="1" operator="equal">
      <formula>"Napkin Hs"</formula>
    </cfRule>
    <cfRule type="cellIs" dxfId="12625" priority="10706" stopIfTrue="1" operator="equal">
      <formula>"Towel"</formula>
    </cfRule>
    <cfRule type="cellIs" dxfId="12624" priority="10707" stopIfTrue="1" operator="equal">
      <formula>"Napkin Hs"</formula>
    </cfRule>
    <cfRule type="cellIs" dxfId="12623" priority="10710" stopIfTrue="1" operator="equal">
      <formula>"Towel"</formula>
    </cfRule>
    <cfRule type="cellIs" dxfId="12622" priority="10711" stopIfTrue="1" operator="equal">
      <formula>"Napkin Hs"</formula>
    </cfRule>
    <cfRule type="cellIs" dxfId="12621" priority="10712" stopIfTrue="1" operator="equal">
      <formula>"Towel"</formula>
    </cfRule>
    <cfRule type="cellIs" dxfId="12620" priority="10713" stopIfTrue="1" operator="equal">
      <formula>"Napkin Hs"</formula>
    </cfRule>
    <cfRule type="cellIs" dxfId="12619" priority="10718" stopIfTrue="1" operator="equal">
      <formula>"Towel"</formula>
    </cfRule>
    <cfRule type="cellIs" dxfId="12618" priority="10719" stopIfTrue="1" operator="equal">
      <formula>"Napkin Hs"</formula>
    </cfRule>
    <cfRule type="cellIs" dxfId="12617" priority="10722" stopIfTrue="1" operator="equal">
      <formula>"Towel"</formula>
    </cfRule>
    <cfRule type="cellIs" dxfId="12616" priority="10723" stopIfTrue="1" operator="equal">
      <formula>"Napkin Hs"</formula>
    </cfRule>
  </conditionalFormatting>
  <conditionalFormatting sqref="C75">
    <cfRule type="cellIs" dxfId="12615" priority="5930" stopIfTrue="1" operator="equal">
      <formula>"Towel"</formula>
    </cfRule>
    <cfRule type="cellIs" dxfId="12614" priority="5931" stopIfTrue="1" operator="equal">
      <formula>"Napkin Hs"</formula>
    </cfRule>
    <cfRule type="cellIs" dxfId="12613" priority="5932" stopIfTrue="1" operator="equal">
      <formula>"Towel"</formula>
    </cfRule>
    <cfRule type="cellIs" dxfId="12612" priority="5933" stopIfTrue="1" operator="equal">
      <formula>"Napkin Hs"</formula>
    </cfRule>
    <cfRule type="cellIs" dxfId="12611" priority="5936" stopIfTrue="1" operator="equal">
      <formula>"Towel"</formula>
    </cfRule>
    <cfRule type="cellIs" dxfId="12610" priority="5937" stopIfTrue="1" operator="equal">
      <formula>"Napkin Hs"</formula>
    </cfRule>
    <cfRule type="cellIs" dxfId="12609" priority="5938" stopIfTrue="1" operator="equal">
      <formula>"Towel"</formula>
    </cfRule>
    <cfRule type="cellIs" dxfId="12608" priority="5939" stopIfTrue="1" operator="equal">
      <formula>"Napkin Hs"</formula>
    </cfRule>
    <cfRule type="cellIs" dxfId="12607" priority="5942" stopIfTrue="1" operator="equal">
      <formula>"Towel"</formula>
    </cfRule>
    <cfRule type="cellIs" dxfId="12606" priority="5943" stopIfTrue="1" operator="equal">
      <formula>"Napkin Hs"</formula>
    </cfRule>
    <cfRule type="cellIs" dxfId="12605" priority="5944" stopIfTrue="1" operator="equal">
      <formula>"Towel"</formula>
    </cfRule>
    <cfRule type="cellIs" dxfId="12604" priority="5945" stopIfTrue="1" operator="equal">
      <formula>"Napkin Hs"</formula>
    </cfRule>
    <cfRule type="cellIs" dxfId="12603" priority="5948" stopIfTrue="1" operator="equal">
      <formula>"Towel"</formula>
    </cfRule>
    <cfRule type="cellIs" dxfId="12602" priority="5949" stopIfTrue="1" operator="equal">
      <formula>"Napkin Hs"</formula>
    </cfRule>
    <cfRule type="cellIs" dxfId="12601" priority="5950" stopIfTrue="1" operator="equal">
      <formula>"Towel"</formula>
    </cfRule>
    <cfRule type="cellIs" dxfId="12600" priority="5951" stopIfTrue="1" operator="equal">
      <formula>"Napkin Hs"</formula>
    </cfRule>
    <cfRule type="cellIs" dxfId="12599" priority="5954" stopIfTrue="1" operator="equal">
      <formula>"Towel"</formula>
    </cfRule>
    <cfRule type="cellIs" dxfId="12598" priority="5955" stopIfTrue="1" operator="equal">
      <formula>"Napkin Hs"</formula>
    </cfRule>
    <cfRule type="cellIs" dxfId="12597" priority="5956" stopIfTrue="1" operator="equal">
      <formula>"Towel"</formula>
    </cfRule>
    <cfRule type="cellIs" dxfId="12596" priority="5957" stopIfTrue="1" operator="equal">
      <formula>"Napkin Hs"</formula>
    </cfRule>
    <cfRule type="cellIs" dxfId="12595" priority="5960" stopIfTrue="1" operator="equal">
      <formula>"Towel"</formula>
    </cfRule>
    <cfRule type="cellIs" dxfId="12594" priority="5961" stopIfTrue="1" operator="equal">
      <formula>"Napkin Hs"</formula>
    </cfRule>
  </conditionalFormatting>
  <conditionalFormatting sqref="C75:C76">
    <cfRule type="cellIs" dxfId="12593" priority="5962" stopIfTrue="1" operator="equal">
      <formula>"Towel"</formula>
    </cfRule>
    <cfRule type="cellIs" dxfId="12592" priority="5963" stopIfTrue="1" operator="equal">
      <formula>"Napkin Hs"</formula>
    </cfRule>
  </conditionalFormatting>
  <conditionalFormatting sqref="C76">
    <cfRule type="cellIs" dxfId="12591" priority="5968" stopIfTrue="1" operator="equal">
      <formula>"Towel"</formula>
    </cfRule>
    <cfRule type="cellIs" dxfId="12590" priority="5969" stopIfTrue="1" operator="equal">
      <formula>"Napkin Hs"</formula>
    </cfRule>
    <cfRule type="cellIs" dxfId="12589" priority="5972" stopIfTrue="1" operator="equal">
      <formula>"Towel"</formula>
    </cfRule>
    <cfRule type="cellIs" dxfId="12588" priority="5973" stopIfTrue="1" operator="equal">
      <formula>"Napkin Hs"</formula>
    </cfRule>
    <cfRule type="cellIs" dxfId="12587" priority="5974" stopIfTrue="1" operator="equal">
      <formula>"Towel"</formula>
    </cfRule>
    <cfRule type="cellIs" dxfId="12586" priority="5975" stopIfTrue="1" operator="equal">
      <formula>"Napkin Hs"</formula>
    </cfRule>
    <cfRule type="cellIs" dxfId="12585" priority="5978" stopIfTrue="1" operator="equal">
      <formula>"Towel"</formula>
    </cfRule>
    <cfRule type="cellIs" dxfId="12584" priority="5979" stopIfTrue="1" operator="equal">
      <formula>"Napkin Hs"</formula>
    </cfRule>
    <cfRule type="cellIs" dxfId="12583" priority="5980" stopIfTrue="1" operator="equal">
      <formula>"Towel"</formula>
    </cfRule>
    <cfRule type="cellIs" dxfId="12582" priority="5981" stopIfTrue="1" operator="equal">
      <formula>"Napkin Hs"</formula>
    </cfRule>
    <cfRule type="cellIs" dxfId="12581" priority="5984" stopIfTrue="1" operator="equal">
      <formula>"Towel"</formula>
    </cfRule>
    <cfRule type="cellIs" dxfId="12580" priority="5985" stopIfTrue="1" operator="equal">
      <formula>"Napkin Hs"</formula>
    </cfRule>
    <cfRule type="cellIs" dxfId="12579" priority="5986" stopIfTrue="1" operator="equal">
      <formula>"Towel"</formula>
    </cfRule>
    <cfRule type="cellIs" dxfId="12578" priority="5987" stopIfTrue="1" operator="equal">
      <formula>"Napkin Hs"</formula>
    </cfRule>
    <cfRule type="cellIs" dxfId="12577" priority="5990" stopIfTrue="1" operator="equal">
      <formula>"Towel"</formula>
    </cfRule>
    <cfRule type="cellIs" dxfId="12576" priority="5991" stopIfTrue="1" operator="equal">
      <formula>"Napkin Hs"</formula>
    </cfRule>
    <cfRule type="cellIs" dxfId="12575" priority="5992" stopIfTrue="1" operator="equal">
      <formula>"Towel"</formula>
    </cfRule>
    <cfRule type="cellIs" dxfId="12574" priority="5993" stopIfTrue="1" operator="equal">
      <formula>"Napkin Hs"</formula>
    </cfRule>
    <cfRule type="cellIs" dxfId="12573" priority="5996" stopIfTrue="1" operator="equal">
      <formula>"Towel"</formula>
    </cfRule>
    <cfRule type="cellIs" dxfId="12572" priority="5997" stopIfTrue="1" operator="equal">
      <formula>"Napkin Hs"</formula>
    </cfRule>
    <cfRule type="cellIs" dxfId="12571" priority="5998" stopIfTrue="1" operator="equal">
      <formula>"Towel"</formula>
    </cfRule>
    <cfRule type="cellIs" dxfId="12570" priority="5999" stopIfTrue="1" operator="equal">
      <formula>"Napkin Hs"</formula>
    </cfRule>
  </conditionalFormatting>
  <conditionalFormatting sqref="C77:C78">
    <cfRule type="cellIs" dxfId="12569" priority="6014" stopIfTrue="1" operator="equal">
      <formula>"Towel"</formula>
    </cfRule>
    <cfRule type="cellIs" dxfId="12568" priority="6015" stopIfTrue="1" operator="equal">
      <formula>"Napkin Hs"</formula>
    </cfRule>
    <cfRule type="cellIs" dxfId="12567" priority="6016" stopIfTrue="1" operator="equal">
      <formula>"Towel"</formula>
    </cfRule>
    <cfRule type="cellIs" dxfId="12566" priority="6017" stopIfTrue="1" operator="equal">
      <formula>"Napkin Hs"</formula>
    </cfRule>
    <cfRule type="cellIs" dxfId="12565" priority="6018" stopIfTrue="1" operator="equal">
      <formula>"Towel"</formula>
    </cfRule>
    <cfRule type="cellIs" dxfId="12564" priority="6019" stopIfTrue="1" operator="equal">
      <formula>"Napkin Hs"</formula>
    </cfRule>
    <cfRule type="cellIs" dxfId="12563" priority="6020" stopIfTrue="1" operator="equal">
      <formula>"Towel"</formula>
    </cfRule>
    <cfRule type="cellIs" dxfId="12562" priority="6021" stopIfTrue="1" operator="equal">
      <formula>"Napkin Hs"</formula>
    </cfRule>
    <cfRule type="cellIs" dxfId="12561" priority="6022" stopIfTrue="1" operator="equal">
      <formula>"Towel"</formula>
    </cfRule>
    <cfRule type="cellIs" dxfId="12560" priority="6023" stopIfTrue="1" operator="equal">
      <formula>"Napkin Hs"</formula>
    </cfRule>
    <cfRule type="cellIs" dxfId="12559" priority="6024" stopIfTrue="1" operator="equal">
      <formula>"Towel"</formula>
    </cfRule>
    <cfRule type="cellIs" dxfId="12558" priority="6025" stopIfTrue="1" operator="equal">
      <formula>"Napkin Hs"</formula>
    </cfRule>
    <cfRule type="cellIs" dxfId="12557" priority="6026" stopIfTrue="1" operator="equal">
      <formula>"Towel"</formula>
    </cfRule>
    <cfRule type="cellIs" dxfId="12556" priority="6027" stopIfTrue="1" operator="equal">
      <formula>"Napkin Hs"</formula>
    </cfRule>
    <cfRule type="cellIs" dxfId="12555" priority="6030" stopIfTrue="1" operator="equal">
      <formula>"Towel"</formula>
    </cfRule>
    <cfRule type="cellIs" dxfId="12554" priority="6031" stopIfTrue="1" operator="equal">
      <formula>"Napkin Hs"</formula>
    </cfRule>
    <cfRule type="cellIs" dxfId="12553" priority="6032" stopIfTrue="1" operator="equal">
      <formula>"Towel"</formula>
    </cfRule>
    <cfRule type="cellIs" dxfId="12552" priority="6033" stopIfTrue="1" operator="equal">
      <formula>"Napkin Hs"</formula>
    </cfRule>
    <cfRule type="cellIs" dxfId="12551" priority="6036" stopIfTrue="1" operator="equal">
      <formula>"Towel"</formula>
    </cfRule>
    <cfRule type="cellIs" dxfId="12550" priority="6037" stopIfTrue="1" operator="equal">
      <formula>"Napkin Hs"</formula>
    </cfRule>
    <cfRule type="cellIs" dxfId="12549" priority="6038" stopIfTrue="1" operator="equal">
      <formula>"Towel"</formula>
    </cfRule>
    <cfRule type="cellIs" dxfId="12548" priority="6039" stopIfTrue="1" operator="equal">
      <formula>"Napkin Hs"</formula>
    </cfRule>
    <cfRule type="cellIs" dxfId="12547" priority="6042" stopIfTrue="1" operator="equal">
      <formula>"Towel"</formula>
    </cfRule>
    <cfRule type="cellIs" dxfId="12546" priority="6043" stopIfTrue="1" operator="equal">
      <formula>"Napkin Hs"</formula>
    </cfRule>
    <cfRule type="cellIs" dxfId="12545" priority="6044" stopIfTrue="1" operator="equal">
      <formula>"Towel"</formula>
    </cfRule>
    <cfRule type="cellIs" dxfId="12544" priority="6045" stopIfTrue="1" operator="equal">
      <formula>"Napkin Hs"</formula>
    </cfRule>
    <cfRule type="cellIs" dxfId="12543" priority="6048" stopIfTrue="1" operator="equal">
      <formula>"Towel"</formula>
    </cfRule>
    <cfRule type="cellIs" dxfId="12542" priority="6049" stopIfTrue="1" operator="equal">
      <formula>"Napkin Hs"</formula>
    </cfRule>
    <cfRule type="cellIs" dxfId="12541" priority="6050" stopIfTrue="1" operator="equal">
      <formula>"Towel"</formula>
    </cfRule>
    <cfRule type="cellIs" dxfId="12540" priority="6051" stopIfTrue="1" operator="equal">
      <formula>"Napkin Hs"</formula>
    </cfRule>
    <cfRule type="cellIs" dxfId="12539" priority="6054" stopIfTrue="1" operator="equal">
      <formula>"Towel"</formula>
    </cfRule>
    <cfRule type="cellIs" dxfId="12538" priority="6055" stopIfTrue="1" operator="equal">
      <formula>"Napkin Hs"</formula>
    </cfRule>
    <cfRule type="cellIs" dxfId="12537" priority="6056" stopIfTrue="1" operator="equal">
      <formula>"Towel"</formula>
    </cfRule>
    <cfRule type="cellIs" dxfId="12536" priority="6057" stopIfTrue="1" operator="equal">
      <formula>"Napkin Hs"</formula>
    </cfRule>
    <cfRule type="cellIs" dxfId="12535" priority="6060" stopIfTrue="1" operator="equal">
      <formula>"Towel"</formula>
    </cfRule>
    <cfRule type="cellIs" dxfId="12534" priority="6061" stopIfTrue="1" operator="equal">
      <formula>"Napkin Hs"</formula>
    </cfRule>
    <cfRule type="cellIs" dxfId="12533" priority="6062" stopIfTrue="1" operator="equal">
      <formula>"Towel"</formula>
    </cfRule>
    <cfRule type="cellIs" dxfId="12532" priority="6063" stopIfTrue="1" operator="equal">
      <formula>"Napkin Hs"</formula>
    </cfRule>
  </conditionalFormatting>
  <conditionalFormatting sqref="C79">
    <cfRule type="cellIs" dxfId="12531" priority="5764" stopIfTrue="1" operator="equal">
      <formula>"Towel"</formula>
    </cfRule>
    <cfRule type="cellIs" dxfId="12530" priority="5765" stopIfTrue="1" operator="equal">
      <formula>"Napkin Hs"</formula>
    </cfRule>
    <cfRule type="cellIs" dxfId="12529" priority="5766" stopIfTrue="1" operator="equal">
      <formula>"Towel"</formula>
    </cfRule>
    <cfRule type="cellIs" dxfId="12528" priority="5767" stopIfTrue="1" operator="equal">
      <formula>"Napkin Hs"</formula>
    </cfRule>
    <cfRule type="cellIs" dxfId="12527" priority="5770" stopIfTrue="1" operator="equal">
      <formula>"Towel"</formula>
    </cfRule>
    <cfRule type="cellIs" dxfId="12526" priority="5771" stopIfTrue="1" operator="equal">
      <formula>"Napkin Hs"</formula>
    </cfRule>
    <cfRule type="cellIs" dxfId="12525" priority="5772" stopIfTrue="1" operator="equal">
      <formula>"Towel"</formula>
    </cfRule>
    <cfRule type="cellIs" dxfId="12524" priority="5773" stopIfTrue="1" operator="equal">
      <formula>"Napkin Hs"</formula>
    </cfRule>
    <cfRule type="cellIs" dxfId="12523" priority="5776" stopIfTrue="1" operator="equal">
      <formula>"Towel"</formula>
    </cfRule>
    <cfRule type="cellIs" dxfId="12522" priority="5777" stopIfTrue="1" operator="equal">
      <formula>"Napkin Hs"</formula>
    </cfRule>
    <cfRule type="cellIs" dxfId="12521" priority="5778" stopIfTrue="1" operator="equal">
      <formula>"Towel"</formula>
    </cfRule>
    <cfRule type="cellIs" dxfId="12520" priority="5779" stopIfTrue="1" operator="equal">
      <formula>"Napkin Hs"</formula>
    </cfRule>
    <cfRule type="cellIs" dxfId="12519" priority="5782" stopIfTrue="1" operator="equal">
      <formula>"Towel"</formula>
    </cfRule>
    <cfRule type="cellIs" dxfId="12518" priority="5783" stopIfTrue="1" operator="equal">
      <formula>"Napkin Hs"</formula>
    </cfRule>
    <cfRule type="cellIs" dxfId="12517" priority="5784" stopIfTrue="1" operator="equal">
      <formula>"Towel"</formula>
    </cfRule>
    <cfRule type="cellIs" dxfId="12516" priority="5785" stopIfTrue="1" operator="equal">
      <formula>"Napkin Hs"</formula>
    </cfRule>
    <cfRule type="cellIs" dxfId="12515" priority="5788" stopIfTrue="1" operator="equal">
      <formula>"Towel"</formula>
    </cfRule>
    <cfRule type="cellIs" dxfId="12514" priority="5789" stopIfTrue="1" operator="equal">
      <formula>"Napkin Hs"</formula>
    </cfRule>
    <cfRule type="cellIs" dxfId="12513" priority="5790" stopIfTrue="1" operator="equal">
      <formula>"Towel"</formula>
    </cfRule>
    <cfRule type="cellIs" dxfId="12512" priority="5791" stopIfTrue="1" operator="equal">
      <formula>"Napkin Hs"</formula>
    </cfRule>
    <cfRule type="cellIs" dxfId="12511" priority="5794" stopIfTrue="1" operator="equal">
      <formula>"Towel"</formula>
    </cfRule>
    <cfRule type="cellIs" dxfId="12510" priority="5795" stopIfTrue="1" operator="equal">
      <formula>"Napkin Hs"</formula>
    </cfRule>
  </conditionalFormatting>
  <conditionalFormatting sqref="C79:C80">
    <cfRule type="cellIs" dxfId="12509" priority="5796" stopIfTrue="1" operator="equal">
      <formula>"Towel"</formula>
    </cfRule>
    <cfRule type="cellIs" dxfId="12508" priority="5797" stopIfTrue="1" operator="equal">
      <formula>"Napkin Hs"</formula>
    </cfRule>
  </conditionalFormatting>
  <conditionalFormatting sqref="C80">
    <cfRule type="cellIs" dxfId="12507" priority="5838" stopIfTrue="1" operator="equal">
      <formula>"Towel"</formula>
    </cfRule>
    <cfRule type="cellIs" dxfId="12506" priority="5839" stopIfTrue="1" operator="equal">
      <formula>"Napkin Hs"</formula>
    </cfRule>
    <cfRule type="cellIs" dxfId="12505" priority="5842" stopIfTrue="1" operator="equal">
      <formula>"Towel"</formula>
    </cfRule>
    <cfRule type="cellIs" dxfId="12504" priority="5843" stopIfTrue="1" operator="equal">
      <formula>"Napkin Hs"</formula>
    </cfRule>
    <cfRule type="cellIs" dxfId="12503" priority="5844" stopIfTrue="1" operator="equal">
      <formula>"Towel"</formula>
    </cfRule>
    <cfRule type="cellIs" dxfId="12502" priority="5845" stopIfTrue="1" operator="equal">
      <formula>"Napkin Hs"</formula>
    </cfRule>
    <cfRule type="cellIs" dxfId="12501" priority="5848" stopIfTrue="1" operator="equal">
      <formula>"Towel"</formula>
    </cfRule>
    <cfRule type="cellIs" dxfId="12500" priority="5849" stopIfTrue="1" operator="equal">
      <formula>"Napkin Hs"</formula>
    </cfRule>
    <cfRule type="cellIs" dxfId="12499" priority="5850" stopIfTrue="1" operator="equal">
      <formula>"Towel"</formula>
    </cfRule>
    <cfRule type="cellIs" dxfId="12498" priority="5851" stopIfTrue="1" operator="equal">
      <formula>"Napkin Hs"</formula>
    </cfRule>
    <cfRule type="cellIs" dxfId="12497" priority="5854" stopIfTrue="1" operator="equal">
      <formula>"Towel"</formula>
    </cfRule>
    <cfRule type="cellIs" dxfId="12496" priority="5855" stopIfTrue="1" operator="equal">
      <formula>"Napkin Hs"</formula>
    </cfRule>
    <cfRule type="cellIs" dxfId="12495" priority="5856" stopIfTrue="1" operator="equal">
      <formula>"Towel"</formula>
    </cfRule>
    <cfRule type="cellIs" dxfId="12494" priority="5857" stopIfTrue="1" operator="equal">
      <formula>"Napkin Hs"</formula>
    </cfRule>
    <cfRule type="cellIs" dxfId="12493" priority="5860" stopIfTrue="1" operator="equal">
      <formula>"Towel"</formula>
    </cfRule>
    <cfRule type="cellIs" dxfId="12492" priority="5861" stopIfTrue="1" operator="equal">
      <formula>"Napkin Hs"</formula>
    </cfRule>
    <cfRule type="cellIs" dxfId="12491" priority="5862" stopIfTrue="1" operator="equal">
      <formula>"Towel"</formula>
    </cfRule>
    <cfRule type="cellIs" dxfId="12490" priority="5863" stopIfTrue="1" operator="equal">
      <formula>"Napkin Hs"</formula>
    </cfRule>
    <cfRule type="cellIs" dxfId="12489" priority="5866" stopIfTrue="1" operator="equal">
      <formula>"Towel"</formula>
    </cfRule>
    <cfRule type="cellIs" dxfId="12488" priority="5867" stopIfTrue="1" operator="equal">
      <formula>"Napkin Hs"</formula>
    </cfRule>
    <cfRule type="cellIs" dxfId="12487" priority="5868" stopIfTrue="1" operator="equal">
      <formula>"Towel"</formula>
    </cfRule>
    <cfRule type="cellIs" dxfId="12486" priority="5869" stopIfTrue="1" operator="equal">
      <formula>"Napkin Hs"</formula>
    </cfRule>
  </conditionalFormatting>
  <conditionalFormatting sqref="C81">
    <cfRule type="cellIs" dxfId="12485" priority="5878" stopIfTrue="1" operator="equal">
      <formula>"Towel"</formula>
    </cfRule>
    <cfRule type="cellIs" dxfId="12484" priority="5879" stopIfTrue="1" operator="equal">
      <formula>"Napkin Hs"</formula>
    </cfRule>
    <cfRule type="cellIs" dxfId="12483" priority="5880" stopIfTrue="1" operator="equal">
      <formula>"Towel"</formula>
    </cfRule>
    <cfRule type="cellIs" dxfId="12482" priority="5881" stopIfTrue="1" operator="equal">
      <formula>"Napkin Hs"</formula>
    </cfRule>
    <cfRule type="cellIs" dxfId="12481" priority="5882" stopIfTrue="1" operator="equal">
      <formula>"Towel"</formula>
    </cfRule>
    <cfRule type="cellIs" dxfId="12480" priority="5883" stopIfTrue="1" operator="equal">
      <formula>"Napkin Hs"</formula>
    </cfRule>
    <cfRule type="cellIs" dxfId="12479" priority="5884" stopIfTrue="1" operator="equal">
      <formula>"Towel"</formula>
    </cfRule>
    <cfRule type="cellIs" dxfId="12478" priority="5885" stopIfTrue="1" operator="equal">
      <formula>"Napkin Hs"</formula>
    </cfRule>
    <cfRule type="cellIs" dxfId="12477" priority="5886" stopIfTrue="1" operator="equal">
      <formula>"Towel"</formula>
    </cfRule>
    <cfRule type="cellIs" dxfId="12476" priority="5887" stopIfTrue="1" operator="equal">
      <formula>"Napkin Hs"</formula>
    </cfRule>
    <cfRule type="cellIs" dxfId="12475" priority="5888" stopIfTrue="1" operator="equal">
      <formula>"Towel"</formula>
    </cfRule>
    <cfRule type="cellIs" dxfId="12474" priority="5889" stopIfTrue="1" operator="equal">
      <formula>"Napkin Hs"</formula>
    </cfRule>
    <cfRule type="cellIs" dxfId="12473" priority="5890" stopIfTrue="1" operator="equal">
      <formula>"Towel"</formula>
    </cfRule>
    <cfRule type="cellIs" dxfId="12472" priority="5891" stopIfTrue="1" operator="equal">
      <formula>"Napkin Hs"</formula>
    </cfRule>
    <cfRule type="cellIs" dxfId="12471" priority="5894" stopIfTrue="1" operator="equal">
      <formula>"Towel"</formula>
    </cfRule>
    <cfRule type="cellIs" dxfId="12470" priority="5895" stopIfTrue="1" operator="equal">
      <formula>"Napkin Hs"</formula>
    </cfRule>
    <cfRule type="cellIs" dxfId="12469" priority="5896" stopIfTrue="1" operator="equal">
      <formula>"Towel"</formula>
    </cfRule>
    <cfRule type="cellIs" dxfId="12468" priority="5897" stopIfTrue="1" operator="equal">
      <formula>"Napkin Hs"</formula>
    </cfRule>
    <cfRule type="cellIs" dxfId="12467" priority="5900" stopIfTrue="1" operator="equal">
      <formula>"Towel"</formula>
    </cfRule>
    <cfRule type="cellIs" dxfId="12466" priority="5901" stopIfTrue="1" operator="equal">
      <formula>"Napkin Hs"</formula>
    </cfRule>
    <cfRule type="cellIs" dxfId="12465" priority="5902" stopIfTrue="1" operator="equal">
      <formula>"Towel"</formula>
    </cfRule>
    <cfRule type="cellIs" dxfId="12464" priority="5903" stopIfTrue="1" operator="equal">
      <formula>"Napkin Hs"</formula>
    </cfRule>
    <cfRule type="cellIs" dxfId="12463" priority="5906" stopIfTrue="1" operator="equal">
      <formula>"Towel"</formula>
    </cfRule>
    <cfRule type="cellIs" dxfId="12462" priority="5907" stopIfTrue="1" operator="equal">
      <formula>"Napkin Hs"</formula>
    </cfRule>
    <cfRule type="cellIs" dxfId="12461" priority="5908" stopIfTrue="1" operator="equal">
      <formula>"Towel"</formula>
    </cfRule>
    <cfRule type="cellIs" dxfId="12460" priority="5909" stopIfTrue="1" operator="equal">
      <formula>"Napkin Hs"</formula>
    </cfRule>
    <cfRule type="cellIs" dxfId="12459" priority="5912" stopIfTrue="1" operator="equal">
      <formula>"Towel"</formula>
    </cfRule>
    <cfRule type="cellIs" dxfId="12458" priority="5913" stopIfTrue="1" operator="equal">
      <formula>"Napkin Hs"</formula>
    </cfRule>
    <cfRule type="cellIs" dxfId="12457" priority="5914" stopIfTrue="1" operator="equal">
      <formula>"Towel"</formula>
    </cfRule>
    <cfRule type="cellIs" dxfId="12456" priority="5915" stopIfTrue="1" operator="equal">
      <formula>"Napkin Hs"</formula>
    </cfRule>
    <cfRule type="cellIs" dxfId="12455" priority="5918" stopIfTrue="1" operator="equal">
      <formula>"Towel"</formula>
    </cfRule>
    <cfRule type="cellIs" dxfId="12454" priority="5919" stopIfTrue="1" operator="equal">
      <formula>"Napkin Hs"</formula>
    </cfRule>
    <cfRule type="cellIs" dxfId="12453" priority="5920" stopIfTrue="1" operator="equal">
      <formula>"Towel"</formula>
    </cfRule>
    <cfRule type="cellIs" dxfId="12452" priority="5921" stopIfTrue="1" operator="equal">
      <formula>"Napkin Hs"</formula>
    </cfRule>
    <cfRule type="cellIs" dxfId="12451" priority="5924" stopIfTrue="1" operator="equal">
      <formula>"Towel"</formula>
    </cfRule>
    <cfRule type="cellIs" dxfId="12450" priority="5925" stopIfTrue="1" operator="equal">
      <formula>"Napkin Hs"</formula>
    </cfRule>
    <cfRule type="cellIs" dxfId="12449" priority="5926" stopIfTrue="1" operator="equal">
      <formula>"Towel"</formula>
    </cfRule>
    <cfRule type="cellIs" dxfId="12448" priority="5927" stopIfTrue="1" operator="equal">
      <formula>"Napkin Hs"</formula>
    </cfRule>
  </conditionalFormatting>
  <conditionalFormatting sqref="C82">
    <cfRule type="cellIs" dxfId="12447" priority="5584" stopIfTrue="1" operator="equal">
      <formula>"Towel"</formula>
    </cfRule>
    <cfRule type="cellIs" dxfId="12446" priority="5585" stopIfTrue="1" operator="equal">
      <formula>"Napkin Hs"</formula>
    </cfRule>
    <cfRule type="cellIs" dxfId="12445" priority="5588" stopIfTrue="1" operator="equal">
      <formula>"Towel"</formula>
    </cfRule>
    <cfRule type="cellIs" dxfId="12444" priority="5589" stopIfTrue="1" operator="equal">
      <formula>"Napkin Hs"</formula>
    </cfRule>
    <cfRule type="cellIs" dxfId="12443" priority="5590" stopIfTrue="1" operator="equal">
      <formula>"Towel"</formula>
    </cfRule>
    <cfRule type="cellIs" dxfId="12442" priority="5591" stopIfTrue="1" operator="equal">
      <formula>"Napkin Hs"</formula>
    </cfRule>
    <cfRule type="cellIs" dxfId="12441" priority="5594" stopIfTrue="1" operator="equal">
      <formula>"Towel"</formula>
    </cfRule>
    <cfRule type="cellIs" dxfId="12440" priority="5595" stopIfTrue="1" operator="equal">
      <formula>"Napkin Hs"</formula>
    </cfRule>
    <cfRule type="cellIs" dxfId="12439" priority="5596" stopIfTrue="1" operator="equal">
      <formula>"Towel"</formula>
    </cfRule>
    <cfRule type="cellIs" dxfId="12438" priority="5597" stopIfTrue="1" operator="equal">
      <formula>"Napkin Hs"</formula>
    </cfRule>
    <cfRule type="cellIs" dxfId="12437" priority="5600" stopIfTrue="1" operator="equal">
      <formula>"Towel"</formula>
    </cfRule>
    <cfRule type="cellIs" dxfId="12436" priority="5601" stopIfTrue="1" operator="equal">
      <formula>"Napkin Hs"</formula>
    </cfRule>
    <cfRule type="cellIs" dxfId="12435" priority="5602" stopIfTrue="1" operator="equal">
      <formula>"Towel"</formula>
    </cfRule>
    <cfRule type="cellIs" dxfId="12434" priority="5603" stopIfTrue="1" operator="equal">
      <formula>"Napkin Hs"</formula>
    </cfRule>
    <cfRule type="cellIs" dxfId="12433" priority="5606" stopIfTrue="1" operator="equal">
      <formula>"Towel"</formula>
    </cfRule>
    <cfRule type="cellIs" dxfId="12432" priority="5607" stopIfTrue="1" operator="equal">
      <formula>"Napkin Hs"</formula>
    </cfRule>
    <cfRule type="cellIs" dxfId="12431" priority="5608" stopIfTrue="1" operator="equal">
      <formula>"Towel"</formula>
    </cfRule>
    <cfRule type="cellIs" dxfId="12430" priority="5609" stopIfTrue="1" operator="equal">
      <formula>"Napkin Hs"</formula>
    </cfRule>
    <cfRule type="cellIs" dxfId="12429" priority="5612" stopIfTrue="1" operator="equal">
      <formula>"Towel"</formula>
    </cfRule>
    <cfRule type="cellIs" dxfId="12428" priority="5613" stopIfTrue="1" operator="equal">
      <formula>"Napkin Hs"</formula>
    </cfRule>
    <cfRule type="cellIs" dxfId="12427" priority="5614" stopIfTrue="1" operator="equal">
      <formula>"Towel"</formula>
    </cfRule>
    <cfRule type="cellIs" dxfId="12426" priority="5615" stopIfTrue="1" operator="equal">
      <formula>"Napkin Hs"</formula>
    </cfRule>
    <cfRule type="cellIs" dxfId="12425" priority="5618" stopIfTrue="1" operator="equal">
      <formula>"Towel"</formula>
    </cfRule>
    <cfRule type="cellIs" dxfId="12424" priority="5619" stopIfTrue="1" operator="equal">
      <formula>"Napkin Hs"</formula>
    </cfRule>
  </conditionalFormatting>
  <conditionalFormatting sqref="C82:C83">
    <cfRule type="cellIs" dxfId="12423" priority="5622" stopIfTrue="1" operator="equal">
      <formula>"Towel"</formula>
    </cfRule>
    <cfRule type="cellIs" dxfId="12422" priority="5623" stopIfTrue="1" operator="equal">
      <formula>"Napkin Hs"</formula>
    </cfRule>
  </conditionalFormatting>
  <conditionalFormatting sqref="C82:C84">
    <cfRule type="cellIs" dxfId="12421" priority="5540" stopIfTrue="1" operator="equal">
      <formula>"Towel"</formula>
    </cfRule>
    <cfRule type="cellIs" dxfId="12420" priority="5541" stopIfTrue="1" operator="equal">
      <formula>"Napkin Hs"</formula>
    </cfRule>
  </conditionalFormatting>
  <conditionalFormatting sqref="C83">
    <cfRule type="cellIs" dxfId="12419" priority="5500" stopIfTrue="1" operator="equal">
      <formula>"Towel"</formula>
    </cfRule>
    <cfRule type="cellIs" dxfId="12418" priority="5501" stopIfTrue="1" operator="equal">
      <formula>"Napkin Hs"</formula>
    </cfRule>
    <cfRule type="cellIs" dxfId="12417" priority="5502" stopIfTrue="1" operator="equal">
      <formula>"Towel"</formula>
    </cfRule>
    <cfRule type="cellIs" dxfId="12416" priority="5503" stopIfTrue="1" operator="equal">
      <formula>"Napkin Hs"</formula>
    </cfRule>
    <cfRule type="cellIs" dxfId="12415" priority="5506" stopIfTrue="1" operator="equal">
      <formula>"Towel"</formula>
    </cfRule>
    <cfRule type="cellIs" dxfId="12414" priority="5507" stopIfTrue="1" operator="equal">
      <formula>"Napkin Hs"</formula>
    </cfRule>
    <cfRule type="cellIs" dxfId="12413" priority="5508" stopIfTrue="1" operator="equal">
      <formula>"Towel"</formula>
    </cfRule>
    <cfRule type="cellIs" dxfId="12412" priority="5509" stopIfTrue="1" operator="equal">
      <formula>"Napkin Hs"</formula>
    </cfRule>
    <cfRule type="cellIs" dxfId="12411" priority="5512" stopIfTrue="1" operator="equal">
      <formula>"Towel"</formula>
    </cfRule>
    <cfRule type="cellIs" dxfId="12410" priority="5513" stopIfTrue="1" operator="equal">
      <formula>"Napkin Hs"</formula>
    </cfRule>
    <cfRule type="cellIs" dxfId="12409" priority="5514" stopIfTrue="1" operator="equal">
      <formula>"Towel"</formula>
    </cfRule>
    <cfRule type="cellIs" dxfId="12408" priority="5515" stopIfTrue="1" operator="equal">
      <formula>"Napkin Hs"</formula>
    </cfRule>
    <cfRule type="cellIs" dxfId="12407" priority="5518" stopIfTrue="1" operator="equal">
      <formula>"Towel"</formula>
    </cfRule>
    <cfRule type="cellIs" dxfId="12406" priority="5519" stopIfTrue="1" operator="equal">
      <formula>"Napkin Hs"</formula>
    </cfRule>
    <cfRule type="cellIs" dxfId="12405" priority="5520" stopIfTrue="1" operator="equal">
      <formula>"Towel"</formula>
    </cfRule>
    <cfRule type="cellIs" dxfId="12404" priority="5521" stopIfTrue="1" operator="equal">
      <formula>"Napkin Hs"</formula>
    </cfRule>
    <cfRule type="cellIs" dxfId="12403" priority="5524" stopIfTrue="1" operator="equal">
      <formula>"Towel"</formula>
    </cfRule>
    <cfRule type="cellIs" dxfId="12402" priority="5525" stopIfTrue="1" operator="equal">
      <formula>"Napkin Hs"</formula>
    </cfRule>
    <cfRule type="cellIs" dxfId="12401" priority="5526" stopIfTrue="1" operator="equal">
      <formula>"Towel"</formula>
    </cfRule>
    <cfRule type="cellIs" dxfId="12400" priority="5527" stopIfTrue="1" operator="equal">
      <formula>"Napkin Hs"</formula>
    </cfRule>
    <cfRule type="cellIs" dxfId="12399" priority="5530" stopIfTrue="1" operator="equal">
      <formula>"Towel"</formula>
    </cfRule>
    <cfRule type="cellIs" dxfId="12398" priority="5531" stopIfTrue="1" operator="equal">
      <formula>"Napkin Hs"</formula>
    </cfRule>
    <cfRule type="cellIs" dxfId="12397" priority="5532" stopIfTrue="1" operator="equal">
      <formula>"Towel"</formula>
    </cfRule>
    <cfRule type="cellIs" dxfId="12396" priority="5533" stopIfTrue="1" operator="equal">
      <formula>"Napkin Hs"</formula>
    </cfRule>
    <cfRule type="cellIs" dxfId="12395" priority="5536" stopIfTrue="1" operator="equal">
      <formula>"Towel"</formula>
    </cfRule>
    <cfRule type="cellIs" dxfId="12394" priority="5537" stopIfTrue="1" operator="equal">
      <formula>"Napkin Hs"</formula>
    </cfRule>
    <cfRule type="cellIs" dxfId="12393" priority="5626" stopIfTrue="1" operator="equal">
      <formula>"Towel"</formula>
    </cfRule>
    <cfRule type="cellIs" dxfId="12392" priority="5627" stopIfTrue="1" operator="equal">
      <formula>"Napkin Hs"</formula>
    </cfRule>
    <cfRule type="cellIs" dxfId="12391" priority="5630" stopIfTrue="1" operator="equal">
      <formula>"Towel"</formula>
    </cfRule>
    <cfRule type="cellIs" dxfId="12390" priority="5631" stopIfTrue="1" operator="equal">
      <formula>"Napkin Hs"</formula>
    </cfRule>
    <cfRule type="cellIs" dxfId="12389" priority="5632" stopIfTrue="1" operator="equal">
      <formula>"Towel"</formula>
    </cfRule>
    <cfRule type="cellIs" dxfId="12388" priority="5633" stopIfTrue="1" operator="equal">
      <formula>"Napkin Hs"</formula>
    </cfRule>
    <cfRule type="cellIs" dxfId="12387" priority="5636" stopIfTrue="1" operator="equal">
      <formula>"Towel"</formula>
    </cfRule>
    <cfRule type="cellIs" dxfId="12386" priority="5637" stopIfTrue="1" operator="equal">
      <formula>"Napkin Hs"</formula>
    </cfRule>
    <cfRule type="cellIs" dxfId="12385" priority="5638" stopIfTrue="1" operator="equal">
      <formula>"Towel"</formula>
    </cfRule>
    <cfRule type="cellIs" dxfId="12384" priority="5639" stopIfTrue="1" operator="equal">
      <formula>"Napkin Hs"</formula>
    </cfRule>
    <cfRule type="cellIs" dxfId="12383" priority="5642" stopIfTrue="1" operator="equal">
      <formula>"Towel"</formula>
    </cfRule>
    <cfRule type="cellIs" dxfId="12382" priority="5643" stopIfTrue="1" operator="equal">
      <formula>"Napkin Hs"</formula>
    </cfRule>
    <cfRule type="cellIs" dxfId="12381" priority="5644" stopIfTrue="1" operator="equal">
      <formula>"Towel"</formula>
    </cfRule>
    <cfRule type="cellIs" dxfId="12380" priority="5645" stopIfTrue="1" operator="equal">
      <formula>"Napkin Hs"</formula>
    </cfRule>
    <cfRule type="cellIs" dxfId="12379" priority="5648" stopIfTrue="1" operator="equal">
      <formula>"Towel"</formula>
    </cfRule>
    <cfRule type="cellIs" dxfId="12378" priority="5649" stopIfTrue="1" operator="equal">
      <formula>"Napkin Hs"</formula>
    </cfRule>
    <cfRule type="cellIs" dxfId="12377" priority="5650" stopIfTrue="1" operator="equal">
      <formula>"Towel"</formula>
    </cfRule>
    <cfRule type="cellIs" dxfId="12376" priority="5651" stopIfTrue="1" operator="equal">
      <formula>"Napkin Hs"</formula>
    </cfRule>
    <cfRule type="cellIs" dxfId="12375" priority="5654" stopIfTrue="1" operator="equal">
      <formula>"Towel"</formula>
    </cfRule>
    <cfRule type="cellIs" dxfId="12374" priority="5655" stopIfTrue="1" operator="equal">
      <formula>"Napkin Hs"</formula>
    </cfRule>
    <cfRule type="cellIs" dxfId="12373" priority="12158" stopIfTrue="1" operator="equal">
      <formula>"Towel"</formula>
    </cfRule>
    <cfRule type="cellIs" dxfId="12372" priority="12159" stopIfTrue="1" operator="equal">
      <formula>"Napkin Hs"</formula>
    </cfRule>
  </conditionalFormatting>
  <conditionalFormatting sqref="C83:C84">
    <cfRule type="cellIs" dxfId="12371" priority="5656" stopIfTrue="1" operator="equal">
      <formula>"Towel"</formula>
    </cfRule>
    <cfRule type="cellIs" dxfId="12370" priority="5657" stopIfTrue="1" operator="equal">
      <formula>"Napkin Hs"</formula>
    </cfRule>
    <cfRule type="cellIs" dxfId="12369" priority="12154" stopIfTrue="1" operator="equal">
      <formula>"Towel"</formula>
    </cfRule>
    <cfRule type="cellIs" dxfId="12368" priority="12155" stopIfTrue="1" operator="equal">
      <formula>"Napkin Hs"</formula>
    </cfRule>
  </conditionalFormatting>
  <conditionalFormatting sqref="C84">
    <cfRule type="cellIs" dxfId="12367" priority="5544" stopIfTrue="1" operator="equal">
      <formula>"Towel"</formula>
    </cfRule>
    <cfRule type="cellIs" dxfId="12366" priority="5545" stopIfTrue="1" operator="equal">
      <formula>"Napkin Hs"</formula>
    </cfRule>
    <cfRule type="cellIs" dxfId="12365" priority="5548" stopIfTrue="1" operator="equal">
      <formula>"Towel"</formula>
    </cfRule>
    <cfRule type="cellIs" dxfId="12364" priority="5549" stopIfTrue="1" operator="equal">
      <formula>"Napkin Hs"</formula>
    </cfRule>
    <cfRule type="cellIs" dxfId="12363" priority="5550" stopIfTrue="1" operator="equal">
      <formula>"Towel"</formula>
    </cfRule>
    <cfRule type="cellIs" dxfId="12362" priority="5551" stopIfTrue="1" operator="equal">
      <formula>"Napkin Hs"</formula>
    </cfRule>
    <cfRule type="cellIs" dxfId="12361" priority="5554" stopIfTrue="1" operator="equal">
      <formula>"Towel"</formula>
    </cfRule>
    <cfRule type="cellIs" dxfId="12360" priority="5555" stopIfTrue="1" operator="equal">
      <formula>"Napkin Hs"</formula>
    </cfRule>
    <cfRule type="cellIs" dxfId="12359" priority="5556" stopIfTrue="1" operator="equal">
      <formula>"Towel"</formula>
    </cfRule>
    <cfRule type="cellIs" dxfId="12358" priority="5557" stopIfTrue="1" operator="equal">
      <formula>"Napkin Hs"</formula>
    </cfRule>
    <cfRule type="cellIs" dxfId="12357" priority="5560" stopIfTrue="1" operator="equal">
      <formula>"Towel"</formula>
    </cfRule>
    <cfRule type="cellIs" dxfId="12356" priority="5561" stopIfTrue="1" operator="equal">
      <formula>"Napkin Hs"</formula>
    </cfRule>
    <cfRule type="cellIs" dxfId="12355" priority="5562" stopIfTrue="1" operator="equal">
      <formula>"Towel"</formula>
    </cfRule>
    <cfRule type="cellIs" dxfId="12354" priority="5563" stopIfTrue="1" operator="equal">
      <formula>"Napkin Hs"</formula>
    </cfRule>
    <cfRule type="cellIs" dxfId="12353" priority="5566" stopIfTrue="1" operator="equal">
      <formula>"Towel"</formula>
    </cfRule>
    <cfRule type="cellIs" dxfId="12352" priority="5567" stopIfTrue="1" operator="equal">
      <formula>"Napkin Hs"</formula>
    </cfRule>
    <cfRule type="cellIs" dxfId="12351" priority="5568" stopIfTrue="1" operator="equal">
      <formula>"Towel"</formula>
    </cfRule>
    <cfRule type="cellIs" dxfId="12350" priority="5569" stopIfTrue="1" operator="equal">
      <formula>"Napkin Hs"</formula>
    </cfRule>
    <cfRule type="cellIs" dxfId="12349" priority="5572" stopIfTrue="1" operator="equal">
      <formula>"Towel"</formula>
    </cfRule>
    <cfRule type="cellIs" dxfId="12348" priority="5573" stopIfTrue="1" operator="equal">
      <formula>"Napkin Hs"</formula>
    </cfRule>
    <cfRule type="cellIs" dxfId="12347" priority="5574" stopIfTrue="1" operator="equal">
      <formula>"Towel"</formula>
    </cfRule>
    <cfRule type="cellIs" dxfId="12346" priority="5575" stopIfTrue="1" operator="equal">
      <formula>"Napkin Hs"</formula>
    </cfRule>
    <cfRule type="cellIs" dxfId="12345" priority="5578" stopIfTrue="1" operator="equal">
      <formula>"Towel"</formula>
    </cfRule>
    <cfRule type="cellIs" dxfId="12344" priority="5579" stopIfTrue="1" operator="equal">
      <formula>"Napkin Hs"</formula>
    </cfRule>
    <cfRule type="cellIs" dxfId="12343" priority="5662" stopIfTrue="1" operator="equal">
      <formula>"Towel"</formula>
    </cfRule>
    <cfRule type="cellIs" dxfId="12342" priority="5663" stopIfTrue="1" operator="equal">
      <formula>"Napkin Hs"</formula>
    </cfRule>
    <cfRule type="cellIs" dxfId="12341" priority="5666" stopIfTrue="1" operator="equal">
      <formula>"Towel"</formula>
    </cfRule>
    <cfRule type="cellIs" dxfId="12340" priority="5667" stopIfTrue="1" operator="equal">
      <formula>"Napkin Hs"</formula>
    </cfRule>
    <cfRule type="cellIs" dxfId="12339" priority="5668" stopIfTrue="1" operator="equal">
      <formula>"Towel"</formula>
    </cfRule>
    <cfRule type="cellIs" dxfId="12338" priority="5669" stopIfTrue="1" operator="equal">
      <formula>"Napkin Hs"</formula>
    </cfRule>
    <cfRule type="cellIs" dxfId="12337" priority="5672" stopIfTrue="1" operator="equal">
      <formula>"Towel"</formula>
    </cfRule>
    <cfRule type="cellIs" dxfId="12336" priority="5673" stopIfTrue="1" operator="equal">
      <formula>"Napkin Hs"</formula>
    </cfRule>
    <cfRule type="cellIs" dxfId="12335" priority="5674" stopIfTrue="1" operator="equal">
      <formula>"Towel"</formula>
    </cfRule>
    <cfRule type="cellIs" dxfId="12334" priority="5675" stopIfTrue="1" operator="equal">
      <formula>"Napkin Hs"</formula>
    </cfRule>
    <cfRule type="cellIs" dxfId="12333" priority="5678" stopIfTrue="1" operator="equal">
      <formula>"Towel"</formula>
    </cfRule>
    <cfRule type="cellIs" dxfId="12332" priority="5679" stopIfTrue="1" operator="equal">
      <formula>"Napkin Hs"</formula>
    </cfRule>
    <cfRule type="cellIs" dxfId="12331" priority="5680" stopIfTrue="1" operator="equal">
      <formula>"Towel"</formula>
    </cfRule>
    <cfRule type="cellIs" dxfId="12330" priority="5681" stopIfTrue="1" operator="equal">
      <formula>"Napkin Hs"</formula>
    </cfRule>
    <cfRule type="cellIs" dxfId="12329" priority="5684" stopIfTrue="1" operator="equal">
      <formula>"Towel"</formula>
    </cfRule>
    <cfRule type="cellIs" dxfId="12328" priority="5685" stopIfTrue="1" operator="equal">
      <formula>"Napkin Hs"</formula>
    </cfRule>
    <cfRule type="cellIs" dxfId="12327" priority="5686" stopIfTrue="1" operator="equal">
      <formula>"Towel"</formula>
    </cfRule>
    <cfRule type="cellIs" dxfId="12326" priority="5687" stopIfTrue="1" operator="equal">
      <formula>"Napkin Hs"</formula>
    </cfRule>
    <cfRule type="cellIs" dxfId="12325" priority="5690" stopIfTrue="1" operator="equal">
      <formula>"Towel"</formula>
    </cfRule>
    <cfRule type="cellIs" dxfId="12324" priority="5691" stopIfTrue="1" operator="equal">
      <formula>"Napkin Hs"</formula>
    </cfRule>
    <cfRule type="cellIs" dxfId="12323" priority="5692" stopIfTrue="1" operator="equal">
      <formula>"Towel"</formula>
    </cfRule>
    <cfRule type="cellIs" dxfId="12322" priority="5693" stopIfTrue="1" operator="equal">
      <formula>"Napkin Hs"</formula>
    </cfRule>
  </conditionalFormatting>
  <conditionalFormatting sqref="C84:C86">
    <cfRule type="cellIs" dxfId="12321" priority="10144" stopIfTrue="1" operator="equal">
      <formula>"Towel"</formula>
    </cfRule>
    <cfRule type="cellIs" dxfId="12320" priority="10145" stopIfTrue="1" operator="equal">
      <formula>"Napkin Hs"</formula>
    </cfRule>
  </conditionalFormatting>
  <conditionalFormatting sqref="C85">
    <cfRule type="cellIs" dxfId="12319" priority="10100" stopIfTrue="1" operator="equal">
      <formula>"Towel"</formula>
    </cfRule>
    <cfRule type="cellIs" dxfId="12318" priority="10101" stopIfTrue="1" operator="equal">
      <formula>"Napkin Hs"</formula>
    </cfRule>
    <cfRule type="cellIs" dxfId="12317" priority="10102" stopIfTrue="1" operator="equal">
      <formula>"Towel"</formula>
    </cfRule>
    <cfRule type="cellIs" dxfId="12316" priority="10103" stopIfTrue="1" operator="equal">
      <formula>"Napkin Hs"</formula>
    </cfRule>
    <cfRule type="cellIs" dxfId="12315" priority="10106" stopIfTrue="1" operator="equal">
      <formula>"Towel"</formula>
    </cfRule>
    <cfRule type="cellIs" dxfId="12314" priority="10107" stopIfTrue="1" operator="equal">
      <formula>"Napkin Hs"</formula>
    </cfRule>
    <cfRule type="cellIs" dxfId="12313" priority="10108" stopIfTrue="1" operator="equal">
      <formula>"Towel"</formula>
    </cfRule>
    <cfRule type="cellIs" dxfId="12312" priority="10109" stopIfTrue="1" operator="equal">
      <formula>"Napkin Hs"</formula>
    </cfRule>
    <cfRule type="cellIs" dxfId="12311" priority="10112" stopIfTrue="1" operator="equal">
      <formula>"Towel"</formula>
    </cfRule>
    <cfRule type="cellIs" dxfId="12310" priority="10113" stopIfTrue="1" operator="equal">
      <formula>"Napkin Hs"</formula>
    </cfRule>
    <cfRule type="cellIs" dxfId="12309" priority="10114" stopIfTrue="1" operator="equal">
      <formula>"Towel"</formula>
    </cfRule>
    <cfRule type="cellIs" dxfId="12308" priority="10115" stopIfTrue="1" operator="equal">
      <formula>"Napkin Hs"</formula>
    </cfRule>
    <cfRule type="cellIs" dxfId="12307" priority="10118" stopIfTrue="1" operator="equal">
      <formula>"Towel"</formula>
    </cfRule>
    <cfRule type="cellIs" dxfId="12306" priority="10119" stopIfTrue="1" operator="equal">
      <formula>"Napkin Hs"</formula>
    </cfRule>
    <cfRule type="cellIs" dxfId="12305" priority="10120" stopIfTrue="1" operator="equal">
      <formula>"Towel"</formula>
    </cfRule>
    <cfRule type="cellIs" dxfId="12304" priority="10121" stopIfTrue="1" operator="equal">
      <formula>"Napkin Hs"</formula>
    </cfRule>
    <cfRule type="cellIs" dxfId="12303" priority="10124" stopIfTrue="1" operator="equal">
      <formula>"Towel"</formula>
    </cfRule>
    <cfRule type="cellIs" dxfId="12302" priority="10125" stopIfTrue="1" operator="equal">
      <formula>"Napkin Hs"</formula>
    </cfRule>
    <cfRule type="cellIs" dxfId="12301" priority="10126" stopIfTrue="1" operator="equal">
      <formula>"Towel"</formula>
    </cfRule>
    <cfRule type="cellIs" dxfId="12300" priority="10127" stopIfTrue="1" operator="equal">
      <formula>"Napkin Hs"</formula>
    </cfRule>
    <cfRule type="cellIs" dxfId="12299" priority="10130" stopIfTrue="1" operator="equal">
      <formula>"Towel"</formula>
    </cfRule>
    <cfRule type="cellIs" dxfId="12298" priority="10131" stopIfTrue="1" operator="equal">
      <formula>"Napkin Hs"</formula>
    </cfRule>
    <cfRule type="cellIs" dxfId="12297" priority="10132" stopIfTrue="1" operator="equal">
      <formula>"Towel"</formula>
    </cfRule>
    <cfRule type="cellIs" dxfId="12296" priority="10133" stopIfTrue="1" operator="equal">
      <formula>"Napkin Hs"</formula>
    </cfRule>
    <cfRule type="cellIs" dxfId="12295" priority="10136" stopIfTrue="1" operator="equal">
      <formula>"Towel"</formula>
    </cfRule>
    <cfRule type="cellIs" dxfId="12294" priority="10137" stopIfTrue="1" operator="equal">
      <formula>"Napkin Hs"</formula>
    </cfRule>
    <cfRule type="cellIs" dxfId="12293" priority="10138" stopIfTrue="1" operator="equal">
      <formula>"Towel"</formula>
    </cfRule>
    <cfRule type="cellIs" dxfId="12292" priority="10139" stopIfTrue="1" operator="equal">
      <formula>"Napkin Hs"</formula>
    </cfRule>
    <cfRule type="cellIs" dxfId="12291" priority="10142" stopIfTrue="1" operator="equal">
      <formula>"Towel"</formula>
    </cfRule>
    <cfRule type="cellIs" dxfId="12290" priority="10143" stopIfTrue="1" operator="equal">
      <formula>"Napkin Hs"</formula>
    </cfRule>
  </conditionalFormatting>
  <conditionalFormatting sqref="C85:C86">
    <cfRule type="cellIs" dxfId="12289" priority="5702" stopIfTrue="1" operator="equal">
      <formula>"Towel"</formula>
    </cfRule>
    <cfRule type="cellIs" dxfId="12288" priority="5703" stopIfTrue="1" operator="equal">
      <formula>"Napkin Hs"</formula>
    </cfRule>
    <cfRule type="cellIs" dxfId="12287" priority="5704" stopIfTrue="1" operator="equal">
      <formula>"Towel"</formula>
    </cfRule>
    <cfRule type="cellIs" dxfId="12286" priority="5705" stopIfTrue="1" operator="equal">
      <formula>"Napkin Hs"</formula>
    </cfRule>
    <cfRule type="cellIs" dxfId="12285" priority="5706" stopIfTrue="1" operator="equal">
      <formula>"Towel"</formula>
    </cfRule>
    <cfRule type="cellIs" dxfId="12284" priority="5707" stopIfTrue="1" operator="equal">
      <formula>"Napkin Hs"</formula>
    </cfRule>
    <cfRule type="cellIs" dxfId="12283" priority="5708" stopIfTrue="1" operator="equal">
      <formula>"Towel"</formula>
    </cfRule>
    <cfRule type="cellIs" dxfId="12282" priority="5709" stopIfTrue="1" operator="equal">
      <formula>"Napkin Hs"</formula>
    </cfRule>
    <cfRule type="cellIs" dxfId="12281" priority="5710" stopIfTrue="1" operator="equal">
      <formula>"Towel"</formula>
    </cfRule>
    <cfRule type="cellIs" dxfId="12280" priority="5711" stopIfTrue="1" operator="equal">
      <formula>"Napkin Hs"</formula>
    </cfRule>
    <cfRule type="cellIs" dxfId="12279" priority="5712" stopIfTrue="1" operator="equal">
      <formula>"Towel"</formula>
    </cfRule>
    <cfRule type="cellIs" dxfId="12278" priority="5713" stopIfTrue="1" operator="equal">
      <formula>"Napkin Hs"</formula>
    </cfRule>
    <cfRule type="cellIs" dxfId="12277" priority="5714" stopIfTrue="1" operator="equal">
      <formula>"Towel"</formula>
    </cfRule>
    <cfRule type="cellIs" dxfId="12276" priority="5715" stopIfTrue="1" operator="equal">
      <formula>"Napkin Hs"</formula>
    </cfRule>
    <cfRule type="cellIs" dxfId="12275" priority="5718" stopIfTrue="1" operator="equal">
      <formula>"Towel"</formula>
    </cfRule>
    <cfRule type="cellIs" dxfId="12274" priority="5719" stopIfTrue="1" operator="equal">
      <formula>"Napkin Hs"</formula>
    </cfRule>
    <cfRule type="cellIs" dxfId="12273" priority="5720" stopIfTrue="1" operator="equal">
      <formula>"Towel"</formula>
    </cfRule>
    <cfRule type="cellIs" dxfId="12272" priority="5721" stopIfTrue="1" operator="equal">
      <formula>"Napkin Hs"</formula>
    </cfRule>
    <cfRule type="cellIs" dxfId="12271" priority="5724" stopIfTrue="1" operator="equal">
      <formula>"Towel"</formula>
    </cfRule>
    <cfRule type="cellIs" dxfId="12270" priority="5725" stopIfTrue="1" operator="equal">
      <formula>"Napkin Hs"</formula>
    </cfRule>
    <cfRule type="cellIs" dxfId="12269" priority="5726" stopIfTrue="1" operator="equal">
      <formula>"Towel"</formula>
    </cfRule>
    <cfRule type="cellIs" dxfId="12268" priority="5727" stopIfTrue="1" operator="equal">
      <formula>"Napkin Hs"</formula>
    </cfRule>
    <cfRule type="cellIs" dxfId="12267" priority="5730" stopIfTrue="1" operator="equal">
      <formula>"Towel"</formula>
    </cfRule>
    <cfRule type="cellIs" dxfId="12266" priority="5731" stopIfTrue="1" operator="equal">
      <formula>"Napkin Hs"</formula>
    </cfRule>
    <cfRule type="cellIs" dxfId="12265" priority="5732" stopIfTrue="1" operator="equal">
      <formula>"Towel"</formula>
    </cfRule>
    <cfRule type="cellIs" dxfId="12264" priority="5733" stopIfTrue="1" operator="equal">
      <formula>"Napkin Hs"</formula>
    </cfRule>
    <cfRule type="cellIs" dxfId="12263" priority="5736" stopIfTrue="1" operator="equal">
      <formula>"Towel"</formula>
    </cfRule>
    <cfRule type="cellIs" dxfId="12262" priority="5737" stopIfTrue="1" operator="equal">
      <formula>"Napkin Hs"</formula>
    </cfRule>
    <cfRule type="cellIs" dxfId="12261" priority="5738" stopIfTrue="1" operator="equal">
      <formula>"Towel"</formula>
    </cfRule>
    <cfRule type="cellIs" dxfId="12260" priority="5739" stopIfTrue="1" operator="equal">
      <formula>"Napkin Hs"</formula>
    </cfRule>
    <cfRule type="cellIs" dxfId="12259" priority="5742" stopIfTrue="1" operator="equal">
      <formula>"Towel"</formula>
    </cfRule>
    <cfRule type="cellIs" dxfId="12258" priority="5743" stopIfTrue="1" operator="equal">
      <formula>"Napkin Hs"</formula>
    </cfRule>
    <cfRule type="cellIs" dxfId="12257" priority="5744" stopIfTrue="1" operator="equal">
      <formula>"Towel"</formula>
    </cfRule>
    <cfRule type="cellIs" dxfId="12256" priority="5745" stopIfTrue="1" operator="equal">
      <formula>"Napkin Hs"</formula>
    </cfRule>
    <cfRule type="cellIs" dxfId="12255" priority="5748" stopIfTrue="1" operator="equal">
      <formula>"Towel"</formula>
    </cfRule>
    <cfRule type="cellIs" dxfId="12254" priority="5749" stopIfTrue="1" operator="equal">
      <formula>"Napkin Hs"</formula>
    </cfRule>
    <cfRule type="cellIs" dxfId="12253" priority="5750" stopIfTrue="1" operator="equal">
      <formula>"Towel"</formula>
    </cfRule>
    <cfRule type="cellIs" dxfId="12252" priority="5751" stopIfTrue="1" operator="equal">
      <formula>"Napkin Hs"</formula>
    </cfRule>
  </conditionalFormatting>
  <conditionalFormatting sqref="C86">
    <cfRule type="cellIs" dxfId="12251" priority="10150" stopIfTrue="1" operator="equal">
      <formula>"Towel"</formula>
    </cfRule>
    <cfRule type="cellIs" dxfId="12250" priority="10151" stopIfTrue="1" operator="equal">
      <formula>"Napkin Hs"</formula>
    </cfRule>
    <cfRule type="cellIs" dxfId="12249" priority="10154" stopIfTrue="1" operator="equal">
      <formula>"Towel"</formula>
    </cfRule>
    <cfRule type="cellIs" dxfId="12248" priority="10155" stopIfTrue="1" operator="equal">
      <formula>"Napkin Hs"</formula>
    </cfRule>
    <cfRule type="cellIs" dxfId="12247" priority="10156" stopIfTrue="1" operator="equal">
      <formula>"Towel"</formula>
    </cfRule>
    <cfRule type="cellIs" dxfId="12246" priority="10157" stopIfTrue="1" operator="equal">
      <formula>"Napkin Hs"</formula>
    </cfRule>
    <cfRule type="cellIs" dxfId="12245" priority="10160" stopIfTrue="1" operator="equal">
      <formula>"Towel"</formula>
    </cfRule>
    <cfRule type="cellIs" dxfId="12244" priority="10161" stopIfTrue="1" operator="equal">
      <formula>"Napkin Hs"</formula>
    </cfRule>
    <cfRule type="cellIs" dxfId="12243" priority="10162" stopIfTrue="1" operator="equal">
      <formula>"Towel"</formula>
    </cfRule>
    <cfRule type="cellIs" dxfId="12242" priority="10163" stopIfTrue="1" operator="equal">
      <formula>"Napkin Hs"</formula>
    </cfRule>
    <cfRule type="cellIs" dxfId="12241" priority="10166" stopIfTrue="1" operator="equal">
      <formula>"Towel"</formula>
    </cfRule>
    <cfRule type="cellIs" dxfId="12240" priority="10167" stopIfTrue="1" operator="equal">
      <formula>"Napkin Hs"</formula>
    </cfRule>
    <cfRule type="cellIs" dxfId="12239" priority="10168" stopIfTrue="1" operator="equal">
      <formula>"Towel"</formula>
    </cfRule>
    <cfRule type="cellIs" dxfId="12238" priority="10169" stopIfTrue="1" operator="equal">
      <formula>"Napkin Hs"</formula>
    </cfRule>
    <cfRule type="cellIs" dxfId="12237" priority="10172" stopIfTrue="1" operator="equal">
      <formula>"Towel"</formula>
    </cfRule>
    <cfRule type="cellIs" dxfId="12236" priority="10173" stopIfTrue="1" operator="equal">
      <formula>"Napkin Hs"</formula>
    </cfRule>
    <cfRule type="cellIs" dxfId="12235" priority="10174" stopIfTrue="1" operator="equal">
      <formula>"Towel"</formula>
    </cfRule>
    <cfRule type="cellIs" dxfId="12234" priority="10175" stopIfTrue="1" operator="equal">
      <formula>"Napkin Hs"</formula>
    </cfRule>
    <cfRule type="cellIs" dxfId="12233" priority="10178" stopIfTrue="1" operator="equal">
      <formula>"Towel"</formula>
    </cfRule>
    <cfRule type="cellIs" dxfId="12232" priority="10179" stopIfTrue="1" operator="equal">
      <formula>"Napkin Hs"</formula>
    </cfRule>
    <cfRule type="cellIs" dxfId="12231" priority="10180" stopIfTrue="1" operator="equal">
      <formula>"Towel"</formula>
    </cfRule>
    <cfRule type="cellIs" dxfId="12230" priority="10181" stopIfTrue="1" operator="equal">
      <formula>"Napkin Hs"</formula>
    </cfRule>
    <cfRule type="cellIs" dxfId="12229" priority="10184" stopIfTrue="1" operator="equal">
      <formula>"Towel"</formula>
    </cfRule>
    <cfRule type="cellIs" dxfId="12228" priority="10185" stopIfTrue="1" operator="equal">
      <formula>"Napkin Hs"</formula>
    </cfRule>
    <cfRule type="cellIs" dxfId="12227" priority="10186" stopIfTrue="1" operator="equal">
      <formula>"Towel"</formula>
    </cfRule>
    <cfRule type="cellIs" dxfId="12226" priority="10187" stopIfTrue="1" operator="equal">
      <formula>"Napkin Hs"</formula>
    </cfRule>
    <cfRule type="cellIs" dxfId="12225" priority="10190" stopIfTrue="1" operator="equal">
      <formula>"Towel"</formula>
    </cfRule>
    <cfRule type="cellIs" dxfId="12224" priority="10191" stopIfTrue="1" operator="equal">
      <formula>"Napkin Hs"</formula>
    </cfRule>
  </conditionalFormatting>
  <conditionalFormatting sqref="C86:C87">
    <cfRule type="cellIs" dxfId="12223" priority="10192" stopIfTrue="1" operator="equal">
      <formula>"Towel"</formula>
    </cfRule>
    <cfRule type="cellIs" dxfId="12222" priority="10193" stopIfTrue="1" operator="equal">
      <formula>"Napkin Hs"</formula>
    </cfRule>
  </conditionalFormatting>
  <conditionalFormatting sqref="C87">
    <cfRule type="cellIs" dxfId="12221" priority="5760" stopIfTrue="1" operator="equal">
      <formula>"Towel"</formula>
    </cfRule>
    <cfRule type="cellIs" dxfId="12220" priority="5761" stopIfTrue="1" operator="equal">
      <formula>"Napkin Hs"</formula>
    </cfRule>
    <cfRule type="cellIs" dxfId="12219" priority="10198" stopIfTrue="1" operator="equal">
      <formula>"Towel"</formula>
    </cfRule>
    <cfRule type="cellIs" dxfId="12218" priority="10199" stopIfTrue="1" operator="equal">
      <formula>"Napkin Hs"</formula>
    </cfRule>
    <cfRule type="cellIs" dxfId="12217" priority="10202" stopIfTrue="1" operator="equal">
      <formula>"Towel"</formula>
    </cfRule>
    <cfRule type="cellIs" dxfId="12216" priority="10203" stopIfTrue="1" operator="equal">
      <formula>"Napkin Hs"</formula>
    </cfRule>
    <cfRule type="cellIs" dxfId="12215" priority="10204" stopIfTrue="1" operator="equal">
      <formula>"Towel"</formula>
    </cfRule>
    <cfRule type="cellIs" dxfId="12214" priority="10205" stopIfTrue="1" operator="equal">
      <formula>"Napkin Hs"</formula>
    </cfRule>
    <cfRule type="cellIs" dxfId="12213" priority="10208" stopIfTrue="1" operator="equal">
      <formula>"Towel"</formula>
    </cfRule>
    <cfRule type="cellIs" dxfId="12212" priority="10209" stopIfTrue="1" operator="equal">
      <formula>"Napkin Hs"</formula>
    </cfRule>
    <cfRule type="cellIs" dxfId="12211" priority="10210" stopIfTrue="1" operator="equal">
      <formula>"Towel"</formula>
    </cfRule>
    <cfRule type="cellIs" dxfId="12210" priority="10211" stopIfTrue="1" operator="equal">
      <formula>"Napkin Hs"</formula>
    </cfRule>
    <cfRule type="cellIs" dxfId="12209" priority="10214" stopIfTrue="1" operator="equal">
      <formula>"Towel"</formula>
    </cfRule>
    <cfRule type="cellIs" dxfId="12208" priority="10215" stopIfTrue="1" operator="equal">
      <formula>"Napkin Hs"</formula>
    </cfRule>
    <cfRule type="cellIs" dxfId="12207" priority="10216" stopIfTrue="1" operator="equal">
      <formula>"Towel"</formula>
    </cfRule>
    <cfRule type="cellIs" dxfId="12206" priority="10217" stopIfTrue="1" operator="equal">
      <formula>"Napkin Hs"</formula>
    </cfRule>
    <cfRule type="cellIs" dxfId="12205" priority="10220" stopIfTrue="1" operator="equal">
      <formula>"Towel"</formula>
    </cfRule>
    <cfRule type="cellIs" dxfId="12204" priority="10221" stopIfTrue="1" operator="equal">
      <formula>"Napkin Hs"</formula>
    </cfRule>
    <cfRule type="cellIs" dxfId="12203" priority="10222" stopIfTrue="1" operator="equal">
      <formula>"Towel"</formula>
    </cfRule>
    <cfRule type="cellIs" dxfId="12202" priority="10223" stopIfTrue="1" operator="equal">
      <formula>"Napkin Hs"</formula>
    </cfRule>
    <cfRule type="cellIs" dxfId="12201" priority="10226" stopIfTrue="1" operator="equal">
      <formula>"Towel"</formula>
    </cfRule>
    <cfRule type="cellIs" dxfId="12200" priority="10227" stopIfTrue="1" operator="equal">
      <formula>"Napkin Hs"</formula>
    </cfRule>
  </conditionalFormatting>
  <conditionalFormatting sqref="C87:C88">
    <cfRule type="cellIs" dxfId="12199" priority="5758" stopIfTrue="1" operator="equal">
      <formula>"Towel"</formula>
    </cfRule>
    <cfRule type="cellIs" dxfId="12198" priority="5759" stopIfTrue="1" operator="equal">
      <formula>"Napkin Hs"</formula>
    </cfRule>
    <cfRule type="cellIs" dxfId="12197" priority="10228" stopIfTrue="1" operator="equal">
      <formula>"Towel"</formula>
    </cfRule>
    <cfRule type="cellIs" dxfId="12196" priority="10229" stopIfTrue="1" operator="equal">
      <formula>"Napkin Hs"</formula>
    </cfRule>
  </conditionalFormatting>
  <conditionalFormatting sqref="C88">
    <cfRule type="cellIs" dxfId="12195" priority="10234" stopIfTrue="1" operator="equal">
      <formula>"Towel"</formula>
    </cfRule>
    <cfRule type="cellIs" dxfId="12194" priority="10235" stopIfTrue="1" operator="equal">
      <formula>"Napkin Hs"</formula>
    </cfRule>
  </conditionalFormatting>
  <conditionalFormatting sqref="C88:C89">
    <cfRule type="cellIs" dxfId="12193" priority="5138" stopIfTrue="1" operator="equal">
      <formula>"Towel"</formula>
    </cfRule>
    <cfRule type="cellIs" dxfId="12192" priority="5139" stopIfTrue="1" operator="equal">
      <formula>"Napkin Hs"</formula>
    </cfRule>
  </conditionalFormatting>
  <conditionalFormatting sqref="C89">
    <cfRule type="cellIs" dxfId="12191" priority="5060" stopIfTrue="1" operator="equal">
      <formula>"Towel"</formula>
    </cfRule>
    <cfRule type="cellIs" dxfId="12190" priority="5061" stopIfTrue="1" operator="equal">
      <formula>"Napkin Hs"</formula>
    </cfRule>
    <cfRule type="cellIs" dxfId="12189" priority="5064" stopIfTrue="1" operator="equal">
      <formula>"Towel"</formula>
    </cfRule>
    <cfRule type="cellIs" dxfId="12188" priority="5065" stopIfTrue="1" operator="equal">
      <formula>"Napkin Hs"</formula>
    </cfRule>
    <cfRule type="cellIs" dxfId="12187" priority="5066" stopIfTrue="1" operator="equal">
      <formula>"Towel"</formula>
    </cfRule>
    <cfRule type="cellIs" dxfId="12186" priority="5067" stopIfTrue="1" operator="equal">
      <formula>"Napkin Hs"</formula>
    </cfRule>
    <cfRule type="cellIs" dxfId="12185" priority="5070" stopIfTrue="1" operator="equal">
      <formula>"Towel"</formula>
    </cfRule>
    <cfRule type="cellIs" dxfId="12184" priority="5071" stopIfTrue="1" operator="equal">
      <formula>"Napkin Hs"</formula>
    </cfRule>
    <cfRule type="cellIs" dxfId="12183" priority="5072" stopIfTrue="1" operator="equal">
      <formula>"Towel"</formula>
    </cfRule>
    <cfRule type="cellIs" dxfId="12182" priority="5073" stopIfTrue="1" operator="equal">
      <formula>"Napkin Hs"</formula>
    </cfRule>
    <cfRule type="cellIs" dxfId="12181" priority="5076" stopIfTrue="1" operator="equal">
      <formula>"Towel"</formula>
    </cfRule>
    <cfRule type="cellIs" dxfId="12180" priority="5077" stopIfTrue="1" operator="equal">
      <formula>"Napkin Hs"</formula>
    </cfRule>
    <cfRule type="cellIs" dxfId="12179" priority="5078" stopIfTrue="1" operator="equal">
      <formula>"Towel"</formula>
    </cfRule>
    <cfRule type="cellIs" dxfId="12178" priority="5079" stopIfTrue="1" operator="equal">
      <formula>"Napkin Hs"</formula>
    </cfRule>
    <cfRule type="cellIs" dxfId="12177" priority="5082" stopIfTrue="1" operator="equal">
      <formula>"Towel"</formula>
    </cfRule>
    <cfRule type="cellIs" dxfId="12176" priority="5083" stopIfTrue="1" operator="equal">
      <formula>"Napkin Hs"</formula>
    </cfRule>
    <cfRule type="cellIs" dxfId="12175" priority="5084" stopIfTrue="1" operator="equal">
      <formula>"Towel"</formula>
    </cfRule>
    <cfRule type="cellIs" dxfId="12174" priority="5085" stopIfTrue="1" operator="equal">
      <formula>"Napkin Hs"</formula>
    </cfRule>
    <cfRule type="cellIs" dxfId="12173" priority="5088" stopIfTrue="1" operator="equal">
      <formula>"Towel"</formula>
    </cfRule>
    <cfRule type="cellIs" dxfId="12172" priority="5089" stopIfTrue="1" operator="equal">
      <formula>"Napkin Hs"</formula>
    </cfRule>
    <cfRule type="cellIs" dxfId="12171" priority="5090" stopIfTrue="1" operator="equal">
      <formula>"Towel"</formula>
    </cfRule>
    <cfRule type="cellIs" dxfId="12170" priority="5091" stopIfTrue="1" operator="equal">
      <formula>"Napkin Hs"</formula>
    </cfRule>
    <cfRule type="cellIs" dxfId="12169" priority="5094" stopIfTrue="1" operator="equal">
      <formula>"Towel"</formula>
    </cfRule>
    <cfRule type="cellIs" dxfId="12168" priority="5095" stopIfTrue="1" operator="equal">
      <formula>"Napkin Hs"</formula>
    </cfRule>
    <cfRule type="cellIs" dxfId="12167" priority="5098" stopIfTrue="1" operator="equal">
      <formula>"Towel"</formula>
    </cfRule>
    <cfRule type="cellIs" dxfId="12166" priority="5099" stopIfTrue="1" operator="equal">
      <formula>"Napkin Hs"</formula>
    </cfRule>
    <cfRule type="cellIs" dxfId="12165" priority="5100" stopIfTrue="1" operator="equal">
      <formula>"Towel"</formula>
    </cfRule>
    <cfRule type="cellIs" dxfId="12164" priority="5101" stopIfTrue="1" operator="equal">
      <formula>"Napkin Hs"</formula>
    </cfRule>
    <cfRule type="cellIs" dxfId="12163" priority="5104" stopIfTrue="1" operator="equal">
      <formula>"Towel"</formula>
    </cfRule>
    <cfRule type="cellIs" dxfId="12162" priority="5105" stopIfTrue="1" operator="equal">
      <formula>"Napkin Hs"</formula>
    </cfRule>
    <cfRule type="cellIs" dxfId="12161" priority="5106" stopIfTrue="1" operator="equal">
      <formula>"Towel"</formula>
    </cfRule>
    <cfRule type="cellIs" dxfId="12160" priority="5107" stopIfTrue="1" operator="equal">
      <formula>"Napkin Hs"</formula>
    </cfRule>
    <cfRule type="cellIs" dxfId="12159" priority="5110" stopIfTrue="1" operator="equal">
      <formula>"Towel"</formula>
    </cfRule>
    <cfRule type="cellIs" dxfId="12158" priority="5111" stopIfTrue="1" operator="equal">
      <formula>"Napkin Hs"</formula>
    </cfRule>
    <cfRule type="cellIs" dxfId="12157" priority="5112" stopIfTrue="1" operator="equal">
      <formula>"Towel"</formula>
    </cfRule>
    <cfRule type="cellIs" dxfId="12156" priority="5113" stopIfTrue="1" operator="equal">
      <formula>"Napkin Hs"</formula>
    </cfRule>
    <cfRule type="cellIs" dxfId="12155" priority="5116" stopIfTrue="1" operator="equal">
      <formula>"Towel"</formula>
    </cfRule>
    <cfRule type="cellIs" dxfId="12154" priority="5117" stopIfTrue="1" operator="equal">
      <formula>"Napkin Hs"</formula>
    </cfRule>
    <cfRule type="cellIs" dxfId="12153" priority="5118" stopIfTrue="1" operator="equal">
      <formula>"Towel"</formula>
    </cfRule>
    <cfRule type="cellIs" dxfId="12152" priority="5119" stopIfTrue="1" operator="equal">
      <formula>"Napkin Hs"</formula>
    </cfRule>
    <cfRule type="cellIs" dxfId="12151" priority="5122" stopIfTrue="1" operator="equal">
      <formula>"Towel"</formula>
    </cfRule>
    <cfRule type="cellIs" dxfId="12150" priority="5123" stopIfTrue="1" operator="equal">
      <formula>"Napkin Hs"</formula>
    </cfRule>
    <cfRule type="cellIs" dxfId="12149" priority="5124" stopIfTrue="1" operator="equal">
      <formula>"Towel"</formula>
    </cfRule>
    <cfRule type="cellIs" dxfId="12148" priority="5125" stopIfTrue="1" operator="equal">
      <formula>"Napkin Hs"</formula>
    </cfRule>
    <cfRule type="cellIs" dxfId="12147" priority="5128" stopIfTrue="1" operator="equal">
      <formula>"Towel"</formula>
    </cfRule>
    <cfRule type="cellIs" dxfId="12146" priority="5129" stopIfTrue="1" operator="equal">
      <formula>"Napkin Hs"</formula>
    </cfRule>
    <cfRule type="cellIs" dxfId="12145" priority="5130" stopIfTrue="1" operator="equal">
      <formula>"Towel"</formula>
    </cfRule>
    <cfRule type="cellIs" dxfId="12144" priority="5131" stopIfTrue="1" operator="equal">
      <formula>"Napkin Hs"</formula>
    </cfRule>
    <cfRule type="cellIs" dxfId="12143" priority="5134" stopIfTrue="1" operator="equal">
      <formula>"Towel"</formula>
    </cfRule>
    <cfRule type="cellIs" dxfId="12142" priority="5135" stopIfTrue="1" operator="equal">
      <formula>"Napkin Hs"</formula>
    </cfRule>
  </conditionalFormatting>
  <conditionalFormatting sqref="C89:C90">
    <cfRule type="cellIs" dxfId="12141" priority="5054" stopIfTrue="1" operator="equal">
      <formula>"Towel"</formula>
    </cfRule>
    <cfRule type="cellIs" dxfId="12140" priority="5055" stopIfTrue="1" operator="equal">
      <formula>"Napkin Hs"</formula>
    </cfRule>
  </conditionalFormatting>
  <conditionalFormatting sqref="C90">
    <cfRule type="cellIs" dxfId="12139" priority="4974" stopIfTrue="1" operator="equal">
      <formula>"Towel"</formula>
    </cfRule>
    <cfRule type="cellIs" dxfId="12138" priority="4975" stopIfTrue="1" operator="equal">
      <formula>"Napkin Hs"</formula>
    </cfRule>
    <cfRule type="cellIs" dxfId="12137" priority="4976" stopIfTrue="1" operator="equal">
      <formula>"Towel"</formula>
    </cfRule>
    <cfRule type="cellIs" dxfId="12136" priority="4977" stopIfTrue="1" operator="equal">
      <formula>"Napkin Hs"</formula>
    </cfRule>
    <cfRule type="cellIs" dxfId="12135" priority="4980" stopIfTrue="1" operator="equal">
      <formula>"Towel"</formula>
    </cfRule>
    <cfRule type="cellIs" dxfId="12134" priority="4981" stopIfTrue="1" operator="equal">
      <formula>"Napkin Hs"</formula>
    </cfRule>
    <cfRule type="cellIs" dxfId="12133" priority="4982" stopIfTrue="1" operator="equal">
      <formula>"Towel"</formula>
    </cfRule>
    <cfRule type="cellIs" dxfId="12132" priority="4983" stopIfTrue="1" operator="equal">
      <formula>"Napkin Hs"</formula>
    </cfRule>
    <cfRule type="cellIs" dxfId="12131" priority="4986" stopIfTrue="1" operator="equal">
      <formula>"Towel"</formula>
    </cfRule>
    <cfRule type="cellIs" dxfId="12130" priority="4987" stopIfTrue="1" operator="equal">
      <formula>"Napkin Hs"</formula>
    </cfRule>
    <cfRule type="cellIs" dxfId="12129" priority="4988" stopIfTrue="1" operator="equal">
      <formula>"Towel"</formula>
    </cfRule>
    <cfRule type="cellIs" dxfId="12128" priority="4989" stopIfTrue="1" operator="equal">
      <formula>"Napkin Hs"</formula>
    </cfRule>
    <cfRule type="cellIs" dxfId="12127" priority="4992" stopIfTrue="1" operator="equal">
      <formula>"Towel"</formula>
    </cfRule>
    <cfRule type="cellIs" dxfId="12126" priority="4993" stopIfTrue="1" operator="equal">
      <formula>"Napkin Hs"</formula>
    </cfRule>
    <cfRule type="cellIs" dxfId="12125" priority="4994" stopIfTrue="1" operator="equal">
      <formula>"Towel"</formula>
    </cfRule>
    <cfRule type="cellIs" dxfId="12124" priority="4995" stopIfTrue="1" operator="equal">
      <formula>"Napkin Hs"</formula>
    </cfRule>
    <cfRule type="cellIs" dxfId="12123" priority="4998" stopIfTrue="1" operator="equal">
      <formula>"Towel"</formula>
    </cfRule>
    <cfRule type="cellIs" dxfId="12122" priority="4999" stopIfTrue="1" operator="equal">
      <formula>"Napkin Hs"</formula>
    </cfRule>
    <cfRule type="cellIs" dxfId="12121" priority="5000" stopIfTrue="1" operator="equal">
      <formula>"Towel"</formula>
    </cfRule>
    <cfRule type="cellIs" dxfId="12120" priority="5001" stopIfTrue="1" operator="equal">
      <formula>"Napkin Hs"</formula>
    </cfRule>
    <cfRule type="cellIs" dxfId="12119" priority="5004" stopIfTrue="1" operator="equal">
      <formula>"Towel"</formula>
    </cfRule>
    <cfRule type="cellIs" dxfId="12118" priority="5005" stopIfTrue="1" operator="equal">
      <formula>"Napkin Hs"</formula>
    </cfRule>
    <cfRule type="cellIs" dxfId="12117" priority="5006" stopIfTrue="1" operator="equal">
      <formula>"Towel"</formula>
    </cfRule>
    <cfRule type="cellIs" dxfId="12116" priority="5007" stopIfTrue="1" operator="equal">
      <formula>"Napkin Hs"</formula>
    </cfRule>
    <cfRule type="cellIs" dxfId="12115" priority="5010" stopIfTrue="1" operator="equal">
      <formula>"Towel"</formula>
    </cfRule>
    <cfRule type="cellIs" dxfId="12114" priority="5011" stopIfTrue="1" operator="equal">
      <formula>"Napkin Hs"</formula>
    </cfRule>
    <cfRule type="cellIs" dxfId="12113" priority="5014" stopIfTrue="1" operator="equal">
      <formula>"Towel"</formula>
    </cfRule>
    <cfRule type="cellIs" dxfId="12112" priority="5015" stopIfTrue="1" operator="equal">
      <formula>"Napkin Hs"</formula>
    </cfRule>
    <cfRule type="cellIs" dxfId="12111" priority="5016" stopIfTrue="1" operator="equal">
      <formula>"Towel"</formula>
    </cfRule>
    <cfRule type="cellIs" dxfId="12110" priority="5017" stopIfTrue="1" operator="equal">
      <formula>"Napkin Hs"</formula>
    </cfRule>
    <cfRule type="cellIs" dxfId="12109" priority="5018" stopIfTrue="1" operator="equal">
      <formula>"Towel"</formula>
    </cfRule>
    <cfRule type="cellIs" dxfId="12108" priority="5019" stopIfTrue="1" operator="equal">
      <formula>"Napkin Hs"</formula>
    </cfRule>
    <cfRule type="cellIs" dxfId="12107" priority="5022" stopIfTrue="1" operator="equal">
      <formula>"Towel"</formula>
    </cfRule>
    <cfRule type="cellIs" dxfId="12106" priority="5023" stopIfTrue="1" operator="equal">
      <formula>"Napkin Hs"</formula>
    </cfRule>
    <cfRule type="cellIs" dxfId="12105" priority="5024" stopIfTrue="1" operator="equal">
      <formula>"Towel"</formula>
    </cfRule>
    <cfRule type="cellIs" dxfId="12104" priority="5025" stopIfTrue="1" operator="equal">
      <formula>"Napkin Hs"</formula>
    </cfRule>
    <cfRule type="cellIs" dxfId="12103" priority="5028" stopIfTrue="1" operator="equal">
      <formula>"Towel"</formula>
    </cfRule>
    <cfRule type="cellIs" dxfId="12102" priority="5029" stopIfTrue="1" operator="equal">
      <formula>"Napkin Hs"</formula>
    </cfRule>
    <cfRule type="cellIs" dxfId="12101" priority="5030" stopIfTrue="1" operator="equal">
      <formula>"Towel"</formula>
    </cfRule>
    <cfRule type="cellIs" dxfId="12100" priority="5031" stopIfTrue="1" operator="equal">
      <formula>"Napkin Hs"</formula>
    </cfRule>
    <cfRule type="cellIs" dxfId="12099" priority="5034" stopIfTrue="1" operator="equal">
      <formula>"Towel"</formula>
    </cfRule>
    <cfRule type="cellIs" dxfId="12098" priority="5035" stopIfTrue="1" operator="equal">
      <formula>"Napkin Hs"</formula>
    </cfRule>
    <cfRule type="cellIs" dxfId="12097" priority="5036" stopIfTrue="1" operator="equal">
      <formula>"Towel"</formula>
    </cfRule>
    <cfRule type="cellIs" dxfId="12096" priority="5037" stopIfTrue="1" operator="equal">
      <formula>"Napkin Hs"</formula>
    </cfRule>
    <cfRule type="cellIs" dxfId="12095" priority="5040" stopIfTrue="1" operator="equal">
      <formula>"Towel"</formula>
    </cfRule>
    <cfRule type="cellIs" dxfId="12094" priority="5041" stopIfTrue="1" operator="equal">
      <formula>"Napkin Hs"</formula>
    </cfRule>
    <cfRule type="cellIs" dxfId="12093" priority="5042" stopIfTrue="1" operator="equal">
      <formula>"Towel"</formula>
    </cfRule>
    <cfRule type="cellIs" dxfId="12092" priority="5043" stopIfTrue="1" operator="equal">
      <formula>"Napkin Hs"</formula>
    </cfRule>
    <cfRule type="cellIs" dxfId="12091" priority="5046" stopIfTrue="1" operator="equal">
      <formula>"Towel"</formula>
    </cfRule>
    <cfRule type="cellIs" dxfId="12090" priority="5047" stopIfTrue="1" operator="equal">
      <formula>"Napkin Hs"</formula>
    </cfRule>
    <cfRule type="cellIs" dxfId="12089" priority="5048" stopIfTrue="1" operator="equal">
      <formula>"Towel"</formula>
    </cfRule>
    <cfRule type="cellIs" dxfId="12088" priority="5049" stopIfTrue="1" operator="equal">
      <formula>"Napkin Hs"</formula>
    </cfRule>
    <cfRule type="cellIs" dxfId="12087" priority="5052" stopIfTrue="1" operator="equal">
      <formula>"Towel"</formula>
    </cfRule>
    <cfRule type="cellIs" dxfId="12086" priority="5053" stopIfTrue="1" operator="equal">
      <formula>"Napkin Hs"</formula>
    </cfRule>
  </conditionalFormatting>
  <conditionalFormatting sqref="C91">
    <cfRule type="cellIs" dxfId="12085" priority="5358" stopIfTrue="1" operator="equal">
      <formula>"Towel"</formula>
    </cfRule>
    <cfRule type="cellIs" dxfId="12084" priority="5359" stopIfTrue="1" operator="equal">
      <formula>"Napkin Hs"</formula>
    </cfRule>
    <cfRule type="cellIs" dxfId="12083" priority="5360" stopIfTrue="1" operator="equal">
      <formula>"Towel"</formula>
    </cfRule>
    <cfRule type="cellIs" dxfId="12082" priority="5361" stopIfTrue="1" operator="equal">
      <formula>"Napkin Hs"</formula>
    </cfRule>
    <cfRule type="cellIs" dxfId="12081" priority="5364" stopIfTrue="1" operator="equal">
      <formula>"Towel"</formula>
    </cfRule>
    <cfRule type="cellIs" dxfId="12080" priority="5365" stopIfTrue="1" operator="equal">
      <formula>"Napkin Hs"</formula>
    </cfRule>
    <cfRule type="cellIs" dxfId="12079" priority="5366" stopIfTrue="1" operator="equal">
      <formula>"Towel"</formula>
    </cfRule>
    <cfRule type="cellIs" dxfId="12078" priority="5367" stopIfTrue="1" operator="equal">
      <formula>"Napkin Hs"</formula>
    </cfRule>
    <cfRule type="cellIs" dxfId="12077" priority="5370" stopIfTrue="1" operator="equal">
      <formula>"Towel"</formula>
    </cfRule>
    <cfRule type="cellIs" dxfId="12076" priority="5371" stopIfTrue="1" operator="equal">
      <formula>"Napkin Hs"</formula>
    </cfRule>
    <cfRule type="cellIs" dxfId="12075" priority="5372" stopIfTrue="1" operator="equal">
      <formula>"Towel"</formula>
    </cfRule>
    <cfRule type="cellIs" dxfId="12074" priority="5373" stopIfTrue="1" operator="equal">
      <formula>"Napkin Hs"</formula>
    </cfRule>
    <cfRule type="cellIs" dxfId="12073" priority="5376" stopIfTrue="1" operator="equal">
      <formula>"Towel"</formula>
    </cfRule>
    <cfRule type="cellIs" dxfId="12072" priority="5377" stopIfTrue="1" operator="equal">
      <formula>"Napkin Hs"</formula>
    </cfRule>
    <cfRule type="cellIs" dxfId="12071" priority="5378" stopIfTrue="1" operator="equal">
      <formula>"Towel"</formula>
    </cfRule>
    <cfRule type="cellIs" dxfId="12070" priority="5379" stopIfTrue="1" operator="equal">
      <formula>"Napkin Hs"</formula>
    </cfRule>
    <cfRule type="cellIs" dxfId="12069" priority="5382" stopIfTrue="1" operator="equal">
      <formula>"Towel"</formula>
    </cfRule>
    <cfRule type="cellIs" dxfId="12068" priority="5383" stopIfTrue="1" operator="equal">
      <formula>"Napkin Hs"</formula>
    </cfRule>
    <cfRule type="cellIs" dxfId="12067" priority="5384" stopIfTrue="1" operator="equal">
      <formula>"Towel"</formula>
    </cfRule>
    <cfRule type="cellIs" dxfId="12066" priority="5385" stopIfTrue="1" operator="equal">
      <formula>"Napkin Hs"</formula>
    </cfRule>
    <cfRule type="cellIs" dxfId="12065" priority="5388" stopIfTrue="1" operator="equal">
      <formula>"Towel"</formula>
    </cfRule>
    <cfRule type="cellIs" dxfId="12064" priority="5389" stopIfTrue="1" operator="equal">
      <formula>"Napkin Hs"</formula>
    </cfRule>
    <cfRule type="cellIs" dxfId="12063" priority="5390" stopIfTrue="1" operator="equal">
      <formula>"Towel"</formula>
    </cfRule>
    <cfRule type="cellIs" dxfId="12062" priority="5391" stopIfTrue="1" operator="equal">
      <formula>"Napkin Hs"</formula>
    </cfRule>
    <cfRule type="cellIs" dxfId="12061" priority="5394" stopIfTrue="1" operator="equal">
      <formula>"Towel"</formula>
    </cfRule>
    <cfRule type="cellIs" dxfId="12060" priority="5395" stopIfTrue="1" operator="equal">
      <formula>"Napkin Hs"</formula>
    </cfRule>
    <cfRule type="cellIs" dxfId="12059" priority="5396" stopIfTrue="1" operator="equal">
      <formula>"Towel"</formula>
    </cfRule>
    <cfRule type="cellIs" dxfId="12058" priority="5397" stopIfTrue="1" operator="equal">
      <formula>"Napkin Hs"</formula>
    </cfRule>
    <cfRule type="cellIs" dxfId="12057" priority="5400" stopIfTrue="1" operator="equal">
      <formula>"Towel"</formula>
    </cfRule>
    <cfRule type="cellIs" dxfId="12056" priority="5401" stopIfTrue="1" operator="equal">
      <formula>"Napkin Hs"</formula>
    </cfRule>
  </conditionalFormatting>
  <conditionalFormatting sqref="C91:C92">
    <cfRule type="cellIs" dxfId="12055" priority="5300" stopIfTrue="1" operator="equal">
      <formula>"Towel"</formula>
    </cfRule>
    <cfRule type="cellIs" dxfId="12054" priority="5301" stopIfTrue="1" operator="equal">
      <formula>"Napkin Hs"</formula>
    </cfRule>
    <cfRule type="cellIs" dxfId="12053" priority="5302" stopIfTrue="1" operator="equal">
      <formula>"Towel"</formula>
    </cfRule>
    <cfRule type="cellIs" dxfId="12052" priority="5303" stopIfTrue="1" operator="equal">
      <formula>"Napkin Hs"</formula>
    </cfRule>
    <cfRule type="cellIs" dxfId="12051" priority="5304" stopIfTrue="1" operator="equal">
      <formula>"Towel"</formula>
    </cfRule>
    <cfRule type="cellIs" dxfId="12050" priority="5305" stopIfTrue="1" operator="equal">
      <formula>"Napkin Hs"</formula>
    </cfRule>
    <cfRule type="cellIs" dxfId="12049" priority="5306" stopIfTrue="1" operator="equal">
      <formula>"Towel"</formula>
    </cfRule>
    <cfRule type="cellIs" dxfId="12048" priority="5307" stopIfTrue="1" operator="equal">
      <formula>"Napkin Hs"</formula>
    </cfRule>
    <cfRule type="cellIs" dxfId="12047" priority="5308" stopIfTrue="1" operator="equal">
      <formula>"Towel"</formula>
    </cfRule>
    <cfRule type="cellIs" dxfId="12046" priority="5309" stopIfTrue="1" operator="equal">
      <formula>"Napkin Hs"</formula>
    </cfRule>
    <cfRule type="cellIs" dxfId="12045" priority="5310" stopIfTrue="1" operator="equal">
      <formula>"Towel"</formula>
    </cfRule>
    <cfRule type="cellIs" dxfId="12044" priority="5311" stopIfTrue="1" operator="equal">
      <formula>"Napkin Hs"</formula>
    </cfRule>
    <cfRule type="cellIs" dxfId="12043" priority="5312" stopIfTrue="1" operator="equal">
      <formula>"Towel"</formula>
    </cfRule>
    <cfRule type="cellIs" dxfId="12042" priority="5313" stopIfTrue="1" operator="equal">
      <formula>"Napkin Hs"</formula>
    </cfRule>
    <cfRule type="cellIs" dxfId="12041" priority="5316" stopIfTrue="1" operator="equal">
      <formula>"Towel"</formula>
    </cfRule>
    <cfRule type="cellIs" dxfId="12040" priority="5317" stopIfTrue="1" operator="equal">
      <formula>"Napkin Hs"</formula>
    </cfRule>
    <cfRule type="cellIs" dxfId="12039" priority="5318" stopIfTrue="1" operator="equal">
      <formula>"Towel"</formula>
    </cfRule>
    <cfRule type="cellIs" dxfId="12038" priority="5319" stopIfTrue="1" operator="equal">
      <formula>"Napkin Hs"</formula>
    </cfRule>
    <cfRule type="cellIs" dxfId="12037" priority="5322" stopIfTrue="1" operator="equal">
      <formula>"Towel"</formula>
    </cfRule>
    <cfRule type="cellIs" dxfId="12036" priority="5323" stopIfTrue="1" operator="equal">
      <formula>"Napkin Hs"</formula>
    </cfRule>
    <cfRule type="cellIs" dxfId="12035" priority="5324" stopIfTrue="1" operator="equal">
      <formula>"Towel"</formula>
    </cfRule>
    <cfRule type="cellIs" dxfId="12034" priority="5325" stopIfTrue="1" operator="equal">
      <formula>"Napkin Hs"</formula>
    </cfRule>
    <cfRule type="cellIs" dxfId="12033" priority="5328" stopIfTrue="1" operator="equal">
      <formula>"Towel"</formula>
    </cfRule>
    <cfRule type="cellIs" dxfId="12032" priority="5329" stopIfTrue="1" operator="equal">
      <formula>"Napkin Hs"</formula>
    </cfRule>
    <cfRule type="cellIs" dxfId="12031" priority="5330" stopIfTrue="1" operator="equal">
      <formula>"Towel"</formula>
    </cfRule>
    <cfRule type="cellIs" dxfId="12030" priority="5331" stopIfTrue="1" operator="equal">
      <formula>"Napkin Hs"</formula>
    </cfRule>
    <cfRule type="cellIs" dxfId="12029" priority="5334" stopIfTrue="1" operator="equal">
      <formula>"Towel"</formula>
    </cfRule>
    <cfRule type="cellIs" dxfId="12028" priority="5335" stopIfTrue="1" operator="equal">
      <formula>"Napkin Hs"</formula>
    </cfRule>
    <cfRule type="cellIs" dxfId="12027" priority="5336" stopIfTrue="1" operator="equal">
      <formula>"Towel"</formula>
    </cfRule>
    <cfRule type="cellIs" dxfId="12026" priority="5337" stopIfTrue="1" operator="equal">
      <formula>"Napkin Hs"</formula>
    </cfRule>
    <cfRule type="cellIs" dxfId="12025" priority="5340" stopIfTrue="1" operator="equal">
      <formula>"Towel"</formula>
    </cfRule>
    <cfRule type="cellIs" dxfId="12024" priority="5341" stopIfTrue="1" operator="equal">
      <formula>"Napkin Hs"</formula>
    </cfRule>
    <cfRule type="cellIs" dxfId="12023" priority="5342" stopIfTrue="1" operator="equal">
      <formula>"Towel"</formula>
    </cfRule>
    <cfRule type="cellIs" dxfId="12022" priority="5343" stopIfTrue="1" operator="equal">
      <formula>"Napkin Hs"</formula>
    </cfRule>
    <cfRule type="cellIs" dxfId="12021" priority="5346" stopIfTrue="1" operator="equal">
      <formula>"Towel"</formula>
    </cfRule>
    <cfRule type="cellIs" dxfId="12020" priority="5347" stopIfTrue="1" operator="equal">
      <formula>"Napkin Hs"</formula>
    </cfRule>
    <cfRule type="cellIs" dxfId="12019" priority="5402" stopIfTrue="1" operator="equal">
      <formula>"Towel"</formula>
    </cfRule>
    <cfRule type="cellIs" dxfId="12018" priority="5403" stopIfTrue="1" operator="equal">
      <formula>"Napkin Hs"</formula>
    </cfRule>
  </conditionalFormatting>
  <conditionalFormatting sqref="C91:C93">
    <cfRule type="cellIs" dxfId="12017" priority="5348" stopIfTrue="1" operator="equal">
      <formula>"Towel"</formula>
    </cfRule>
    <cfRule type="cellIs" dxfId="12016" priority="5349" stopIfTrue="1" operator="equal">
      <formula>"Napkin Hs"</formula>
    </cfRule>
  </conditionalFormatting>
  <conditionalFormatting sqref="C92">
    <cfRule type="cellIs" dxfId="12015" priority="5408" stopIfTrue="1" operator="equal">
      <formula>"Towel"</formula>
    </cfRule>
    <cfRule type="cellIs" dxfId="12014" priority="5409" stopIfTrue="1" operator="equal">
      <formula>"Napkin Hs"</formula>
    </cfRule>
    <cfRule type="cellIs" dxfId="12013" priority="5412" stopIfTrue="1" operator="equal">
      <formula>"Towel"</formula>
    </cfRule>
    <cfRule type="cellIs" dxfId="12012" priority="5413" stopIfTrue="1" operator="equal">
      <formula>"Napkin Hs"</formula>
    </cfRule>
    <cfRule type="cellIs" dxfId="12011" priority="5414" stopIfTrue="1" operator="equal">
      <formula>"Towel"</formula>
    </cfRule>
    <cfRule type="cellIs" dxfId="12010" priority="5415" stopIfTrue="1" operator="equal">
      <formula>"Napkin Hs"</formula>
    </cfRule>
    <cfRule type="cellIs" dxfId="12009" priority="5418" stopIfTrue="1" operator="equal">
      <formula>"Towel"</formula>
    </cfRule>
    <cfRule type="cellIs" dxfId="12008" priority="5419" stopIfTrue="1" operator="equal">
      <formula>"Napkin Hs"</formula>
    </cfRule>
    <cfRule type="cellIs" dxfId="12007" priority="5420" stopIfTrue="1" operator="equal">
      <formula>"Towel"</formula>
    </cfRule>
    <cfRule type="cellIs" dxfId="12006" priority="5421" stopIfTrue="1" operator="equal">
      <formula>"Napkin Hs"</formula>
    </cfRule>
    <cfRule type="cellIs" dxfId="12005" priority="5424" stopIfTrue="1" operator="equal">
      <formula>"Towel"</formula>
    </cfRule>
    <cfRule type="cellIs" dxfId="12004" priority="5425" stopIfTrue="1" operator="equal">
      <formula>"Napkin Hs"</formula>
    </cfRule>
    <cfRule type="cellIs" dxfId="12003" priority="5426" stopIfTrue="1" operator="equal">
      <formula>"Towel"</formula>
    </cfRule>
    <cfRule type="cellIs" dxfId="12002" priority="5427" stopIfTrue="1" operator="equal">
      <formula>"Napkin Hs"</formula>
    </cfRule>
    <cfRule type="cellIs" dxfId="12001" priority="5430" stopIfTrue="1" operator="equal">
      <formula>"Towel"</formula>
    </cfRule>
    <cfRule type="cellIs" dxfId="12000" priority="5431" stopIfTrue="1" operator="equal">
      <formula>"Napkin Hs"</formula>
    </cfRule>
    <cfRule type="cellIs" dxfId="11999" priority="5432" stopIfTrue="1" operator="equal">
      <formula>"Towel"</formula>
    </cfRule>
    <cfRule type="cellIs" dxfId="11998" priority="5433" stopIfTrue="1" operator="equal">
      <formula>"Napkin Hs"</formula>
    </cfRule>
    <cfRule type="cellIs" dxfId="11997" priority="5436" stopIfTrue="1" operator="equal">
      <formula>"Towel"</formula>
    </cfRule>
    <cfRule type="cellIs" dxfId="11996" priority="5437" stopIfTrue="1" operator="equal">
      <formula>"Napkin Hs"</formula>
    </cfRule>
    <cfRule type="cellIs" dxfId="11995" priority="5438" stopIfTrue="1" operator="equal">
      <formula>"Towel"</formula>
    </cfRule>
    <cfRule type="cellIs" dxfId="11994" priority="5439" stopIfTrue="1" operator="equal">
      <formula>"Napkin Hs"</formula>
    </cfRule>
    <cfRule type="cellIs" dxfId="11993" priority="5442" stopIfTrue="1" operator="equal">
      <formula>"Towel"</formula>
    </cfRule>
    <cfRule type="cellIs" dxfId="11992" priority="5443" stopIfTrue="1" operator="equal">
      <formula>"Napkin Hs"</formula>
    </cfRule>
    <cfRule type="cellIs" dxfId="11991" priority="5444" stopIfTrue="1" operator="equal">
      <formula>"Towel"</formula>
    </cfRule>
    <cfRule type="cellIs" dxfId="11990" priority="5445" stopIfTrue="1" operator="equal">
      <formula>"Napkin Hs"</formula>
    </cfRule>
    <cfRule type="cellIs" dxfId="11989" priority="5448" stopIfTrue="1" operator="equal">
      <formula>"Towel"</formula>
    </cfRule>
    <cfRule type="cellIs" dxfId="11988" priority="5449" stopIfTrue="1" operator="equal">
      <formula>"Napkin Hs"</formula>
    </cfRule>
  </conditionalFormatting>
  <conditionalFormatting sqref="C92:C93">
    <cfRule type="cellIs" dxfId="11987" priority="5450" stopIfTrue="1" operator="equal">
      <formula>"Towel"</formula>
    </cfRule>
    <cfRule type="cellIs" dxfId="11986" priority="5451" stopIfTrue="1" operator="equal">
      <formula>"Napkin Hs"</formula>
    </cfRule>
  </conditionalFormatting>
  <conditionalFormatting sqref="C93">
    <cfRule type="cellIs" dxfId="11985" priority="5354" stopIfTrue="1" operator="equal">
      <formula>"Towel"</formula>
    </cfRule>
    <cfRule type="cellIs" dxfId="11984" priority="5355" stopIfTrue="1" operator="equal">
      <formula>"Napkin Hs"</formula>
    </cfRule>
    <cfRule type="cellIs" dxfId="11983" priority="5456" stopIfTrue="1" operator="equal">
      <formula>"Towel"</formula>
    </cfRule>
    <cfRule type="cellIs" dxfId="11982" priority="5457" stopIfTrue="1" operator="equal">
      <formula>"Napkin Hs"</formula>
    </cfRule>
    <cfRule type="cellIs" dxfId="11981" priority="5460" stopIfTrue="1" operator="equal">
      <formula>"Towel"</formula>
    </cfRule>
    <cfRule type="cellIs" dxfId="11980" priority="5461" stopIfTrue="1" operator="equal">
      <formula>"Napkin Hs"</formula>
    </cfRule>
    <cfRule type="cellIs" dxfId="11979" priority="5462" stopIfTrue="1" operator="equal">
      <formula>"Towel"</formula>
    </cfRule>
    <cfRule type="cellIs" dxfId="11978" priority="5463" stopIfTrue="1" operator="equal">
      <formula>"Napkin Hs"</formula>
    </cfRule>
    <cfRule type="cellIs" dxfId="11977" priority="5466" stopIfTrue="1" operator="equal">
      <formula>"Towel"</formula>
    </cfRule>
    <cfRule type="cellIs" dxfId="11976" priority="5467" stopIfTrue="1" operator="equal">
      <formula>"Napkin Hs"</formula>
    </cfRule>
    <cfRule type="cellIs" dxfId="11975" priority="5468" stopIfTrue="1" operator="equal">
      <formula>"Towel"</formula>
    </cfRule>
    <cfRule type="cellIs" dxfId="11974" priority="5469" stopIfTrue="1" operator="equal">
      <formula>"Napkin Hs"</formula>
    </cfRule>
    <cfRule type="cellIs" dxfId="11973" priority="5472" stopIfTrue="1" operator="equal">
      <formula>"Towel"</formula>
    </cfRule>
    <cfRule type="cellIs" dxfId="11972" priority="5473" stopIfTrue="1" operator="equal">
      <formula>"Napkin Hs"</formula>
    </cfRule>
    <cfRule type="cellIs" dxfId="11971" priority="5474" stopIfTrue="1" operator="equal">
      <formula>"Towel"</formula>
    </cfRule>
    <cfRule type="cellIs" dxfId="11970" priority="5475" stopIfTrue="1" operator="equal">
      <formula>"Napkin Hs"</formula>
    </cfRule>
    <cfRule type="cellIs" dxfId="11969" priority="5478" stopIfTrue="1" operator="equal">
      <formula>"Towel"</formula>
    </cfRule>
    <cfRule type="cellIs" dxfId="11968" priority="5479" stopIfTrue="1" operator="equal">
      <formula>"Napkin Hs"</formula>
    </cfRule>
    <cfRule type="cellIs" dxfId="11967" priority="5480" stopIfTrue="1" operator="equal">
      <formula>"Towel"</formula>
    </cfRule>
    <cfRule type="cellIs" dxfId="11966" priority="5481" stopIfTrue="1" operator="equal">
      <formula>"Napkin Hs"</formula>
    </cfRule>
    <cfRule type="cellIs" dxfId="11965" priority="5484" stopIfTrue="1" operator="equal">
      <formula>"Towel"</formula>
    </cfRule>
    <cfRule type="cellIs" dxfId="11964" priority="5485" stopIfTrue="1" operator="equal">
      <formula>"Napkin Hs"</formula>
    </cfRule>
  </conditionalFormatting>
  <conditionalFormatting sqref="C93:C94">
    <cfRule type="cellIs" dxfId="11963" priority="5486" stopIfTrue="1" operator="equal">
      <formula>"Towel"</formula>
    </cfRule>
    <cfRule type="cellIs" dxfId="11962" priority="5487" stopIfTrue="1" operator="equal">
      <formula>"Napkin Hs"</formula>
    </cfRule>
  </conditionalFormatting>
  <conditionalFormatting sqref="C94">
    <cfRule type="cellIs" dxfId="11961" priority="9736" stopIfTrue="1" operator="equal">
      <formula>"Towel"</formula>
    </cfRule>
    <cfRule type="cellIs" dxfId="11960" priority="9737" stopIfTrue="1" operator="equal">
      <formula>"Napkin Hs"</formula>
    </cfRule>
    <cfRule type="cellIs" dxfId="11959" priority="9740" stopIfTrue="1" operator="equal">
      <formula>"Towel"</formula>
    </cfRule>
    <cfRule type="cellIs" dxfId="11958" priority="9741" stopIfTrue="1" operator="equal">
      <formula>"Napkin Hs"</formula>
    </cfRule>
    <cfRule type="cellIs" dxfId="11957" priority="9742" stopIfTrue="1" operator="equal">
      <formula>"Towel"</formula>
    </cfRule>
    <cfRule type="cellIs" dxfId="11956" priority="9743" stopIfTrue="1" operator="equal">
      <formula>"Napkin Hs"</formula>
    </cfRule>
    <cfRule type="cellIs" dxfId="11955" priority="9746" stopIfTrue="1" operator="equal">
      <formula>"Towel"</formula>
    </cfRule>
    <cfRule type="cellIs" dxfId="11954" priority="9747" stopIfTrue="1" operator="equal">
      <formula>"Napkin Hs"</formula>
    </cfRule>
    <cfRule type="cellIs" dxfId="11953" priority="9748" stopIfTrue="1" operator="equal">
      <formula>"Towel"</formula>
    </cfRule>
    <cfRule type="cellIs" dxfId="11952" priority="9749" stopIfTrue="1" operator="equal">
      <formula>"Napkin Hs"</formula>
    </cfRule>
    <cfRule type="cellIs" dxfId="11951" priority="9752" stopIfTrue="1" operator="equal">
      <formula>"Towel"</formula>
    </cfRule>
    <cfRule type="cellIs" dxfId="11950" priority="9753" stopIfTrue="1" operator="equal">
      <formula>"Napkin Hs"</formula>
    </cfRule>
    <cfRule type="cellIs" dxfId="11949" priority="9754" stopIfTrue="1" operator="equal">
      <formula>"Towel"</formula>
    </cfRule>
    <cfRule type="cellIs" dxfId="11948" priority="9755" stopIfTrue="1" operator="equal">
      <formula>"Napkin Hs"</formula>
    </cfRule>
    <cfRule type="cellIs" dxfId="11947" priority="9758" stopIfTrue="1" operator="equal">
      <formula>"Towel"</formula>
    </cfRule>
    <cfRule type="cellIs" dxfId="11946" priority="9759" stopIfTrue="1" operator="equal">
      <formula>"Napkin Hs"</formula>
    </cfRule>
    <cfRule type="cellIs" dxfId="11945" priority="9760" stopIfTrue="1" operator="equal">
      <formula>"Towel"</formula>
    </cfRule>
    <cfRule type="cellIs" dxfId="11944" priority="9761" stopIfTrue="1" operator="equal">
      <formula>"Napkin Hs"</formula>
    </cfRule>
    <cfRule type="cellIs" dxfId="11943" priority="9764" stopIfTrue="1" operator="equal">
      <formula>"Towel"</formula>
    </cfRule>
    <cfRule type="cellIs" dxfId="11942" priority="9765" stopIfTrue="1" operator="equal">
      <formula>"Napkin Hs"</formula>
    </cfRule>
    <cfRule type="cellIs" dxfId="11941" priority="9766" stopIfTrue="1" operator="equal">
      <formula>"Towel"</formula>
    </cfRule>
    <cfRule type="cellIs" dxfId="11940" priority="9767" stopIfTrue="1" operator="equal">
      <formula>"Napkin Hs"</formula>
    </cfRule>
    <cfRule type="cellIs" dxfId="11939" priority="9770" stopIfTrue="1" operator="equal">
      <formula>"Towel"</formula>
    </cfRule>
    <cfRule type="cellIs" dxfId="11938" priority="9771" stopIfTrue="1" operator="equal">
      <formula>"Napkin Hs"</formula>
    </cfRule>
    <cfRule type="cellIs" dxfId="11937" priority="9772" stopIfTrue="1" operator="equal">
      <formula>"Towel"</formula>
    </cfRule>
    <cfRule type="cellIs" dxfId="11936" priority="9773" stopIfTrue="1" operator="equal">
      <formula>"Napkin Hs"</formula>
    </cfRule>
    <cfRule type="cellIs" dxfId="11935" priority="9776" stopIfTrue="1" operator="equal">
      <formula>"Towel"</formula>
    </cfRule>
    <cfRule type="cellIs" dxfId="11934" priority="9777" stopIfTrue="1" operator="equal">
      <formula>"Napkin Hs"</formula>
    </cfRule>
  </conditionalFormatting>
  <conditionalFormatting sqref="C94:C95">
    <cfRule type="cellIs" dxfId="11933" priority="9778" stopIfTrue="1" operator="equal">
      <formula>"Towel"</formula>
    </cfRule>
    <cfRule type="cellIs" dxfId="11932" priority="9779" stopIfTrue="1" operator="equal">
      <formula>"Napkin Hs"</formula>
    </cfRule>
  </conditionalFormatting>
  <conditionalFormatting sqref="C95">
    <cfRule type="cellIs" dxfId="11931" priority="9784" stopIfTrue="1" operator="equal">
      <formula>"Towel"</formula>
    </cfRule>
    <cfRule type="cellIs" dxfId="11930" priority="9785" stopIfTrue="1" operator="equal">
      <formula>"Napkin Hs"</formula>
    </cfRule>
    <cfRule type="cellIs" dxfId="11929" priority="9788" stopIfTrue="1" operator="equal">
      <formula>"Towel"</formula>
    </cfRule>
    <cfRule type="cellIs" dxfId="11928" priority="9789" stopIfTrue="1" operator="equal">
      <formula>"Napkin Hs"</formula>
    </cfRule>
    <cfRule type="cellIs" dxfId="11927" priority="9790" stopIfTrue="1" operator="equal">
      <formula>"Towel"</formula>
    </cfRule>
    <cfRule type="cellIs" dxfId="11926" priority="9791" stopIfTrue="1" operator="equal">
      <formula>"Napkin Hs"</formula>
    </cfRule>
    <cfRule type="cellIs" dxfId="11925" priority="9794" stopIfTrue="1" operator="equal">
      <formula>"Towel"</formula>
    </cfRule>
    <cfRule type="cellIs" dxfId="11924" priority="9795" stopIfTrue="1" operator="equal">
      <formula>"Napkin Hs"</formula>
    </cfRule>
    <cfRule type="cellIs" dxfId="11923" priority="9796" stopIfTrue="1" operator="equal">
      <formula>"Towel"</formula>
    </cfRule>
    <cfRule type="cellIs" dxfId="11922" priority="9797" stopIfTrue="1" operator="equal">
      <formula>"Napkin Hs"</formula>
    </cfRule>
    <cfRule type="cellIs" dxfId="11921" priority="9800" stopIfTrue="1" operator="equal">
      <formula>"Towel"</formula>
    </cfRule>
    <cfRule type="cellIs" dxfId="11920" priority="9801" stopIfTrue="1" operator="equal">
      <formula>"Napkin Hs"</formula>
    </cfRule>
    <cfRule type="cellIs" dxfId="11919" priority="9802" stopIfTrue="1" operator="equal">
      <formula>"Towel"</formula>
    </cfRule>
    <cfRule type="cellIs" dxfId="11918" priority="9803" stopIfTrue="1" operator="equal">
      <formula>"Napkin Hs"</formula>
    </cfRule>
    <cfRule type="cellIs" dxfId="11917" priority="9806" stopIfTrue="1" operator="equal">
      <formula>"Towel"</formula>
    </cfRule>
    <cfRule type="cellIs" dxfId="11916" priority="9807" stopIfTrue="1" operator="equal">
      <formula>"Napkin Hs"</formula>
    </cfRule>
    <cfRule type="cellIs" dxfId="11915" priority="9808" stopIfTrue="1" operator="equal">
      <formula>"Towel"</formula>
    </cfRule>
    <cfRule type="cellIs" dxfId="11914" priority="9809" stopIfTrue="1" operator="equal">
      <formula>"Napkin Hs"</formula>
    </cfRule>
    <cfRule type="cellIs" dxfId="11913" priority="9812" stopIfTrue="1" operator="equal">
      <formula>"Towel"</formula>
    </cfRule>
    <cfRule type="cellIs" dxfId="11912" priority="9813" stopIfTrue="1" operator="equal">
      <formula>"Napkin Hs"</formula>
    </cfRule>
    <cfRule type="cellIs" dxfId="11911" priority="9814" stopIfTrue="1" operator="equal">
      <formula>"Towel"</formula>
    </cfRule>
    <cfRule type="cellIs" dxfId="11910" priority="9815" stopIfTrue="1" operator="equal">
      <formula>"Napkin Hs"</formula>
    </cfRule>
    <cfRule type="cellIs" dxfId="11909" priority="9818" stopIfTrue="1" operator="equal">
      <formula>"Towel"</formula>
    </cfRule>
    <cfRule type="cellIs" dxfId="11908" priority="9819" stopIfTrue="1" operator="equal">
      <formula>"Napkin Hs"</formula>
    </cfRule>
    <cfRule type="cellIs" dxfId="11907" priority="9820" stopIfTrue="1" operator="equal">
      <formula>"Towel"</formula>
    </cfRule>
    <cfRule type="cellIs" dxfId="11906" priority="9821" stopIfTrue="1" operator="equal">
      <formula>"Napkin Hs"</formula>
    </cfRule>
    <cfRule type="cellIs" dxfId="11905" priority="9824" stopIfTrue="1" operator="equal">
      <formula>"Towel"</formula>
    </cfRule>
    <cfRule type="cellIs" dxfId="11904" priority="9825" stopIfTrue="1" operator="equal">
      <formula>"Napkin Hs"</formula>
    </cfRule>
    <cfRule type="cellIs" dxfId="11903" priority="9826" stopIfTrue="1" operator="equal">
      <formula>"Towel"</formula>
    </cfRule>
    <cfRule type="cellIs" dxfId="11902" priority="9827" stopIfTrue="1" operator="equal">
      <formula>"Napkin Hs"</formula>
    </cfRule>
  </conditionalFormatting>
  <conditionalFormatting sqref="C96">
    <cfRule type="cellIs" dxfId="11901" priority="4570" stopIfTrue="1" operator="equal">
      <formula>"Towel"</formula>
    </cfRule>
    <cfRule type="cellIs" dxfId="11900" priority="4571" stopIfTrue="1" operator="equal">
      <formula>"Napkin Hs"</formula>
    </cfRule>
    <cfRule type="cellIs" dxfId="11899" priority="4572" stopIfTrue="1" operator="equal">
      <formula>"Towel"</formula>
    </cfRule>
    <cfRule type="cellIs" dxfId="11898" priority="4573" stopIfTrue="1" operator="equal">
      <formula>"Napkin Hs"</formula>
    </cfRule>
    <cfRule type="cellIs" dxfId="11897" priority="4576" stopIfTrue="1" operator="equal">
      <formula>"Towel"</formula>
    </cfRule>
    <cfRule type="cellIs" dxfId="11896" priority="4577" stopIfTrue="1" operator="equal">
      <formula>"Napkin Hs"</formula>
    </cfRule>
    <cfRule type="cellIs" dxfId="11895" priority="4578" stopIfTrue="1" operator="equal">
      <formula>"Towel"</formula>
    </cfRule>
    <cfRule type="cellIs" dxfId="11894" priority="4579" stopIfTrue="1" operator="equal">
      <formula>"Napkin Hs"</formula>
    </cfRule>
    <cfRule type="cellIs" dxfId="11893" priority="4582" stopIfTrue="1" operator="equal">
      <formula>"Towel"</formula>
    </cfRule>
    <cfRule type="cellIs" dxfId="11892" priority="4583" stopIfTrue="1" operator="equal">
      <formula>"Napkin Hs"</formula>
    </cfRule>
    <cfRule type="cellIs" dxfId="11891" priority="4584" stopIfTrue="1" operator="equal">
      <formula>"Towel"</formula>
    </cfRule>
    <cfRule type="cellIs" dxfId="11890" priority="4585" stopIfTrue="1" operator="equal">
      <formula>"Napkin Hs"</formula>
    </cfRule>
    <cfRule type="cellIs" dxfId="11889" priority="4588" stopIfTrue="1" operator="equal">
      <formula>"Towel"</formula>
    </cfRule>
    <cfRule type="cellIs" dxfId="11888" priority="4589" stopIfTrue="1" operator="equal">
      <formula>"Napkin Hs"</formula>
    </cfRule>
    <cfRule type="cellIs" dxfId="11887" priority="4590" stopIfTrue="1" operator="equal">
      <formula>"Towel"</formula>
    </cfRule>
    <cfRule type="cellIs" dxfId="11886" priority="4591" stopIfTrue="1" operator="equal">
      <formula>"Napkin Hs"</formula>
    </cfRule>
    <cfRule type="cellIs" dxfId="11885" priority="4594" stopIfTrue="1" operator="equal">
      <formula>"Towel"</formula>
    </cfRule>
    <cfRule type="cellIs" dxfId="11884" priority="4595" stopIfTrue="1" operator="equal">
      <formula>"Napkin Hs"</formula>
    </cfRule>
    <cfRule type="cellIs" dxfId="11883" priority="4596" stopIfTrue="1" operator="equal">
      <formula>"Towel"</formula>
    </cfRule>
    <cfRule type="cellIs" dxfId="11882" priority="4597" stopIfTrue="1" operator="equal">
      <formula>"Napkin Hs"</formula>
    </cfRule>
    <cfRule type="cellIs" dxfId="11881" priority="4600" stopIfTrue="1" operator="equal">
      <formula>"Towel"</formula>
    </cfRule>
    <cfRule type="cellIs" dxfId="11880" priority="4601" stopIfTrue="1" operator="equal">
      <formula>"Napkin Hs"</formula>
    </cfRule>
    <cfRule type="cellIs" dxfId="11879" priority="4602" stopIfTrue="1" operator="equal">
      <formula>"Towel"</formula>
    </cfRule>
    <cfRule type="cellIs" dxfId="11878" priority="4603" stopIfTrue="1" operator="equal">
      <formula>"Napkin Hs"</formula>
    </cfRule>
    <cfRule type="cellIs" dxfId="11877" priority="4606" stopIfTrue="1" operator="equal">
      <formula>"Towel"</formula>
    </cfRule>
    <cfRule type="cellIs" dxfId="11876" priority="4607" stopIfTrue="1" operator="equal">
      <formula>"Napkin Hs"</formula>
    </cfRule>
    <cfRule type="cellIs" dxfId="11875" priority="4610" stopIfTrue="1" operator="equal">
      <formula>"Towel"</formula>
    </cfRule>
    <cfRule type="cellIs" dxfId="11874" priority="4611" stopIfTrue="1" operator="equal">
      <formula>"Napkin Hs"</formula>
    </cfRule>
    <cfRule type="cellIs" dxfId="11873" priority="4612" stopIfTrue="1" operator="equal">
      <formula>"Towel"</formula>
    </cfRule>
    <cfRule type="cellIs" dxfId="11872" priority="4613" stopIfTrue="1" operator="equal">
      <formula>"Napkin Hs"</formula>
    </cfRule>
    <cfRule type="cellIs" dxfId="11871" priority="4614" stopIfTrue="1" operator="equal">
      <formula>"Towel"</formula>
    </cfRule>
    <cfRule type="cellIs" dxfId="11870" priority="4615" stopIfTrue="1" operator="equal">
      <formula>"Napkin Hs"</formula>
    </cfRule>
    <cfRule type="cellIs" dxfId="11869" priority="4618" stopIfTrue="1" operator="equal">
      <formula>"Towel"</formula>
    </cfRule>
    <cfRule type="cellIs" dxfId="11868" priority="4619" stopIfTrue="1" operator="equal">
      <formula>"Napkin Hs"</formula>
    </cfRule>
    <cfRule type="cellIs" dxfId="11867" priority="4620" stopIfTrue="1" operator="equal">
      <formula>"Towel"</formula>
    </cfRule>
    <cfRule type="cellIs" dxfId="11866" priority="4621" stopIfTrue="1" operator="equal">
      <formula>"Napkin Hs"</formula>
    </cfRule>
    <cfRule type="cellIs" dxfId="11865" priority="4624" stopIfTrue="1" operator="equal">
      <formula>"Towel"</formula>
    </cfRule>
    <cfRule type="cellIs" dxfId="11864" priority="4625" stopIfTrue="1" operator="equal">
      <formula>"Napkin Hs"</formula>
    </cfRule>
    <cfRule type="cellIs" dxfId="11863" priority="4626" stopIfTrue="1" operator="equal">
      <formula>"Towel"</formula>
    </cfRule>
    <cfRule type="cellIs" dxfId="11862" priority="4627" stopIfTrue="1" operator="equal">
      <formula>"Napkin Hs"</formula>
    </cfRule>
    <cfRule type="cellIs" dxfId="11861" priority="4630" stopIfTrue="1" operator="equal">
      <formula>"Towel"</formula>
    </cfRule>
    <cfRule type="cellIs" dxfId="11860" priority="4631" stopIfTrue="1" operator="equal">
      <formula>"Napkin Hs"</formula>
    </cfRule>
    <cfRule type="cellIs" dxfId="11859" priority="4632" stopIfTrue="1" operator="equal">
      <formula>"Towel"</formula>
    </cfRule>
    <cfRule type="cellIs" dxfId="11858" priority="4633" stopIfTrue="1" operator="equal">
      <formula>"Napkin Hs"</formula>
    </cfRule>
    <cfRule type="cellIs" dxfId="11857" priority="4636" stopIfTrue="1" operator="equal">
      <formula>"Towel"</formula>
    </cfRule>
    <cfRule type="cellIs" dxfId="11856" priority="4637" stopIfTrue="1" operator="equal">
      <formula>"Napkin Hs"</formula>
    </cfRule>
    <cfRule type="cellIs" dxfId="11855" priority="4638" stopIfTrue="1" operator="equal">
      <formula>"Towel"</formula>
    </cfRule>
    <cfRule type="cellIs" dxfId="11854" priority="4639" stopIfTrue="1" operator="equal">
      <formula>"Napkin Hs"</formula>
    </cfRule>
    <cfRule type="cellIs" dxfId="11853" priority="4642" stopIfTrue="1" operator="equal">
      <formula>"Towel"</formula>
    </cfRule>
    <cfRule type="cellIs" dxfId="11852" priority="4643" stopIfTrue="1" operator="equal">
      <formula>"Napkin Hs"</formula>
    </cfRule>
    <cfRule type="cellIs" dxfId="11851" priority="4644" stopIfTrue="1" operator="equal">
      <formula>"Towel"</formula>
    </cfRule>
    <cfRule type="cellIs" dxfId="11850" priority="4645" stopIfTrue="1" operator="equal">
      <formula>"Napkin Hs"</formula>
    </cfRule>
    <cfRule type="cellIs" dxfId="11849" priority="4648" stopIfTrue="1" operator="equal">
      <formula>"Towel"</formula>
    </cfRule>
    <cfRule type="cellIs" dxfId="11848" priority="4649" stopIfTrue="1" operator="equal">
      <formula>"Napkin Hs"</formula>
    </cfRule>
  </conditionalFormatting>
  <conditionalFormatting sqref="C96:C97">
    <cfRule type="cellIs" dxfId="11847" priority="4650" stopIfTrue="1" operator="equal">
      <formula>"Towel"</formula>
    </cfRule>
    <cfRule type="cellIs" dxfId="11846" priority="4651" stopIfTrue="1" operator="equal">
      <formula>"Napkin Hs"</formula>
    </cfRule>
  </conditionalFormatting>
  <conditionalFormatting sqref="C97">
    <cfRule type="cellIs" dxfId="11845" priority="4656" stopIfTrue="1" operator="equal">
      <formula>"Towel"</formula>
    </cfRule>
    <cfRule type="cellIs" dxfId="11844" priority="4657" stopIfTrue="1" operator="equal">
      <formula>"Napkin Hs"</formula>
    </cfRule>
    <cfRule type="cellIs" dxfId="11843" priority="4660" stopIfTrue="1" operator="equal">
      <formula>"Towel"</formula>
    </cfRule>
    <cfRule type="cellIs" dxfId="11842" priority="4661" stopIfTrue="1" operator="equal">
      <formula>"Napkin Hs"</formula>
    </cfRule>
    <cfRule type="cellIs" dxfId="11841" priority="4662" stopIfTrue="1" operator="equal">
      <formula>"Towel"</formula>
    </cfRule>
    <cfRule type="cellIs" dxfId="11840" priority="4663" stopIfTrue="1" operator="equal">
      <formula>"Napkin Hs"</formula>
    </cfRule>
    <cfRule type="cellIs" dxfId="11839" priority="4666" stopIfTrue="1" operator="equal">
      <formula>"Towel"</formula>
    </cfRule>
    <cfRule type="cellIs" dxfId="11838" priority="4667" stopIfTrue="1" operator="equal">
      <formula>"Napkin Hs"</formula>
    </cfRule>
    <cfRule type="cellIs" dxfId="11837" priority="4668" stopIfTrue="1" operator="equal">
      <formula>"Towel"</formula>
    </cfRule>
    <cfRule type="cellIs" dxfId="11836" priority="4669" stopIfTrue="1" operator="equal">
      <formula>"Napkin Hs"</formula>
    </cfRule>
    <cfRule type="cellIs" dxfId="11835" priority="4672" stopIfTrue="1" operator="equal">
      <formula>"Towel"</formula>
    </cfRule>
    <cfRule type="cellIs" dxfId="11834" priority="4673" stopIfTrue="1" operator="equal">
      <formula>"Napkin Hs"</formula>
    </cfRule>
    <cfRule type="cellIs" dxfId="11833" priority="4674" stopIfTrue="1" operator="equal">
      <formula>"Towel"</formula>
    </cfRule>
    <cfRule type="cellIs" dxfId="11832" priority="4675" stopIfTrue="1" operator="equal">
      <formula>"Napkin Hs"</formula>
    </cfRule>
    <cfRule type="cellIs" dxfId="11831" priority="4678" stopIfTrue="1" operator="equal">
      <formula>"Towel"</formula>
    </cfRule>
    <cfRule type="cellIs" dxfId="11830" priority="4679" stopIfTrue="1" operator="equal">
      <formula>"Napkin Hs"</formula>
    </cfRule>
    <cfRule type="cellIs" dxfId="11829" priority="4680" stopIfTrue="1" operator="equal">
      <formula>"Towel"</formula>
    </cfRule>
    <cfRule type="cellIs" dxfId="11828" priority="4681" stopIfTrue="1" operator="equal">
      <formula>"Napkin Hs"</formula>
    </cfRule>
    <cfRule type="cellIs" dxfId="11827" priority="4684" stopIfTrue="1" operator="equal">
      <formula>"Towel"</formula>
    </cfRule>
    <cfRule type="cellIs" dxfId="11826" priority="4685" stopIfTrue="1" operator="equal">
      <formula>"Napkin Hs"</formula>
    </cfRule>
    <cfRule type="cellIs" dxfId="11825" priority="4686" stopIfTrue="1" operator="equal">
      <formula>"Towel"</formula>
    </cfRule>
    <cfRule type="cellIs" dxfId="11824" priority="4687" stopIfTrue="1" operator="equal">
      <formula>"Napkin Hs"</formula>
    </cfRule>
    <cfRule type="cellIs" dxfId="11823" priority="4690" stopIfTrue="1" operator="equal">
      <formula>"Towel"</formula>
    </cfRule>
    <cfRule type="cellIs" dxfId="11822" priority="4691" stopIfTrue="1" operator="equal">
      <formula>"Napkin Hs"</formula>
    </cfRule>
    <cfRule type="cellIs" dxfId="11821" priority="4694" stopIfTrue="1" operator="equal">
      <formula>"Towel"</formula>
    </cfRule>
    <cfRule type="cellIs" dxfId="11820" priority="4695" stopIfTrue="1" operator="equal">
      <formula>"Napkin Hs"</formula>
    </cfRule>
    <cfRule type="cellIs" dxfId="11819" priority="4696" stopIfTrue="1" operator="equal">
      <formula>"Towel"</formula>
    </cfRule>
    <cfRule type="cellIs" dxfId="11818" priority="4697" stopIfTrue="1" operator="equal">
      <formula>"Napkin Hs"</formula>
    </cfRule>
    <cfRule type="cellIs" dxfId="11817" priority="4698" stopIfTrue="1" operator="equal">
      <formula>"Towel"</formula>
    </cfRule>
    <cfRule type="cellIs" dxfId="11816" priority="4699" stopIfTrue="1" operator="equal">
      <formula>"Napkin Hs"</formula>
    </cfRule>
    <cfRule type="cellIs" dxfId="11815" priority="4702" stopIfTrue="1" operator="equal">
      <formula>"Towel"</formula>
    </cfRule>
    <cfRule type="cellIs" dxfId="11814" priority="4703" stopIfTrue="1" operator="equal">
      <formula>"Napkin Hs"</formula>
    </cfRule>
    <cfRule type="cellIs" dxfId="11813" priority="4704" stopIfTrue="1" operator="equal">
      <formula>"Towel"</formula>
    </cfRule>
    <cfRule type="cellIs" dxfId="11812" priority="4705" stopIfTrue="1" operator="equal">
      <formula>"Napkin Hs"</formula>
    </cfRule>
    <cfRule type="cellIs" dxfId="11811" priority="4708" stopIfTrue="1" operator="equal">
      <formula>"Towel"</formula>
    </cfRule>
    <cfRule type="cellIs" dxfId="11810" priority="4709" stopIfTrue="1" operator="equal">
      <formula>"Napkin Hs"</formula>
    </cfRule>
    <cfRule type="cellIs" dxfId="11809" priority="4710" stopIfTrue="1" operator="equal">
      <formula>"Towel"</formula>
    </cfRule>
    <cfRule type="cellIs" dxfId="11808" priority="4711" stopIfTrue="1" operator="equal">
      <formula>"Napkin Hs"</formula>
    </cfRule>
    <cfRule type="cellIs" dxfId="11807" priority="4714" stopIfTrue="1" operator="equal">
      <formula>"Towel"</formula>
    </cfRule>
    <cfRule type="cellIs" dxfId="11806" priority="4715" stopIfTrue="1" operator="equal">
      <formula>"Napkin Hs"</formula>
    </cfRule>
    <cfRule type="cellIs" dxfId="11805" priority="4716" stopIfTrue="1" operator="equal">
      <formula>"Towel"</formula>
    </cfRule>
    <cfRule type="cellIs" dxfId="11804" priority="4717" stopIfTrue="1" operator="equal">
      <formula>"Napkin Hs"</formula>
    </cfRule>
    <cfRule type="cellIs" dxfId="11803" priority="4720" stopIfTrue="1" operator="equal">
      <formula>"Towel"</formula>
    </cfRule>
    <cfRule type="cellIs" dxfId="11802" priority="4721" stopIfTrue="1" operator="equal">
      <formula>"Napkin Hs"</formula>
    </cfRule>
    <cfRule type="cellIs" dxfId="11801" priority="4722" stopIfTrue="1" operator="equal">
      <formula>"Towel"</formula>
    </cfRule>
    <cfRule type="cellIs" dxfId="11800" priority="4723" stopIfTrue="1" operator="equal">
      <formula>"Napkin Hs"</formula>
    </cfRule>
    <cfRule type="cellIs" dxfId="11799" priority="4726" stopIfTrue="1" operator="equal">
      <formula>"Towel"</formula>
    </cfRule>
    <cfRule type="cellIs" dxfId="11798" priority="4727" stopIfTrue="1" operator="equal">
      <formula>"Napkin Hs"</formula>
    </cfRule>
    <cfRule type="cellIs" dxfId="11797" priority="4728" stopIfTrue="1" operator="equal">
      <formula>"Towel"</formula>
    </cfRule>
    <cfRule type="cellIs" dxfId="11796" priority="4729" stopIfTrue="1" operator="equal">
      <formula>"Napkin Hs"</formula>
    </cfRule>
    <cfRule type="cellIs" dxfId="11795" priority="4732" stopIfTrue="1" operator="equal">
      <formula>"Towel"</formula>
    </cfRule>
    <cfRule type="cellIs" dxfId="11794" priority="4733" stopIfTrue="1" operator="equal">
      <formula>"Napkin Hs"</formula>
    </cfRule>
    <cfRule type="cellIs" dxfId="11793" priority="4734" stopIfTrue="1" operator="equal">
      <formula>"Towel"</formula>
    </cfRule>
    <cfRule type="cellIs" dxfId="11792" priority="4735" stopIfTrue="1" operator="equal">
      <formula>"Napkin Hs"</formula>
    </cfRule>
  </conditionalFormatting>
  <conditionalFormatting sqref="C98">
    <cfRule type="cellIs" dxfId="11791" priority="4878" stopIfTrue="1" operator="equal">
      <formula>"Towel"</formula>
    </cfRule>
    <cfRule type="cellIs" dxfId="11790" priority="4879" stopIfTrue="1" operator="equal">
      <formula>"Napkin Hs"</formula>
    </cfRule>
    <cfRule type="cellIs" dxfId="11789" priority="4880" stopIfTrue="1" operator="equal">
      <formula>"Towel"</formula>
    </cfRule>
    <cfRule type="cellIs" dxfId="11788" priority="4881" stopIfTrue="1" operator="equal">
      <formula>"Napkin Hs"</formula>
    </cfRule>
    <cfRule type="cellIs" dxfId="11787" priority="4884" stopIfTrue="1" operator="equal">
      <formula>"Towel"</formula>
    </cfRule>
    <cfRule type="cellIs" dxfId="11786" priority="4885" stopIfTrue="1" operator="equal">
      <formula>"Napkin Hs"</formula>
    </cfRule>
    <cfRule type="cellIs" dxfId="11785" priority="4886" stopIfTrue="1" operator="equal">
      <formula>"Towel"</formula>
    </cfRule>
    <cfRule type="cellIs" dxfId="11784" priority="4887" stopIfTrue="1" operator="equal">
      <formula>"Napkin Hs"</formula>
    </cfRule>
    <cfRule type="cellIs" dxfId="11783" priority="4890" stopIfTrue="1" operator="equal">
      <formula>"Towel"</formula>
    </cfRule>
    <cfRule type="cellIs" dxfId="11782" priority="4891" stopIfTrue="1" operator="equal">
      <formula>"Napkin Hs"</formula>
    </cfRule>
    <cfRule type="cellIs" dxfId="11781" priority="4892" stopIfTrue="1" operator="equal">
      <formula>"Towel"</formula>
    </cfRule>
    <cfRule type="cellIs" dxfId="11780" priority="4893" stopIfTrue="1" operator="equal">
      <formula>"Napkin Hs"</formula>
    </cfRule>
    <cfRule type="cellIs" dxfId="11779" priority="4896" stopIfTrue="1" operator="equal">
      <formula>"Towel"</formula>
    </cfRule>
    <cfRule type="cellIs" dxfId="11778" priority="4897" stopIfTrue="1" operator="equal">
      <formula>"Napkin Hs"</formula>
    </cfRule>
    <cfRule type="cellIs" dxfId="11777" priority="4898" stopIfTrue="1" operator="equal">
      <formula>"Towel"</formula>
    </cfRule>
    <cfRule type="cellIs" dxfId="11776" priority="4899" stopIfTrue="1" operator="equal">
      <formula>"Napkin Hs"</formula>
    </cfRule>
    <cfRule type="cellIs" dxfId="11775" priority="4902" stopIfTrue="1" operator="equal">
      <formula>"Towel"</formula>
    </cfRule>
    <cfRule type="cellIs" dxfId="11774" priority="4903" stopIfTrue="1" operator="equal">
      <formula>"Napkin Hs"</formula>
    </cfRule>
    <cfRule type="cellIs" dxfId="11773" priority="4904" stopIfTrue="1" operator="equal">
      <formula>"Towel"</formula>
    </cfRule>
    <cfRule type="cellIs" dxfId="11772" priority="4905" stopIfTrue="1" operator="equal">
      <formula>"Napkin Hs"</formula>
    </cfRule>
    <cfRule type="cellIs" dxfId="11771" priority="4908" stopIfTrue="1" operator="equal">
      <formula>"Towel"</formula>
    </cfRule>
    <cfRule type="cellIs" dxfId="11770" priority="4909" stopIfTrue="1" operator="equal">
      <formula>"Napkin Hs"</formula>
    </cfRule>
    <cfRule type="cellIs" dxfId="11769" priority="4910" stopIfTrue="1" operator="equal">
      <formula>"Towel"</formula>
    </cfRule>
    <cfRule type="cellIs" dxfId="11768" priority="4911" stopIfTrue="1" operator="equal">
      <formula>"Napkin Hs"</formula>
    </cfRule>
    <cfRule type="cellIs" dxfId="11767" priority="4914" stopIfTrue="1" operator="equal">
      <formula>"Towel"</formula>
    </cfRule>
    <cfRule type="cellIs" dxfId="11766" priority="4915" stopIfTrue="1" operator="equal">
      <formula>"Napkin Hs"</formula>
    </cfRule>
    <cfRule type="cellIs" dxfId="11765" priority="4916" stopIfTrue="1" operator="equal">
      <formula>"Towel"</formula>
    </cfRule>
    <cfRule type="cellIs" dxfId="11764" priority="4917" stopIfTrue="1" operator="equal">
      <formula>"Napkin Hs"</formula>
    </cfRule>
    <cfRule type="cellIs" dxfId="11763" priority="4920" stopIfTrue="1" operator="equal">
      <formula>"Towel"</formula>
    </cfRule>
    <cfRule type="cellIs" dxfId="11762" priority="4921" stopIfTrue="1" operator="equal">
      <formula>"Napkin Hs"</formula>
    </cfRule>
  </conditionalFormatting>
  <conditionalFormatting sqref="C98:C99">
    <cfRule type="cellIs" dxfId="11761" priority="4826" stopIfTrue="1" operator="equal">
      <formula>"Towel"</formula>
    </cfRule>
    <cfRule type="cellIs" dxfId="11760" priority="4827" stopIfTrue="1" operator="equal">
      <formula>"Napkin Hs"</formula>
    </cfRule>
    <cfRule type="cellIs" dxfId="11759" priority="4828" stopIfTrue="1" operator="equal">
      <formula>"Towel"</formula>
    </cfRule>
    <cfRule type="cellIs" dxfId="11758" priority="4829" stopIfTrue="1" operator="equal">
      <formula>"Napkin Hs"</formula>
    </cfRule>
    <cfRule type="cellIs" dxfId="11757" priority="4830" stopIfTrue="1" operator="equal">
      <formula>"Towel"</formula>
    </cfRule>
    <cfRule type="cellIs" dxfId="11756" priority="4831" stopIfTrue="1" operator="equal">
      <formula>"Napkin Hs"</formula>
    </cfRule>
    <cfRule type="cellIs" dxfId="11755" priority="4832" stopIfTrue="1" operator="equal">
      <formula>"Towel"</formula>
    </cfRule>
    <cfRule type="cellIs" dxfId="11754" priority="4833" stopIfTrue="1" operator="equal">
      <formula>"Napkin Hs"</formula>
    </cfRule>
    <cfRule type="cellIs" dxfId="11753" priority="4834" stopIfTrue="1" operator="equal">
      <formula>"Towel"</formula>
    </cfRule>
    <cfRule type="cellIs" dxfId="11752" priority="4835" stopIfTrue="1" operator="equal">
      <formula>"Napkin Hs"</formula>
    </cfRule>
    <cfRule type="cellIs" dxfId="11751" priority="4836" stopIfTrue="1" operator="equal">
      <formula>"Towel"</formula>
    </cfRule>
    <cfRule type="cellIs" dxfId="11750" priority="4837" stopIfTrue="1" operator="equal">
      <formula>"Napkin Hs"</formula>
    </cfRule>
    <cfRule type="cellIs" dxfId="11749" priority="4838" stopIfTrue="1" operator="equal">
      <formula>"Towel"</formula>
    </cfRule>
    <cfRule type="cellIs" dxfId="11748" priority="4839" stopIfTrue="1" operator="equal">
      <formula>"Napkin Hs"</formula>
    </cfRule>
    <cfRule type="cellIs" dxfId="11747" priority="4842" stopIfTrue="1" operator="equal">
      <formula>"Towel"</formula>
    </cfRule>
    <cfRule type="cellIs" dxfId="11746" priority="4843" stopIfTrue="1" operator="equal">
      <formula>"Napkin Hs"</formula>
    </cfRule>
    <cfRule type="cellIs" dxfId="11745" priority="4844" stopIfTrue="1" operator="equal">
      <formula>"Towel"</formula>
    </cfRule>
    <cfRule type="cellIs" dxfId="11744" priority="4845" stopIfTrue="1" operator="equal">
      <formula>"Napkin Hs"</formula>
    </cfRule>
    <cfRule type="cellIs" dxfId="11743" priority="4848" stopIfTrue="1" operator="equal">
      <formula>"Towel"</formula>
    </cfRule>
    <cfRule type="cellIs" dxfId="11742" priority="4849" stopIfTrue="1" operator="equal">
      <formula>"Napkin Hs"</formula>
    </cfRule>
    <cfRule type="cellIs" dxfId="11741" priority="4850" stopIfTrue="1" operator="equal">
      <formula>"Towel"</formula>
    </cfRule>
    <cfRule type="cellIs" dxfId="11740" priority="4851" stopIfTrue="1" operator="equal">
      <formula>"Napkin Hs"</formula>
    </cfRule>
    <cfRule type="cellIs" dxfId="11739" priority="4854" stopIfTrue="1" operator="equal">
      <formula>"Towel"</formula>
    </cfRule>
    <cfRule type="cellIs" dxfId="11738" priority="4855" stopIfTrue="1" operator="equal">
      <formula>"Napkin Hs"</formula>
    </cfRule>
    <cfRule type="cellIs" dxfId="11737" priority="4856" stopIfTrue="1" operator="equal">
      <formula>"Towel"</formula>
    </cfRule>
    <cfRule type="cellIs" dxfId="11736" priority="4857" stopIfTrue="1" operator="equal">
      <formula>"Napkin Hs"</formula>
    </cfRule>
    <cfRule type="cellIs" dxfId="11735" priority="4860" stopIfTrue="1" operator="equal">
      <formula>"Towel"</formula>
    </cfRule>
    <cfRule type="cellIs" dxfId="11734" priority="4861" stopIfTrue="1" operator="equal">
      <formula>"Napkin Hs"</formula>
    </cfRule>
    <cfRule type="cellIs" dxfId="11733" priority="4862" stopIfTrue="1" operator="equal">
      <formula>"Towel"</formula>
    </cfRule>
    <cfRule type="cellIs" dxfId="11732" priority="4863" stopIfTrue="1" operator="equal">
      <formula>"Napkin Hs"</formula>
    </cfRule>
    <cfRule type="cellIs" dxfId="11731" priority="4866" stopIfTrue="1" operator="equal">
      <formula>"Towel"</formula>
    </cfRule>
    <cfRule type="cellIs" dxfId="11730" priority="4867" stopIfTrue="1" operator="equal">
      <formula>"Napkin Hs"</formula>
    </cfRule>
    <cfRule type="cellIs" dxfId="11729" priority="4868" stopIfTrue="1" operator="equal">
      <formula>"Towel"</formula>
    </cfRule>
    <cfRule type="cellIs" dxfId="11728" priority="4869" stopIfTrue="1" operator="equal">
      <formula>"Napkin Hs"</formula>
    </cfRule>
    <cfRule type="cellIs" dxfId="11727" priority="4872" stopIfTrue="1" operator="equal">
      <formula>"Towel"</formula>
    </cfRule>
    <cfRule type="cellIs" dxfId="11726" priority="4873" stopIfTrue="1" operator="equal">
      <formula>"Napkin Hs"</formula>
    </cfRule>
    <cfRule type="cellIs" dxfId="11725" priority="4874" stopIfTrue="1" operator="equal">
      <formula>"Towel"</formula>
    </cfRule>
    <cfRule type="cellIs" dxfId="11724" priority="4875" stopIfTrue="1" operator="equal">
      <formula>"Napkin Hs"</formula>
    </cfRule>
    <cfRule type="cellIs" dxfId="11723" priority="4922" stopIfTrue="1" operator="equal">
      <formula>"Towel"</formula>
    </cfRule>
    <cfRule type="cellIs" dxfId="11722" priority="4923" stopIfTrue="1" operator="equal">
      <formula>"Napkin Hs"</formula>
    </cfRule>
  </conditionalFormatting>
  <conditionalFormatting sqref="C99">
    <cfRule type="cellIs" dxfId="11721" priority="4928" stopIfTrue="1" operator="equal">
      <formula>"Towel"</formula>
    </cfRule>
    <cfRule type="cellIs" dxfId="11720" priority="4929" stopIfTrue="1" operator="equal">
      <formula>"Napkin Hs"</formula>
    </cfRule>
    <cfRule type="cellIs" dxfId="11719" priority="4932" stopIfTrue="1" operator="equal">
      <formula>"Towel"</formula>
    </cfRule>
    <cfRule type="cellIs" dxfId="11718" priority="4933" stopIfTrue="1" operator="equal">
      <formula>"Napkin Hs"</formula>
    </cfRule>
    <cfRule type="cellIs" dxfId="11717" priority="4934" stopIfTrue="1" operator="equal">
      <formula>"Towel"</formula>
    </cfRule>
    <cfRule type="cellIs" dxfId="11716" priority="4935" stopIfTrue="1" operator="equal">
      <formula>"Napkin Hs"</formula>
    </cfRule>
    <cfRule type="cellIs" dxfId="11715" priority="4938" stopIfTrue="1" operator="equal">
      <formula>"Towel"</formula>
    </cfRule>
    <cfRule type="cellIs" dxfId="11714" priority="4939" stopIfTrue="1" operator="equal">
      <formula>"Napkin Hs"</formula>
    </cfRule>
    <cfRule type="cellIs" dxfId="11713" priority="4940" stopIfTrue="1" operator="equal">
      <formula>"Towel"</formula>
    </cfRule>
    <cfRule type="cellIs" dxfId="11712" priority="4941" stopIfTrue="1" operator="equal">
      <formula>"Napkin Hs"</formula>
    </cfRule>
    <cfRule type="cellIs" dxfId="11711" priority="4944" stopIfTrue="1" operator="equal">
      <formula>"Towel"</formula>
    </cfRule>
    <cfRule type="cellIs" dxfId="11710" priority="4945" stopIfTrue="1" operator="equal">
      <formula>"Napkin Hs"</formula>
    </cfRule>
    <cfRule type="cellIs" dxfId="11709" priority="4946" stopIfTrue="1" operator="equal">
      <formula>"Towel"</formula>
    </cfRule>
    <cfRule type="cellIs" dxfId="11708" priority="4947" stopIfTrue="1" operator="equal">
      <formula>"Napkin Hs"</formula>
    </cfRule>
    <cfRule type="cellIs" dxfId="11707" priority="4950" stopIfTrue="1" operator="equal">
      <formula>"Towel"</formula>
    </cfRule>
    <cfRule type="cellIs" dxfId="11706" priority="4951" stopIfTrue="1" operator="equal">
      <formula>"Napkin Hs"</formula>
    </cfRule>
    <cfRule type="cellIs" dxfId="11705" priority="4952" stopIfTrue="1" operator="equal">
      <formula>"Towel"</formula>
    </cfRule>
    <cfRule type="cellIs" dxfId="11704" priority="4953" stopIfTrue="1" operator="equal">
      <formula>"Napkin Hs"</formula>
    </cfRule>
    <cfRule type="cellIs" dxfId="11703" priority="4956" stopIfTrue="1" operator="equal">
      <formula>"Towel"</formula>
    </cfRule>
    <cfRule type="cellIs" dxfId="11702" priority="4957" stopIfTrue="1" operator="equal">
      <formula>"Napkin Hs"</formula>
    </cfRule>
    <cfRule type="cellIs" dxfId="11701" priority="4958" stopIfTrue="1" operator="equal">
      <formula>"Towel"</formula>
    </cfRule>
    <cfRule type="cellIs" dxfId="11700" priority="4959" stopIfTrue="1" operator="equal">
      <formula>"Napkin Hs"</formula>
    </cfRule>
    <cfRule type="cellIs" dxfId="11699" priority="4962" stopIfTrue="1" operator="equal">
      <formula>"Towel"</formula>
    </cfRule>
    <cfRule type="cellIs" dxfId="11698" priority="4963" stopIfTrue="1" operator="equal">
      <formula>"Napkin Hs"</formula>
    </cfRule>
    <cfRule type="cellIs" dxfId="11697" priority="4964" stopIfTrue="1" operator="equal">
      <formula>"Towel"</formula>
    </cfRule>
    <cfRule type="cellIs" dxfId="11696" priority="4965" stopIfTrue="1" operator="equal">
      <formula>"Napkin Hs"</formula>
    </cfRule>
    <cfRule type="cellIs" dxfId="11695" priority="4968" stopIfTrue="1" operator="equal">
      <formula>"Towel"</formula>
    </cfRule>
    <cfRule type="cellIs" dxfId="11694" priority="4969" stopIfTrue="1" operator="equal">
      <formula>"Napkin Hs"</formula>
    </cfRule>
  </conditionalFormatting>
  <conditionalFormatting sqref="C99:C100">
    <cfRule type="cellIs" dxfId="11693" priority="4970" stopIfTrue="1" operator="equal">
      <formula>"Towel"</formula>
    </cfRule>
    <cfRule type="cellIs" dxfId="11692" priority="4971" stopIfTrue="1" operator="equal">
      <formula>"Napkin Hs"</formula>
    </cfRule>
  </conditionalFormatting>
  <conditionalFormatting sqref="C100">
    <cfRule type="cellIs" dxfId="11691" priority="9530" stopIfTrue="1" operator="equal">
      <formula>"Towel"</formula>
    </cfRule>
    <cfRule type="cellIs" dxfId="11690" priority="9531" stopIfTrue="1" operator="equal">
      <formula>"Napkin Hs"</formula>
    </cfRule>
    <cfRule type="cellIs" dxfId="11689" priority="9534" stopIfTrue="1" operator="equal">
      <formula>"Towel"</formula>
    </cfRule>
    <cfRule type="cellIs" dxfId="11688" priority="9535" stopIfTrue="1" operator="equal">
      <formula>"Napkin Hs"</formula>
    </cfRule>
    <cfRule type="cellIs" dxfId="11687" priority="9536" stopIfTrue="1" operator="equal">
      <formula>"Towel"</formula>
    </cfRule>
    <cfRule type="cellIs" dxfId="11686" priority="9537" stopIfTrue="1" operator="equal">
      <formula>"Napkin Hs"</formula>
    </cfRule>
    <cfRule type="cellIs" dxfId="11685" priority="9540" stopIfTrue="1" operator="equal">
      <formula>"Towel"</formula>
    </cfRule>
    <cfRule type="cellIs" dxfId="11684" priority="9541" stopIfTrue="1" operator="equal">
      <formula>"Napkin Hs"</formula>
    </cfRule>
    <cfRule type="cellIs" dxfId="11683" priority="9542" stopIfTrue="1" operator="equal">
      <formula>"Towel"</formula>
    </cfRule>
    <cfRule type="cellIs" dxfId="11682" priority="9543" stopIfTrue="1" operator="equal">
      <formula>"Napkin Hs"</formula>
    </cfRule>
    <cfRule type="cellIs" dxfId="11681" priority="9546" stopIfTrue="1" operator="equal">
      <formula>"Towel"</formula>
    </cfRule>
    <cfRule type="cellIs" dxfId="11680" priority="9547" stopIfTrue="1" operator="equal">
      <formula>"Napkin Hs"</formula>
    </cfRule>
    <cfRule type="cellIs" dxfId="11679" priority="9548" stopIfTrue="1" operator="equal">
      <formula>"Towel"</formula>
    </cfRule>
    <cfRule type="cellIs" dxfId="11678" priority="9549" stopIfTrue="1" operator="equal">
      <formula>"Napkin Hs"</formula>
    </cfRule>
    <cfRule type="cellIs" dxfId="11677" priority="9552" stopIfTrue="1" operator="equal">
      <formula>"Towel"</formula>
    </cfRule>
    <cfRule type="cellIs" dxfId="11676" priority="9553" stopIfTrue="1" operator="equal">
      <formula>"Napkin Hs"</formula>
    </cfRule>
    <cfRule type="cellIs" dxfId="11675" priority="9554" stopIfTrue="1" operator="equal">
      <formula>"Towel"</formula>
    </cfRule>
    <cfRule type="cellIs" dxfId="11674" priority="9555" stopIfTrue="1" operator="equal">
      <formula>"Napkin Hs"</formula>
    </cfRule>
    <cfRule type="cellIs" dxfId="11673" priority="9558" stopIfTrue="1" operator="equal">
      <formula>"Towel"</formula>
    </cfRule>
    <cfRule type="cellIs" dxfId="11672" priority="9559" stopIfTrue="1" operator="equal">
      <formula>"Napkin Hs"</formula>
    </cfRule>
    <cfRule type="cellIs" dxfId="11671" priority="9560" stopIfTrue="1" operator="equal">
      <formula>"Towel"</formula>
    </cfRule>
    <cfRule type="cellIs" dxfId="11670" priority="9561" stopIfTrue="1" operator="equal">
      <formula>"Napkin Hs"</formula>
    </cfRule>
    <cfRule type="cellIs" dxfId="11669" priority="9564" stopIfTrue="1" operator="equal">
      <formula>"Towel"</formula>
    </cfRule>
    <cfRule type="cellIs" dxfId="11668" priority="9565" stopIfTrue="1" operator="equal">
      <formula>"Napkin Hs"</formula>
    </cfRule>
    <cfRule type="cellIs" dxfId="11667" priority="9566" stopIfTrue="1" operator="equal">
      <formula>"Towel"</formula>
    </cfRule>
    <cfRule type="cellIs" dxfId="11666" priority="9567" stopIfTrue="1" operator="equal">
      <formula>"Napkin Hs"</formula>
    </cfRule>
    <cfRule type="cellIs" dxfId="11665" priority="9570" stopIfTrue="1" operator="equal">
      <formula>"Towel"</formula>
    </cfRule>
    <cfRule type="cellIs" dxfId="11664" priority="9571" stopIfTrue="1" operator="equal">
      <formula>"Napkin Hs"</formula>
    </cfRule>
    <cfRule type="cellIs" dxfId="11663" priority="9572" stopIfTrue="1" operator="equal">
      <formula>"Towel"</formula>
    </cfRule>
    <cfRule type="cellIs" dxfId="11662" priority="9573" stopIfTrue="1" operator="equal">
      <formula>"Napkin Hs"</formula>
    </cfRule>
    <cfRule type="cellIs" dxfId="11661" priority="9576" stopIfTrue="1" operator="equal">
      <formula>"Towel"</formula>
    </cfRule>
    <cfRule type="cellIs" dxfId="11660" priority="9577" stopIfTrue="1" operator="equal">
      <formula>"Napkin Hs"</formula>
    </cfRule>
  </conditionalFormatting>
  <conditionalFormatting sqref="C100">
    <cfRule type="cellIs" dxfId="11659" priority="9578" stopIfTrue="1" operator="equal">
      <formula>"Towel"</formula>
    </cfRule>
    <cfRule type="cellIs" dxfId="11658" priority="9579" stopIfTrue="1" operator="equal">
      <formula>"Napkin Hs"</formula>
    </cfRule>
  </conditionalFormatting>
  <conditionalFormatting sqref="C105 B106:C106">
    <cfRule type="cellIs" dxfId="11657" priority="9473" stopIfTrue="1" operator="equal">
      <formula>"Napkin Hs"</formula>
    </cfRule>
  </conditionalFormatting>
  <conditionalFormatting sqref="C105 B106:C107">
    <cfRule type="cellIs" dxfId="11656" priority="9472" stopIfTrue="1" operator="equal">
      <formula>"Towel"</formula>
    </cfRule>
  </conditionalFormatting>
  <conditionalFormatting sqref="C105 B106:C106">
    <cfRule type="cellIs" dxfId="11655" priority="9424" stopIfTrue="1" operator="equal">
      <formula>"Towel"</formula>
    </cfRule>
    <cfRule type="cellIs" dxfId="11654" priority="9425" stopIfTrue="1" operator="equal">
      <formula>"Napkin Hs"</formula>
    </cfRule>
    <cfRule type="cellIs" dxfId="11653" priority="9430" stopIfTrue="1" operator="equal">
      <formula>"Towel"</formula>
    </cfRule>
    <cfRule type="cellIs" dxfId="11652" priority="9431" stopIfTrue="1" operator="equal">
      <formula>"Napkin Hs"</formula>
    </cfRule>
    <cfRule type="cellIs" dxfId="11651" priority="9436" stopIfTrue="1" operator="equal">
      <formula>"Towel"</formula>
    </cfRule>
    <cfRule type="cellIs" dxfId="11650" priority="9437" stopIfTrue="1" operator="equal">
      <formula>"Napkin Hs"</formula>
    </cfRule>
    <cfRule type="cellIs" dxfId="11649" priority="9442" stopIfTrue="1" operator="equal">
      <formula>"Towel"</formula>
    </cfRule>
    <cfRule type="cellIs" dxfId="11648" priority="9443" stopIfTrue="1" operator="equal">
      <formula>"Napkin Hs"</formula>
    </cfRule>
    <cfRule type="cellIs" dxfId="11647" priority="9448" stopIfTrue="1" operator="equal">
      <formula>"Towel"</formula>
    </cfRule>
    <cfRule type="cellIs" dxfId="11646" priority="9449" stopIfTrue="1" operator="equal">
      <formula>"Napkin Hs"</formula>
    </cfRule>
    <cfRule type="cellIs" dxfId="11645" priority="9454" stopIfTrue="1" operator="equal">
      <formula>"Towel"</formula>
    </cfRule>
    <cfRule type="cellIs" dxfId="11644" priority="9455" stopIfTrue="1" operator="equal">
      <formula>"Napkin Hs"</formula>
    </cfRule>
    <cfRule type="cellIs" dxfId="11643" priority="9460" stopIfTrue="1" operator="equal">
      <formula>"Towel"</formula>
    </cfRule>
    <cfRule type="cellIs" dxfId="11642" priority="9461" stopIfTrue="1" operator="equal">
      <formula>"Napkin Hs"</formula>
    </cfRule>
  </conditionalFormatting>
  <conditionalFormatting sqref="C105:C106 C115">
    <cfRule type="cellIs" dxfId="11641" priority="9420" stopIfTrue="1" operator="equal">
      <formula>"Towel"</formula>
    </cfRule>
    <cfRule type="cellIs" dxfId="11640" priority="9421" stopIfTrue="1" operator="equal">
      <formula>"Napkin Hs"</formula>
    </cfRule>
    <cfRule type="cellIs" dxfId="11639" priority="9422" stopIfTrue="1" operator="equal">
      <formula>"Towel"</formula>
    </cfRule>
    <cfRule type="cellIs" dxfId="11638" priority="9423" stopIfTrue="1" operator="equal">
      <formula>"Napkin Hs"</formula>
    </cfRule>
    <cfRule type="cellIs" dxfId="11637" priority="9426" stopIfTrue="1" operator="equal">
      <formula>"Towel"</formula>
    </cfRule>
    <cfRule type="cellIs" dxfId="11636" priority="9427" stopIfTrue="1" operator="equal">
      <formula>"Napkin Hs"</formula>
    </cfRule>
    <cfRule type="cellIs" dxfId="11635" priority="9428" stopIfTrue="1" operator="equal">
      <formula>"Towel"</formula>
    </cfRule>
    <cfRule type="cellIs" dxfId="11634" priority="9429" stopIfTrue="1" operator="equal">
      <formula>"Napkin Hs"</formula>
    </cfRule>
    <cfRule type="cellIs" dxfId="11633" priority="9432" stopIfTrue="1" operator="equal">
      <formula>"Towel"</formula>
    </cfRule>
    <cfRule type="cellIs" dxfId="11632" priority="9433" stopIfTrue="1" operator="equal">
      <formula>"Napkin Hs"</formula>
    </cfRule>
    <cfRule type="cellIs" dxfId="11631" priority="9434" stopIfTrue="1" operator="equal">
      <formula>"Towel"</formula>
    </cfRule>
    <cfRule type="cellIs" dxfId="11630" priority="9435" stopIfTrue="1" operator="equal">
      <formula>"Napkin Hs"</formula>
    </cfRule>
    <cfRule type="cellIs" dxfId="11629" priority="9438" stopIfTrue="1" operator="equal">
      <formula>"Towel"</formula>
    </cfRule>
    <cfRule type="cellIs" dxfId="11628" priority="9439" stopIfTrue="1" operator="equal">
      <formula>"Napkin Hs"</formula>
    </cfRule>
    <cfRule type="cellIs" dxfId="11627" priority="9440" stopIfTrue="1" operator="equal">
      <formula>"Towel"</formula>
    </cfRule>
    <cfRule type="cellIs" dxfId="11626" priority="9441" stopIfTrue="1" operator="equal">
      <formula>"Napkin Hs"</formula>
    </cfRule>
    <cfRule type="cellIs" dxfId="11625" priority="9444" stopIfTrue="1" operator="equal">
      <formula>"Towel"</formula>
    </cfRule>
    <cfRule type="cellIs" dxfId="11624" priority="9445" stopIfTrue="1" operator="equal">
      <formula>"Napkin Hs"</formula>
    </cfRule>
    <cfRule type="cellIs" dxfId="11623" priority="9446" stopIfTrue="1" operator="equal">
      <formula>"Towel"</formula>
    </cfRule>
    <cfRule type="cellIs" dxfId="11622" priority="9447" stopIfTrue="1" operator="equal">
      <formula>"Napkin Hs"</formula>
    </cfRule>
    <cfRule type="cellIs" dxfId="11621" priority="9450" stopIfTrue="1" operator="equal">
      <formula>"Towel"</formula>
    </cfRule>
    <cfRule type="cellIs" dxfId="11620" priority="9451" stopIfTrue="1" operator="equal">
      <formula>"Napkin Hs"</formula>
    </cfRule>
    <cfRule type="cellIs" dxfId="11619" priority="9452" stopIfTrue="1" operator="equal">
      <formula>"Towel"</formula>
    </cfRule>
    <cfRule type="cellIs" dxfId="11618" priority="9453" stopIfTrue="1" operator="equal">
      <formula>"Napkin Hs"</formula>
    </cfRule>
    <cfRule type="cellIs" dxfId="11617" priority="9456" stopIfTrue="1" operator="equal">
      <formula>"Towel"</formula>
    </cfRule>
    <cfRule type="cellIs" dxfId="11616" priority="9457" stopIfTrue="1" operator="equal">
      <formula>"Napkin Hs"</formula>
    </cfRule>
    <cfRule type="cellIs" dxfId="11615" priority="9458" stopIfTrue="1" operator="equal">
      <formula>"Towel"</formula>
    </cfRule>
    <cfRule type="cellIs" dxfId="11614" priority="9459" stopIfTrue="1" operator="equal">
      <formula>"Napkin Hs"</formula>
    </cfRule>
    <cfRule type="cellIs" dxfId="11613" priority="9462" stopIfTrue="1" operator="equal">
      <formula>"Towel"</formula>
    </cfRule>
    <cfRule type="cellIs" dxfId="11612" priority="9463" stopIfTrue="1" operator="equal">
      <formula>"Napkin Hs"</formula>
    </cfRule>
    <cfRule type="cellIs" dxfId="11611" priority="9464" stopIfTrue="1" operator="equal">
      <formula>"Towel"</formula>
    </cfRule>
    <cfRule type="cellIs" dxfId="11610" priority="9465" stopIfTrue="1" operator="equal">
      <formula>"Napkin Hs"</formula>
    </cfRule>
    <cfRule type="cellIs" dxfId="11609" priority="9468" stopIfTrue="1" operator="equal">
      <formula>"Towel"</formula>
    </cfRule>
    <cfRule type="cellIs" dxfId="11608" priority="9469" stopIfTrue="1" operator="equal">
      <formula>"Napkin Hs"</formula>
    </cfRule>
  </conditionalFormatting>
  <conditionalFormatting sqref="C105:C107">
    <cfRule type="cellIs" dxfId="11607" priority="9470" stopIfTrue="1" operator="equal">
      <formula>"Towel"</formula>
    </cfRule>
    <cfRule type="cellIs" dxfId="11606" priority="9471" stopIfTrue="1" operator="equal">
      <formula>"Napkin Hs"</formula>
    </cfRule>
  </conditionalFormatting>
  <conditionalFormatting sqref="C107">
    <cfRule type="cellIs" dxfId="11605" priority="12040" stopIfTrue="1" operator="equal">
      <formula>"Towel"</formula>
    </cfRule>
    <cfRule type="cellIs" dxfId="11604" priority="12041" stopIfTrue="1" operator="equal">
      <formula>"Napkin Hs"</formula>
    </cfRule>
  </conditionalFormatting>
  <conditionalFormatting sqref="C108">
    <cfRule type="cellIs" dxfId="11603" priority="9368" stopIfTrue="1" operator="equal">
      <formula>"Towel"</formula>
    </cfRule>
    <cfRule type="cellIs" dxfId="11602" priority="9369" stopIfTrue="1" operator="equal">
      <formula>"Napkin Hs"</formula>
    </cfRule>
    <cfRule type="cellIs" dxfId="11601" priority="9372" stopIfTrue="1" operator="equal">
      <formula>"Towel"</formula>
    </cfRule>
    <cfRule type="cellIs" dxfId="11600" priority="9373" stopIfTrue="1" operator="equal">
      <formula>"Napkin Hs"</formula>
    </cfRule>
    <cfRule type="cellIs" dxfId="11599" priority="9374" stopIfTrue="1" operator="equal">
      <formula>"Towel"</formula>
    </cfRule>
    <cfRule type="cellIs" dxfId="11598" priority="9375" stopIfTrue="1" operator="equal">
      <formula>"Napkin Hs"</formula>
    </cfRule>
    <cfRule type="cellIs" dxfId="11597" priority="9378" stopIfTrue="1" operator="equal">
      <formula>"Towel"</formula>
    </cfRule>
    <cfRule type="cellIs" dxfId="11596" priority="9379" stopIfTrue="1" operator="equal">
      <formula>"Napkin Hs"</formula>
    </cfRule>
    <cfRule type="cellIs" dxfId="11595" priority="9380" stopIfTrue="1" operator="equal">
      <formula>"Towel"</formula>
    </cfRule>
    <cfRule type="cellIs" dxfId="11594" priority="9381" stopIfTrue="1" operator="equal">
      <formula>"Napkin Hs"</formula>
    </cfRule>
    <cfRule type="cellIs" dxfId="11593" priority="9384" stopIfTrue="1" operator="equal">
      <formula>"Towel"</formula>
    </cfRule>
    <cfRule type="cellIs" dxfId="11592" priority="9385" stopIfTrue="1" operator="equal">
      <formula>"Napkin Hs"</formula>
    </cfRule>
    <cfRule type="cellIs" dxfId="11591" priority="9386" stopIfTrue="1" operator="equal">
      <formula>"Towel"</formula>
    </cfRule>
    <cfRule type="cellIs" dxfId="11590" priority="9387" stopIfTrue="1" operator="equal">
      <formula>"Napkin Hs"</formula>
    </cfRule>
    <cfRule type="cellIs" dxfId="11589" priority="9390" stopIfTrue="1" operator="equal">
      <formula>"Towel"</formula>
    </cfRule>
    <cfRule type="cellIs" dxfId="11588" priority="9391" stopIfTrue="1" operator="equal">
      <formula>"Napkin Hs"</formula>
    </cfRule>
    <cfRule type="cellIs" dxfId="11587" priority="9392" stopIfTrue="1" operator="equal">
      <formula>"Towel"</formula>
    </cfRule>
    <cfRule type="cellIs" dxfId="11586" priority="9393" stopIfTrue="1" operator="equal">
      <formula>"Napkin Hs"</formula>
    </cfRule>
    <cfRule type="cellIs" dxfId="11585" priority="9396" stopIfTrue="1" operator="equal">
      <formula>"Towel"</formula>
    </cfRule>
    <cfRule type="cellIs" dxfId="11584" priority="9397" stopIfTrue="1" operator="equal">
      <formula>"Napkin Hs"</formula>
    </cfRule>
    <cfRule type="cellIs" dxfId="11583" priority="9398" stopIfTrue="1" operator="equal">
      <formula>"Towel"</formula>
    </cfRule>
    <cfRule type="cellIs" dxfId="11582" priority="9399" stopIfTrue="1" operator="equal">
      <formula>"Napkin Hs"</formula>
    </cfRule>
    <cfRule type="cellIs" dxfId="11581" priority="9402" stopIfTrue="1" operator="equal">
      <formula>"Towel"</formula>
    </cfRule>
    <cfRule type="cellIs" dxfId="11580" priority="9403" stopIfTrue="1" operator="equal">
      <formula>"Napkin Hs"</formula>
    </cfRule>
    <cfRule type="cellIs" dxfId="11579" priority="9404" stopIfTrue="1" operator="equal">
      <formula>"Towel"</formula>
    </cfRule>
    <cfRule type="cellIs" dxfId="11578" priority="9405" stopIfTrue="1" operator="equal">
      <formula>"Napkin Hs"</formula>
    </cfRule>
    <cfRule type="cellIs" dxfId="11577" priority="9408" stopIfTrue="1" operator="equal">
      <formula>"Towel"</formula>
    </cfRule>
    <cfRule type="cellIs" dxfId="11576" priority="9409" stopIfTrue="1" operator="equal">
      <formula>"Napkin Hs"</formula>
    </cfRule>
    <cfRule type="cellIs" dxfId="11575" priority="9410" stopIfTrue="1" operator="equal">
      <formula>"Towel"</formula>
    </cfRule>
    <cfRule type="cellIs" dxfId="11574" priority="9411" stopIfTrue="1" operator="equal">
      <formula>"Napkin Hs"</formula>
    </cfRule>
    <cfRule type="cellIs" dxfId="11573" priority="9414" stopIfTrue="1" operator="equal">
      <formula>"Towel"</formula>
    </cfRule>
    <cfRule type="cellIs" dxfId="11572" priority="9415" stopIfTrue="1" operator="equal">
      <formula>"Napkin Hs"</formula>
    </cfRule>
    <cfRule type="cellIs" dxfId="11571" priority="9416" stopIfTrue="1" operator="equal">
      <formula>"Towel"</formula>
    </cfRule>
    <cfRule type="cellIs" dxfId="11570" priority="9417" stopIfTrue="1" operator="equal">
      <formula>"Napkin Hs"</formula>
    </cfRule>
  </conditionalFormatting>
  <conditionalFormatting sqref="C108:C110">
    <cfRule type="cellIs" dxfId="11569" priority="9362" stopIfTrue="1" operator="equal">
      <formula>"Towel"</formula>
    </cfRule>
    <cfRule type="cellIs" dxfId="11568" priority="9363" stopIfTrue="1" operator="equal">
      <formula>"Napkin Hs"</formula>
    </cfRule>
  </conditionalFormatting>
  <conditionalFormatting sqref="C109:C110">
    <cfRule type="cellIs" dxfId="11567" priority="9312" stopIfTrue="1" operator="equal">
      <formula>"Towel"</formula>
    </cfRule>
    <cfRule type="cellIs" dxfId="11566" priority="9313" stopIfTrue="1" operator="equal">
      <formula>"Napkin Hs"</formula>
    </cfRule>
    <cfRule type="cellIs" dxfId="11565" priority="9314" stopIfTrue="1" operator="equal">
      <formula>"Towel"</formula>
    </cfRule>
    <cfRule type="cellIs" dxfId="11564" priority="9315" stopIfTrue="1" operator="equal">
      <formula>"Napkin Hs"</formula>
    </cfRule>
    <cfRule type="cellIs" dxfId="11563" priority="9318" stopIfTrue="1" operator="equal">
      <formula>"Towel"</formula>
    </cfRule>
    <cfRule type="cellIs" dxfId="11562" priority="9319" stopIfTrue="1" operator="equal">
      <formula>"Napkin Hs"</formula>
    </cfRule>
    <cfRule type="cellIs" dxfId="11561" priority="9320" stopIfTrue="1" operator="equal">
      <formula>"Towel"</formula>
    </cfRule>
    <cfRule type="cellIs" dxfId="11560" priority="9321" stopIfTrue="1" operator="equal">
      <formula>"Napkin Hs"</formula>
    </cfRule>
    <cfRule type="cellIs" dxfId="11559" priority="9324" stopIfTrue="1" operator="equal">
      <formula>"Towel"</formula>
    </cfRule>
    <cfRule type="cellIs" dxfId="11558" priority="9325" stopIfTrue="1" operator="equal">
      <formula>"Napkin Hs"</formula>
    </cfRule>
    <cfRule type="cellIs" dxfId="11557" priority="9326" stopIfTrue="1" operator="equal">
      <formula>"Towel"</formula>
    </cfRule>
    <cfRule type="cellIs" dxfId="11556" priority="9327" stopIfTrue="1" operator="equal">
      <formula>"Napkin Hs"</formula>
    </cfRule>
    <cfRule type="cellIs" dxfId="11555" priority="9330" stopIfTrue="1" operator="equal">
      <formula>"Towel"</formula>
    </cfRule>
    <cfRule type="cellIs" dxfId="11554" priority="9331" stopIfTrue="1" operator="equal">
      <formula>"Napkin Hs"</formula>
    </cfRule>
    <cfRule type="cellIs" dxfId="11553" priority="9332" stopIfTrue="1" operator="equal">
      <formula>"Towel"</formula>
    </cfRule>
    <cfRule type="cellIs" dxfId="11552" priority="9333" stopIfTrue="1" operator="equal">
      <formula>"Napkin Hs"</formula>
    </cfRule>
    <cfRule type="cellIs" dxfId="11551" priority="9336" stopIfTrue="1" operator="equal">
      <formula>"Towel"</formula>
    </cfRule>
    <cfRule type="cellIs" dxfId="11550" priority="9337" stopIfTrue="1" operator="equal">
      <formula>"Napkin Hs"</formula>
    </cfRule>
    <cfRule type="cellIs" dxfId="11549" priority="9338" stopIfTrue="1" operator="equal">
      <formula>"Towel"</formula>
    </cfRule>
    <cfRule type="cellIs" dxfId="11548" priority="9339" stopIfTrue="1" operator="equal">
      <formula>"Napkin Hs"</formula>
    </cfRule>
    <cfRule type="cellIs" dxfId="11547" priority="9342" stopIfTrue="1" operator="equal">
      <formula>"Towel"</formula>
    </cfRule>
    <cfRule type="cellIs" dxfId="11546" priority="9343" stopIfTrue="1" operator="equal">
      <formula>"Napkin Hs"</formula>
    </cfRule>
    <cfRule type="cellIs" dxfId="11545" priority="9344" stopIfTrue="1" operator="equal">
      <formula>"Towel"</formula>
    </cfRule>
    <cfRule type="cellIs" dxfId="11544" priority="9345" stopIfTrue="1" operator="equal">
      <formula>"Napkin Hs"</formula>
    </cfRule>
    <cfRule type="cellIs" dxfId="11543" priority="9348" stopIfTrue="1" operator="equal">
      <formula>"Towel"</formula>
    </cfRule>
    <cfRule type="cellIs" dxfId="11542" priority="9349" stopIfTrue="1" operator="equal">
      <formula>"Napkin Hs"</formula>
    </cfRule>
    <cfRule type="cellIs" dxfId="11541" priority="9350" stopIfTrue="1" operator="equal">
      <formula>"Towel"</formula>
    </cfRule>
    <cfRule type="cellIs" dxfId="11540" priority="9351" stopIfTrue="1" operator="equal">
      <formula>"Napkin Hs"</formula>
    </cfRule>
    <cfRule type="cellIs" dxfId="11539" priority="9354" stopIfTrue="1" operator="equal">
      <formula>"Towel"</formula>
    </cfRule>
    <cfRule type="cellIs" dxfId="11538" priority="9355" stopIfTrue="1" operator="equal">
      <formula>"Napkin Hs"</formula>
    </cfRule>
    <cfRule type="cellIs" dxfId="11537" priority="9356" stopIfTrue="1" operator="equal">
      <formula>"Towel"</formula>
    </cfRule>
    <cfRule type="cellIs" dxfId="11536" priority="9357" stopIfTrue="1" operator="equal">
      <formula>"Napkin Hs"</formula>
    </cfRule>
    <cfRule type="cellIs" dxfId="11535" priority="9360" stopIfTrue="1" operator="equal">
      <formula>"Towel"</formula>
    </cfRule>
    <cfRule type="cellIs" dxfId="11534" priority="9361" stopIfTrue="1" operator="equal">
      <formula>"Napkin Hs"</formula>
    </cfRule>
  </conditionalFormatting>
  <conditionalFormatting sqref="C8:C9 C25:C26 C130 C134 C139 C6 C143 C147 C151">
    <cfRule type="cellIs" dxfId="11533" priority="12450" stopIfTrue="1" operator="equal">
      <formula>"Towel"</formula>
    </cfRule>
  </conditionalFormatting>
  <conditionalFormatting sqref="C125">
    <cfRule type="cellIs" dxfId="11532" priority="8584" stopIfTrue="1" operator="equal">
      <formula>"Towel"</formula>
    </cfRule>
    <cfRule type="cellIs" dxfId="11531" priority="8585" stopIfTrue="1" operator="equal">
      <formula>"Napkin Hs"</formula>
    </cfRule>
    <cfRule type="cellIs" dxfId="11530" priority="8588" stopIfTrue="1" operator="equal">
      <formula>"Towel"</formula>
    </cfRule>
    <cfRule type="cellIs" dxfId="11529" priority="8589" stopIfTrue="1" operator="equal">
      <formula>"Napkin Hs"</formula>
    </cfRule>
    <cfRule type="cellIs" dxfId="11528" priority="8590" stopIfTrue="1" operator="equal">
      <formula>"Towel"</formula>
    </cfRule>
    <cfRule type="cellIs" dxfId="11527" priority="8591" stopIfTrue="1" operator="equal">
      <formula>"Napkin Hs"</formula>
    </cfRule>
    <cfRule type="cellIs" dxfId="11526" priority="8594" stopIfTrue="1" operator="equal">
      <formula>"Towel"</formula>
    </cfRule>
    <cfRule type="cellIs" dxfId="11525" priority="8595" stopIfTrue="1" operator="equal">
      <formula>"Napkin Hs"</formula>
    </cfRule>
    <cfRule type="cellIs" dxfId="11524" priority="8596" stopIfTrue="1" operator="equal">
      <formula>"Towel"</formula>
    </cfRule>
    <cfRule type="cellIs" dxfId="11523" priority="8597" stopIfTrue="1" operator="equal">
      <formula>"Napkin Hs"</formula>
    </cfRule>
    <cfRule type="cellIs" dxfId="11522" priority="8600" stopIfTrue="1" operator="equal">
      <formula>"Towel"</formula>
    </cfRule>
    <cfRule type="cellIs" dxfId="11521" priority="8601" stopIfTrue="1" operator="equal">
      <formula>"Napkin Hs"</formula>
    </cfRule>
    <cfRule type="cellIs" dxfId="11520" priority="8602" stopIfTrue="1" operator="equal">
      <formula>"Towel"</formula>
    </cfRule>
    <cfRule type="cellIs" dxfId="11519" priority="8603" stopIfTrue="1" operator="equal">
      <formula>"Napkin Hs"</formula>
    </cfRule>
    <cfRule type="cellIs" dxfId="11518" priority="8606" stopIfTrue="1" operator="equal">
      <formula>"Towel"</formula>
    </cfRule>
    <cfRule type="cellIs" dxfId="11517" priority="8607" stopIfTrue="1" operator="equal">
      <formula>"Napkin Hs"</formula>
    </cfRule>
    <cfRule type="cellIs" dxfId="11516" priority="8608" stopIfTrue="1" operator="equal">
      <formula>"Towel"</formula>
    </cfRule>
    <cfRule type="cellIs" dxfId="11515" priority="8609" stopIfTrue="1" operator="equal">
      <formula>"Napkin Hs"</formula>
    </cfRule>
    <cfRule type="cellIs" dxfId="11514" priority="8612" stopIfTrue="1" operator="equal">
      <formula>"Towel"</formula>
    </cfRule>
    <cfRule type="cellIs" dxfId="11513" priority="8613" stopIfTrue="1" operator="equal">
      <formula>"Napkin Hs"</formula>
    </cfRule>
    <cfRule type="cellIs" dxfId="11512" priority="8614" stopIfTrue="1" operator="equal">
      <formula>"Towel"</formula>
    </cfRule>
    <cfRule type="cellIs" dxfId="11511" priority="8615" stopIfTrue="1" operator="equal">
      <formula>"Napkin Hs"</formula>
    </cfRule>
    <cfRule type="cellIs" dxfId="11510" priority="8618" stopIfTrue="1" operator="equal">
      <formula>"Towel"</formula>
    </cfRule>
    <cfRule type="cellIs" dxfId="11509" priority="8619" stopIfTrue="1" operator="equal">
      <formula>"Napkin Hs"</formula>
    </cfRule>
    <cfRule type="cellIs" dxfId="11508" priority="8620" stopIfTrue="1" operator="equal">
      <formula>"Towel"</formula>
    </cfRule>
    <cfRule type="cellIs" dxfId="11507" priority="8621" stopIfTrue="1" operator="equal">
      <formula>"Napkin Hs"</formula>
    </cfRule>
    <cfRule type="cellIs" dxfId="11506" priority="8624" stopIfTrue="1" operator="equal">
      <formula>"Towel"</formula>
    </cfRule>
    <cfRule type="cellIs" dxfId="11505" priority="8625" stopIfTrue="1" operator="equal">
      <formula>"Napkin Hs"</formula>
    </cfRule>
    <cfRule type="cellIs" dxfId="11504" priority="8626" stopIfTrue="1" operator="equal">
      <formula>"Towel"</formula>
    </cfRule>
    <cfRule type="cellIs" dxfId="11503" priority="8627" stopIfTrue="1" operator="equal">
      <formula>"Napkin Hs"</formula>
    </cfRule>
    <cfRule type="cellIs" dxfId="11502" priority="8630" stopIfTrue="1" operator="equal">
      <formula>"Towel"</formula>
    </cfRule>
    <cfRule type="cellIs" dxfId="11501" priority="8631" stopIfTrue="1" operator="equal">
      <formula>"Napkin Hs"</formula>
    </cfRule>
    <cfRule type="cellIs" dxfId="11500" priority="8632" stopIfTrue="1" operator="equal">
      <formula>"Towel"</formula>
    </cfRule>
    <cfRule type="cellIs" dxfId="11499" priority="8633" stopIfTrue="1" operator="equal">
      <formula>"Napkin Hs"</formula>
    </cfRule>
    <cfRule type="cellIs" dxfId="11498" priority="8636" stopIfTrue="1" operator="equal">
      <formula>"Towel"</formula>
    </cfRule>
    <cfRule type="cellIs" dxfId="11497" priority="8637" stopIfTrue="1" operator="equal">
      <formula>"Napkin Hs"</formula>
    </cfRule>
    <cfRule type="cellIs" dxfId="11496" priority="8638" stopIfTrue="1" operator="equal">
      <formula>"Towel"</formula>
    </cfRule>
    <cfRule type="cellIs" dxfId="11495" priority="8639" stopIfTrue="1" operator="equal">
      <formula>"Napkin Hs"</formula>
    </cfRule>
  </conditionalFormatting>
  <conditionalFormatting sqref="C125:C126">
    <cfRule type="cellIs" dxfId="11494" priority="8578" stopIfTrue="1" operator="equal">
      <formula>"Towel"</formula>
    </cfRule>
    <cfRule type="cellIs" dxfId="11493" priority="8579" stopIfTrue="1" operator="equal">
      <formula>"Napkin Hs"</formula>
    </cfRule>
  </conditionalFormatting>
  <conditionalFormatting sqref="C126">
    <cfRule type="cellIs" dxfId="11492" priority="8576" stopIfTrue="1" operator="equal">
      <formula>"Towel"</formula>
    </cfRule>
    <cfRule type="cellIs" dxfId="11491" priority="8577" stopIfTrue="1" operator="equal">
      <formula>"Napkin Hs"</formula>
    </cfRule>
  </conditionalFormatting>
  <conditionalFormatting sqref="C130">
    <cfRule type="cellIs" dxfId="11490" priority="8818" stopIfTrue="1" operator="equal">
      <formula>"Towel"</formula>
    </cfRule>
    <cfRule type="cellIs" dxfId="11489" priority="8819" stopIfTrue="1" operator="equal">
      <formula>"Napkin Hs"</formula>
    </cfRule>
  </conditionalFormatting>
  <conditionalFormatting sqref="C134">
    <cfRule type="cellIs" dxfId="11488" priority="8440" stopIfTrue="1" operator="equal">
      <formula>"Towel"</formula>
    </cfRule>
    <cfRule type="cellIs" dxfId="11487" priority="8441" stopIfTrue="1" operator="equal">
      <formula>"Napkin Hs"</formula>
    </cfRule>
  </conditionalFormatting>
  <conditionalFormatting sqref="C139 C143 C147 C151">
    <cfRule type="cellIs" dxfId="11486" priority="8368" stopIfTrue="1" operator="equal">
      <formula>"Towel"</formula>
    </cfRule>
    <cfRule type="cellIs" dxfId="11485" priority="8369" stopIfTrue="1" operator="equal">
      <formula>"Napkin Hs"</formula>
    </cfRule>
  </conditionalFormatting>
  <conditionalFormatting sqref="B103:B104">
    <cfRule type="cellIs" dxfId="11484" priority="4420" stopIfTrue="1" operator="equal">
      <formula>"Towel"</formula>
    </cfRule>
    <cfRule type="cellIs" dxfId="11483" priority="4421" stopIfTrue="1" operator="equal">
      <formula>"Napkin Hs"</formula>
    </cfRule>
  </conditionalFormatting>
  <conditionalFormatting sqref="B101:C101">
    <cfRule type="cellIs" dxfId="11482" priority="4258" stopIfTrue="1" operator="equal">
      <formula>"Towel"</formula>
    </cfRule>
    <cfRule type="cellIs" dxfId="11481" priority="4259" stopIfTrue="1" operator="equal">
      <formula>"Napkin Hs"</formula>
    </cfRule>
    <cfRule type="cellIs" dxfId="11480" priority="4264" stopIfTrue="1" operator="equal">
      <formula>"Towel"</formula>
    </cfRule>
    <cfRule type="cellIs" dxfId="11479" priority="4265" stopIfTrue="1" operator="equal">
      <formula>"Napkin Hs"</formula>
    </cfRule>
    <cfRule type="cellIs" dxfId="11478" priority="4270" stopIfTrue="1" operator="equal">
      <formula>"Towel"</formula>
    </cfRule>
    <cfRule type="cellIs" dxfId="11477" priority="4271" stopIfTrue="1" operator="equal">
      <formula>"Napkin Hs"</formula>
    </cfRule>
    <cfRule type="cellIs" dxfId="11476" priority="4276" stopIfTrue="1" operator="equal">
      <formula>"Towel"</formula>
    </cfRule>
    <cfRule type="cellIs" dxfId="11475" priority="4277" stopIfTrue="1" operator="equal">
      <formula>"Napkin Hs"</formula>
    </cfRule>
    <cfRule type="cellIs" dxfId="11474" priority="4282" stopIfTrue="1" operator="equal">
      <formula>"Towel"</formula>
    </cfRule>
    <cfRule type="cellIs" dxfId="11473" priority="4283" stopIfTrue="1" operator="equal">
      <formula>"Napkin Hs"</formula>
    </cfRule>
    <cfRule type="cellIs" dxfId="11472" priority="4288" stopIfTrue="1" operator="equal">
      <formula>"Towel"</formula>
    </cfRule>
    <cfRule type="cellIs" dxfId="11471" priority="4289" stopIfTrue="1" operator="equal">
      <formula>"Napkin Hs"</formula>
    </cfRule>
    <cfRule type="cellIs" dxfId="11470" priority="4292" stopIfTrue="1" operator="equal">
      <formula>"Towel"</formula>
    </cfRule>
    <cfRule type="cellIs" dxfId="11469" priority="4293" stopIfTrue="1" operator="equal">
      <formula>"Napkin Hs"</formula>
    </cfRule>
    <cfRule type="cellIs" dxfId="11468" priority="4300" stopIfTrue="1" operator="equal">
      <formula>"Towel"</formula>
    </cfRule>
    <cfRule type="cellIs" dxfId="11467" priority="4301" stopIfTrue="1" operator="equal">
      <formula>"Napkin Hs"</formula>
    </cfRule>
    <cfRule type="cellIs" dxfId="11466" priority="4306" stopIfTrue="1" operator="equal">
      <formula>"Towel"</formula>
    </cfRule>
    <cfRule type="cellIs" dxfId="11465" priority="4307" stopIfTrue="1" operator="equal">
      <formula>"Napkin Hs"</formula>
    </cfRule>
    <cfRule type="cellIs" dxfId="11464" priority="4312" stopIfTrue="1" operator="equal">
      <formula>"Towel"</formula>
    </cfRule>
    <cfRule type="cellIs" dxfId="11463" priority="4313" stopIfTrue="1" operator="equal">
      <formula>"Napkin Hs"</formula>
    </cfRule>
    <cfRule type="cellIs" dxfId="11462" priority="4318" stopIfTrue="1" operator="equal">
      <formula>"Towel"</formula>
    </cfRule>
    <cfRule type="cellIs" dxfId="11461" priority="4319" stopIfTrue="1" operator="equal">
      <formula>"Napkin Hs"</formula>
    </cfRule>
    <cfRule type="cellIs" dxfId="11460" priority="4324" stopIfTrue="1" operator="equal">
      <formula>"Towel"</formula>
    </cfRule>
    <cfRule type="cellIs" dxfId="11459" priority="4325" stopIfTrue="1" operator="equal">
      <formula>"Napkin Hs"</formula>
    </cfRule>
    <cfRule type="cellIs" dxfId="11458" priority="4330" stopIfTrue="1" operator="equal">
      <formula>"Towel"</formula>
    </cfRule>
    <cfRule type="cellIs" dxfId="11457" priority="4331" stopIfTrue="1" operator="equal">
      <formula>"Napkin Hs"</formula>
    </cfRule>
    <cfRule type="cellIs" dxfId="11456" priority="4336" stopIfTrue="1" operator="equal">
      <formula>"Towel"</formula>
    </cfRule>
    <cfRule type="cellIs" dxfId="11455" priority="4337" stopIfTrue="1" operator="equal">
      <formula>"Napkin Hs"</formula>
    </cfRule>
  </conditionalFormatting>
  <conditionalFormatting sqref="B102:C102">
    <cfRule type="cellIs" dxfId="11454" priority="4340" stopIfTrue="1" operator="equal">
      <formula>"Towel"</formula>
    </cfRule>
    <cfRule type="cellIs" dxfId="11453" priority="4341" stopIfTrue="1" operator="equal">
      <formula>"Napkin Hs"</formula>
    </cfRule>
    <cfRule type="cellIs" dxfId="11452" priority="4346" stopIfTrue="1" operator="equal">
      <formula>"Towel"</formula>
    </cfRule>
    <cfRule type="cellIs" dxfId="11451" priority="4347" stopIfTrue="1" operator="equal">
      <formula>"Napkin Hs"</formula>
    </cfRule>
    <cfRule type="cellIs" dxfId="11450" priority="4352" stopIfTrue="1" operator="equal">
      <formula>"Towel"</formula>
    </cfRule>
    <cfRule type="cellIs" dxfId="11449" priority="4353" stopIfTrue="1" operator="equal">
      <formula>"Napkin Hs"</formula>
    </cfRule>
    <cfRule type="cellIs" dxfId="11448" priority="4358" stopIfTrue="1" operator="equal">
      <formula>"Towel"</formula>
    </cfRule>
    <cfRule type="cellIs" dxfId="11447" priority="4359" stopIfTrue="1" operator="equal">
      <formula>"Napkin Hs"</formula>
    </cfRule>
    <cfRule type="cellIs" dxfId="11446" priority="4364" stopIfTrue="1" operator="equal">
      <formula>"Towel"</formula>
    </cfRule>
    <cfRule type="cellIs" dxfId="11445" priority="4365" stopIfTrue="1" operator="equal">
      <formula>"Napkin Hs"</formula>
    </cfRule>
    <cfRule type="cellIs" dxfId="11444" priority="4370" stopIfTrue="1" operator="equal">
      <formula>"Towel"</formula>
    </cfRule>
    <cfRule type="cellIs" dxfId="11443" priority="4371" stopIfTrue="1" operator="equal">
      <formula>"Napkin Hs"</formula>
    </cfRule>
    <cfRule type="cellIs" dxfId="11442" priority="4374" stopIfTrue="1" operator="equal">
      <formula>"Towel"</formula>
    </cfRule>
    <cfRule type="cellIs" dxfId="11441" priority="4375" stopIfTrue="1" operator="equal">
      <formula>"Napkin Hs"</formula>
    </cfRule>
    <cfRule type="cellIs" dxfId="11440" priority="4382" stopIfTrue="1" operator="equal">
      <formula>"Towel"</formula>
    </cfRule>
    <cfRule type="cellIs" dxfId="11439" priority="4383" stopIfTrue="1" operator="equal">
      <formula>"Napkin Hs"</formula>
    </cfRule>
    <cfRule type="cellIs" dxfId="11438" priority="4388" stopIfTrue="1" operator="equal">
      <formula>"Towel"</formula>
    </cfRule>
    <cfRule type="cellIs" dxfId="11437" priority="4389" stopIfTrue="1" operator="equal">
      <formula>"Napkin Hs"</formula>
    </cfRule>
    <cfRule type="cellIs" dxfId="11436" priority="4394" stopIfTrue="1" operator="equal">
      <formula>"Towel"</formula>
    </cfRule>
    <cfRule type="cellIs" dxfId="11435" priority="4395" stopIfTrue="1" operator="equal">
      <formula>"Napkin Hs"</formula>
    </cfRule>
    <cfRule type="cellIs" dxfId="11434" priority="4400" stopIfTrue="1" operator="equal">
      <formula>"Towel"</formula>
    </cfRule>
    <cfRule type="cellIs" dxfId="11433" priority="4401" stopIfTrue="1" operator="equal">
      <formula>"Napkin Hs"</formula>
    </cfRule>
    <cfRule type="cellIs" dxfId="11432" priority="4406" stopIfTrue="1" operator="equal">
      <formula>"Towel"</formula>
    </cfRule>
    <cfRule type="cellIs" dxfId="11431" priority="4407" stopIfTrue="1" operator="equal">
      <formula>"Napkin Hs"</formula>
    </cfRule>
    <cfRule type="cellIs" dxfId="11430" priority="4412" stopIfTrue="1" operator="equal">
      <formula>"Towel"</formula>
    </cfRule>
    <cfRule type="cellIs" dxfId="11429" priority="4413" stopIfTrue="1" operator="equal">
      <formula>"Napkin Hs"</formula>
    </cfRule>
    <cfRule type="cellIs" dxfId="11428" priority="4418" stopIfTrue="1" operator="equal">
      <formula>"Towel"</formula>
    </cfRule>
    <cfRule type="cellIs" dxfId="11427" priority="4419" stopIfTrue="1" operator="equal">
      <formula>"Napkin Hs"</formula>
    </cfRule>
  </conditionalFormatting>
  <conditionalFormatting sqref="B103:C103">
    <cfRule type="cellIs" dxfId="11426" priority="4480" stopIfTrue="1" operator="equal">
      <formula>"Towel"</formula>
    </cfRule>
    <cfRule type="cellIs" dxfId="11425" priority="4481" stopIfTrue="1" operator="equal">
      <formula>"Napkin Hs"</formula>
    </cfRule>
    <cfRule type="cellIs" dxfId="11424" priority="4486" stopIfTrue="1" operator="equal">
      <formula>"Towel"</formula>
    </cfRule>
    <cfRule type="cellIs" dxfId="11423" priority="4487" stopIfTrue="1" operator="equal">
      <formula>"Napkin Hs"</formula>
    </cfRule>
    <cfRule type="cellIs" dxfId="11422" priority="4492" stopIfTrue="1" operator="equal">
      <formula>"Towel"</formula>
    </cfRule>
    <cfRule type="cellIs" dxfId="11421" priority="4493" stopIfTrue="1" operator="equal">
      <formula>"Napkin Hs"</formula>
    </cfRule>
    <cfRule type="cellIs" dxfId="11420" priority="4498" stopIfTrue="1" operator="equal">
      <formula>"Towel"</formula>
    </cfRule>
    <cfRule type="cellIs" dxfId="11419" priority="4499" stopIfTrue="1" operator="equal">
      <formula>"Napkin Hs"</formula>
    </cfRule>
    <cfRule type="cellIs" dxfId="11418" priority="4504" stopIfTrue="1" operator="equal">
      <formula>"Towel"</formula>
    </cfRule>
    <cfRule type="cellIs" dxfId="11417" priority="4505" stopIfTrue="1" operator="equal">
      <formula>"Napkin Hs"</formula>
    </cfRule>
    <cfRule type="cellIs" dxfId="11416" priority="4510" stopIfTrue="1" operator="equal">
      <formula>"Towel"</formula>
    </cfRule>
    <cfRule type="cellIs" dxfId="11415" priority="4511" stopIfTrue="1" operator="equal">
      <formula>"Napkin Hs"</formula>
    </cfRule>
    <cfRule type="cellIs" dxfId="11414" priority="4516" stopIfTrue="1" operator="equal">
      <formula>"Towel"</formula>
    </cfRule>
    <cfRule type="cellIs" dxfId="11413" priority="4517" stopIfTrue="1" operator="equal">
      <formula>"Napkin Hs"</formula>
    </cfRule>
    <cfRule type="cellIs" dxfId="11412" priority="4522" stopIfTrue="1" operator="equal">
      <formula>"Towel"</formula>
    </cfRule>
    <cfRule type="cellIs" dxfId="11411" priority="4523" stopIfTrue="1" operator="equal">
      <formula>"Napkin Hs"</formula>
    </cfRule>
  </conditionalFormatting>
  <conditionalFormatting sqref="B103:C104">
    <cfRule type="cellIs" dxfId="11410" priority="4422" stopIfTrue="1" operator="equal">
      <formula>"Towel"</formula>
    </cfRule>
    <cfRule type="cellIs" dxfId="11409" priority="4423" stopIfTrue="1" operator="equal">
      <formula>"Napkin Hs"</formula>
    </cfRule>
    <cfRule type="cellIs" dxfId="11408" priority="4438" stopIfTrue="1" operator="equal">
      <formula>"Towel"</formula>
    </cfRule>
    <cfRule type="cellIs" dxfId="11407" priority="4439" stopIfTrue="1" operator="equal">
      <formula>"Napkin Hs"</formula>
    </cfRule>
    <cfRule type="cellIs" dxfId="11406" priority="4444" stopIfTrue="1" operator="equal">
      <formula>"Towel"</formula>
    </cfRule>
    <cfRule type="cellIs" dxfId="11405" priority="4445" stopIfTrue="1" operator="equal">
      <formula>"Napkin Hs"</formula>
    </cfRule>
    <cfRule type="cellIs" dxfId="11404" priority="4450" stopIfTrue="1" operator="equal">
      <formula>"Towel"</formula>
    </cfRule>
    <cfRule type="cellIs" dxfId="11403" priority="4451" stopIfTrue="1" operator="equal">
      <formula>"Napkin Hs"</formula>
    </cfRule>
    <cfRule type="cellIs" dxfId="11402" priority="4456" stopIfTrue="1" operator="equal">
      <formula>"Towel"</formula>
    </cfRule>
    <cfRule type="cellIs" dxfId="11401" priority="4457" stopIfTrue="1" operator="equal">
      <formula>"Napkin Hs"</formula>
    </cfRule>
    <cfRule type="cellIs" dxfId="11400" priority="4462" stopIfTrue="1" operator="equal">
      <formula>"Towel"</formula>
    </cfRule>
    <cfRule type="cellIs" dxfId="11399" priority="4463" stopIfTrue="1" operator="equal">
      <formula>"Napkin Hs"</formula>
    </cfRule>
    <cfRule type="cellIs" dxfId="11398" priority="4468" stopIfTrue="1" operator="equal">
      <formula>"Towel"</formula>
    </cfRule>
    <cfRule type="cellIs" dxfId="11397" priority="4469" stopIfTrue="1" operator="equal">
      <formula>"Napkin Hs"</formula>
    </cfRule>
    <cfRule type="cellIs" dxfId="11396" priority="4474" stopIfTrue="1" operator="equal">
      <formula>"Towel"</formula>
    </cfRule>
    <cfRule type="cellIs" dxfId="11395" priority="4475" stopIfTrue="1" operator="equal">
      <formula>"Napkin Hs"</formula>
    </cfRule>
  </conditionalFormatting>
  <conditionalFormatting sqref="B104:C104">
    <cfRule type="cellIs" dxfId="11394" priority="4526" stopIfTrue="1" operator="equal">
      <formula>"Towel"</formula>
    </cfRule>
    <cfRule type="cellIs" dxfId="11393" priority="4527" stopIfTrue="1" operator="equal">
      <formula>"Napkin Hs"</formula>
    </cfRule>
    <cfRule type="cellIs" dxfId="11392" priority="4532" stopIfTrue="1" operator="equal">
      <formula>"Towel"</formula>
    </cfRule>
    <cfRule type="cellIs" dxfId="11391" priority="4533" stopIfTrue="1" operator="equal">
      <formula>"Napkin Hs"</formula>
    </cfRule>
    <cfRule type="cellIs" dxfId="11390" priority="4538" stopIfTrue="1" operator="equal">
      <formula>"Towel"</formula>
    </cfRule>
    <cfRule type="cellIs" dxfId="11389" priority="4539" stopIfTrue="1" operator="equal">
      <formula>"Napkin Hs"</formula>
    </cfRule>
    <cfRule type="cellIs" dxfId="11388" priority="4544" stopIfTrue="1" operator="equal">
      <formula>"Towel"</formula>
    </cfRule>
    <cfRule type="cellIs" dxfId="11387" priority="4545" stopIfTrue="1" operator="equal">
      <formula>"Napkin Hs"</formula>
    </cfRule>
    <cfRule type="cellIs" dxfId="11386" priority="4550" stopIfTrue="1" operator="equal">
      <formula>"Towel"</formula>
    </cfRule>
    <cfRule type="cellIs" dxfId="11385" priority="4551" stopIfTrue="1" operator="equal">
      <formula>"Napkin Hs"</formula>
    </cfRule>
    <cfRule type="cellIs" dxfId="11384" priority="4556" stopIfTrue="1" operator="equal">
      <formula>"Towel"</formula>
    </cfRule>
    <cfRule type="cellIs" dxfId="11383" priority="4557" stopIfTrue="1" operator="equal">
      <formula>"Napkin Hs"</formula>
    </cfRule>
    <cfRule type="cellIs" dxfId="11382" priority="4562" stopIfTrue="1" operator="equal">
      <formula>"Towel"</formula>
    </cfRule>
    <cfRule type="cellIs" dxfId="11381" priority="4563" stopIfTrue="1" operator="equal">
      <formula>"Napkin Hs"</formula>
    </cfRule>
    <cfRule type="cellIs" dxfId="11380" priority="4568" stopIfTrue="1" operator="equal">
      <formula>"Towel"</formula>
    </cfRule>
    <cfRule type="cellIs" dxfId="11379" priority="4569" stopIfTrue="1" operator="equal">
      <formula>"Napkin Hs"</formula>
    </cfRule>
  </conditionalFormatting>
  <conditionalFormatting sqref="C101">
    <cfRule type="cellIs" dxfId="11378" priority="4254" stopIfTrue="1" operator="equal">
      <formula>"Towel"</formula>
    </cfRule>
    <cfRule type="cellIs" dxfId="11377" priority="4255" stopIfTrue="1" operator="equal">
      <formula>"Napkin Hs"</formula>
    </cfRule>
    <cfRule type="cellIs" dxfId="11376" priority="4256" stopIfTrue="1" operator="equal">
      <formula>"Towel"</formula>
    </cfRule>
    <cfRule type="cellIs" dxfId="11375" priority="4257" stopIfTrue="1" operator="equal">
      <formula>"Napkin Hs"</formula>
    </cfRule>
    <cfRule type="cellIs" dxfId="11374" priority="4260" stopIfTrue="1" operator="equal">
      <formula>"Towel"</formula>
    </cfRule>
    <cfRule type="cellIs" dxfId="11373" priority="4261" stopIfTrue="1" operator="equal">
      <formula>"Napkin Hs"</formula>
    </cfRule>
    <cfRule type="cellIs" dxfId="11372" priority="4262" stopIfTrue="1" operator="equal">
      <formula>"Towel"</formula>
    </cfRule>
    <cfRule type="cellIs" dxfId="11371" priority="4263" stopIfTrue="1" operator="equal">
      <formula>"Napkin Hs"</formula>
    </cfRule>
    <cfRule type="cellIs" dxfId="11370" priority="4266" stopIfTrue="1" operator="equal">
      <formula>"Towel"</formula>
    </cfRule>
    <cfRule type="cellIs" dxfId="11369" priority="4267" stopIfTrue="1" operator="equal">
      <formula>"Napkin Hs"</formula>
    </cfRule>
    <cfRule type="cellIs" dxfId="11368" priority="4268" stopIfTrue="1" operator="equal">
      <formula>"Towel"</formula>
    </cfRule>
    <cfRule type="cellIs" dxfId="11367" priority="4269" stopIfTrue="1" operator="equal">
      <formula>"Napkin Hs"</formula>
    </cfRule>
    <cfRule type="cellIs" dxfId="11366" priority="4272" stopIfTrue="1" operator="equal">
      <formula>"Towel"</formula>
    </cfRule>
    <cfRule type="cellIs" dxfId="11365" priority="4273" stopIfTrue="1" operator="equal">
      <formula>"Napkin Hs"</formula>
    </cfRule>
    <cfRule type="cellIs" dxfId="11364" priority="4274" stopIfTrue="1" operator="equal">
      <formula>"Towel"</formula>
    </cfRule>
    <cfRule type="cellIs" dxfId="11363" priority="4275" stopIfTrue="1" operator="equal">
      <formula>"Napkin Hs"</formula>
    </cfRule>
    <cfRule type="cellIs" dxfId="11362" priority="4278" stopIfTrue="1" operator="equal">
      <formula>"Towel"</formula>
    </cfRule>
    <cfRule type="cellIs" dxfId="11361" priority="4279" stopIfTrue="1" operator="equal">
      <formula>"Napkin Hs"</formula>
    </cfRule>
    <cfRule type="cellIs" dxfId="11360" priority="4280" stopIfTrue="1" operator="equal">
      <formula>"Towel"</formula>
    </cfRule>
    <cfRule type="cellIs" dxfId="11359" priority="4281" stopIfTrue="1" operator="equal">
      <formula>"Napkin Hs"</formula>
    </cfRule>
    <cfRule type="cellIs" dxfId="11358" priority="4284" stopIfTrue="1" operator="equal">
      <formula>"Towel"</formula>
    </cfRule>
    <cfRule type="cellIs" dxfId="11357" priority="4285" stopIfTrue="1" operator="equal">
      <formula>"Napkin Hs"</formula>
    </cfRule>
    <cfRule type="cellIs" dxfId="11356" priority="4286" stopIfTrue="1" operator="equal">
      <formula>"Towel"</formula>
    </cfRule>
    <cfRule type="cellIs" dxfId="11355" priority="4287" stopIfTrue="1" operator="equal">
      <formula>"Napkin Hs"</formula>
    </cfRule>
    <cfRule type="cellIs" dxfId="11354" priority="4290" stopIfTrue="1" operator="equal">
      <formula>"Towel"</formula>
    </cfRule>
    <cfRule type="cellIs" dxfId="11353" priority="4291" stopIfTrue="1" operator="equal">
      <formula>"Napkin Hs"</formula>
    </cfRule>
    <cfRule type="cellIs" dxfId="11352" priority="4294" stopIfTrue="1" operator="equal">
      <formula>"Towel"</formula>
    </cfRule>
    <cfRule type="cellIs" dxfId="11351" priority="4295" stopIfTrue="1" operator="equal">
      <formula>"Napkin Hs"</formula>
    </cfRule>
    <cfRule type="cellIs" dxfId="11350" priority="4296" stopIfTrue="1" operator="equal">
      <formula>"Towel"</formula>
    </cfRule>
    <cfRule type="cellIs" dxfId="11349" priority="4297" stopIfTrue="1" operator="equal">
      <formula>"Napkin Hs"</formula>
    </cfRule>
    <cfRule type="cellIs" dxfId="11348" priority="4298" stopIfTrue="1" operator="equal">
      <formula>"Towel"</formula>
    </cfRule>
    <cfRule type="cellIs" dxfId="11347" priority="4299" stopIfTrue="1" operator="equal">
      <formula>"Napkin Hs"</formula>
    </cfRule>
    <cfRule type="cellIs" dxfId="11346" priority="4302" stopIfTrue="1" operator="equal">
      <formula>"Towel"</formula>
    </cfRule>
    <cfRule type="cellIs" dxfId="11345" priority="4303" stopIfTrue="1" operator="equal">
      <formula>"Napkin Hs"</formula>
    </cfRule>
    <cfRule type="cellIs" dxfId="11344" priority="4304" stopIfTrue="1" operator="equal">
      <formula>"Towel"</formula>
    </cfRule>
    <cfRule type="cellIs" dxfId="11343" priority="4305" stopIfTrue="1" operator="equal">
      <formula>"Napkin Hs"</formula>
    </cfRule>
    <cfRule type="cellIs" dxfId="11342" priority="4308" stopIfTrue="1" operator="equal">
      <formula>"Towel"</formula>
    </cfRule>
    <cfRule type="cellIs" dxfId="11341" priority="4309" stopIfTrue="1" operator="equal">
      <formula>"Napkin Hs"</formula>
    </cfRule>
    <cfRule type="cellIs" dxfId="11340" priority="4310" stopIfTrue="1" operator="equal">
      <formula>"Towel"</formula>
    </cfRule>
    <cfRule type="cellIs" dxfId="11339" priority="4311" stopIfTrue="1" operator="equal">
      <formula>"Napkin Hs"</formula>
    </cfRule>
    <cfRule type="cellIs" dxfId="11338" priority="4314" stopIfTrue="1" operator="equal">
      <formula>"Towel"</formula>
    </cfRule>
    <cfRule type="cellIs" dxfId="11337" priority="4315" stopIfTrue="1" operator="equal">
      <formula>"Napkin Hs"</formula>
    </cfRule>
    <cfRule type="cellIs" dxfId="11336" priority="4316" stopIfTrue="1" operator="equal">
      <formula>"Towel"</formula>
    </cfRule>
    <cfRule type="cellIs" dxfId="11335" priority="4317" stopIfTrue="1" operator="equal">
      <formula>"Napkin Hs"</formula>
    </cfRule>
    <cfRule type="cellIs" dxfId="11334" priority="4320" stopIfTrue="1" operator="equal">
      <formula>"Towel"</formula>
    </cfRule>
    <cfRule type="cellIs" dxfId="11333" priority="4321" stopIfTrue="1" operator="equal">
      <formula>"Napkin Hs"</formula>
    </cfRule>
    <cfRule type="cellIs" dxfId="11332" priority="4322" stopIfTrue="1" operator="equal">
      <formula>"Towel"</formula>
    </cfRule>
    <cfRule type="cellIs" dxfId="11331" priority="4323" stopIfTrue="1" operator="equal">
      <formula>"Napkin Hs"</formula>
    </cfRule>
    <cfRule type="cellIs" dxfId="11330" priority="4326" stopIfTrue="1" operator="equal">
      <formula>"Towel"</formula>
    </cfRule>
    <cfRule type="cellIs" dxfId="11329" priority="4327" stopIfTrue="1" operator="equal">
      <formula>"Napkin Hs"</formula>
    </cfRule>
    <cfRule type="cellIs" dxfId="11328" priority="4328" stopIfTrue="1" operator="equal">
      <formula>"Towel"</formula>
    </cfRule>
    <cfRule type="cellIs" dxfId="11327" priority="4329" stopIfTrue="1" operator="equal">
      <formula>"Napkin Hs"</formula>
    </cfRule>
    <cfRule type="cellIs" dxfId="11326" priority="4332" stopIfTrue="1" operator="equal">
      <formula>"Towel"</formula>
    </cfRule>
    <cfRule type="cellIs" dxfId="11325" priority="4333" stopIfTrue="1" operator="equal">
      <formula>"Napkin Hs"</formula>
    </cfRule>
  </conditionalFormatting>
  <conditionalFormatting sqref="C101:C102">
    <cfRule type="cellIs" dxfId="11324" priority="4334" stopIfTrue="1" operator="equal">
      <formula>"Towel"</formula>
    </cfRule>
    <cfRule type="cellIs" dxfId="11323" priority="4335" stopIfTrue="1" operator="equal">
      <formula>"Napkin Hs"</formula>
    </cfRule>
  </conditionalFormatting>
  <conditionalFormatting sqref="C102">
    <cfRule type="cellIs" dxfId="11322" priority="4338" stopIfTrue="1" operator="equal">
      <formula>"Towel"</formula>
    </cfRule>
    <cfRule type="cellIs" dxfId="11321" priority="4339" stopIfTrue="1" operator="equal">
      <formula>"Napkin Hs"</formula>
    </cfRule>
    <cfRule type="cellIs" dxfId="11320" priority="4342" stopIfTrue="1" operator="equal">
      <formula>"Towel"</formula>
    </cfRule>
    <cfRule type="cellIs" dxfId="11319" priority="4343" stopIfTrue="1" operator="equal">
      <formula>"Napkin Hs"</formula>
    </cfRule>
    <cfRule type="cellIs" dxfId="11318" priority="4344" stopIfTrue="1" operator="equal">
      <formula>"Towel"</formula>
    </cfRule>
    <cfRule type="cellIs" dxfId="11317" priority="4345" stopIfTrue="1" operator="equal">
      <formula>"Napkin Hs"</formula>
    </cfRule>
    <cfRule type="cellIs" dxfId="11316" priority="4348" stopIfTrue="1" operator="equal">
      <formula>"Towel"</formula>
    </cfRule>
    <cfRule type="cellIs" dxfId="11315" priority="4349" stopIfTrue="1" operator="equal">
      <formula>"Napkin Hs"</formula>
    </cfRule>
    <cfRule type="cellIs" dxfId="11314" priority="4350" stopIfTrue="1" operator="equal">
      <formula>"Towel"</formula>
    </cfRule>
    <cfRule type="cellIs" dxfId="11313" priority="4351" stopIfTrue="1" operator="equal">
      <formula>"Napkin Hs"</formula>
    </cfRule>
    <cfRule type="cellIs" dxfId="11312" priority="4354" stopIfTrue="1" operator="equal">
      <formula>"Towel"</formula>
    </cfRule>
    <cfRule type="cellIs" dxfId="11311" priority="4355" stopIfTrue="1" operator="equal">
      <formula>"Napkin Hs"</formula>
    </cfRule>
    <cfRule type="cellIs" dxfId="11310" priority="4356" stopIfTrue="1" operator="equal">
      <formula>"Towel"</formula>
    </cfRule>
    <cfRule type="cellIs" dxfId="11309" priority="4357" stopIfTrue="1" operator="equal">
      <formula>"Napkin Hs"</formula>
    </cfRule>
    <cfRule type="cellIs" dxfId="11308" priority="4360" stopIfTrue="1" operator="equal">
      <formula>"Towel"</formula>
    </cfRule>
    <cfRule type="cellIs" dxfId="11307" priority="4361" stopIfTrue="1" operator="equal">
      <formula>"Napkin Hs"</formula>
    </cfRule>
    <cfRule type="cellIs" dxfId="11306" priority="4362" stopIfTrue="1" operator="equal">
      <formula>"Towel"</formula>
    </cfRule>
    <cfRule type="cellIs" dxfId="11305" priority="4363" stopIfTrue="1" operator="equal">
      <formula>"Napkin Hs"</formula>
    </cfRule>
    <cfRule type="cellIs" dxfId="11304" priority="4366" stopIfTrue="1" operator="equal">
      <formula>"Towel"</formula>
    </cfRule>
    <cfRule type="cellIs" dxfId="11303" priority="4367" stopIfTrue="1" operator="equal">
      <formula>"Napkin Hs"</formula>
    </cfRule>
    <cfRule type="cellIs" dxfId="11302" priority="4368" stopIfTrue="1" operator="equal">
      <formula>"Towel"</formula>
    </cfRule>
    <cfRule type="cellIs" dxfId="11301" priority="4369" stopIfTrue="1" operator="equal">
      <formula>"Napkin Hs"</formula>
    </cfRule>
    <cfRule type="cellIs" dxfId="11300" priority="4372" stopIfTrue="1" operator="equal">
      <formula>"Towel"</formula>
    </cfRule>
    <cfRule type="cellIs" dxfId="11299" priority="4373" stopIfTrue="1" operator="equal">
      <formula>"Napkin Hs"</formula>
    </cfRule>
    <cfRule type="cellIs" dxfId="11298" priority="4376" stopIfTrue="1" operator="equal">
      <formula>"Towel"</formula>
    </cfRule>
    <cfRule type="cellIs" dxfId="11297" priority="4377" stopIfTrue="1" operator="equal">
      <formula>"Napkin Hs"</formula>
    </cfRule>
    <cfRule type="cellIs" dxfId="11296" priority="4378" stopIfTrue="1" operator="equal">
      <formula>"Towel"</formula>
    </cfRule>
    <cfRule type="cellIs" dxfId="11295" priority="4379" stopIfTrue="1" operator="equal">
      <formula>"Napkin Hs"</formula>
    </cfRule>
    <cfRule type="cellIs" dxfId="11294" priority="4380" stopIfTrue="1" operator="equal">
      <formula>"Towel"</formula>
    </cfRule>
    <cfRule type="cellIs" dxfId="11293" priority="4381" stopIfTrue="1" operator="equal">
      <formula>"Napkin Hs"</formula>
    </cfRule>
    <cfRule type="cellIs" dxfId="11292" priority="4384" stopIfTrue="1" operator="equal">
      <formula>"Towel"</formula>
    </cfRule>
    <cfRule type="cellIs" dxfId="11291" priority="4385" stopIfTrue="1" operator="equal">
      <formula>"Napkin Hs"</formula>
    </cfRule>
    <cfRule type="cellIs" dxfId="11290" priority="4386" stopIfTrue="1" operator="equal">
      <formula>"Towel"</formula>
    </cfRule>
    <cfRule type="cellIs" dxfId="11289" priority="4387" stopIfTrue="1" operator="equal">
      <formula>"Napkin Hs"</formula>
    </cfRule>
    <cfRule type="cellIs" dxfId="11288" priority="4390" stopIfTrue="1" operator="equal">
      <formula>"Towel"</formula>
    </cfRule>
    <cfRule type="cellIs" dxfId="11287" priority="4391" stopIfTrue="1" operator="equal">
      <formula>"Napkin Hs"</formula>
    </cfRule>
    <cfRule type="cellIs" dxfId="11286" priority="4392" stopIfTrue="1" operator="equal">
      <formula>"Towel"</formula>
    </cfRule>
    <cfRule type="cellIs" dxfId="11285" priority="4393" stopIfTrue="1" operator="equal">
      <formula>"Napkin Hs"</formula>
    </cfRule>
    <cfRule type="cellIs" dxfId="11284" priority="4396" stopIfTrue="1" operator="equal">
      <formula>"Towel"</formula>
    </cfRule>
    <cfRule type="cellIs" dxfId="11283" priority="4397" stopIfTrue="1" operator="equal">
      <formula>"Napkin Hs"</formula>
    </cfRule>
    <cfRule type="cellIs" dxfId="11282" priority="4398" stopIfTrue="1" operator="equal">
      <formula>"Towel"</formula>
    </cfRule>
    <cfRule type="cellIs" dxfId="11281" priority="4399" stopIfTrue="1" operator="equal">
      <formula>"Napkin Hs"</formula>
    </cfRule>
    <cfRule type="cellIs" dxfId="11280" priority="4402" stopIfTrue="1" operator="equal">
      <formula>"Towel"</formula>
    </cfRule>
    <cfRule type="cellIs" dxfId="11279" priority="4403" stopIfTrue="1" operator="equal">
      <formula>"Napkin Hs"</formula>
    </cfRule>
    <cfRule type="cellIs" dxfId="11278" priority="4404" stopIfTrue="1" operator="equal">
      <formula>"Towel"</formula>
    </cfRule>
    <cfRule type="cellIs" dxfId="11277" priority="4405" stopIfTrue="1" operator="equal">
      <formula>"Napkin Hs"</formula>
    </cfRule>
    <cfRule type="cellIs" dxfId="11276" priority="4408" stopIfTrue="1" operator="equal">
      <formula>"Towel"</formula>
    </cfRule>
    <cfRule type="cellIs" dxfId="11275" priority="4409" stopIfTrue="1" operator="equal">
      <formula>"Napkin Hs"</formula>
    </cfRule>
    <cfRule type="cellIs" dxfId="11274" priority="4410" stopIfTrue="1" operator="equal">
      <formula>"Towel"</formula>
    </cfRule>
    <cfRule type="cellIs" dxfId="11273" priority="4411" stopIfTrue="1" operator="equal">
      <formula>"Napkin Hs"</formula>
    </cfRule>
    <cfRule type="cellIs" dxfId="11272" priority="4414" stopIfTrue="1" operator="equal">
      <formula>"Towel"</formula>
    </cfRule>
    <cfRule type="cellIs" dxfId="11271" priority="4415" stopIfTrue="1" operator="equal">
      <formula>"Napkin Hs"</formula>
    </cfRule>
    <cfRule type="cellIs" dxfId="11270" priority="4416" stopIfTrue="1" operator="equal">
      <formula>"Towel"</formula>
    </cfRule>
    <cfRule type="cellIs" dxfId="11269" priority="4417" stopIfTrue="1" operator="equal">
      <formula>"Napkin Hs"</formula>
    </cfRule>
  </conditionalFormatting>
  <conditionalFormatting sqref="C103">
    <cfRule type="cellIs" dxfId="11268" priority="4476" stopIfTrue="1" operator="equal">
      <formula>"Towel"</formula>
    </cfRule>
    <cfRule type="cellIs" dxfId="11267" priority="4477" stopIfTrue="1" operator="equal">
      <formula>"Napkin Hs"</formula>
    </cfRule>
    <cfRule type="cellIs" dxfId="11266" priority="4478" stopIfTrue="1" operator="equal">
      <formula>"Towel"</formula>
    </cfRule>
    <cfRule type="cellIs" dxfId="11265" priority="4479" stopIfTrue="1" operator="equal">
      <formula>"Napkin Hs"</formula>
    </cfRule>
    <cfRule type="cellIs" dxfId="11264" priority="4482" stopIfTrue="1" operator="equal">
      <formula>"Towel"</formula>
    </cfRule>
    <cfRule type="cellIs" dxfId="11263" priority="4483" stopIfTrue="1" operator="equal">
      <formula>"Napkin Hs"</formula>
    </cfRule>
    <cfRule type="cellIs" dxfId="11262" priority="4484" stopIfTrue="1" operator="equal">
      <formula>"Towel"</formula>
    </cfRule>
    <cfRule type="cellIs" dxfId="11261" priority="4485" stopIfTrue="1" operator="equal">
      <formula>"Napkin Hs"</formula>
    </cfRule>
    <cfRule type="cellIs" dxfId="11260" priority="4488" stopIfTrue="1" operator="equal">
      <formula>"Towel"</formula>
    </cfRule>
    <cfRule type="cellIs" dxfId="11259" priority="4489" stopIfTrue="1" operator="equal">
      <formula>"Napkin Hs"</formula>
    </cfRule>
    <cfRule type="cellIs" dxfId="11258" priority="4490" stopIfTrue="1" operator="equal">
      <formula>"Towel"</formula>
    </cfRule>
    <cfRule type="cellIs" dxfId="11257" priority="4491" stopIfTrue="1" operator="equal">
      <formula>"Napkin Hs"</formula>
    </cfRule>
    <cfRule type="cellIs" dxfId="11256" priority="4494" stopIfTrue="1" operator="equal">
      <formula>"Towel"</formula>
    </cfRule>
    <cfRule type="cellIs" dxfId="11255" priority="4495" stopIfTrue="1" operator="equal">
      <formula>"Napkin Hs"</formula>
    </cfRule>
    <cfRule type="cellIs" dxfId="11254" priority="4496" stopIfTrue="1" operator="equal">
      <formula>"Towel"</formula>
    </cfRule>
    <cfRule type="cellIs" dxfId="11253" priority="4497" stopIfTrue="1" operator="equal">
      <formula>"Napkin Hs"</formula>
    </cfRule>
    <cfRule type="cellIs" dxfId="11252" priority="4500" stopIfTrue="1" operator="equal">
      <formula>"Towel"</formula>
    </cfRule>
    <cfRule type="cellIs" dxfId="11251" priority="4501" stopIfTrue="1" operator="equal">
      <formula>"Napkin Hs"</formula>
    </cfRule>
    <cfRule type="cellIs" dxfId="11250" priority="4502" stopIfTrue="1" operator="equal">
      <formula>"Towel"</formula>
    </cfRule>
    <cfRule type="cellIs" dxfId="11249" priority="4503" stopIfTrue="1" operator="equal">
      <formula>"Napkin Hs"</formula>
    </cfRule>
    <cfRule type="cellIs" dxfId="11248" priority="4506" stopIfTrue="1" operator="equal">
      <formula>"Towel"</formula>
    </cfRule>
    <cfRule type="cellIs" dxfId="11247" priority="4507" stopIfTrue="1" operator="equal">
      <formula>"Napkin Hs"</formula>
    </cfRule>
    <cfRule type="cellIs" dxfId="11246" priority="4508" stopIfTrue="1" operator="equal">
      <formula>"Towel"</formula>
    </cfRule>
    <cfRule type="cellIs" dxfId="11245" priority="4509" stopIfTrue="1" operator="equal">
      <formula>"Napkin Hs"</formula>
    </cfRule>
    <cfRule type="cellIs" dxfId="11244" priority="4512" stopIfTrue="1" operator="equal">
      <formula>"Towel"</formula>
    </cfRule>
    <cfRule type="cellIs" dxfId="11243" priority="4513" stopIfTrue="1" operator="equal">
      <formula>"Napkin Hs"</formula>
    </cfRule>
    <cfRule type="cellIs" dxfId="11242" priority="4514" stopIfTrue="1" operator="equal">
      <formula>"Towel"</formula>
    </cfRule>
    <cfRule type="cellIs" dxfId="11241" priority="4515" stopIfTrue="1" operator="equal">
      <formula>"Napkin Hs"</formula>
    </cfRule>
    <cfRule type="cellIs" dxfId="11240" priority="4518" stopIfTrue="1" operator="equal">
      <formula>"Towel"</formula>
    </cfRule>
    <cfRule type="cellIs" dxfId="11239" priority="4519" stopIfTrue="1" operator="equal">
      <formula>"Napkin Hs"</formula>
    </cfRule>
  </conditionalFormatting>
  <conditionalFormatting sqref="C103:C104">
    <cfRule type="cellIs" dxfId="11238" priority="4424" stopIfTrue="1" operator="equal">
      <formula>"Towel"</formula>
    </cfRule>
    <cfRule type="cellIs" dxfId="11237" priority="4425" stopIfTrue="1" operator="equal">
      <formula>"Napkin Hs"</formula>
    </cfRule>
    <cfRule type="cellIs" dxfId="11236" priority="4426" stopIfTrue="1" operator="equal">
      <formula>"Towel"</formula>
    </cfRule>
    <cfRule type="cellIs" dxfId="11235" priority="4427" stopIfTrue="1" operator="equal">
      <formula>"Napkin Hs"</formula>
    </cfRule>
    <cfRule type="cellIs" dxfId="11234" priority="4428" stopIfTrue="1" operator="equal">
      <formula>"Towel"</formula>
    </cfRule>
    <cfRule type="cellIs" dxfId="11233" priority="4429" stopIfTrue="1" operator="equal">
      <formula>"Napkin Hs"</formula>
    </cfRule>
    <cfRule type="cellIs" dxfId="11232" priority="4430" stopIfTrue="1" operator="equal">
      <formula>"Towel"</formula>
    </cfRule>
    <cfRule type="cellIs" dxfId="11231" priority="4431" stopIfTrue="1" operator="equal">
      <formula>"Napkin Hs"</formula>
    </cfRule>
    <cfRule type="cellIs" dxfId="11230" priority="4432" stopIfTrue="1" operator="equal">
      <formula>"Towel"</formula>
    </cfRule>
    <cfRule type="cellIs" dxfId="11229" priority="4433" stopIfTrue="1" operator="equal">
      <formula>"Napkin Hs"</formula>
    </cfRule>
    <cfRule type="cellIs" dxfId="11228" priority="4434" stopIfTrue="1" operator="equal">
      <formula>"Towel"</formula>
    </cfRule>
    <cfRule type="cellIs" dxfId="11227" priority="4435" stopIfTrue="1" operator="equal">
      <formula>"Napkin Hs"</formula>
    </cfRule>
    <cfRule type="cellIs" dxfId="11226" priority="4436" stopIfTrue="1" operator="equal">
      <formula>"Towel"</formula>
    </cfRule>
    <cfRule type="cellIs" dxfId="11225" priority="4437" stopIfTrue="1" operator="equal">
      <formula>"Napkin Hs"</formula>
    </cfRule>
    <cfRule type="cellIs" dxfId="11224" priority="4440" stopIfTrue="1" operator="equal">
      <formula>"Towel"</formula>
    </cfRule>
    <cfRule type="cellIs" dxfId="11223" priority="4441" stopIfTrue="1" operator="equal">
      <formula>"Napkin Hs"</formula>
    </cfRule>
    <cfRule type="cellIs" dxfId="11222" priority="4442" stopIfTrue="1" operator="equal">
      <formula>"Towel"</formula>
    </cfRule>
    <cfRule type="cellIs" dxfId="11221" priority="4443" stopIfTrue="1" operator="equal">
      <formula>"Napkin Hs"</formula>
    </cfRule>
    <cfRule type="cellIs" dxfId="11220" priority="4446" stopIfTrue="1" operator="equal">
      <formula>"Towel"</formula>
    </cfRule>
    <cfRule type="cellIs" dxfId="11219" priority="4447" stopIfTrue="1" operator="equal">
      <formula>"Napkin Hs"</formula>
    </cfRule>
    <cfRule type="cellIs" dxfId="11218" priority="4448" stopIfTrue="1" operator="equal">
      <formula>"Towel"</formula>
    </cfRule>
    <cfRule type="cellIs" dxfId="11217" priority="4449" stopIfTrue="1" operator="equal">
      <formula>"Napkin Hs"</formula>
    </cfRule>
    <cfRule type="cellIs" dxfId="11216" priority="4452" stopIfTrue="1" operator="equal">
      <formula>"Towel"</formula>
    </cfRule>
    <cfRule type="cellIs" dxfId="11215" priority="4453" stopIfTrue="1" operator="equal">
      <formula>"Napkin Hs"</formula>
    </cfRule>
    <cfRule type="cellIs" dxfId="11214" priority="4454" stopIfTrue="1" operator="equal">
      <formula>"Towel"</formula>
    </cfRule>
    <cfRule type="cellIs" dxfId="11213" priority="4455" stopIfTrue="1" operator="equal">
      <formula>"Napkin Hs"</formula>
    </cfRule>
    <cfRule type="cellIs" dxfId="11212" priority="4458" stopIfTrue="1" operator="equal">
      <formula>"Towel"</formula>
    </cfRule>
    <cfRule type="cellIs" dxfId="11211" priority="4459" stopIfTrue="1" operator="equal">
      <formula>"Napkin Hs"</formula>
    </cfRule>
    <cfRule type="cellIs" dxfId="11210" priority="4460" stopIfTrue="1" operator="equal">
      <formula>"Towel"</formula>
    </cfRule>
    <cfRule type="cellIs" dxfId="11209" priority="4461" stopIfTrue="1" operator="equal">
      <formula>"Napkin Hs"</formula>
    </cfRule>
    <cfRule type="cellIs" dxfId="11208" priority="4464" stopIfTrue="1" operator="equal">
      <formula>"Towel"</formula>
    </cfRule>
    <cfRule type="cellIs" dxfId="11207" priority="4465" stopIfTrue="1" operator="equal">
      <formula>"Napkin Hs"</formula>
    </cfRule>
    <cfRule type="cellIs" dxfId="11206" priority="4466" stopIfTrue="1" operator="equal">
      <formula>"Towel"</formula>
    </cfRule>
    <cfRule type="cellIs" dxfId="11205" priority="4467" stopIfTrue="1" operator="equal">
      <formula>"Napkin Hs"</formula>
    </cfRule>
    <cfRule type="cellIs" dxfId="11204" priority="4470" stopIfTrue="1" operator="equal">
      <formula>"Towel"</formula>
    </cfRule>
    <cfRule type="cellIs" dxfId="11203" priority="4471" stopIfTrue="1" operator="equal">
      <formula>"Napkin Hs"</formula>
    </cfRule>
    <cfRule type="cellIs" dxfId="11202" priority="4472" stopIfTrue="1" operator="equal">
      <formula>"Towel"</formula>
    </cfRule>
    <cfRule type="cellIs" dxfId="11201" priority="4473" stopIfTrue="1" operator="equal">
      <formula>"Napkin Hs"</formula>
    </cfRule>
    <cfRule type="cellIs" dxfId="11200" priority="4520" stopIfTrue="1" operator="equal">
      <formula>"Towel"</formula>
    </cfRule>
    <cfRule type="cellIs" dxfId="11199" priority="4521" stopIfTrue="1" operator="equal">
      <formula>"Napkin Hs"</formula>
    </cfRule>
  </conditionalFormatting>
  <conditionalFormatting sqref="C104">
    <cfRule type="cellIs" dxfId="11198" priority="4524" stopIfTrue="1" operator="equal">
      <formula>"Towel"</formula>
    </cfRule>
    <cfRule type="cellIs" dxfId="11197" priority="4525" stopIfTrue="1" operator="equal">
      <formula>"Napkin Hs"</formula>
    </cfRule>
    <cfRule type="cellIs" dxfId="11196" priority="4528" stopIfTrue="1" operator="equal">
      <formula>"Towel"</formula>
    </cfRule>
    <cfRule type="cellIs" dxfId="11195" priority="4529" stopIfTrue="1" operator="equal">
      <formula>"Napkin Hs"</formula>
    </cfRule>
    <cfRule type="cellIs" dxfId="11194" priority="4530" stopIfTrue="1" operator="equal">
      <formula>"Towel"</formula>
    </cfRule>
    <cfRule type="cellIs" dxfId="11193" priority="4531" stopIfTrue="1" operator="equal">
      <formula>"Napkin Hs"</formula>
    </cfRule>
    <cfRule type="cellIs" dxfId="11192" priority="4534" stopIfTrue="1" operator="equal">
      <formula>"Towel"</formula>
    </cfRule>
    <cfRule type="cellIs" dxfId="11191" priority="4535" stopIfTrue="1" operator="equal">
      <formula>"Napkin Hs"</formula>
    </cfRule>
    <cfRule type="cellIs" dxfId="11190" priority="4536" stopIfTrue="1" operator="equal">
      <formula>"Towel"</formula>
    </cfRule>
    <cfRule type="cellIs" dxfId="11189" priority="4537" stopIfTrue="1" operator="equal">
      <formula>"Napkin Hs"</formula>
    </cfRule>
    <cfRule type="cellIs" dxfId="11188" priority="4540" stopIfTrue="1" operator="equal">
      <formula>"Towel"</formula>
    </cfRule>
    <cfRule type="cellIs" dxfId="11187" priority="4541" stopIfTrue="1" operator="equal">
      <formula>"Napkin Hs"</formula>
    </cfRule>
    <cfRule type="cellIs" dxfId="11186" priority="4542" stopIfTrue="1" operator="equal">
      <formula>"Towel"</formula>
    </cfRule>
    <cfRule type="cellIs" dxfId="11185" priority="4543" stopIfTrue="1" operator="equal">
      <formula>"Napkin Hs"</formula>
    </cfRule>
    <cfRule type="cellIs" dxfId="11184" priority="4546" stopIfTrue="1" operator="equal">
      <formula>"Towel"</formula>
    </cfRule>
    <cfRule type="cellIs" dxfId="11183" priority="4547" stopIfTrue="1" operator="equal">
      <formula>"Napkin Hs"</formula>
    </cfRule>
    <cfRule type="cellIs" dxfId="11182" priority="4548" stopIfTrue="1" operator="equal">
      <formula>"Towel"</formula>
    </cfRule>
    <cfRule type="cellIs" dxfId="11181" priority="4549" stopIfTrue="1" operator="equal">
      <formula>"Napkin Hs"</formula>
    </cfRule>
    <cfRule type="cellIs" dxfId="11180" priority="4552" stopIfTrue="1" operator="equal">
      <formula>"Towel"</formula>
    </cfRule>
    <cfRule type="cellIs" dxfId="11179" priority="4553" stopIfTrue="1" operator="equal">
      <formula>"Napkin Hs"</formula>
    </cfRule>
    <cfRule type="cellIs" dxfId="11178" priority="4554" stopIfTrue="1" operator="equal">
      <formula>"Towel"</formula>
    </cfRule>
    <cfRule type="cellIs" dxfId="11177" priority="4555" stopIfTrue="1" operator="equal">
      <formula>"Napkin Hs"</formula>
    </cfRule>
    <cfRule type="cellIs" dxfId="11176" priority="4558" stopIfTrue="1" operator="equal">
      <formula>"Towel"</formula>
    </cfRule>
    <cfRule type="cellIs" dxfId="11175" priority="4559" stopIfTrue="1" operator="equal">
      <formula>"Napkin Hs"</formula>
    </cfRule>
    <cfRule type="cellIs" dxfId="11174" priority="4560" stopIfTrue="1" operator="equal">
      <formula>"Towel"</formula>
    </cfRule>
    <cfRule type="cellIs" dxfId="11173" priority="4561" stopIfTrue="1" operator="equal">
      <formula>"Napkin Hs"</formula>
    </cfRule>
    <cfRule type="cellIs" dxfId="11172" priority="4564" stopIfTrue="1" operator="equal">
      <formula>"Towel"</formula>
    </cfRule>
    <cfRule type="cellIs" dxfId="11171" priority="4565" stopIfTrue="1" operator="equal">
      <formula>"Napkin Hs"</formula>
    </cfRule>
  </conditionalFormatting>
  <conditionalFormatting sqref="C104">
    <cfRule type="cellIs" dxfId="11170" priority="4566" stopIfTrue="1" operator="equal">
      <formula>"Towel"</formula>
    </cfRule>
    <cfRule type="cellIs" dxfId="11169" priority="4567" stopIfTrue="1" operator="equal">
      <formula>"Napkin Hs"</formula>
    </cfRule>
  </conditionalFormatting>
  <conditionalFormatting sqref="B109">
    <cfRule type="cellIs" dxfId="11168" priority="4235" stopIfTrue="1" operator="equal">
      <formula>"Towel"</formula>
    </cfRule>
    <cfRule type="cellIs" dxfId="11167" priority="4236" stopIfTrue="1" operator="equal">
      <formula>"Napkin Hs"</formula>
    </cfRule>
    <cfRule type="cellIs" dxfId="11166" priority="4237" stopIfTrue="1" operator="equal">
      <formula>"Towel"</formula>
    </cfRule>
    <cfRule type="cellIs" dxfId="11165" priority="4238" stopIfTrue="1" operator="equal">
      <formula>"Napkin Hs"</formula>
    </cfRule>
    <cfRule type="cellIs" dxfId="11164" priority="4239" stopIfTrue="1" operator="equal">
      <formula>"Towel"</formula>
    </cfRule>
    <cfRule type="cellIs" dxfId="11163" priority="4240" stopIfTrue="1" operator="equal">
      <formula>"Napkin Hs"</formula>
    </cfRule>
    <cfRule type="cellIs" dxfId="11162" priority="4241" stopIfTrue="1" operator="equal">
      <formula>"Towel"</formula>
    </cfRule>
    <cfRule type="cellIs" dxfId="11161" priority="4242" stopIfTrue="1" operator="equal">
      <formula>"Napkin Hs"</formula>
    </cfRule>
    <cfRule type="cellIs" dxfId="11160" priority="4243" stopIfTrue="1" operator="equal">
      <formula>"Towel"</formula>
    </cfRule>
    <cfRule type="cellIs" dxfId="11159" priority="4244" stopIfTrue="1" operator="equal">
      <formula>"Napkin Hs"</formula>
    </cfRule>
    <cfRule type="cellIs" dxfId="11158" priority="4245" stopIfTrue="1" operator="equal">
      <formula>"Towel"</formula>
    </cfRule>
    <cfRule type="cellIs" dxfId="11157" priority="4246" stopIfTrue="1" operator="equal">
      <formula>"Napkin Hs"</formula>
    </cfRule>
    <cfRule type="cellIs" dxfId="11156" priority="4247" stopIfTrue="1" operator="equal">
      <formula>"Towel"</formula>
    </cfRule>
    <cfRule type="cellIs" dxfId="11155" priority="4248" stopIfTrue="1" operator="equal">
      <formula>"Napkin Hs"</formula>
    </cfRule>
    <cfRule type="cellIs" dxfId="11154" priority="4249" stopIfTrue="1" operator="equal">
      <formula>"Towel"</formula>
    </cfRule>
    <cfRule type="cellIs" dxfId="11153" priority="4250" stopIfTrue="1" operator="equal">
      <formula>"Napkin Hs"</formula>
    </cfRule>
  </conditionalFormatting>
  <conditionalFormatting sqref="B109:C110">
    <cfRule type="cellIs" dxfId="11152" priority="4227" stopIfTrue="1" operator="equal">
      <formula>"Towel"</formula>
    </cfRule>
    <cfRule type="cellIs" dxfId="11151" priority="4228" stopIfTrue="1" operator="equal">
      <formula>"Napkin Hs"</formula>
    </cfRule>
  </conditionalFormatting>
  <conditionalFormatting sqref="C109 B110:C110">
    <cfRule type="cellIs" dxfId="11150" priority="4234" stopIfTrue="1" operator="equal">
      <formula>"Napkin Hs"</formula>
    </cfRule>
  </conditionalFormatting>
  <conditionalFormatting sqref="C109 B110:C110">
    <cfRule type="cellIs" dxfId="11149" priority="4233" stopIfTrue="1" operator="equal">
      <formula>"Towel"</formula>
    </cfRule>
  </conditionalFormatting>
  <conditionalFormatting sqref="C109 B110:C110">
    <cfRule type="cellIs" dxfId="11148" priority="4185" stopIfTrue="1" operator="equal">
      <formula>"Towel"</formula>
    </cfRule>
    <cfRule type="cellIs" dxfId="11147" priority="4186" stopIfTrue="1" operator="equal">
      <formula>"Napkin Hs"</formula>
    </cfRule>
    <cfRule type="cellIs" dxfId="11146" priority="4191" stopIfTrue="1" operator="equal">
      <formula>"Towel"</formula>
    </cfRule>
    <cfRule type="cellIs" dxfId="11145" priority="4192" stopIfTrue="1" operator="equal">
      <formula>"Napkin Hs"</formula>
    </cfRule>
    <cfRule type="cellIs" dxfId="11144" priority="4197" stopIfTrue="1" operator="equal">
      <formula>"Towel"</formula>
    </cfRule>
    <cfRule type="cellIs" dxfId="11143" priority="4198" stopIfTrue="1" operator="equal">
      <formula>"Napkin Hs"</formula>
    </cfRule>
    <cfRule type="cellIs" dxfId="11142" priority="4203" stopIfTrue="1" operator="equal">
      <formula>"Towel"</formula>
    </cfRule>
    <cfRule type="cellIs" dxfId="11141" priority="4204" stopIfTrue="1" operator="equal">
      <formula>"Napkin Hs"</formula>
    </cfRule>
    <cfRule type="cellIs" dxfId="11140" priority="4209" stopIfTrue="1" operator="equal">
      <formula>"Towel"</formula>
    </cfRule>
    <cfRule type="cellIs" dxfId="11139" priority="4210" stopIfTrue="1" operator="equal">
      <formula>"Napkin Hs"</formula>
    </cfRule>
    <cfRule type="cellIs" dxfId="11138" priority="4215" stopIfTrue="1" operator="equal">
      <formula>"Towel"</formula>
    </cfRule>
    <cfRule type="cellIs" dxfId="11137" priority="4216" stopIfTrue="1" operator="equal">
      <formula>"Napkin Hs"</formula>
    </cfRule>
    <cfRule type="cellIs" dxfId="11136" priority="4221" stopIfTrue="1" operator="equal">
      <formula>"Towel"</formula>
    </cfRule>
    <cfRule type="cellIs" dxfId="11135" priority="4222" stopIfTrue="1" operator="equal">
      <formula>"Napkin Hs"</formula>
    </cfRule>
  </conditionalFormatting>
  <conditionalFormatting sqref="C109:C110">
    <cfRule type="cellIs" dxfId="11134" priority="4181" stopIfTrue="1" operator="equal">
      <formula>"Towel"</formula>
    </cfRule>
    <cfRule type="cellIs" dxfId="11133" priority="4182" stopIfTrue="1" operator="equal">
      <formula>"Napkin Hs"</formula>
    </cfRule>
    <cfRule type="cellIs" dxfId="11132" priority="4183" stopIfTrue="1" operator="equal">
      <formula>"Towel"</formula>
    </cfRule>
    <cfRule type="cellIs" dxfId="11131" priority="4184" stopIfTrue="1" operator="equal">
      <formula>"Napkin Hs"</formula>
    </cfRule>
    <cfRule type="cellIs" dxfId="11130" priority="4187" stopIfTrue="1" operator="equal">
      <formula>"Towel"</formula>
    </cfRule>
    <cfRule type="cellIs" dxfId="11129" priority="4188" stopIfTrue="1" operator="equal">
      <formula>"Napkin Hs"</formula>
    </cfRule>
    <cfRule type="cellIs" dxfId="11128" priority="4189" stopIfTrue="1" operator="equal">
      <formula>"Towel"</formula>
    </cfRule>
    <cfRule type="cellIs" dxfId="11127" priority="4190" stopIfTrue="1" operator="equal">
      <formula>"Napkin Hs"</formula>
    </cfRule>
    <cfRule type="cellIs" dxfId="11126" priority="4193" stopIfTrue="1" operator="equal">
      <formula>"Towel"</formula>
    </cfRule>
    <cfRule type="cellIs" dxfId="11125" priority="4194" stopIfTrue="1" operator="equal">
      <formula>"Napkin Hs"</formula>
    </cfRule>
    <cfRule type="cellIs" dxfId="11124" priority="4195" stopIfTrue="1" operator="equal">
      <formula>"Towel"</formula>
    </cfRule>
    <cfRule type="cellIs" dxfId="11123" priority="4196" stopIfTrue="1" operator="equal">
      <formula>"Napkin Hs"</formula>
    </cfRule>
    <cfRule type="cellIs" dxfId="11122" priority="4199" stopIfTrue="1" operator="equal">
      <formula>"Towel"</formula>
    </cfRule>
    <cfRule type="cellIs" dxfId="11121" priority="4200" stopIfTrue="1" operator="equal">
      <formula>"Napkin Hs"</formula>
    </cfRule>
    <cfRule type="cellIs" dxfId="11120" priority="4201" stopIfTrue="1" operator="equal">
      <formula>"Towel"</formula>
    </cfRule>
    <cfRule type="cellIs" dxfId="11119" priority="4202" stopIfTrue="1" operator="equal">
      <formula>"Napkin Hs"</formula>
    </cfRule>
    <cfRule type="cellIs" dxfId="11118" priority="4205" stopIfTrue="1" operator="equal">
      <formula>"Towel"</formula>
    </cfRule>
    <cfRule type="cellIs" dxfId="11117" priority="4206" stopIfTrue="1" operator="equal">
      <formula>"Napkin Hs"</formula>
    </cfRule>
    <cfRule type="cellIs" dxfId="11116" priority="4207" stopIfTrue="1" operator="equal">
      <formula>"Towel"</formula>
    </cfRule>
    <cfRule type="cellIs" dxfId="11115" priority="4208" stopIfTrue="1" operator="equal">
      <formula>"Napkin Hs"</formula>
    </cfRule>
    <cfRule type="cellIs" dxfId="11114" priority="4211" stopIfTrue="1" operator="equal">
      <formula>"Towel"</formula>
    </cfRule>
    <cfRule type="cellIs" dxfId="11113" priority="4212" stopIfTrue="1" operator="equal">
      <formula>"Napkin Hs"</formula>
    </cfRule>
    <cfRule type="cellIs" dxfId="11112" priority="4213" stopIfTrue="1" operator="equal">
      <formula>"Towel"</formula>
    </cfRule>
    <cfRule type="cellIs" dxfId="11111" priority="4214" stopIfTrue="1" operator="equal">
      <formula>"Napkin Hs"</formula>
    </cfRule>
    <cfRule type="cellIs" dxfId="11110" priority="4217" stopIfTrue="1" operator="equal">
      <formula>"Towel"</formula>
    </cfRule>
    <cfRule type="cellIs" dxfId="11109" priority="4218" stopIfTrue="1" operator="equal">
      <formula>"Napkin Hs"</formula>
    </cfRule>
    <cfRule type="cellIs" dxfId="11108" priority="4219" stopIfTrue="1" operator="equal">
      <formula>"Towel"</formula>
    </cfRule>
    <cfRule type="cellIs" dxfId="11107" priority="4220" stopIfTrue="1" operator="equal">
      <formula>"Napkin Hs"</formula>
    </cfRule>
    <cfRule type="cellIs" dxfId="11106" priority="4223" stopIfTrue="1" operator="equal">
      <formula>"Towel"</formula>
    </cfRule>
    <cfRule type="cellIs" dxfId="11105" priority="4224" stopIfTrue="1" operator="equal">
      <formula>"Napkin Hs"</formula>
    </cfRule>
    <cfRule type="cellIs" dxfId="11104" priority="4225" stopIfTrue="1" operator="equal">
      <formula>"Towel"</formula>
    </cfRule>
    <cfRule type="cellIs" dxfId="11103" priority="4226" stopIfTrue="1" operator="equal">
      <formula>"Napkin Hs"</formula>
    </cfRule>
    <cfRule type="cellIs" dxfId="11102" priority="4229" stopIfTrue="1" operator="equal">
      <formula>"Towel"</formula>
    </cfRule>
    <cfRule type="cellIs" dxfId="11101" priority="4230" stopIfTrue="1" operator="equal">
      <formula>"Napkin Hs"</formula>
    </cfRule>
  </conditionalFormatting>
  <conditionalFormatting sqref="C109:C110">
    <cfRule type="cellIs" dxfId="11100" priority="4231" stopIfTrue="1" operator="equal">
      <formula>"Towel"</formula>
    </cfRule>
    <cfRule type="cellIs" dxfId="11099" priority="4232" stopIfTrue="1" operator="equal">
      <formula>"Napkin Hs"</formula>
    </cfRule>
  </conditionalFormatting>
  <conditionalFormatting sqref="B107:B108">
    <cfRule type="cellIs" dxfId="11098" priority="4031" stopIfTrue="1" operator="equal">
      <formula>"Towel"</formula>
    </cfRule>
    <cfRule type="cellIs" dxfId="11097" priority="4032" stopIfTrue="1" operator="equal">
      <formula>"Napkin Hs"</formula>
    </cfRule>
  </conditionalFormatting>
  <conditionalFormatting sqref="B105:C105">
    <cfRule type="cellIs" dxfId="11096" priority="3869" stopIfTrue="1" operator="equal">
      <formula>"Towel"</formula>
    </cfRule>
    <cfRule type="cellIs" dxfId="11095" priority="3870" stopIfTrue="1" operator="equal">
      <formula>"Napkin Hs"</formula>
    </cfRule>
    <cfRule type="cellIs" dxfId="11094" priority="3875" stopIfTrue="1" operator="equal">
      <formula>"Towel"</formula>
    </cfRule>
    <cfRule type="cellIs" dxfId="11093" priority="3876" stopIfTrue="1" operator="equal">
      <formula>"Napkin Hs"</formula>
    </cfRule>
    <cfRule type="cellIs" dxfId="11092" priority="3881" stopIfTrue="1" operator="equal">
      <formula>"Towel"</formula>
    </cfRule>
    <cfRule type="cellIs" dxfId="11091" priority="3882" stopIfTrue="1" operator="equal">
      <formula>"Napkin Hs"</formula>
    </cfRule>
    <cfRule type="cellIs" dxfId="11090" priority="3887" stopIfTrue="1" operator="equal">
      <formula>"Towel"</formula>
    </cfRule>
    <cfRule type="cellIs" dxfId="11089" priority="3888" stopIfTrue="1" operator="equal">
      <formula>"Napkin Hs"</formula>
    </cfRule>
    <cfRule type="cellIs" dxfId="11088" priority="3893" stopIfTrue="1" operator="equal">
      <formula>"Towel"</formula>
    </cfRule>
    <cfRule type="cellIs" dxfId="11087" priority="3894" stopIfTrue="1" operator="equal">
      <formula>"Napkin Hs"</formula>
    </cfRule>
    <cfRule type="cellIs" dxfId="11086" priority="3899" stopIfTrue="1" operator="equal">
      <formula>"Towel"</formula>
    </cfRule>
    <cfRule type="cellIs" dxfId="11085" priority="3900" stopIfTrue="1" operator="equal">
      <formula>"Napkin Hs"</formula>
    </cfRule>
    <cfRule type="cellIs" dxfId="11084" priority="3903" stopIfTrue="1" operator="equal">
      <formula>"Towel"</formula>
    </cfRule>
    <cfRule type="cellIs" dxfId="11083" priority="3904" stopIfTrue="1" operator="equal">
      <formula>"Napkin Hs"</formula>
    </cfRule>
    <cfRule type="cellIs" dxfId="11082" priority="3911" stopIfTrue="1" operator="equal">
      <formula>"Towel"</formula>
    </cfRule>
    <cfRule type="cellIs" dxfId="11081" priority="3912" stopIfTrue="1" operator="equal">
      <formula>"Napkin Hs"</formula>
    </cfRule>
    <cfRule type="cellIs" dxfId="11080" priority="3917" stopIfTrue="1" operator="equal">
      <formula>"Towel"</formula>
    </cfRule>
    <cfRule type="cellIs" dxfId="11079" priority="3918" stopIfTrue="1" operator="equal">
      <formula>"Napkin Hs"</formula>
    </cfRule>
    <cfRule type="cellIs" dxfId="11078" priority="3923" stopIfTrue="1" operator="equal">
      <formula>"Towel"</formula>
    </cfRule>
    <cfRule type="cellIs" dxfId="11077" priority="3924" stopIfTrue="1" operator="equal">
      <formula>"Napkin Hs"</formula>
    </cfRule>
    <cfRule type="cellIs" dxfId="11076" priority="3929" stopIfTrue="1" operator="equal">
      <formula>"Towel"</formula>
    </cfRule>
    <cfRule type="cellIs" dxfId="11075" priority="3930" stopIfTrue="1" operator="equal">
      <formula>"Napkin Hs"</formula>
    </cfRule>
    <cfRule type="cellIs" dxfId="11074" priority="3935" stopIfTrue="1" operator="equal">
      <formula>"Towel"</formula>
    </cfRule>
    <cfRule type="cellIs" dxfId="11073" priority="3936" stopIfTrue="1" operator="equal">
      <formula>"Napkin Hs"</formula>
    </cfRule>
    <cfRule type="cellIs" dxfId="11072" priority="3941" stopIfTrue="1" operator="equal">
      <formula>"Towel"</formula>
    </cfRule>
    <cfRule type="cellIs" dxfId="11071" priority="3942" stopIfTrue="1" operator="equal">
      <formula>"Napkin Hs"</formula>
    </cfRule>
    <cfRule type="cellIs" dxfId="11070" priority="3947" stopIfTrue="1" operator="equal">
      <formula>"Towel"</formula>
    </cfRule>
    <cfRule type="cellIs" dxfId="11069" priority="3948" stopIfTrue="1" operator="equal">
      <formula>"Napkin Hs"</formula>
    </cfRule>
  </conditionalFormatting>
  <conditionalFormatting sqref="B106:C106">
    <cfRule type="cellIs" dxfId="11068" priority="3951" stopIfTrue="1" operator="equal">
      <formula>"Towel"</formula>
    </cfRule>
    <cfRule type="cellIs" dxfId="11067" priority="3952" stopIfTrue="1" operator="equal">
      <formula>"Napkin Hs"</formula>
    </cfRule>
    <cfRule type="cellIs" dxfId="11066" priority="3957" stopIfTrue="1" operator="equal">
      <formula>"Towel"</formula>
    </cfRule>
    <cfRule type="cellIs" dxfId="11065" priority="3958" stopIfTrue="1" operator="equal">
      <formula>"Napkin Hs"</formula>
    </cfRule>
    <cfRule type="cellIs" dxfId="11064" priority="3963" stopIfTrue="1" operator="equal">
      <formula>"Towel"</formula>
    </cfRule>
    <cfRule type="cellIs" dxfId="11063" priority="3964" stopIfTrue="1" operator="equal">
      <formula>"Napkin Hs"</formula>
    </cfRule>
    <cfRule type="cellIs" dxfId="11062" priority="3969" stopIfTrue="1" operator="equal">
      <formula>"Towel"</formula>
    </cfRule>
    <cfRule type="cellIs" dxfId="11061" priority="3970" stopIfTrue="1" operator="equal">
      <formula>"Napkin Hs"</formula>
    </cfRule>
    <cfRule type="cellIs" dxfId="11060" priority="3975" stopIfTrue="1" operator="equal">
      <formula>"Towel"</formula>
    </cfRule>
    <cfRule type="cellIs" dxfId="11059" priority="3976" stopIfTrue="1" operator="equal">
      <formula>"Napkin Hs"</formula>
    </cfRule>
    <cfRule type="cellIs" dxfId="11058" priority="3981" stopIfTrue="1" operator="equal">
      <formula>"Towel"</formula>
    </cfRule>
    <cfRule type="cellIs" dxfId="11057" priority="3982" stopIfTrue="1" operator="equal">
      <formula>"Napkin Hs"</formula>
    </cfRule>
    <cfRule type="cellIs" dxfId="11056" priority="3985" stopIfTrue="1" operator="equal">
      <formula>"Towel"</formula>
    </cfRule>
    <cfRule type="cellIs" dxfId="11055" priority="3986" stopIfTrue="1" operator="equal">
      <formula>"Napkin Hs"</formula>
    </cfRule>
    <cfRule type="cellIs" dxfId="11054" priority="3993" stopIfTrue="1" operator="equal">
      <formula>"Towel"</formula>
    </cfRule>
    <cfRule type="cellIs" dxfId="11053" priority="3994" stopIfTrue="1" operator="equal">
      <formula>"Napkin Hs"</formula>
    </cfRule>
    <cfRule type="cellIs" dxfId="11052" priority="3999" stopIfTrue="1" operator="equal">
      <formula>"Towel"</formula>
    </cfRule>
    <cfRule type="cellIs" dxfId="11051" priority="4000" stopIfTrue="1" operator="equal">
      <formula>"Napkin Hs"</formula>
    </cfRule>
    <cfRule type="cellIs" dxfId="11050" priority="4005" stopIfTrue="1" operator="equal">
      <formula>"Towel"</formula>
    </cfRule>
    <cfRule type="cellIs" dxfId="11049" priority="4006" stopIfTrue="1" operator="equal">
      <formula>"Napkin Hs"</formula>
    </cfRule>
    <cfRule type="cellIs" dxfId="11048" priority="4011" stopIfTrue="1" operator="equal">
      <formula>"Towel"</formula>
    </cfRule>
    <cfRule type="cellIs" dxfId="11047" priority="4012" stopIfTrue="1" operator="equal">
      <formula>"Napkin Hs"</formula>
    </cfRule>
    <cfRule type="cellIs" dxfId="11046" priority="4017" stopIfTrue="1" operator="equal">
      <formula>"Towel"</formula>
    </cfRule>
    <cfRule type="cellIs" dxfId="11045" priority="4018" stopIfTrue="1" operator="equal">
      <formula>"Napkin Hs"</formula>
    </cfRule>
    <cfRule type="cellIs" dxfId="11044" priority="4023" stopIfTrue="1" operator="equal">
      <formula>"Towel"</formula>
    </cfRule>
    <cfRule type="cellIs" dxfId="11043" priority="4024" stopIfTrue="1" operator="equal">
      <formula>"Napkin Hs"</formula>
    </cfRule>
    <cfRule type="cellIs" dxfId="11042" priority="4029" stopIfTrue="1" operator="equal">
      <formula>"Towel"</formula>
    </cfRule>
    <cfRule type="cellIs" dxfId="11041" priority="4030" stopIfTrue="1" operator="equal">
      <formula>"Napkin Hs"</formula>
    </cfRule>
  </conditionalFormatting>
  <conditionalFormatting sqref="B107:C107">
    <cfRule type="cellIs" dxfId="11040" priority="4091" stopIfTrue="1" operator="equal">
      <formula>"Towel"</formula>
    </cfRule>
    <cfRule type="cellIs" dxfId="11039" priority="4092" stopIfTrue="1" operator="equal">
      <formula>"Napkin Hs"</formula>
    </cfRule>
    <cfRule type="cellIs" dxfId="11038" priority="4097" stopIfTrue="1" operator="equal">
      <formula>"Towel"</formula>
    </cfRule>
    <cfRule type="cellIs" dxfId="11037" priority="4098" stopIfTrue="1" operator="equal">
      <formula>"Napkin Hs"</formula>
    </cfRule>
    <cfRule type="cellIs" dxfId="11036" priority="4103" stopIfTrue="1" operator="equal">
      <formula>"Towel"</formula>
    </cfRule>
    <cfRule type="cellIs" dxfId="11035" priority="4104" stopIfTrue="1" operator="equal">
      <formula>"Napkin Hs"</formula>
    </cfRule>
    <cfRule type="cellIs" dxfId="11034" priority="4109" stopIfTrue="1" operator="equal">
      <formula>"Towel"</formula>
    </cfRule>
    <cfRule type="cellIs" dxfId="11033" priority="4110" stopIfTrue="1" operator="equal">
      <formula>"Napkin Hs"</formula>
    </cfRule>
    <cfRule type="cellIs" dxfId="11032" priority="4115" stopIfTrue="1" operator="equal">
      <formula>"Towel"</formula>
    </cfRule>
    <cfRule type="cellIs" dxfId="11031" priority="4116" stopIfTrue="1" operator="equal">
      <formula>"Napkin Hs"</formula>
    </cfRule>
    <cfRule type="cellIs" dxfId="11030" priority="4121" stopIfTrue="1" operator="equal">
      <formula>"Towel"</formula>
    </cfRule>
    <cfRule type="cellIs" dxfId="11029" priority="4122" stopIfTrue="1" operator="equal">
      <formula>"Napkin Hs"</formula>
    </cfRule>
    <cfRule type="cellIs" dxfId="11028" priority="4127" stopIfTrue="1" operator="equal">
      <formula>"Towel"</formula>
    </cfRule>
    <cfRule type="cellIs" dxfId="11027" priority="4128" stopIfTrue="1" operator="equal">
      <formula>"Napkin Hs"</formula>
    </cfRule>
    <cfRule type="cellIs" dxfId="11026" priority="4133" stopIfTrue="1" operator="equal">
      <formula>"Towel"</formula>
    </cfRule>
    <cfRule type="cellIs" dxfId="11025" priority="4134" stopIfTrue="1" operator="equal">
      <formula>"Napkin Hs"</formula>
    </cfRule>
  </conditionalFormatting>
  <conditionalFormatting sqref="B107:C108">
    <cfRule type="cellIs" dxfId="11024" priority="4033" stopIfTrue="1" operator="equal">
      <formula>"Towel"</formula>
    </cfRule>
    <cfRule type="cellIs" dxfId="11023" priority="4034" stopIfTrue="1" operator="equal">
      <formula>"Napkin Hs"</formula>
    </cfRule>
    <cfRule type="cellIs" dxfId="11022" priority="4049" stopIfTrue="1" operator="equal">
      <formula>"Towel"</formula>
    </cfRule>
    <cfRule type="cellIs" dxfId="11021" priority="4050" stopIfTrue="1" operator="equal">
      <formula>"Napkin Hs"</formula>
    </cfRule>
    <cfRule type="cellIs" dxfId="11020" priority="4055" stopIfTrue="1" operator="equal">
      <formula>"Towel"</formula>
    </cfRule>
    <cfRule type="cellIs" dxfId="11019" priority="4056" stopIfTrue="1" operator="equal">
      <formula>"Napkin Hs"</formula>
    </cfRule>
    <cfRule type="cellIs" dxfId="11018" priority="4061" stopIfTrue="1" operator="equal">
      <formula>"Towel"</formula>
    </cfRule>
    <cfRule type="cellIs" dxfId="11017" priority="4062" stopIfTrue="1" operator="equal">
      <formula>"Napkin Hs"</formula>
    </cfRule>
    <cfRule type="cellIs" dxfId="11016" priority="4067" stopIfTrue="1" operator="equal">
      <formula>"Towel"</formula>
    </cfRule>
    <cfRule type="cellIs" dxfId="11015" priority="4068" stopIfTrue="1" operator="equal">
      <formula>"Napkin Hs"</formula>
    </cfRule>
    <cfRule type="cellIs" dxfId="11014" priority="4073" stopIfTrue="1" operator="equal">
      <formula>"Towel"</formula>
    </cfRule>
    <cfRule type="cellIs" dxfId="11013" priority="4074" stopIfTrue="1" operator="equal">
      <formula>"Napkin Hs"</formula>
    </cfRule>
    <cfRule type="cellIs" dxfId="11012" priority="4079" stopIfTrue="1" operator="equal">
      <formula>"Towel"</formula>
    </cfRule>
    <cfRule type="cellIs" dxfId="11011" priority="4080" stopIfTrue="1" operator="equal">
      <formula>"Napkin Hs"</formula>
    </cfRule>
    <cfRule type="cellIs" dxfId="11010" priority="4085" stopIfTrue="1" operator="equal">
      <formula>"Towel"</formula>
    </cfRule>
    <cfRule type="cellIs" dxfId="11009" priority="4086" stopIfTrue="1" operator="equal">
      <formula>"Napkin Hs"</formula>
    </cfRule>
  </conditionalFormatting>
  <conditionalFormatting sqref="B108:C108">
    <cfRule type="cellIs" dxfId="11008" priority="4137" stopIfTrue="1" operator="equal">
      <formula>"Towel"</formula>
    </cfRule>
    <cfRule type="cellIs" dxfId="11007" priority="4138" stopIfTrue="1" operator="equal">
      <formula>"Napkin Hs"</formula>
    </cfRule>
    <cfRule type="cellIs" dxfId="11006" priority="4143" stopIfTrue="1" operator="equal">
      <formula>"Towel"</formula>
    </cfRule>
    <cfRule type="cellIs" dxfId="11005" priority="4144" stopIfTrue="1" operator="equal">
      <formula>"Napkin Hs"</formula>
    </cfRule>
    <cfRule type="cellIs" dxfId="11004" priority="4149" stopIfTrue="1" operator="equal">
      <formula>"Towel"</formula>
    </cfRule>
    <cfRule type="cellIs" dxfId="11003" priority="4150" stopIfTrue="1" operator="equal">
      <formula>"Napkin Hs"</formula>
    </cfRule>
    <cfRule type="cellIs" dxfId="11002" priority="4155" stopIfTrue="1" operator="equal">
      <formula>"Towel"</formula>
    </cfRule>
    <cfRule type="cellIs" dxfId="11001" priority="4156" stopIfTrue="1" operator="equal">
      <formula>"Napkin Hs"</formula>
    </cfRule>
    <cfRule type="cellIs" dxfId="11000" priority="4161" stopIfTrue="1" operator="equal">
      <formula>"Towel"</formula>
    </cfRule>
    <cfRule type="cellIs" dxfId="10999" priority="4162" stopIfTrue="1" operator="equal">
      <formula>"Napkin Hs"</formula>
    </cfRule>
    <cfRule type="cellIs" dxfId="10998" priority="4167" stopIfTrue="1" operator="equal">
      <formula>"Towel"</formula>
    </cfRule>
    <cfRule type="cellIs" dxfId="10997" priority="4168" stopIfTrue="1" operator="equal">
      <formula>"Napkin Hs"</formula>
    </cfRule>
    <cfRule type="cellIs" dxfId="10996" priority="4173" stopIfTrue="1" operator="equal">
      <formula>"Towel"</formula>
    </cfRule>
    <cfRule type="cellIs" dxfId="10995" priority="4174" stopIfTrue="1" operator="equal">
      <formula>"Napkin Hs"</formula>
    </cfRule>
    <cfRule type="cellIs" dxfId="10994" priority="4179" stopIfTrue="1" operator="equal">
      <formula>"Towel"</formula>
    </cfRule>
    <cfRule type="cellIs" dxfId="10993" priority="4180" stopIfTrue="1" operator="equal">
      <formula>"Napkin Hs"</formula>
    </cfRule>
  </conditionalFormatting>
  <conditionalFormatting sqref="C105">
    <cfRule type="cellIs" dxfId="10992" priority="3865" stopIfTrue="1" operator="equal">
      <formula>"Towel"</formula>
    </cfRule>
    <cfRule type="cellIs" dxfId="10991" priority="3866" stopIfTrue="1" operator="equal">
      <formula>"Napkin Hs"</formula>
    </cfRule>
    <cfRule type="cellIs" dxfId="10990" priority="3867" stopIfTrue="1" operator="equal">
      <formula>"Towel"</formula>
    </cfRule>
    <cfRule type="cellIs" dxfId="10989" priority="3868" stopIfTrue="1" operator="equal">
      <formula>"Napkin Hs"</formula>
    </cfRule>
    <cfRule type="cellIs" dxfId="10988" priority="3871" stopIfTrue="1" operator="equal">
      <formula>"Towel"</formula>
    </cfRule>
    <cfRule type="cellIs" dxfId="10987" priority="3872" stopIfTrue="1" operator="equal">
      <formula>"Napkin Hs"</formula>
    </cfRule>
    <cfRule type="cellIs" dxfId="10986" priority="3873" stopIfTrue="1" operator="equal">
      <formula>"Towel"</formula>
    </cfRule>
    <cfRule type="cellIs" dxfId="10985" priority="3874" stopIfTrue="1" operator="equal">
      <formula>"Napkin Hs"</formula>
    </cfRule>
    <cfRule type="cellIs" dxfId="10984" priority="3877" stopIfTrue="1" operator="equal">
      <formula>"Towel"</formula>
    </cfRule>
    <cfRule type="cellIs" dxfId="10983" priority="3878" stopIfTrue="1" operator="equal">
      <formula>"Napkin Hs"</formula>
    </cfRule>
    <cfRule type="cellIs" dxfId="10982" priority="3879" stopIfTrue="1" operator="equal">
      <formula>"Towel"</formula>
    </cfRule>
    <cfRule type="cellIs" dxfId="10981" priority="3880" stopIfTrue="1" operator="equal">
      <formula>"Napkin Hs"</formula>
    </cfRule>
    <cfRule type="cellIs" dxfId="10980" priority="3883" stopIfTrue="1" operator="equal">
      <formula>"Towel"</formula>
    </cfRule>
    <cfRule type="cellIs" dxfId="10979" priority="3884" stopIfTrue="1" operator="equal">
      <formula>"Napkin Hs"</formula>
    </cfRule>
    <cfRule type="cellIs" dxfId="10978" priority="3885" stopIfTrue="1" operator="equal">
      <formula>"Towel"</formula>
    </cfRule>
    <cfRule type="cellIs" dxfId="10977" priority="3886" stopIfTrue="1" operator="equal">
      <formula>"Napkin Hs"</formula>
    </cfRule>
    <cfRule type="cellIs" dxfId="10976" priority="3889" stopIfTrue="1" operator="equal">
      <formula>"Towel"</formula>
    </cfRule>
    <cfRule type="cellIs" dxfId="10975" priority="3890" stopIfTrue="1" operator="equal">
      <formula>"Napkin Hs"</formula>
    </cfRule>
    <cfRule type="cellIs" dxfId="10974" priority="3891" stopIfTrue="1" operator="equal">
      <formula>"Towel"</formula>
    </cfRule>
    <cfRule type="cellIs" dxfId="10973" priority="3892" stopIfTrue="1" operator="equal">
      <formula>"Napkin Hs"</formula>
    </cfRule>
    <cfRule type="cellIs" dxfId="10972" priority="3895" stopIfTrue="1" operator="equal">
      <formula>"Towel"</formula>
    </cfRule>
    <cfRule type="cellIs" dxfId="10971" priority="3896" stopIfTrue="1" operator="equal">
      <formula>"Napkin Hs"</formula>
    </cfRule>
    <cfRule type="cellIs" dxfId="10970" priority="3897" stopIfTrue="1" operator="equal">
      <formula>"Towel"</formula>
    </cfRule>
    <cfRule type="cellIs" dxfId="10969" priority="3898" stopIfTrue="1" operator="equal">
      <formula>"Napkin Hs"</formula>
    </cfRule>
    <cfRule type="cellIs" dxfId="10968" priority="3901" stopIfTrue="1" operator="equal">
      <formula>"Towel"</formula>
    </cfRule>
    <cfRule type="cellIs" dxfId="10967" priority="3902" stopIfTrue="1" operator="equal">
      <formula>"Napkin Hs"</formula>
    </cfRule>
    <cfRule type="cellIs" dxfId="10966" priority="3905" stopIfTrue="1" operator="equal">
      <formula>"Towel"</formula>
    </cfRule>
    <cfRule type="cellIs" dxfId="10965" priority="3906" stopIfTrue="1" operator="equal">
      <formula>"Napkin Hs"</formula>
    </cfRule>
    <cfRule type="cellIs" dxfId="10964" priority="3907" stopIfTrue="1" operator="equal">
      <formula>"Towel"</formula>
    </cfRule>
    <cfRule type="cellIs" dxfId="10963" priority="3908" stopIfTrue="1" operator="equal">
      <formula>"Napkin Hs"</formula>
    </cfRule>
    <cfRule type="cellIs" dxfId="10962" priority="3909" stopIfTrue="1" operator="equal">
      <formula>"Towel"</formula>
    </cfRule>
    <cfRule type="cellIs" dxfId="10961" priority="3910" stopIfTrue="1" operator="equal">
      <formula>"Napkin Hs"</formula>
    </cfRule>
    <cfRule type="cellIs" dxfId="10960" priority="3913" stopIfTrue="1" operator="equal">
      <formula>"Towel"</formula>
    </cfRule>
    <cfRule type="cellIs" dxfId="10959" priority="3914" stopIfTrue="1" operator="equal">
      <formula>"Napkin Hs"</formula>
    </cfRule>
    <cfRule type="cellIs" dxfId="10958" priority="3915" stopIfTrue="1" operator="equal">
      <formula>"Towel"</formula>
    </cfRule>
    <cfRule type="cellIs" dxfId="10957" priority="3916" stopIfTrue="1" operator="equal">
      <formula>"Napkin Hs"</formula>
    </cfRule>
    <cfRule type="cellIs" dxfId="10956" priority="3919" stopIfTrue="1" operator="equal">
      <formula>"Towel"</formula>
    </cfRule>
    <cfRule type="cellIs" dxfId="10955" priority="3920" stopIfTrue="1" operator="equal">
      <formula>"Napkin Hs"</formula>
    </cfRule>
    <cfRule type="cellIs" dxfId="10954" priority="3921" stopIfTrue="1" operator="equal">
      <formula>"Towel"</formula>
    </cfRule>
    <cfRule type="cellIs" dxfId="10953" priority="3922" stopIfTrue="1" operator="equal">
      <formula>"Napkin Hs"</formula>
    </cfRule>
    <cfRule type="cellIs" dxfId="10952" priority="3925" stopIfTrue="1" operator="equal">
      <formula>"Towel"</formula>
    </cfRule>
    <cfRule type="cellIs" dxfId="10951" priority="3926" stopIfTrue="1" operator="equal">
      <formula>"Napkin Hs"</formula>
    </cfRule>
    <cfRule type="cellIs" dxfId="10950" priority="3927" stopIfTrue="1" operator="equal">
      <formula>"Towel"</formula>
    </cfRule>
    <cfRule type="cellIs" dxfId="10949" priority="3928" stopIfTrue="1" operator="equal">
      <formula>"Napkin Hs"</formula>
    </cfRule>
    <cfRule type="cellIs" dxfId="10948" priority="3931" stopIfTrue="1" operator="equal">
      <formula>"Towel"</formula>
    </cfRule>
    <cfRule type="cellIs" dxfId="10947" priority="3932" stopIfTrue="1" operator="equal">
      <formula>"Napkin Hs"</formula>
    </cfRule>
    <cfRule type="cellIs" dxfId="10946" priority="3933" stopIfTrue="1" operator="equal">
      <formula>"Towel"</formula>
    </cfRule>
    <cfRule type="cellIs" dxfId="10945" priority="3934" stopIfTrue="1" operator="equal">
      <formula>"Napkin Hs"</formula>
    </cfRule>
    <cfRule type="cellIs" dxfId="10944" priority="3937" stopIfTrue="1" operator="equal">
      <formula>"Towel"</formula>
    </cfRule>
    <cfRule type="cellIs" dxfId="10943" priority="3938" stopIfTrue="1" operator="equal">
      <formula>"Napkin Hs"</formula>
    </cfRule>
    <cfRule type="cellIs" dxfId="10942" priority="3939" stopIfTrue="1" operator="equal">
      <formula>"Towel"</formula>
    </cfRule>
    <cfRule type="cellIs" dxfId="10941" priority="3940" stopIfTrue="1" operator="equal">
      <formula>"Napkin Hs"</formula>
    </cfRule>
    <cfRule type="cellIs" dxfId="10940" priority="3943" stopIfTrue="1" operator="equal">
      <formula>"Towel"</formula>
    </cfRule>
    <cfRule type="cellIs" dxfId="10939" priority="3944" stopIfTrue="1" operator="equal">
      <formula>"Napkin Hs"</formula>
    </cfRule>
  </conditionalFormatting>
  <conditionalFormatting sqref="C105:C106">
    <cfRule type="cellIs" dxfId="10938" priority="3945" stopIfTrue="1" operator="equal">
      <formula>"Towel"</formula>
    </cfRule>
    <cfRule type="cellIs" dxfId="10937" priority="3946" stopIfTrue="1" operator="equal">
      <formula>"Napkin Hs"</formula>
    </cfRule>
  </conditionalFormatting>
  <conditionalFormatting sqref="C106">
    <cfRule type="cellIs" dxfId="10936" priority="3949" stopIfTrue="1" operator="equal">
      <formula>"Towel"</formula>
    </cfRule>
    <cfRule type="cellIs" dxfId="10935" priority="3950" stopIfTrue="1" operator="equal">
      <formula>"Napkin Hs"</formula>
    </cfRule>
    <cfRule type="cellIs" dxfId="10934" priority="3953" stopIfTrue="1" operator="equal">
      <formula>"Towel"</formula>
    </cfRule>
    <cfRule type="cellIs" dxfId="10933" priority="3954" stopIfTrue="1" operator="equal">
      <formula>"Napkin Hs"</formula>
    </cfRule>
    <cfRule type="cellIs" dxfId="10932" priority="3955" stopIfTrue="1" operator="equal">
      <formula>"Towel"</formula>
    </cfRule>
    <cfRule type="cellIs" dxfId="10931" priority="3956" stopIfTrue="1" operator="equal">
      <formula>"Napkin Hs"</formula>
    </cfRule>
    <cfRule type="cellIs" dxfId="10930" priority="3959" stopIfTrue="1" operator="equal">
      <formula>"Towel"</formula>
    </cfRule>
    <cfRule type="cellIs" dxfId="10929" priority="3960" stopIfTrue="1" operator="equal">
      <formula>"Napkin Hs"</formula>
    </cfRule>
    <cfRule type="cellIs" dxfId="10928" priority="3961" stopIfTrue="1" operator="equal">
      <formula>"Towel"</formula>
    </cfRule>
    <cfRule type="cellIs" dxfId="10927" priority="3962" stopIfTrue="1" operator="equal">
      <formula>"Napkin Hs"</formula>
    </cfRule>
    <cfRule type="cellIs" dxfId="10926" priority="3965" stopIfTrue="1" operator="equal">
      <formula>"Towel"</formula>
    </cfRule>
    <cfRule type="cellIs" dxfId="10925" priority="3966" stopIfTrue="1" operator="equal">
      <formula>"Napkin Hs"</formula>
    </cfRule>
    <cfRule type="cellIs" dxfId="10924" priority="3967" stopIfTrue="1" operator="equal">
      <formula>"Towel"</formula>
    </cfRule>
    <cfRule type="cellIs" dxfId="10923" priority="3968" stopIfTrue="1" operator="equal">
      <formula>"Napkin Hs"</formula>
    </cfRule>
    <cfRule type="cellIs" dxfId="10922" priority="3971" stopIfTrue="1" operator="equal">
      <formula>"Towel"</formula>
    </cfRule>
    <cfRule type="cellIs" dxfId="10921" priority="3972" stopIfTrue="1" operator="equal">
      <formula>"Napkin Hs"</formula>
    </cfRule>
    <cfRule type="cellIs" dxfId="10920" priority="3973" stopIfTrue="1" operator="equal">
      <formula>"Towel"</formula>
    </cfRule>
    <cfRule type="cellIs" dxfId="10919" priority="3974" stopIfTrue="1" operator="equal">
      <formula>"Napkin Hs"</formula>
    </cfRule>
    <cfRule type="cellIs" dxfId="10918" priority="3977" stopIfTrue="1" operator="equal">
      <formula>"Towel"</formula>
    </cfRule>
    <cfRule type="cellIs" dxfId="10917" priority="3978" stopIfTrue="1" operator="equal">
      <formula>"Napkin Hs"</formula>
    </cfRule>
    <cfRule type="cellIs" dxfId="10916" priority="3979" stopIfTrue="1" operator="equal">
      <formula>"Towel"</formula>
    </cfRule>
    <cfRule type="cellIs" dxfId="10915" priority="3980" stopIfTrue="1" operator="equal">
      <formula>"Napkin Hs"</formula>
    </cfRule>
    <cfRule type="cellIs" dxfId="10914" priority="3983" stopIfTrue="1" operator="equal">
      <formula>"Towel"</formula>
    </cfRule>
    <cfRule type="cellIs" dxfId="10913" priority="3984" stopIfTrue="1" operator="equal">
      <formula>"Napkin Hs"</formula>
    </cfRule>
    <cfRule type="cellIs" dxfId="10912" priority="3987" stopIfTrue="1" operator="equal">
      <formula>"Towel"</formula>
    </cfRule>
    <cfRule type="cellIs" dxfId="10911" priority="3988" stopIfTrue="1" operator="equal">
      <formula>"Napkin Hs"</formula>
    </cfRule>
    <cfRule type="cellIs" dxfId="10910" priority="3989" stopIfTrue="1" operator="equal">
      <formula>"Towel"</formula>
    </cfRule>
    <cfRule type="cellIs" dxfId="10909" priority="3990" stopIfTrue="1" operator="equal">
      <formula>"Napkin Hs"</formula>
    </cfRule>
    <cfRule type="cellIs" dxfId="10908" priority="3991" stopIfTrue="1" operator="equal">
      <formula>"Towel"</formula>
    </cfRule>
    <cfRule type="cellIs" dxfId="10907" priority="3992" stopIfTrue="1" operator="equal">
      <formula>"Napkin Hs"</formula>
    </cfRule>
    <cfRule type="cellIs" dxfId="10906" priority="3995" stopIfTrue="1" operator="equal">
      <formula>"Towel"</formula>
    </cfRule>
    <cfRule type="cellIs" dxfId="10905" priority="3996" stopIfTrue="1" operator="equal">
      <formula>"Napkin Hs"</formula>
    </cfRule>
    <cfRule type="cellIs" dxfId="10904" priority="3997" stopIfTrue="1" operator="equal">
      <formula>"Towel"</formula>
    </cfRule>
    <cfRule type="cellIs" dxfId="10903" priority="3998" stopIfTrue="1" operator="equal">
      <formula>"Napkin Hs"</formula>
    </cfRule>
    <cfRule type="cellIs" dxfId="10902" priority="4001" stopIfTrue="1" operator="equal">
      <formula>"Towel"</formula>
    </cfRule>
    <cfRule type="cellIs" dxfId="10901" priority="4002" stopIfTrue="1" operator="equal">
      <formula>"Napkin Hs"</formula>
    </cfRule>
    <cfRule type="cellIs" dxfId="10900" priority="4003" stopIfTrue="1" operator="equal">
      <formula>"Towel"</formula>
    </cfRule>
    <cfRule type="cellIs" dxfId="10899" priority="4004" stopIfTrue="1" operator="equal">
      <formula>"Napkin Hs"</formula>
    </cfRule>
    <cfRule type="cellIs" dxfId="10898" priority="4007" stopIfTrue="1" operator="equal">
      <formula>"Towel"</formula>
    </cfRule>
    <cfRule type="cellIs" dxfId="10897" priority="4008" stopIfTrue="1" operator="equal">
      <formula>"Napkin Hs"</formula>
    </cfRule>
    <cfRule type="cellIs" dxfId="10896" priority="4009" stopIfTrue="1" operator="equal">
      <formula>"Towel"</formula>
    </cfRule>
    <cfRule type="cellIs" dxfId="10895" priority="4010" stopIfTrue="1" operator="equal">
      <formula>"Napkin Hs"</formula>
    </cfRule>
    <cfRule type="cellIs" dxfId="10894" priority="4013" stopIfTrue="1" operator="equal">
      <formula>"Towel"</formula>
    </cfRule>
    <cfRule type="cellIs" dxfId="10893" priority="4014" stopIfTrue="1" operator="equal">
      <formula>"Napkin Hs"</formula>
    </cfRule>
    <cfRule type="cellIs" dxfId="10892" priority="4015" stopIfTrue="1" operator="equal">
      <formula>"Towel"</formula>
    </cfRule>
    <cfRule type="cellIs" dxfId="10891" priority="4016" stopIfTrue="1" operator="equal">
      <formula>"Napkin Hs"</formula>
    </cfRule>
    <cfRule type="cellIs" dxfId="10890" priority="4019" stopIfTrue="1" operator="equal">
      <formula>"Towel"</formula>
    </cfRule>
    <cfRule type="cellIs" dxfId="10889" priority="4020" stopIfTrue="1" operator="equal">
      <formula>"Napkin Hs"</formula>
    </cfRule>
    <cfRule type="cellIs" dxfId="10888" priority="4021" stopIfTrue="1" operator="equal">
      <formula>"Towel"</formula>
    </cfRule>
    <cfRule type="cellIs" dxfId="10887" priority="4022" stopIfTrue="1" operator="equal">
      <formula>"Napkin Hs"</formula>
    </cfRule>
    <cfRule type="cellIs" dxfId="10886" priority="4025" stopIfTrue="1" operator="equal">
      <formula>"Towel"</formula>
    </cfRule>
    <cfRule type="cellIs" dxfId="10885" priority="4026" stopIfTrue="1" operator="equal">
      <formula>"Napkin Hs"</formula>
    </cfRule>
    <cfRule type="cellIs" dxfId="10884" priority="4027" stopIfTrue="1" operator="equal">
      <formula>"Towel"</formula>
    </cfRule>
    <cfRule type="cellIs" dxfId="10883" priority="4028" stopIfTrue="1" operator="equal">
      <formula>"Napkin Hs"</formula>
    </cfRule>
  </conditionalFormatting>
  <conditionalFormatting sqref="C107">
    <cfRule type="cellIs" dxfId="10882" priority="4087" stopIfTrue="1" operator="equal">
      <formula>"Towel"</formula>
    </cfRule>
    <cfRule type="cellIs" dxfId="10881" priority="4088" stopIfTrue="1" operator="equal">
      <formula>"Napkin Hs"</formula>
    </cfRule>
    <cfRule type="cellIs" dxfId="10880" priority="4089" stopIfTrue="1" operator="equal">
      <formula>"Towel"</formula>
    </cfRule>
    <cfRule type="cellIs" dxfId="10879" priority="4090" stopIfTrue="1" operator="equal">
      <formula>"Napkin Hs"</formula>
    </cfRule>
    <cfRule type="cellIs" dxfId="10878" priority="4093" stopIfTrue="1" operator="equal">
      <formula>"Towel"</formula>
    </cfRule>
    <cfRule type="cellIs" dxfId="10877" priority="4094" stopIfTrue="1" operator="equal">
      <formula>"Napkin Hs"</formula>
    </cfRule>
    <cfRule type="cellIs" dxfId="10876" priority="4095" stopIfTrue="1" operator="equal">
      <formula>"Towel"</formula>
    </cfRule>
    <cfRule type="cellIs" dxfId="10875" priority="4096" stopIfTrue="1" operator="equal">
      <formula>"Napkin Hs"</formula>
    </cfRule>
    <cfRule type="cellIs" dxfId="10874" priority="4099" stopIfTrue="1" operator="equal">
      <formula>"Towel"</formula>
    </cfRule>
    <cfRule type="cellIs" dxfId="10873" priority="4100" stopIfTrue="1" operator="equal">
      <formula>"Napkin Hs"</formula>
    </cfRule>
    <cfRule type="cellIs" dxfId="10872" priority="4101" stopIfTrue="1" operator="equal">
      <formula>"Towel"</formula>
    </cfRule>
    <cfRule type="cellIs" dxfId="10871" priority="4102" stopIfTrue="1" operator="equal">
      <formula>"Napkin Hs"</formula>
    </cfRule>
    <cfRule type="cellIs" dxfId="10870" priority="4105" stopIfTrue="1" operator="equal">
      <formula>"Towel"</formula>
    </cfRule>
    <cfRule type="cellIs" dxfId="10869" priority="4106" stopIfTrue="1" operator="equal">
      <formula>"Napkin Hs"</formula>
    </cfRule>
    <cfRule type="cellIs" dxfId="10868" priority="4107" stopIfTrue="1" operator="equal">
      <formula>"Towel"</formula>
    </cfRule>
    <cfRule type="cellIs" dxfId="10867" priority="4108" stopIfTrue="1" operator="equal">
      <formula>"Napkin Hs"</formula>
    </cfRule>
    <cfRule type="cellIs" dxfId="10866" priority="4111" stopIfTrue="1" operator="equal">
      <formula>"Towel"</formula>
    </cfRule>
    <cfRule type="cellIs" dxfId="10865" priority="4112" stopIfTrue="1" operator="equal">
      <formula>"Napkin Hs"</formula>
    </cfRule>
    <cfRule type="cellIs" dxfId="10864" priority="4113" stopIfTrue="1" operator="equal">
      <formula>"Towel"</formula>
    </cfRule>
    <cfRule type="cellIs" dxfId="10863" priority="4114" stopIfTrue="1" operator="equal">
      <formula>"Napkin Hs"</formula>
    </cfRule>
    <cfRule type="cellIs" dxfId="10862" priority="4117" stopIfTrue="1" operator="equal">
      <formula>"Towel"</formula>
    </cfRule>
    <cfRule type="cellIs" dxfId="10861" priority="4118" stopIfTrue="1" operator="equal">
      <formula>"Napkin Hs"</formula>
    </cfRule>
    <cfRule type="cellIs" dxfId="10860" priority="4119" stopIfTrue="1" operator="equal">
      <formula>"Towel"</formula>
    </cfRule>
    <cfRule type="cellIs" dxfId="10859" priority="4120" stopIfTrue="1" operator="equal">
      <formula>"Napkin Hs"</formula>
    </cfRule>
    <cfRule type="cellIs" dxfId="10858" priority="4123" stopIfTrue="1" operator="equal">
      <formula>"Towel"</formula>
    </cfRule>
    <cfRule type="cellIs" dxfId="10857" priority="4124" stopIfTrue="1" operator="equal">
      <formula>"Napkin Hs"</formula>
    </cfRule>
    <cfRule type="cellIs" dxfId="10856" priority="4125" stopIfTrue="1" operator="equal">
      <formula>"Towel"</formula>
    </cfRule>
    <cfRule type="cellIs" dxfId="10855" priority="4126" stopIfTrue="1" operator="equal">
      <formula>"Napkin Hs"</formula>
    </cfRule>
    <cfRule type="cellIs" dxfId="10854" priority="4129" stopIfTrue="1" operator="equal">
      <formula>"Towel"</formula>
    </cfRule>
    <cfRule type="cellIs" dxfId="10853" priority="4130" stopIfTrue="1" operator="equal">
      <formula>"Napkin Hs"</formula>
    </cfRule>
  </conditionalFormatting>
  <conditionalFormatting sqref="C107:C108">
    <cfRule type="cellIs" dxfId="10852" priority="4035" stopIfTrue="1" operator="equal">
      <formula>"Towel"</formula>
    </cfRule>
    <cfRule type="cellIs" dxfId="10851" priority="4036" stopIfTrue="1" operator="equal">
      <formula>"Napkin Hs"</formula>
    </cfRule>
    <cfRule type="cellIs" dxfId="10850" priority="4037" stopIfTrue="1" operator="equal">
      <formula>"Towel"</formula>
    </cfRule>
    <cfRule type="cellIs" dxfId="10849" priority="4038" stopIfTrue="1" operator="equal">
      <formula>"Napkin Hs"</formula>
    </cfRule>
    <cfRule type="cellIs" dxfId="10848" priority="4039" stopIfTrue="1" operator="equal">
      <formula>"Towel"</formula>
    </cfRule>
    <cfRule type="cellIs" dxfId="10847" priority="4040" stopIfTrue="1" operator="equal">
      <formula>"Napkin Hs"</formula>
    </cfRule>
    <cfRule type="cellIs" dxfId="10846" priority="4041" stopIfTrue="1" operator="equal">
      <formula>"Towel"</formula>
    </cfRule>
    <cfRule type="cellIs" dxfId="10845" priority="4042" stopIfTrue="1" operator="equal">
      <formula>"Napkin Hs"</formula>
    </cfRule>
    <cfRule type="cellIs" dxfId="10844" priority="4043" stopIfTrue="1" operator="equal">
      <formula>"Towel"</formula>
    </cfRule>
    <cfRule type="cellIs" dxfId="10843" priority="4044" stopIfTrue="1" operator="equal">
      <formula>"Napkin Hs"</formula>
    </cfRule>
    <cfRule type="cellIs" dxfId="10842" priority="4045" stopIfTrue="1" operator="equal">
      <formula>"Towel"</formula>
    </cfRule>
    <cfRule type="cellIs" dxfId="10841" priority="4046" stopIfTrue="1" operator="equal">
      <formula>"Napkin Hs"</formula>
    </cfRule>
    <cfRule type="cellIs" dxfId="10840" priority="4047" stopIfTrue="1" operator="equal">
      <formula>"Towel"</formula>
    </cfRule>
    <cfRule type="cellIs" dxfId="10839" priority="4048" stopIfTrue="1" operator="equal">
      <formula>"Napkin Hs"</formula>
    </cfRule>
    <cfRule type="cellIs" dxfId="10838" priority="4051" stopIfTrue="1" operator="equal">
      <formula>"Towel"</formula>
    </cfRule>
    <cfRule type="cellIs" dxfId="10837" priority="4052" stopIfTrue="1" operator="equal">
      <formula>"Napkin Hs"</formula>
    </cfRule>
    <cfRule type="cellIs" dxfId="10836" priority="4053" stopIfTrue="1" operator="equal">
      <formula>"Towel"</formula>
    </cfRule>
    <cfRule type="cellIs" dxfId="10835" priority="4054" stopIfTrue="1" operator="equal">
      <formula>"Napkin Hs"</formula>
    </cfRule>
    <cfRule type="cellIs" dxfId="10834" priority="4057" stopIfTrue="1" operator="equal">
      <formula>"Towel"</formula>
    </cfRule>
    <cfRule type="cellIs" dxfId="10833" priority="4058" stopIfTrue="1" operator="equal">
      <formula>"Napkin Hs"</formula>
    </cfRule>
    <cfRule type="cellIs" dxfId="10832" priority="4059" stopIfTrue="1" operator="equal">
      <formula>"Towel"</formula>
    </cfRule>
    <cfRule type="cellIs" dxfId="10831" priority="4060" stopIfTrue="1" operator="equal">
      <formula>"Napkin Hs"</formula>
    </cfRule>
    <cfRule type="cellIs" dxfId="10830" priority="4063" stopIfTrue="1" operator="equal">
      <formula>"Towel"</formula>
    </cfRule>
    <cfRule type="cellIs" dxfId="10829" priority="4064" stopIfTrue="1" operator="equal">
      <formula>"Napkin Hs"</formula>
    </cfRule>
    <cfRule type="cellIs" dxfId="10828" priority="4065" stopIfTrue="1" operator="equal">
      <formula>"Towel"</formula>
    </cfRule>
    <cfRule type="cellIs" dxfId="10827" priority="4066" stopIfTrue="1" operator="equal">
      <formula>"Napkin Hs"</formula>
    </cfRule>
    <cfRule type="cellIs" dxfId="10826" priority="4069" stopIfTrue="1" operator="equal">
      <formula>"Towel"</formula>
    </cfRule>
    <cfRule type="cellIs" dxfId="10825" priority="4070" stopIfTrue="1" operator="equal">
      <formula>"Napkin Hs"</formula>
    </cfRule>
    <cfRule type="cellIs" dxfId="10824" priority="4071" stopIfTrue="1" operator="equal">
      <formula>"Towel"</formula>
    </cfRule>
    <cfRule type="cellIs" dxfId="10823" priority="4072" stopIfTrue="1" operator="equal">
      <formula>"Napkin Hs"</formula>
    </cfRule>
    <cfRule type="cellIs" dxfId="10822" priority="4075" stopIfTrue="1" operator="equal">
      <formula>"Towel"</formula>
    </cfRule>
    <cfRule type="cellIs" dxfId="10821" priority="4076" stopIfTrue="1" operator="equal">
      <formula>"Napkin Hs"</formula>
    </cfRule>
    <cfRule type="cellIs" dxfId="10820" priority="4077" stopIfTrue="1" operator="equal">
      <formula>"Towel"</formula>
    </cfRule>
    <cfRule type="cellIs" dxfId="10819" priority="4078" stopIfTrue="1" operator="equal">
      <formula>"Napkin Hs"</formula>
    </cfRule>
    <cfRule type="cellIs" dxfId="10818" priority="4081" stopIfTrue="1" operator="equal">
      <formula>"Towel"</formula>
    </cfRule>
    <cfRule type="cellIs" dxfId="10817" priority="4082" stopIfTrue="1" operator="equal">
      <formula>"Napkin Hs"</formula>
    </cfRule>
    <cfRule type="cellIs" dxfId="10816" priority="4083" stopIfTrue="1" operator="equal">
      <formula>"Towel"</formula>
    </cfRule>
    <cfRule type="cellIs" dxfId="10815" priority="4084" stopIfTrue="1" operator="equal">
      <formula>"Napkin Hs"</formula>
    </cfRule>
    <cfRule type="cellIs" dxfId="10814" priority="4131" stopIfTrue="1" operator="equal">
      <formula>"Towel"</formula>
    </cfRule>
    <cfRule type="cellIs" dxfId="10813" priority="4132" stopIfTrue="1" operator="equal">
      <formula>"Napkin Hs"</formula>
    </cfRule>
  </conditionalFormatting>
  <conditionalFormatting sqref="C108">
    <cfRule type="cellIs" dxfId="10812" priority="4135" stopIfTrue="1" operator="equal">
      <formula>"Towel"</formula>
    </cfRule>
    <cfRule type="cellIs" dxfId="10811" priority="4136" stopIfTrue="1" operator="equal">
      <formula>"Napkin Hs"</formula>
    </cfRule>
    <cfRule type="cellIs" dxfId="10810" priority="4139" stopIfTrue="1" operator="equal">
      <formula>"Towel"</formula>
    </cfRule>
    <cfRule type="cellIs" dxfId="10809" priority="4140" stopIfTrue="1" operator="equal">
      <formula>"Napkin Hs"</formula>
    </cfRule>
    <cfRule type="cellIs" dxfId="10808" priority="4141" stopIfTrue="1" operator="equal">
      <formula>"Towel"</formula>
    </cfRule>
    <cfRule type="cellIs" dxfId="10807" priority="4142" stopIfTrue="1" operator="equal">
      <formula>"Napkin Hs"</formula>
    </cfRule>
    <cfRule type="cellIs" dxfId="10806" priority="4145" stopIfTrue="1" operator="equal">
      <formula>"Towel"</formula>
    </cfRule>
    <cfRule type="cellIs" dxfId="10805" priority="4146" stopIfTrue="1" operator="equal">
      <formula>"Napkin Hs"</formula>
    </cfRule>
    <cfRule type="cellIs" dxfId="10804" priority="4147" stopIfTrue="1" operator="equal">
      <formula>"Towel"</formula>
    </cfRule>
    <cfRule type="cellIs" dxfId="10803" priority="4148" stopIfTrue="1" operator="equal">
      <formula>"Napkin Hs"</formula>
    </cfRule>
    <cfRule type="cellIs" dxfId="10802" priority="4151" stopIfTrue="1" operator="equal">
      <formula>"Towel"</formula>
    </cfRule>
    <cfRule type="cellIs" dxfId="10801" priority="4152" stopIfTrue="1" operator="equal">
      <formula>"Napkin Hs"</formula>
    </cfRule>
    <cfRule type="cellIs" dxfId="10800" priority="4153" stopIfTrue="1" operator="equal">
      <formula>"Towel"</formula>
    </cfRule>
    <cfRule type="cellIs" dxfId="10799" priority="4154" stopIfTrue="1" operator="equal">
      <formula>"Napkin Hs"</formula>
    </cfRule>
    <cfRule type="cellIs" dxfId="10798" priority="4157" stopIfTrue="1" operator="equal">
      <formula>"Towel"</formula>
    </cfRule>
    <cfRule type="cellIs" dxfId="10797" priority="4158" stopIfTrue="1" operator="equal">
      <formula>"Napkin Hs"</formula>
    </cfRule>
    <cfRule type="cellIs" dxfId="10796" priority="4159" stopIfTrue="1" operator="equal">
      <formula>"Towel"</formula>
    </cfRule>
    <cfRule type="cellIs" dxfId="10795" priority="4160" stopIfTrue="1" operator="equal">
      <formula>"Napkin Hs"</formula>
    </cfRule>
    <cfRule type="cellIs" dxfId="10794" priority="4163" stopIfTrue="1" operator="equal">
      <formula>"Towel"</formula>
    </cfRule>
    <cfRule type="cellIs" dxfId="10793" priority="4164" stopIfTrue="1" operator="equal">
      <formula>"Napkin Hs"</formula>
    </cfRule>
    <cfRule type="cellIs" dxfId="10792" priority="4165" stopIfTrue="1" operator="equal">
      <formula>"Towel"</formula>
    </cfRule>
    <cfRule type="cellIs" dxfId="10791" priority="4166" stopIfTrue="1" operator="equal">
      <formula>"Napkin Hs"</formula>
    </cfRule>
    <cfRule type="cellIs" dxfId="10790" priority="4169" stopIfTrue="1" operator="equal">
      <formula>"Towel"</formula>
    </cfRule>
    <cfRule type="cellIs" dxfId="10789" priority="4170" stopIfTrue="1" operator="equal">
      <formula>"Napkin Hs"</formula>
    </cfRule>
    <cfRule type="cellIs" dxfId="10788" priority="4171" stopIfTrue="1" operator="equal">
      <formula>"Towel"</formula>
    </cfRule>
    <cfRule type="cellIs" dxfId="10787" priority="4172" stopIfTrue="1" operator="equal">
      <formula>"Napkin Hs"</formula>
    </cfRule>
    <cfRule type="cellIs" dxfId="10786" priority="4175" stopIfTrue="1" operator="equal">
      <formula>"Towel"</formula>
    </cfRule>
    <cfRule type="cellIs" dxfId="10785" priority="4176" stopIfTrue="1" operator="equal">
      <formula>"Napkin Hs"</formula>
    </cfRule>
  </conditionalFormatting>
  <conditionalFormatting sqref="C108">
    <cfRule type="cellIs" dxfId="10784" priority="4177" stopIfTrue="1" operator="equal">
      <formula>"Towel"</formula>
    </cfRule>
    <cfRule type="cellIs" dxfId="10783" priority="4178" stopIfTrue="1" operator="equal">
      <formula>"Napkin Hs"</formula>
    </cfRule>
  </conditionalFormatting>
  <conditionalFormatting sqref="B111">
    <cfRule type="cellIs" dxfId="10782" priority="3846" stopIfTrue="1" operator="equal">
      <formula>"Towel"</formula>
    </cfRule>
    <cfRule type="cellIs" dxfId="10781" priority="3847" stopIfTrue="1" operator="equal">
      <formula>"Napkin Hs"</formula>
    </cfRule>
    <cfRule type="cellIs" dxfId="10780" priority="3848" stopIfTrue="1" operator="equal">
      <formula>"Towel"</formula>
    </cfRule>
    <cfRule type="cellIs" dxfId="10779" priority="3849" stopIfTrue="1" operator="equal">
      <formula>"Napkin Hs"</formula>
    </cfRule>
    <cfRule type="cellIs" dxfId="10778" priority="3850" stopIfTrue="1" operator="equal">
      <formula>"Towel"</formula>
    </cfRule>
    <cfRule type="cellIs" dxfId="10777" priority="3851" stopIfTrue="1" operator="equal">
      <formula>"Napkin Hs"</formula>
    </cfRule>
    <cfRule type="cellIs" dxfId="10776" priority="3852" stopIfTrue="1" operator="equal">
      <formula>"Towel"</formula>
    </cfRule>
    <cfRule type="cellIs" dxfId="10775" priority="3853" stopIfTrue="1" operator="equal">
      <formula>"Napkin Hs"</formula>
    </cfRule>
    <cfRule type="cellIs" dxfId="10774" priority="3854" stopIfTrue="1" operator="equal">
      <formula>"Towel"</formula>
    </cfRule>
    <cfRule type="cellIs" dxfId="10773" priority="3855" stopIfTrue="1" operator="equal">
      <formula>"Napkin Hs"</formula>
    </cfRule>
    <cfRule type="cellIs" dxfId="10772" priority="3856" stopIfTrue="1" operator="equal">
      <formula>"Towel"</formula>
    </cfRule>
    <cfRule type="cellIs" dxfId="10771" priority="3857" stopIfTrue="1" operator="equal">
      <formula>"Napkin Hs"</formula>
    </cfRule>
    <cfRule type="cellIs" dxfId="10770" priority="3858" stopIfTrue="1" operator="equal">
      <formula>"Towel"</formula>
    </cfRule>
    <cfRule type="cellIs" dxfId="10769" priority="3859" stopIfTrue="1" operator="equal">
      <formula>"Napkin Hs"</formula>
    </cfRule>
    <cfRule type="cellIs" dxfId="10768" priority="3860" stopIfTrue="1" operator="equal">
      <formula>"Towel"</formula>
    </cfRule>
    <cfRule type="cellIs" dxfId="10767" priority="3861" stopIfTrue="1" operator="equal">
      <formula>"Napkin Hs"</formula>
    </cfRule>
  </conditionalFormatting>
  <conditionalFormatting sqref="B111:C112">
    <cfRule type="cellIs" dxfId="10766" priority="3838" stopIfTrue="1" operator="equal">
      <formula>"Towel"</formula>
    </cfRule>
    <cfRule type="cellIs" dxfId="10765" priority="3839" stopIfTrue="1" operator="equal">
      <formula>"Napkin Hs"</formula>
    </cfRule>
  </conditionalFormatting>
  <conditionalFormatting sqref="B113:C113">
    <cfRule type="cellIs" dxfId="10764" priority="3862" stopIfTrue="1" operator="equal">
      <formula>"Napkin Hs"</formula>
    </cfRule>
  </conditionalFormatting>
  <conditionalFormatting sqref="B114:C114">
    <cfRule type="cellIs" dxfId="10763" priority="3742" stopIfTrue="1" operator="equal">
      <formula>"Towel"</formula>
    </cfRule>
    <cfRule type="cellIs" dxfId="10762" priority="3743" stopIfTrue="1" operator="equal">
      <formula>"Napkin Hs"</formula>
    </cfRule>
    <cfRule type="cellIs" dxfId="10761" priority="3748" stopIfTrue="1" operator="equal">
      <formula>"Towel"</formula>
    </cfRule>
    <cfRule type="cellIs" dxfId="10760" priority="3749" stopIfTrue="1" operator="equal">
      <formula>"Napkin Hs"</formula>
    </cfRule>
    <cfRule type="cellIs" dxfId="10759" priority="3754" stopIfTrue="1" operator="equal">
      <formula>"Towel"</formula>
    </cfRule>
    <cfRule type="cellIs" dxfId="10758" priority="3755" stopIfTrue="1" operator="equal">
      <formula>"Napkin Hs"</formula>
    </cfRule>
    <cfRule type="cellIs" dxfId="10757" priority="3760" stopIfTrue="1" operator="equal">
      <formula>"Towel"</formula>
    </cfRule>
    <cfRule type="cellIs" dxfId="10756" priority="3761" stopIfTrue="1" operator="equal">
      <formula>"Napkin Hs"</formula>
    </cfRule>
    <cfRule type="cellIs" dxfId="10755" priority="3766" stopIfTrue="1" operator="equal">
      <formula>"Towel"</formula>
    </cfRule>
    <cfRule type="cellIs" dxfId="10754" priority="3767" stopIfTrue="1" operator="equal">
      <formula>"Napkin Hs"</formula>
    </cfRule>
    <cfRule type="cellIs" dxfId="10753" priority="3772" stopIfTrue="1" operator="equal">
      <formula>"Towel"</formula>
    </cfRule>
    <cfRule type="cellIs" dxfId="10752" priority="3773" stopIfTrue="1" operator="equal">
      <formula>"Napkin Hs"</formula>
    </cfRule>
    <cfRule type="cellIs" dxfId="10751" priority="3778" stopIfTrue="1" operator="equal">
      <formula>"Towel"</formula>
    </cfRule>
    <cfRule type="cellIs" dxfId="10750" priority="3779" stopIfTrue="1" operator="equal">
      <formula>"Napkin Hs"</formula>
    </cfRule>
    <cfRule type="cellIs" dxfId="10749" priority="3784" stopIfTrue="1" operator="equal">
      <formula>"Towel"</formula>
    </cfRule>
    <cfRule type="cellIs" dxfId="10748" priority="3785" stopIfTrue="1" operator="equal">
      <formula>"Napkin Hs"</formula>
    </cfRule>
    <cfRule type="cellIs" dxfId="10747" priority="3790" stopIfTrue="1" operator="equal">
      <formula>"Towel"</formula>
    </cfRule>
    <cfRule type="cellIs" dxfId="10746" priority="3791" stopIfTrue="1" operator="equal">
      <formula>"Napkin Hs"</formula>
    </cfRule>
  </conditionalFormatting>
  <conditionalFormatting sqref="C111 B112:C112">
    <cfRule type="cellIs" dxfId="10745" priority="3845" stopIfTrue="1" operator="equal">
      <formula>"Napkin Hs"</formula>
    </cfRule>
  </conditionalFormatting>
  <conditionalFormatting sqref="C111 B112:C113">
    <cfRule type="cellIs" dxfId="10744" priority="3844" stopIfTrue="1" operator="equal">
      <formula>"Towel"</formula>
    </cfRule>
  </conditionalFormatting>
  <conditionalFormatting sqref="C111 B112:C112">
    <cfRule type="cellIs" dxfId="10743" priority="3796" stopIfTrue="1" operator="equal">
      <formula>"Towel"</formula>
    </cfRule>
    <cfRule type="cellIs" dxfId="10742" priority="3797" stopIfTrue="1" operator="equal">
      <formula>"Napkin Hs"</formula>
    </cfRule>
    <cfRule type="cellIs" dxfId="10741" priority="3802" stopIfTrue="1" operator="equal">
      <formula>"Towel"</formula>
    </cfRule>
    <cfRule type="cellIs" dxfId="10740" priority="3803" stopIfTrue="1" operator="equal">
      <formula>"Napkin Hs"</formula>
    </cfRule>
    <cfRule type="cellIs" dxfId="10739" priority="3808" stopIfTrue="1" operator="equal">
      <formula>"Towel"</formula>
    </cfRule>
    <cfRule type="cellIs" dxfId="10738" priority="3809" stopIfTrue="1" operator="equal">
      <formula>"Napkin Hs"</formula>
    </cfRule>
    <cfRule type="cellIs" dxfId="10737" priority="3814" stopIfTrue="1" operator="equal">
      <formula>"Towel"</formula>
    </cfRule>
    <cfRule type="cellIs" dxfId="10736" priority="3815" stopIfTrue="1" operator="equal">
      <formula>"Napkin Hs"</formula>
    </cfRule>
    <cfRule type="cellIs" dxfId="10735" priority="3820" stopIfTrue="1" operator="equal">
      <formula>"Towel"</formula>
    </cfRule>
    <cfRule type="cellIs" dxfId="10734" priority="3821" stopIfTrue="1" operator="equal">
      <formula>"Napkin Hs"</formula>
    </cfRule>
    <cfRule type="cellIs" dxfId="10733" priority="3826" stopIfTrue="1" operator="equal">
      <formula>"Towel"</formula>
    </cfRule>
    <cfRule type="cellIs" dxfId="10732" priority="3827" stopIfTrue="1" operator="equal">
      <formula>"Napkin Hs"</formula>
    </cfRule>
    <cfRule type="cellIs" dxfId="10731" priority="3832" stopIfTrue="1" operator="equal">
      <formula>"Towel"</formula>
    </cfRule>
    <cfRule type="cellIs" dxfId="10730" priority="3833" stopIfTrue="1" operator="equal">
      <formula>"Napkin Hs"</formula>
    </cfRule>
  </conditionalFormatting>
  <conditionalFormatting sqref="C111:C112">
    <cfRule type="cellIs" dxfId="10729" priority="3792" stopIfTrue="1" operator="equal">
      <formula>"Towel"</formula>
    </cfRule>
    <cfRule type="cellIs" dxfId="10728" priority="3793" stopIfTrue="1" operator="equal">
      <formula>"Napkin Hs"</formula>
    </cfRule>
    <cfRule type="cellIs" dxfId="10727" priority="3794" stopIfTrue="1" operator="equal">
      <formula>"Towel"</formula>
    </cfRule>
    <cfRule type="cellIs" dxfId="10726" priority="3795" stopIfTrue="1" operator="equal">
      <formula>"Napkin Hs"</formula>
    </cfRule>
    <cfRule type="cellIs" dxfId="10725" priority="3798" stopIfTrue="1" operator="equal">
      <formula>"Towel"</formula>
    </cfRule>
    <cfRule type="cellIs" dxfId="10724" priority="3799" stopIfTrue="1" operator="equal">
      <formula>"Napkin Hs"</formula>
    </cfRule>
    <cfRule type="cellIs" dxfId="10723" priority="3800" stopIfTrue="1" operator="equal">
      <formula>"Towel"</formula>
    </cfRule>
    <cfRule type="cellIs" dxfId="10722" priority="3801" stopIfTrue="1" operator="equal">
      <formula>"Napkin Hs"</formula>
    </cfRule>
    <cfRule type="cellIs" dxfId="10721" priority="3804" stopIfTrue="1" operator="equal">
      <formula>"Towel"</formula>
    </cfRule>
    <cfRule type="cellIs" dxfId="10720" priority="3805" stopIfTrue="1" operator="equal">
      <formula>"Napkin Hs"</formula>
    </cfRule>
    <cfRule type="cellIs" dxfId="10719" priority="3806" stopIfTrue="1" operator="equal">
      <formula>"Towel"</formula>
    </cfRule>
    <cfRule type="cellIs" dxfId="10718" priority="3807" stopIfTrue="1" operator="equal">
      <formula>"Napkin Hs"</formula>
    </cfRule>
    <cfRule type="cellIs" dxfId="10717" priority="3810" stopIfTrue="1" operator="equal">
      <formula>"Towel"</formula>
    </cfRule>
    <cfRule type="cellIs" dxfId="10716" priority="3811" stopIfTrue="1" operator="equal">
      <formula>"Napkin Hs"</formula>
    </cfRule>
    <cfRule type="cellIs" dxfId="10715" priority="3812" stopIfTrue="1" operator="equal">
      <formula>"Towel"</formula>
    </cfRule>
    <cfRule type="cellIs" dxfId="10714" priority="3813" stopIfTrue="1" operator="equal">
      <formula>"Napkin Hs"</formula>
    </cfRule>
    <cfRule type="cellIs" dxfId="10713" priority="3816" stopIfTrue="1" operator="equal">
      <formula>"Towel"</formula>
    </cfRule>
    <cfRule type="cellIs" dxfId="10712" priority="3817" stopIfTrue="1" operator="equal">
      <formula>"Napkin Hs"</formula>
    </cfRule>
    <cfRule type="cellIs" dxfId="10711" priority="3818" stopIfTrue="1" operator="equal">
      <formula>"Towel"</formula>
    </cfRule>
    <cfRule type="cellIs" dxfId="10710" priority="3819" stopIfTrue="1" operator="equal">
      <formula>"Napkin Hs"</formula>
    </cfRule>
    <cfRule type="cellIs" dxfId="10709" priority="3822" stopIfTrue="1" operator="equal">
      <formula>"Towel"</formula>
    </cfRule>
    <cfRule type="cellIs" dxfId="10708" priority="3823" stopIfTrue="1" operator="equal">
      <formula>"Napkin Hs"</formula>
    </cfRule>
    <cfRule type="cellIs" dxfId="10707" priority="3824" stopIfTrue="1" operator="equal">
      <formula>"Towel"</formula>
    </cfRule>
    <cfRule type="cellIs" dxfId="10706" priority="3825" stopIfTrue="1" operator="equal">
      <formula>"Napkin Hs"</formula>
    </cfRule>
    <cfRule type="cellIs" dxfId="10705" priority="3828" stopIfTrue="1" operator="equal">
      <formula>"Towel"</formula>
    </cfRule>
    <cfRule type="cellIs" dxfId="10704" priority="3829" stopIfTrue="1" operator="equal">
      <formula>"Napkin Hs"</formula>
    </cfRule>
    <cfRule type="cellIs" dxfId="10703" priority="3830" stopIfTrue="1" operator="equal">
      <formula>"Towel"</formula>
    </cfRule>
    <cfRule type="cellIs" dxfId="10702" priority="3831" stopIfTrue="1" operator="equal">
      <formula>"Napkin Hs"</formula>
    </cfRule>
    <cfRule type="cellIs" dxfId="10701" priority="3834" stopIfTrue="1" operator="equal">
      <formula>"Towel"</formula>
    </cfRule>
    <cfRule type="cellIs" dxfId="10700" priority="3835" stopIfTrue="1" operator="equal">
      <formula>"Napkin Hs"</formula>
    </cfRule>
    <cfRule type="cellIs" dxfId="10699" priority="3836" stopIfTrue="1" operator="equal">
      <formula>"Towel"</formula>
    </cfRule>
    <cfRule type="cellIs" dxfId="10698" priority="3837" stopIfTrue="1" operator="equal">
      <formula>"Napkin Hs"</formula>
    </cfRule>
    <cfRule type="cellIs" dxfId="10697" priority="3840" stopIfTrue="1" operator="equal">
      <formula>"Towel"</formula>
    </cfRule>
    <cfRule type="cellIs" dxfId="10696" priority="3841" stopIfTrue="1" operator="equal">
      <formula>"Napkin Hs"</formula>
    </cfRule>
  </conditionalFormatting>
  <conditionalFormatting sqref="C111:C113">
    <cfRule type="cellIs" dxfId="10695" priority="3842" stopIfTrue="1" operator="equal">
      <formula>"Towel"</formula>
    </cfRule>
    <cfRule type="cellIs" dxfId="10694" priority="3843" stopIfTrue="1" operator="equal">
      <formula>"Napkin Hs"</formula>
    </cfRule>
  </conditionalFormatting>
  <conditionalFormatting sqref="C113">
    <cfRule type="cellIs" dxfId="10693" priority="3863" stopIfTrue="1" operator="equal">
      <formula>"Towel"</formula>
    </cfRule>
    <cfRule type="cellIs" dxfId="10692" priority="3864" stopIfTrue="1" operator="equal">
      <formula>"Napkin Hs"</formula>
    </cfRule>
  </conditionalFormatting>
  <conditionalFormatting sqref="C114">
    <cfRule type="cellIs" dxfId="10691" priority="3740" stopIfTrue="1" operator="equal">
      <formula>"Towel"</formula>
    </cfRule>
    <cfRule type="cellIs" dxfId="10690" priority="3741" stopIfTrue="1" operator="equal">
      <formula>"Napkin Hs"</formula>
    </cfRule>
    <cfRule type="cellIs" dxfId="10689" priority="3744" stopIfTrue="1" operator="equal">
      <formula>"Towel"</formula>
    </cfRule>
    <cfRule type="cellIs" dxfId="10688" priority="3745" stopIfTrue="1" operator="equal">
      <formula>"Napkin Hs"</formula>
    </cfRule>
    <cfRule type="cellIs" dxfId="10687" priority="3746" stopIfTrue="1" operator="equal">
      <formula>"Towel"</formula>
    </cfRule>
    <cfRule type="cellIs" dxfId="10686" priority="3747" stopIfTrue="1" operator="equal">
      <formula>"Napkin Hs"</formula>
    </cfRule>
    <cfRule type="cellIs" dxfId="10685" priority="3750" stopIfTrue="1" operator="equal">
      <formula>"Towel"</formula>
    </cfRule>
    <cfRule type="cellIs" dxfId="10684" priority="3751" stopIfTrue="1" operator="equal">
      <formula>"Napkin Hs"</formula>
    </cfRule>
    <cfRule type="cellIs" dxfId="10683" priority="3752" stopIfTrue="1" operator="equal">
      <formula>"Towel"</formula>
    </cfRule>
    <cfRule type="cellIs" dxfId="10682" priority="3753" stopIfTrue="1" operator="equal">
      <formula>"Napkin Hs"</formula>
    </cfRule>
    <cfRule type="cellIs" dxfId="10681" priority="3756" stopIfTrue="1" operator="equal">
      <formula>"Towel"</formula>
    </cfRule>
    <cfRule type="cellIs" dxfId="10680" priority="3757" stopIfTrue="1" operator="equal">
      <formula>"Napkin Hs"</formula>
    </cfRule>
    <cfRule type="cellIs" dxfId="10679" priority="3758" stopIfTrue="1" operator="equal">
      <formula>"Towel"</formula>
    </cfRule>
    <cfRule type="cellIs" dxfId="10678" priority="3759" stopIfTrue="1" operator="equal">
      <formula>"Napkin Hs"</formula>
    </cfRule>
    <cfRule type="cellIs" dxfId="10677" priority="3762" stopIfTrue="1" operator="equal">
      <formula>"Towel"</formula>
    </cfRule>
    <cfRule type="cellIs" dxfId="10676" priority="3763" stopIfTrue="1" operator="equal">
      <formula>"Napkin Hs"</formula>
    </cfRule>
    <cfRule type="cellIs" dxfId="10675" priority="3764" stopIfTrue="1" operator="equal">
      <formula>"Towel"</formula>
    </cfRule>
    <cfRule type="cellIs" dxfId="10674" priority="3765" stopIfTrue="1" operator="equal">
      <formula>"Napkin Hs"</formula>
    </cfRule>
    <cfRule type="cellIs" dxfId="10673" priority="3768" stopIfTrue="1" operator="equal">
      <formula>"Towel"</formula>
    </cfRule>
    <cfRule type="cellIs" dxfId="10672" priority="3769" stopIfTrue="1" operator="equal">
      <formula>"Napkin Hs"</formula>
    </cfRule>
    <cfRule type="cellIs" dxfId="10671" priority="3770" stopIfTrue="1" operator="equal">
      <formula>"Towel"</formula>
    </cfRule>
    <cfRule type="cellIs" dxfId="10670" priority="3771" stopIfTrue="1" operator="equal">
      <formula>"Napkin Hs"</formula>
    </cfRule>
    <cfRule type="cellIs" dxfId="10669" priority="3774" stopIfTrue="1" operator="equal">
      <formula>"Towel"</formula>
    </cfRule>
    <cfRule type="cellIs" dxfId="10668" priority="3775" stopIfTrue="1" operator="equal">
      <formula>"Napkin Hs"</formula>
    </cfRule>
    <cfRule type="cellIs" dxfId="10667" priority="3776" stopIfTrue="1" operator="equal">
      <formula>"Towel"</formula>
    </cfRule>
    <cfRule type="cellIs" dxfId="10666" priority="3777" stopIfTrue="1" operator="equal">
      <formula>"Napkin Hs"</formula>
    </cfRule>
    <cfRule type="cellIs" dxfId="10665" priority="3780" stopIfTrue="1" operator="equal">
      <formula>"Towel"</formula>
    </cfRule>
    <cfRule type="cellIs" dxfId="10664" priority="3781" stopIfTrue="1" operator="equal">
      <formula>"Napkin Hs"</formula>
    </cfRule>
    <cfRule type="cellIs" dxfId="10663" priority="3782" stopIfTrue="1" operator="equal">
      <formula>"Towel"</formula>
    </cfRule>
    <cfRule type="cellIs" dxfId="10662" priority="3783" stopIfTrue="1" operator="equal">
      <formula>"Napkin Hs"</formula>
    </cfRule>
    <cfRule type="cellIs" dxfId="10661" priority="3786" stopIfTrue="1" operator="equal">
      <formula>"Towel"</formula>
    </cfRule>
    <cfRule type="cellIs" dxfId="10660" priority="3787" stopIfTrue="1" operator="equal">
      <formula>"Napkin Hs"</formula>
    </cfRule>
    <cfRule type="cellIs" dxfId="10659" priority="3788" stopIfTrue="1" operator="equal">
      <formula>"Towel"</formula>
    </cfRule>
    <cfRule type="cellIs" dxfId="10658" priority="3789" stopIfTrue="1" operator="equal">
      <formula>"Napkin Hs"</formula>
    </cfRule>
  </conditionalFormatting>
  <conditionalFormatting sqref="B115:C115">
    <cfRule type="cellIs" dxfId="10657" priority="3669" stopIfTrue="1" operator="equal">
      <formula>"Napkin Hs"</formula>
    </cfRule>
  </conditionalFormatting>
  <conditionalFormatting sqref="B115:C115">
    <cfRule type="cellIs" dxfId="10656" priority="3668" stopIfTrue="1" operator="equal">
      <formula>"Towel"</formula>
    </cfRule>
  </conditionalFormatting>
  <conditionalFormatting sqref="B115:C115">
    <cfRule type="cellIs" dxfId="10655" priority="3620" stopIfTrue="1" operator="equal">
      <formula>"Towel"</formula>
    </cfRule>
    <cfRule type="cellIs" dxfId="10654" priority="3621" stopIfTrue="1" operator="equal">
      <formula>"Napkin Hs"</formula>
    </cfRule>
    <cfRule type="cellIs" dxfId="10653" priority="3626" stopIfTrue="1" operator="equal">
      <formula>"Towel"</formula>
    </cfRule>
    <cfRule type="cellIs" dxfId="10652" priority="3627" stopIfTrue="1" operator="equal">
      <formula>"Napkin Hs"</formula>
    </cfRule>
    <cfRule type="cellIs" dxfId="10651" priority="3632" stopIfTrue="1" operator="equal">
      <formula>"Towel"</formula>
    </cfRule>
    <cfRule type="cellIs" dxfId="10650" priority="3633" stopIfTrue="1" operator="equal">
      <formula>"Napkin Hs"</formula>
    </cfRule>
    <cfRule type="cellIs" dxfId="10649" priority="3638" stopIfTrue="1" operator="equal">
      <formula>"Towel"</formula>
    </cfRule>
    <cfRule type="cellIs" dxfId="10648" priority="3639" stopIfTrue="1" operator="equal">
      <formula>"Napkin Hs"</formula>
    </cfRule>
    <cfRule type="cellIs" dxfId="10647" priority="3644" stopIfTrue="1" operator="equal">
      <formula>"Towel"</formula>
    </cfRule>
    <cfRule type="cellIs" dxfId="10646" priority="3645" stopIfTrue="1" operator="equal">
      <formula>"Napkin Hs"</formula>
    </cfRule>
    <cfRule type="cellIs" dxfId="10645" priority="3650" stopIfTrue="1" operator="equal">
      <formula>"Towel"</formula>
    </cfRule>
    <cfRule type="cellIs" dxfId="10644" priority="3651" stopIfTrue="1" operator="equal">
      <formula>"Napkin Hs"</formula>
    </cfRule>
    <cfRule type="cellIs" dxfId="10643" priority="3656" stopIfTrue="1" operator="equal">
      <formula>"Towel"</formula>
    </cfRule>
    <cfRule type="cellIs" dxfId="10642" priority="3657" stopIfTrue="1" operator="equal">
      <formula>"Napkin Hs"</formula>
    </cfRule>
  </conditionalFormatting>
  <conditionalFormatting sqref="B113:B114">
    <cfRule type="cellIs" dxfId="10641" priority="3466" stopIfTrue="1" operator="equal">
      <formula>"Towel"</formula>
    </cfRule>
    <cfRule type="cellIs" dxfId="10640" priority="3467" stopIfTrue="1" operator="equal">
      <formula>"Napkin Hs"</formula>
    </cfRule>
  </conditionalFormatting>
  <conditionalFormatting sqref="B111:C111">
    <cfRule type="cellIs" dxfId="10639" priority="3304" stopIfTrue="1" operator="equal">
      <formula>"Towel"</formula>
    </cfRule>
    <cfRule type="cellIs" dxfId="10638" priority="3305" stopIfTrue="1" operator="equal">
      <formula>"Napkin Hs"</formula>
    </cfRule>
    <cfRule type="cellIs" dxfId="10637" priority="3310" stopIfTrue="1" operator="equal">
      <formula>"Towel"</formula>
    </cfRule>
    <cfRule type="cellIs" dxfId="10636" priority="3311" stopIfTrue="1" operator="equal">
      <formula>"Napkin Hs"</formula>
    </cfRule>
    <cfRule type="cellIs" dxfId="10635" priority="3316" stopIfTrue="1" operator="equal">
      <formula>"Towel"</formula>
    </cfRule>
    <cfRule type="cellIs" dxfId="10634" priority="3317" stopIfTrue="1" operator="equal">
      <formula>"Napkin Hs"</formula>
    </cfRule>
    <cfRule type="cellIs" dxfId="10633" priority="3322" stopIfTrue="1" operator="equal">
      <formula>"Towel"</formula>
    </cfRule>
    <cfRule type="cellIs" dxfId="10632" priority="3323" stopIfTrue="1" operator="equal">
      <formula>"Napkin Hs"</formula>
    </cfRule>
    <cfRule type="cellIs" dxfId="10631" priority="3328" stopIfTrue="1" operator="equal">
      <formula>"Towel"</formula>
    </cfRule>
    <cfRule type="cellIs" dxfId="10630" priority="3329" stopIfTrue="1" operator="equal">
      <formula>"Napkin Hs"</formula>
    </cfRule>
    <cfRule type="cellIs" dxfId="10629" priority="3334" stopIfTrue="1" operator="equal">
      <formula>"Towel"</formula>
    </cfRule>
    <cfRule type="cellIs" dxfId="10628" priority="3335" stopIfTrue="1" operator="equal">
      <formula>"Napkin Hs"</formula>
    </cfRule>
    <cfRule type="cellIs" dxfId="10627" priority="3338" stopIfTrue="1" operator="equal">
      <formula>"Towel"</formula>
    </cfRule>
    <cfRule type="cellIs" dxfId="10626" priority="3339" stopIfTrue="1" operator="equal">
      <formula>"Napkin Hs"</formula>
    </cfRule>
    <cfRule type="cellIs" dxfId="10625" priority="3346" stopIfTrue="1" operator="equal">
      <formula>"Towel"</formula>
    </cfRule>
    <cfRule type="cellIs" dxfId="10624" priority="3347" stopIfTrue="1" operator="equal">
      <formula>"Napkin Hs"</formula>
    </cfRule>
    <cfRule type="cellIs" dxfId="10623" priority="3352" stopIfTrue="1" operator="equal">
      <formula>"Towel"</formula>
    </cfRule>
    <cfRule type="cellIs" dxfId="10622" priority="3353" stopIfTrue="1" operator="equal">
      <formula>"Napkin Hs"</formula>
    </cfRule>
    <cfRule type="cellIs" dxfId="10621" priority="3358" stopIfTrue="1" operator="equal">
      <formula>"Towel"</formula>
    </cfRule>
    <cfRule type="cellIs" dxfId="10620" priority="3359" stopIfTrue="1" operator="equal">
      <formula>"Napkin Hs"</formula>
    </cfRule>
    <cfRule type="cellIs" dxfId="10619" priority="3364" stopIfTrue="1" operator="equal">
      <formula>"Towel"</formula>
    </cfRule>
    <cfRule type="cellIs" dxfId="10618" priority="3365" stopIfTrue="1" operator="equal">
      <formula>"Napkin Hs"</formula>
    </cfRule>
    <cfRule type="cellIs" dxfId="10617" priority="3370" stopIfTrue="1" operator="equal">
      <formula>"Towel"</formula>
    </cfRule>
    <cfRule type="cellIs" dxfId="10616" priority="3371" stopIfTrue="1" operator="equal">
      <formula>"Napkin Hs"</formula>
    </cfRule>
    <cfRule type="cellIs" dxfId="10615" priority="3376" stopIfTrue="1" operator="equal">
      <formula>"Towel"</formula>
    </cfRule>
    <cfRule type="cellIs" dxfId="10614" priority="3377" stopIfTrue="1" operator="equal">
      <formula>"Napkin Hs"</formula>
    </cfRule>
    <cfRule type="cellIs" dxfId="10613" priority="3382" stopIfTrue="1" operator="equal">
      <formula>"Towel"</formula>
    </cfRule>
    <cfRule type="cellIs" dxfId="10612" priority="3383" stopIfTrue="1" operator="equal">
      <formula>"Napkin Hs"</formula>
    </cfRule>
  </conditionalFormatting>
  <conditionalFormatting sqref="B112:C112">
    <cfRule type="cellIs" dxfId="10611" priority="3386" stopIfTrue="1" operator="equal">
      <formula>"Towel"</formula>
    </cfRule>
    <cfRule type="cellIs" dxfId="10610" priority="3387" stopIfTrue="1" operator="equal">
      <formula>"Napkin Hs"</formula>
    </cfRule>
    <cfRule type="cellIs" dxfId="10609" priority="3392" stopIfTrue="1" operator="equal">
      <formula>"Towel"</formula>
    </cfRule>
    <cfRule type="cellIs" dxfId="10608" priority="3393" stopIfTrue="1" operator="equal">
      <formula>"Napkin Hs"</formula>
    </cfRule>
    <cfRule type="cellIs" dxfId="10607" priority="3398" stopIfTrue="1" operator="equal">
      <formula>"Towel"</formula>
    </cfRule>
    <cfRule type="cellIs" dxfId="10606" priority="3399" stopIfTrue="1" operator="equal">
      <formula>"Napkin Hs"</formula>
    </cfRule>
    <cfRule type="cellIs" dxfId="10605" priority="3404" stopIfTrue="1" operator="equal">
      <formula>"Towel"</formula>
    </cfRule>
    <cfRule type="cellIs" dxfId="10604" priority="3405" stopIfTrue="1" operator="equal">
      <formula>"Napkin Hs"</formula>
    </cfRule>
    <cfRule type="cellIs" dxfId="10603" priority="3410" stopIfTrue="1" operator="equal">
      <formula>"Towel"</formula>
    </cfRule>
    <cfRule type="cellIs" dxfId="10602" priority="3411" stopIfTrue="1" operator="equal">
      <formula>"Napkin Hs"</formula>
    </cfRule>
    <cfRule type="cellIs" dxfId="10601" priority="3416" stopIfTrue="1" operator="equal">
      <formula>"Towel"</formula>
    </cfRule>
    <cfRule type="cellIs" dxfId="10600" priority="3417" stopIfTrue="1" operator="equal">
      <formula>"Napkin Hs"</formula>
    </cfRule>
    <cfRule type="cellIs" dxfId="10599" priority="3420" stopIfTrue="1" operator="equal">
      <formula>"Towel"</formula>
    </cfRule>
    <cfRule type="cellIs" dxfId="10598" priority="3421" stopIfTrue="1" operator="equal">
      <formula>"Napkin Hs"</formula>
    </cfRule>
    <cfRule type="cellIs" dxfId="10597" priority="3428" stopIfTrue="1" operator="equal">
      <formula>"Towel"</formula>
    </cfRule>
    <cfRule type="cellIs" dxfId="10596" priority="3429" stopIfTrue="1" operator="equal">
      <formula>"Napkin Hs"</formula>
    </cfRule>
    <cfRule type="cellIs" dxfId="10595" priority="3434" stopIfTrue="1" operator="equal">
      <formula>"Towel"</formula>
    </cfRule>
    <cfRule type="cellIs" dxfId="10594" priority="3435" stopIfTrue="1" operator="equal">
      <formula>"Napkin Hs"</formula>
    </cfRule>
    <cfRule type="cellIs" dxfId="10593" priority="3440" stopIfTrue="1" operator="equal">
      <formula>"Towel"</formula>
    </cfRule>
    <cfRule type="cellIs" dxfId="10592" priority="3441" stopIfTrue="1" operator="equal">
      <formula>"Napkin Hs"</formula>
    </cfRule>
    <cfRule type="cellIs" dxfId="10591" priority="3446" stopIfTrue="1" operator="equal">
      <formula>"Towel"</formula>
    </cfRule>
    <cfRule type="cellIs" dxfId="10590" priority="3447" stopIfTrue="1" operator="equal">
      <formula>"Napkin Hs"</formula>
    </cfRule>
    <cfRule type="cellIs" dxfId="10589" priority="3452" stopIfTrue="1" operator="equal">
      <formula>"Towel"</formula>
    </cfRule>
    <cfRule type="cellIs" dxfId="10588" priority="3453" stopIfTrue="1" operator="equal">
      <formula>"Napkin Hs"</formula>
    </cfRule>
    <cfRule type="cellIs" dxfId="10587" priority="3458" stopIfTrue="1" operator="equal">
      <formula>"Towel"</formula>
    </cfRule>
    <cfRule type="cellIs" dxfId="10586" priority="3459" stopIfTrue="1" operator="equal">
      <formula>"Napkin Hs"</formula>
    </cfRule>
    <cfRule type="cellIs" dxfId="10585" priority="3464" stopIfTrue="1" operator="equal">
      <formula>"Towel"</formula>
    </cfRule>
    <cfRule type="cellIs" dxfId="10584" priority="3465" stopIfTrue="1" operator="equal">
      <formula>"Napkin Hs"</formula>
    </cfRule>
  </conditionalFormatting>
  <conditionalFormatting sqref="B113:C113">
    <cfRule type="cellIs" dxfId="10583" priority="3526" stopIfTrue="1" operator="equal">
      <formula>"Towel"</formula>
    </cfRule>
    <cfRule type="cellIs" dxfId="10582" priority="3527" stopIfTrue="1" operator="equal">
      <formula>"Napkin Hs"</formula>
    </cfRule>
    <cfRule type="cellIs" dxfId="10581" priority="3532" stopIfTrue="1" operator="equal">
      <formula>"Towel"</formula>
    </cfRule>
    <cfRule type="cellIs" dxfId="10580" priority="3533" stopIfTrue="1" operator="equal">
      <formula>"Napkin Hs"</formula>
    </cfRule>
    <cfRule type="cellIs" dxfId="10579" priority="3538" stopIfTrue="1" operator="equal">
      <formula>"Towel"</formula>
    </cfRule>
    <cfRule type="cellIs" dxfId="10578" priority="3539" stopIfTrue="1" operator="equal">
      <formula>"Napkin Hs"</formula>
    </cfRule>
    <cfRule type="cellIs" dxfId="10577" priority="3544" stopIfTrue="1" operator="equal">
      <formula>"Towel"</formula>
    </cfRule>
    <cfRule type="cellIs" dxfId="10576" priority="3545" stopIfTrue="1" operator="equal">
      <formula>"Napkin Hs"</formula>
    </cfRule>
    <cfRule type="cellIs" dxfId="10575" priority="3550" stopIfTrue="1" operator="equal">
      <formula>"Towel"</formula>
    </cfRule>
    <cfRule type="cellIs" dxfId="10574" priority="3551" stopIfTrue="1" operator="equal">
      <formula>"Napkin Hs"</formula>
    </cfRule>
    <cfRule type="cellIs" dxfId="10573" priority="3556" stopIfTrue="1" operator="equal">
      <formula>"Towel"</formula>
    </cfRule>
    <cfRule type="cellIs" dxfId="10572" priority="3557" stopIfTrue="1" operator="equal">
      <formula>"Napkin Hs"</formula>
    </cfRule>
    <cfRule type="cellIs" dxfId="10571" priority="3562" stopIfTrue="1" operator="equal">
      <formula>"Towel"</formula>
    </cfRule>
    <cfRule type="cellIs" dxfId="10570" priority="3563" stopIfTrue="1" operator="equal">
      <formula>"Napkin Hs"</formula>
    </cfRule>
    <cfRule type="cellIs" dxfId="10569" priority="3568" stopIfTrue="1" operator="equal">
      <formula>"Towel"</formula>
    </cfRule>
    <cfRule type="cellIs" dxfId="10568" priority="3569" stopIfTrue="1" operator="equal">
      <formula>"Napkin Hs"</formula>
    </cfRule>
  </conditionalFormatting>
  <conditionalFormatting sqref="B113:C114">
    <cfRule type="cellIs" dxfId="10567" priority="3468" stopIfTrue="1" operator="equal">
      <formula>"Towel"</formula>
    </cfRule>
    <cfRule type="cellIs" dxfId="10566" priority="3469" stopIfTrue="1" operator="equal">
      <formula>"Napkin Hs"</formula>
    </cfRule>
    <cfRule type="cellIs" dxfId="10565" priority="3484" stopIfTrue="1" operator="equal">
      <formula>"Towel"</formula>
    </cfRule>
    <cfRule type="cellIs" dxfId="10564" priority="3485" stopIfTrue="1" operator="equal">
      <formula>"Napkin Hs"</formula>
    </cfRule>
    <cfRule type="cellIs" dxfId="10563" priority="3490" stopIfTrue="1" operator="equal">
      <formula>"Towel"</formula>
    </cfRule>
    <cfRule type="cellIs" dxfId="10562" priority="3491" stopIfTrue="1" operator="equal">
      <formula>"Napkin Hs"</formula>
    </cfRule>
    <cfRule type="cellIs" dxfId="10561" priority="3496" stopIfTrue="1" operator="equal">
      <formula>"Towel"</formula>
    </cfRule>
    <cfRule type="cellIs" dxfId="10560" priority="3497" stopIfTrue="1" operator="equal">
      <formula>"Napkin Hs"</formula>
    </cfRule>
    <cfRule type="cellIs" dxfId="10559" priority="3502" stopIfTrue="1" operator="equal">
      <formula>"Towel"</formula>
    </cfRule>
    <cfRule type="cellIs" dxfId="10558" priority="3503" stopIfTrue="1" operator="equal">
      <formula>"Napkin Hs"</formula>
    </cfRule>
    <cfRule type="cellIs" dxfId="10557" priority="3508" stopIfTrue="1" operator="equal">
      <formula>"Towel"</formula>
    </cfRule>
    <cfRule type="cellIs" dxfId="10556" priority="3509" stopIfTrue="1" operator="equal">
      <formula>"Napkin Hs"</formula>
    </cfRule>
    <cfRule type="cellIs" dxfId="10555" priority="3514" stopIfTrue="1" operator="equal">
      <formula>"Towel"</formula>
    </cfRule>
    <cfRule type="cellIs" dxfId="10554" priority="3515" stopIfTrue="1" operator="equal">
      <formula>"Napkin Hs"</formula>
    </cfRule>
    <cfRule type="cellIs" dxfId="10553" priority="3520" stopIfTrue="1" operator="equal">
      <formula>"Towel"</formula>
    </cfRule>
    <cfRule type="cellIs" dxfId="10552" priority="3521" stopIfTrue="1" operator="equal">
      <formula>"Napkin Hs"</formula>
    </cfRule>
  </conditionalFormatting>
  <conditionalFormatting sqref="B114:C114">
    <cfRule type="cellIs" dxfId="10551" priority="3572" stopIfTrue="1" operator="equal">
      <formula>"Towel"</formula>
    </cfRule>
    <cfRule type="cellIs" dxfId="10550" priority="3573" stopIfTrue="1" operator="equal">
      <formula>"Napkin Hs"</formula>
    </cfRule>
    <cfRule type="cellIs" dxfId="10549" priority="3578" stopIfTrue="1" operator="equal">
      <formula>"Towel"</formula>
    </cfRule>
    <cfRule type="cellIs" dxfId="10548" priority="3579" stopIfTrue="1" operator="equal">
      <formula>"Napkin Hs"</formula>
    </cfRule>
    <cfRule type="cellIs" dxfId="10547" priority="3584" stopIfTrue="1" operator="equal">
      <formula>"Towel"</formula>
    </cfRule>
    <cfRule type="cellIs" dxfId="10546" priority="3585" stopIfTrue="1" operator="equal">
      <formula>"Napkin Hs"</formula>
    </cfRule>
    <cfRule type="cellIs" dxfId="10545" priority="3590" stopIfTrue="1" operator="equal">
      <formula>"Towel"</formula>
    </cfRule>
    <cfRule type="cellIs" dxfId="10544" priority="3591" stopIfTrue="1" operator="equal">
      <formula>"Napkin Hs"</formula>
    </cfRule>
    <cfRule type="cellIs" dxfId="10543" priority="3596" stopIfTrue="1" operator="equal">
      <formula>"Towel"</formula>
    </cfRule>
    <cfRule type="cellIs" dxfId="10542" priority="3597" stopIfTrue="1" operator="equal">
      <formula>"Napkin Hs"</formula>
    </cfRule>
    <cfRule type="cellIs" dxfId="10541" priority="3602" stopIfTrue="1" operator="equal">
      <formula>"Towel"</formula>
    </cfRule>
    <cfRule type="cellIs" dxfId="10540" priority="3603" stopIfTrue="1" operator="equal">
      <formula>"Napkin Hs"</formula>
    </cfRule>
    <cfRule type="cellIs" dxfId="10539" priority="3608" stopIfTrue="1" operator="equal">
      <formula>"Towel"</formula>
    </cfRule>
    <cfRule type="cellIs" dxfId="10538" priority="3609" stopIfTrue="1" operator="equal">
      <formula>"Napkin Hs"</formula>
    </cfRule>
    <cfRule type="cellIs" dxfId="10537" priority="3614" stopIfTrue="1" operator="equal">
      <formula>"Towel"</formula>
    </cfRule>
    <cfRule type="cellIs" dxfId="10536" priority="3615" stopIfTrue="1" operator="equal">
      <formula>"Napkin Hs"</formula>
    </cfRule>
  </conditionalFormatting>
  <conditionalFormatting sqref="C111">
    <cfRule type="cellIs" dxfId="10535" priority="3300" stopIfTrue="1" operator="equal">
      <formula>"Towel"</formula>
    </cfRule>
    <cfRule type="cellIs" dxfId="10534" priority="3301" stopIfTrue="1" operator="equal">
      <formula>"Napkin Hs"</formula>
    </cfRule>
    <cfRule type="cellIs" dxfId="10533" priority="3302" stopIfTrue="1" operator="equal">
      <formula>"Towel"</formula>
    </cfRule>
    <cfRule type="cellIs" dxfId="10532" priority="3303" stopIfTrue="1" operator="equal">
      <formula>"Napkin Hs"</formula>
    </cfRule>
    <cfRule type="cellIs" dxfId="10531" priority="3306" stopIfTrue="1" operator="equal">
      <formula>"Towel"</formula>
    </cfRule>
    <cfRule type="cellIs" dxfId="10530" priority="3307" stopIfTrue="1" operator="equal">
      <formula>"Napkin Hs"</formula>
    </cfRule>
    <cfRule type="cellIs" dxfId="10529" priority="3308" stopIfTrue="1" operator="equal">
      <formula>"Towel"</formula>
    </cfRule>
    <cfRule type="cellIs" dxfId="10528" priority="3309" stopIfTrue="1" operator="equal">
      <formula>"Napkin Hs"</formula>
    </cfRule>
    <cfRule type="cellIs" dxfId="10527" priority="3312" stopIfTrue="1" operator="equal">
      <formula>"Towel"</formula>
    </cfRule>
    <cfRule type="cellIs" dxfId="10526" priority="3313" stopIfTrue="1" operator="equal">
      <formula>"Napkin Hs"</formula>
    </cfRule>
    <cfRule type="cellIs" dxfId="10525" priority="3314" stopIfTrue="1" operator="equal">
      <formula>"Towel"</formula>
    </cfRule>
    <cfRule type="cellIs" dxfId="10524" priority="3315" stopIfTrue="1" operator="equal">
      <formula>"Napkin Hs"</formula>
    </cfRule>
    <cfRule type="cellIs" dxfId="10523" priority="3318" stopIfTrue="1" operator="equal">
      <formula>"Towel"</formula>
    </cfRule>
    <cfRule type="cellIs" dxfId="10522" priority="3319" stopIfTrue="1" operator="equal">
      <formula>"Napkin Hs"</formula>
    </cfRule>
    <cfRule type="cellIs" dxfId="10521" priority="3320" stopIfTrue="1" operator="equal">
      <formula>"Towel"</formula>
    </cfRule>
    <cfRule type="cellIs" dxfId="10520" priority="3321" stopIfTrue="1" operator="equal">
      <formula>"Napkin Hs"</formula>
    </cfRule>
    <cfRule type="cellIs" dxfId="10519" priority="3324" stopIfTrue="1" operator="equal">
      <formula>"Towel"</formula>
    </cfRule>
    <cfRule type="cellIs" dxfId="10518" priority="3325" stopIfTrue="1" operator="equal">
      <formula>"Napkin Hs"</formula>
    </cfRule>
    <cfRule type="cellIs" dxfId="10517" priority="3326" stopIfTrue="1" operator="equal">
      <formula>"Towel"</formula>
    </cfRule>
    <cfRule type="cellIs" dxfId="10516" priority="3327" stopIfTrue="1" operator="equal">
      <formula>"Napkin Hs"</formula>
    </cfRule>
    <cfRule type="cellIs" dxfId="10515" priority="3330" stopIfTrue="1" operator="equal">
      <formula>"Towel"</formula>
    </cfRule>
    <cfRule type="cellIs" dxfId="10514" priority="3331" stopIfTrue="1" operator="equal">
      <formula>"Napkin Hs"</formula>
    </cfRule>
    <cfRule type="cellIs" dxfId="10513" priority="3332" stopIfTrue="1" operator="equal">
      <formula>"Towel"</formula>
    </cfRule>
    <cfRule type="cellIs" dxfId="10512" priority="3333" stopIfTrue="1" operator="equal">
      <formula>"Napkin Hs"</formula>
    </cfRule>
    <cfRule type="cellIs" dxfId="10511" priority="3336" stopIfTrue="1" operator="equal">
      <formula>"Towel"</formula>
    </cfRule>
    <cfRule type="cellIs" dxfId="10510" priority="3337" stopIfTrue="1" operator="equal">
      <formula>"Napkin Hs"</formula>
    </cfRule>
    <cfRule type="cellIs" dxfId="10509" priority="3340" stopIfTrue="1" operator="equal">
      <formula>"Towel"</formula>
    </cfRule>
    <cfRule type="cellIs" dxfId="10508" priority="3341" stopIfTrue="1" operator="equal">
      <formula>"Napkin Hs"</formula>
    </cfRule>
    <cfRule type="cellIs" dxfId="10507" priority="3342" stopIfTrue="1" operator="equal">
      <formula>"Towel"</formula>
    </cfRule>
    <cfRule type="cellIs" dxfId="10506" priority="3343" stopIfTrue="1" operator="equal">
      <formula>"Napkin Hs"</formula>
    </cfRule>
    <cfRule type="cellIs" dxfId="10505" priority="3344" stopIfTrue="1" operator="equal">
      <formula>"Towel"</formula>
    </cfRule>
    <cfRule type="cellIs" dxfId="10504" priority="3345" stopIfTrue="1" operator="equal">
      <formula>"Napkin Hs"</formula>
    </cfRule>
    <cfRule type="cellIs" dxfId="10503" priority="3348" stopIfTrue="1" operator="equal">
      <formula>"Towel"</formula>
    </cfRule>
    <cfRule type="cellIs" dxfId="10502" priority="3349" stopIfTrue="1" operator="equal">
      <formula>"Napkin Hs"</formula>
    </cfRule>
    <cfRule type="cellIs" dxfId="10501" priority="3350" stopIfTrue="1" operator="equal">
      <formula>"Towel"</formula>
    </cfRule>
    <cfRule type="cellIs" dxfId="10500" priority="3351" stopIfTrue="1" operator="equal">
      <formula>"Napkin Hs"</formula>
    </cfRule>
    <cfRule type="cellIs" dxfId="10499" priority="3354" stopIfTrue="1" operator="equal">
      <formula>"Towel"</formula>
    </cfRule>
    <cfRule type="cellIs" dxfId="10498" priority="3355" stopIfTrue="1" operator="equal">
      <formula>"Napkin Hs"</formula>
    </cfRule>
    <cfRule type="cellIs" dxfId="10497" priority="3356" stopIfTrue="1" operator="equal">
      <formula>"Towel"</formula>
    </cfRule>
    <cfRule type="cellIs" dxfId="10496" priority="3357" stopIfTrue="1" operator="equal">
      <formula>"Napkin Hs"</formula>
    </cfRule>
    <cfRule type="cellIs" dxfId="10495" priority="3360" stopIfTrue="1" operator="equal">
      <formula>"Towel"</formula>
    </cfRule>
    <cfRule type="cellIs" dxfId="10494" priority="3361" stopIfTrue="1" operator="equal">
      <formula>"Napkin Hs"</formula>
    </cfRule>
    <cfRule type="cellIs" dxfId="10493" priority="3362" stopIfTrue="1" operator="equal">
      <formula>"Towel"</formula>
    </cfRule>
    <cfRule type="cellIs" dxfId="10492" priority="3363" stopIfTrue="1" operator="equal">
      <formula>"Napkin Hs"</formula>
    </cfRule>
    <cfRule type="cellIs" dxfId="10491" priority="3366" stopIfTrue="1" operator="equal">
      <formula>"Towel"</formula>
    </cfRule>
    <cfRule type="cellIs" dxfId="10490" priority="3367" stopIfTrue="1" operator="equal">
      <formula>"Napkin Hs"</formula>
    </cfRule>
    <cfRule type="cellIs" dxfId="10489" priority="3368" stopIfTrue="1" operator="equal">
      <formula>"Towel"</formula>
    </cfRule>
    <cfRule type="cellIs" dxfId="10488" priority="3369" stopIfTrue="1" operator="equal">
      <formula>"Napkin Hs"</formula>
    </cfRule>
    <cfRule type="cellIs" dxfId="10487" priority="3372" stopIfTrue="1" operator="equal">
      <formula>"Towel"</formula>
    </cfRule>
    <cfRule type="cellIs" dxfId="10486" priority="3373" stopIfTrue="1" operator="equal">
      <formula>"Napkin Hs"</formula>
    </cfRule>
    <cfRule type="cellIs" dxfId="10485" priority="3374" stopIfTrue="1" operator="equal">
      <formula>"Towel"</formula>
    </cfRule>
    <cfRule type="cellIs" dxfId="10484" priority="3375" stopIfTrue="1" operator="equal">
      <formula>"Napkin Hs"</formula>
    </cfRule>
    <cfRule type="cellIs" dxfId="10483" priority="3378" stopIfTrue="1" operator="equal">
      <formula>"Towel"</formula>
    </cfRule>
    <cfRule type="cellIs" dxfId="10482" priority="3379" stopIfTrue="1" operator="equal">
      <formula>"Napkin Hs"</formula>
    </cfRule>
  </conditionalFormatting>
  <conditionalFormatting sqref="C111:C112">
    <cfRule type="cellIs" dxfId="10481" priority="3380" stopIfTrue="1" operator="equal">
      <formula>"Towel"</formula>
    </cfRule>
    <cfRule type="cellIs" dxfId="10480" priority="3381" stopIfTrue="1" operator="equal">
      <formula>"Napkin Hs"</formula>
    </cfRule>
  </conditionalFormatting>
  <conditionalFormatting sqref="C112">
    <cfRule type="cellIs" dxfId="10479" priority="3384" stopIfTrue="1" operator="equal">
      <formula>"Towel"</formula>
    </cfRule>
    <cfRule type="cellIs" dxfId="10478" priority="3385" stopIfTrue="1" operator="equal">
      <formula>"Napkin Hs"</formula>
    </cfRule>
    <cfRule type="cellIs" dxfId="10477" priority="3388" stopIfTrue="1" operator="equal">
      <formula>"Towel"</formula>
    </cfRule>
    <cfRule type="cellIs" dxfId="10476" priority="3389" stopIfTrue="1" operator="equal">
      <formula>"Napkin Hs"</formula>
    </cfRule>
    <cfRule type="cellIs" dxfId="10475" priority="3390" stopIfTrue="1" operator="equal">
      <formula>"Towel"</formula>
    </cfRule>
    <cfRule type="cellIs" dxfId="10474" priority="3391" stopIfTrue="1" operator="equal">
      <formula>"Napkin Hs"</formula>
    </cfRule>
    <cfRule type="cellIs" dxfId="10473" priority="3394" stopIfTrue="1" operator="equal">
      <formula>"Towel"</formula>
    </cfRule>
    <cfRule type="cellIs" dxfId="10472" priority="3395" stopIfTrue="1" operator="equal">
      <formula>"Napkin Hs"</formula>
    </cfRule>
    <cfRule type="cellIs" dxfId="10471" priority="3396" stopIfTrue="1" operator="equal">
      <formula>"Towel"</formula>
    </cfRule>
    <cfRule type="cellIs" dxfId="10470" priority="3397" stopIfTrue="1" operator="equal">
      <formula>"Napkin Hs"</formula>
    </cfRule>
    <cfRule type="cellIs" dxfId="10469" priority="3400" stopIfTrue="1" operator="equal">
      <formula>"Towel"</formula>
    </cfRule>
    <cfRule type="cellIs" dxfId="10468" priority="3401" stopIfTrue="1" operator="equal">
      <formula>"Napkin Hs"</formula>
    </cfRule>
    <cfRule type="cellIs" dxfId="10467" priority="3402" stopIfTrue="1" operator="equal">
      <formula>"Towel"</formula>
    </cfRule>
    <cfRule type="cellIs" dxfId="10466" priority="3403" stopIfTrue="1" operator="equal">
      <formula>"Napkin Hs"</formula>
    </cfRule>
    <cfRule type="cellIs" dxfId="10465" priority="3406" stopIfTrue="1" operator="equal">
      <formula>"Towel"</formula>
    </cfRule>
    <cfRule type="cellIs" dxfId="10464" priority="3407" stopIfTrue="1" operator="equal">
      <formula>"Napkin Hs"</formula>
    </cfRule>
    <cfRule type="cellIs" dxfId="10463" priority="3408" stopIfTrue="1" operator="equal">
      <formula>"Towel"</formula>
    </cfRule>
    <cfRule type="cellIs" dxfId="10462" priority="3409" stopIfTrue="1" operator="equal">
      <formula>"Napkin Hs"</formula>
    </cfRule>
    <cfRule type="cellIs" dxfId="10461" priority="3412" stopIfTrue="1" operator="equal">
      <formula>"Towel"</formula>
    </cfRule>
    <cfRule type="cellIs" dxfId="10460" priority="3413" stopIfTrue="1" operator="equal">
      <formula>"Napkin Hs"</formula>
    </cfRule>
    <cfRule type="cellIs" dxfId="10459" priority="3414" stopIfTrue="1" operator="equal">
      <formula>"Towel"</formula>
    </cfRule>
    <cfRule type="cellIs" dxfId="10458" priority="3415" stopIfTrue="1" operator="equal">
      <formula>"Napkin Hs"</formula>
    </cfRule>
    <cfRule type="cellIs" dxfId="10457" priority="3418" stopIfTrue="1" operator="equal">
      <formula>"Towel"</formula>
    </cfRule>
    <cfRule type="cellIs" dxfId="10456" priority="3419" stopIfTrue="1" operator="equal">
      <formula>"Napkin Hs"</formula>
    </cfRule>
    <cfRule type="cellIs" dxfId="10455" priority="3422" stopIfTrue="1" operator="equal">
      <formula>"Towel"</formula>
    </cfRule>
    <cfRule type="cellIs" dxfId="10454" priority="3423" stopIfTrue="1" operator="equal">
      <formula>"Napkin Hs"</formula>
    </cfRule>
    <cfRule type="cellIs" dxfId="10453" priority="3424" stopIfTrue="1" operator="equal">
      <formula>"Towel"</formula>
    </cfRule>
    <cfRule type="cellIs" dxfId="10452" priority="3425" stopIfTrue="1" operator="equal">
      <formula>"Napkin Hs"</formula>
    </cfRule>
    <cfRule type="cellIs" dxfId="10451" priority="3426" stopIfTrue="1" operator="equal">
      <formula>"Towel"</formula>
    </cfRule>
    <cfRule type="cellIs" dxfId="10450" priority="3427" stopIfTrue="1" operator="equal">
      <formula>"Napkin Hs"</formula>
    </cfRule>
    <cfRule type="cellIs" dxfId="10449" priority="3430" stopIfTrue="1" operator="equal">
      <formula>"Towel"</formula>
    </cfRule>
    <cfRule type="cellIs" dxfId="10448" priority="3431" stopIfTrue="1" operator="equal">
      <formula>"Napkin Hs"</formula>
    </cfRule>
    <cfRule type="cellIs" dxfId="10447" priority="3432" stopIfTrue="1" operator="equal">
      <formula>"Towel"</formula>
    </cfRule>
    <cfRule type="cellIs" dxfId="10446" priority="3433" stopIfTrue="1" operator="equal">
      <formula>"Napkin Hs"</formula>
    </cfRule>
    <cfRule type="cellIs" dxfId="10445" priority="3436" stopIfTrue="1" operator="equal">
      <formula>"Towel"</formula>
    </cfRule>
    <cfRule type="cellIs" dxfId="10444" priority="3437" stopIfTrue="1" operator="equal">
      <formula>"Napkin Hs"</formula>
    </cfRule>
    <cfRule type="cellIs" dxfId="10443" priority="3438" stopIfTrue="1" operator="equal">
      <formula>"Towel"</formula>
    </cfRule>
    <cfRule type="cellIs" dxfId="10442" priority="3439" stopIfTrue="1" operator="equal">
      <formula>"Napkin Hs"</formula>
    </cfRule>
    <cfRule type="cellIs" dxfId="10441" priority="3442" stopIfTrue="1" operator="equal">
      <formula>"Towel"</formula>
    </cfRule>
    <cfRule type="cellIs" dxfId="10440" priority="3443" stopIfTrue="1" operator="equal">
      <formula>"Napkin Hs"</formula>
    </cfRule>
    <cfRule type="cellIs" dxfId="10439" priority="3444" stopIfTrue="1" operator="equal">
      <formula>"Towel"</formula>
    </cfRule>
    <cfRule type="cellIs" dxfId="10438" priority="3445" stopIfTrue="1" operator="equal">
      <formula>"Napkin Hs"</formula>
    </cfRule>
    <cfRule type="cellIs" dxfId="10437" priority="3448" stopIfTrue="1" operator="equal">
      <formula>"Towel"</formula>
    </cfRule>
    <cfRule type="cellIs" dxfId="10436" priority="3449" stopIfTrue="1" operator="equal">
      <formula>"Napkin Hs"</formula>
    </cfRule>
    <cfRule type="cellIs" dxfId="10435" priority="3450" stopIfTrue="1" operator="equal">
      <formula>"Towel"</formula>
    </cfRule>
    <cfRule type="cellIs" dxfId="10434" priority="3451" stopIfTrue="1" operator="equal">
      <formula>"Napkin Hs"</formula>
    </cfRule>
    <cfRule type="cellIs" dxfId="10433" priority="3454" stopIfTrue="1" operator="equal">
      <formula>"Towel"</formula>
    </cfRule>
    <cfRule type="cellIs" dxfId="10432" priority="3455" stopIfTrue="1" operator="equal">
      <formula>"Napkin Hs"</formula>
    </cfRule>
    <cfRule type="cellIs" dxfId="10431" priority="3456" stopIfTrue="1" operator="equal">
      <formula>"Towel"</formula>
    </cfRule>
    <cfRule type="cellIs" dxfId="10430" priority="3457" stopIfTrue="1" operator="equal">
      <formula>"Napkin Hs"</formula>
    </cfRule>
    <cfRule type="cellIs" dxfId="10429" priority="3460" stopIfTrue="1" operator="equal">
      <formula>"Towel"</formula>
    </cfRule>
    <cfRule type="cellIs" dxfId="10428" priority="3461" stopIfTrue="1" operator="equal">
      <formula>"Napkin Hs"</formula>
    </cfRule>
    <cfRule type="cellIs" dxfId="10427" priority="3462" stopIfTrue="1" operator="equal">
      <formula>"Towel"</formula>
    </cfRule>
    <cfRule type="cellIs" dxfId="10426" priority="3463" stopIfTrue="1" operator="equal">
      <formula>"Napkin Hs"</formula>
    </cfRule>
  </conditionalFormatting>
  <conditionalFormatting sqref="C113">
    <cfRule type="cellIs" dxfId="10425" priority="3522" stopIfTrue="1" operator="equal">
      <formula>"Towel"</formula>
    </cfRule>
    <cfRule type="cellIs" dxfId="10424" priority="3523" stopIfTrue="1" operator="equal">
      <formula>"Napkin Hs"</formula>
    </cfRule>
    <cfRule type="cellIs" dxfId="10423" priority="3524" stopIfTrue="1" operator="equal">
      <formula>"Towel"</formula>
    </cfRule>
    <cfRule type="cellIs" dxfId="10422" priority="3525" stopIfTrue="1" operator="equal">
      <formula>"Napkin Hs"</formula>
    </cfRule>
    <cfRule type="cellIs" dxfId="10421" priority="3528" stopIfTrue="1" operator="equal">
      <formula>"Towel"</formula>
    </cfRule>
    <cfRule type="cellIs" dxfId="10420" priority="3529" stopIfTrue="1" operator="equal">
      <formula>"Napkin Hs"</formula>
    </cfRule>
    <cfRule type="cellIs" dxfId="10419" priority="3530" stopIfTrue="1" operator="equal">
      <formula>"Towel"</formula>
    </cfRule>
    <cfRule type="cellIs" dxfId="10418" priority="3531" stopIfTrue="1" operator="equal">
      <formula>"Napkin Hs"</formula>
    </cfRule>
    <cfRule type="cellIs" dxfId="10417" priority="3534" stopIfTrue="1" operator="equal">
      <formula>"Towel"</formula>
    </cfRule>
    <cfRule type="cellIs" dxfId="10416" priority="3535" stopIfTrue="1" operator="equal">
      <formula>"Napkin Hs"</formula>
    </cfRule>
    <cfRule type="cellIs" dxfId="10415" priority="3536" stopIfTrue="1" operator="equal">
      <formula>"Towel"</formula>
    </cfRule>
    <cfRule type="cellIs" dxfId="10414" priority="3537" stopIfTrue="1" operator="equal">
      <formula>"Napkin Hs"</formula>
    </cfRule>
    <cfRule type="cellIs" dxfId="10413" priority="3540" stopIfTrue="1" operator="equal">
      <formula>"Towel"</formula>
    </cfRule>
    <cfRule type="cellIs" dxfId="10412" priority="3541" stopIfTrue="1" operator="equal">
      <formula>"Napkin Hs"</formula>
    </cfRule>
    <cfRule type="cellIs" dxfId="10411" priority="3542" stopIfTrue="1" operator="equal">
      <formula>"Towel"</formula>
    </cfRule>
    <cfRule type="cellIs" dxfId="10410" priority="3543" stopIfTrue="1" operator="equal">
      <formula>"Napkin Hs"</formula>
    </cfRule>
    <cfRule type="cellIs" dxfId="10409" priority="3546" stopIfTrue="1" operator="equal">
      <formula>"Towel"</formula>
    </cfRule>
    <cfRule type="cellIs" dxfId="10408" priority="3547" stopIfTrue="1" operator="equal">
      <formula>"Napkin Hs"</formula>
    </cfRule>
    <cfRule type="cellIs" dxfId="10407" priority="3548" stopIfTrue="1" operator="equal">
      <formula>"Towel"</formula>
    </cfRule>
    <cfRule type="cellIs" dxfId="10406" priority="3549" stopIfTrue="1" operator="equal">
      <formula>"Napkin Hs"</formula>
    </cfRule>
    <cfRule type="cellIs" dxfId="10405" priority="3552" stopIfTrue="1" operator="equal">
      <formula>"Towel"</formula>
    </cfRule>
    <cfRule type="cellIs" dxfId="10404" priority="3553" stopIfTrue="1" operator="equal">
      <formula>"Napkin Hs"</formula>
    </cfRule>
    <cfRule type="cellIs" dxfId="10403" priority="3554" stopIfTrue="1" operator="equal">
      <formula>"Towel"</formula>
    </cfRule>
    <cfRule type="cellIs" dxfId="10402" priority="3555" stopIfTrue="1" operator="equal">
      <formula>"Napkin Hs"</formula>
    </cfRule>
    <cfRule type="cellIs" dxfId="10401" priority="3558" stopIfTrue="1" operator="equal">
      <formula>"Towel"</formula>
    </cfRule>
    <cfRule type="cellIs" dxfId="10400" priority="3559" stopIfTrue="1" operator="equal">
      <formula>"Napkin Hs"</formula>
    </cfRule>
    <cfRule type="cellIs" dxfId="10399" priority="3560" stopIfTrue="1" operator="equal">
      <formula>"Towel"</formula>
    </cfRule>
    <cfRule type="cellIs" dxfId="10398" priority="3561" stopIfTrue="1" operator="equal">
      <formula>"Napkin Hs"</formula>
    </cfRule>
    <cfRule type="cellIs" dxfId="10397" priority="3564" stopIfTrue="1" operator="equal">
      <formula>"Towel"</formula>
    </cfRule>
    <cfRule type="cellIs" dxfId="10396" priority="3565" stopIfTrue="1" operator="equal">
      <formula>"Napkin Hs"</formula>
    </cfRule>
  </conditionalFormatting>
  <conditionalFormatting sqref="C113:C114">
    <cfRule type="cellIs" dxfId="10395" priority="3470" stopIfTrue="1" operator="equal">
      <formula>"Towel"</formula>
    </cfRule>
    <cfRule type="cellIs" dxfId="10394" priority="3471" stopIfTrue="1" operator="equal">
      <formula>"Napkin Hs"</formula>
    </cfRule>
    <cfRule type="cellIs" dxfId="10393" priority="3472" stopIfTrue="1" operator="equal">
      <formula>"Towel"</formula>
    </cfRule>
    <cfRule type="cellIs" dxfId="10392" priority="3473" stopIfTrue="1" operator="equal">
      <formula>"Napkin Hs"</formula>
    </cfRule>
    <cfRule type="cellIs" dxfId="10391" priority="3474" stopIfTrue="1" operator="equal">
      <formula>"Towel"</formula>
    </cfRule>
    <cfRule type="cellIs" dxfId="10390" priority="3475" stopIfTrue="1" operator="equal">
      <formula>"Napkin Hs"</formula>
    </cfRule>
    <cfRule type="cellIs" dxfId="10389" priority="3476" stopIfTrue="1" operator="equal">
      <formula>"Towel"</formula>
    </cfRule>
    <cfRule type="cellIs" dxfId="10388" priority="3477" stopIfTrue="1" operator="equal">
      <formula>"Napkin Hs"</formula>
    </cfRule>
    <cfRule type="cellIs" dxfId="10387" priority="3478" stopIfTrue="1" operator="equal">
      <formula>"Towel"</formula>
    </cfRule>
    <cfRule type="cellIs" dxfId="10386" priority="3479" stopIfTrue="1" operator="equal">
      <formula>"Napkin Hs"</formula>
    </cfRule>
    <cfRule type="cellIs" dxfId="10385" priority="3480" stopIfTrue="1" operator="equal">
      <formula>"Towel"</formula>
    </cfRule>
    <cfRule type="cellIs" dxfId="10384" priority="3481" stopIfTrue="1" operator="equal">
      <formula>"Napkin Hs"</formula>
    </cfRule>
    <cfRule type="cellIs" dxfId="10383" priority="3482" stopIfTrue="1" operator="equal">
      <formula>"Towel"</formula>
    </cfRule>
    <cfRule type="cellIs" dxfId="10382" priority="3483" stopIfTrue="1" operator="equal">
      <formula>"Napkin Hs"</formula>
    </cfRule>
    <cfRule type="cellIs" dxfId="10381" priority="3486" stopIfTrue="1" operator="equal">
      <formula>"Towel"</formula>
    </cfRule>
    <cfRule type="cellIs" dxfId="10380" priority="3487" stopIfTrue="1" operator="equal">
      <formula>"Napkin Hs"</formula>
    </cfRule>
    <cfRule type="cellIs" dxfId="10379" priority="3488" stopIfTrue="1" operator="equal">
      <formula>"Towel"</formula>
    </cfRule>
    <cfRule type="cellIs" dxfId="10378" priority="3489" stopIfTrue="1" operator="equal">
      <formula>"Napkin Hs"</formula>
    </cfRule>
    <cfRule type="cellIs" dxfId="10377" priority="3492" stopIfTrue="1" operator="equal">
      <formula>"Towel"</formula>
    </cfRule>
    <cfRule type="cellIs" dxfId="10376" priority="3493" stopIfTrue="1" operator="equal">
      <formula>"Napkin Hs"</formula>
    </cfRule>
    <cfRule type="cellIs" dxfId="10375" priority="3494" stopIfTrue="1" operator="equal">
      <formula>"Towel"</formula>
    </cfRule>
    <cfRule type="cellIs" dxfId="10374" priority="3495" stopIfTrue="1" operator="equal">
      <formula>"Napkin Hs"</formula>
    </cfRule>
    <cfRule type="cellIs" dxfId="10373" priority="3498" stopIfTrue="1" operator="equal">
      <formula>"Towel"</formula>
    </cfRule>
    <cfRule type="cellIs" dxfId="10372" priority="3499" stopIfTrue="1" operator="equal">
      <formula>"Napkin Hs"</formula>
    </cfRule>
    <cfRule type="cellIs" dxfId="10371" priority="3500" stopIfTrue="1" operator="equal">
      <formula>"Towel"</formula>
    </cfRule>
    <cfRule type="cellIs" dxfId="10370" priority="3501" stopIfTrue="1" operator="equal">
      <formula>"Napkin Hs"</formula>
    </cfRule>
    <cfRule type="cellIs" dxfId="10369" priority="3504" stopIfTrue="1" operator="equal">
      <formula>"Towel"</formula>
    </cfRule>
    <cfRule type="cellIs" dxfId="10368" priority="3505" stopIfTrue="1" operator="equal">
      <formula>"Napkin Hs"</formula>
    </cfRule>
    <cfRule type="cellIs" dxfId="10367" priority="3506" stopIfTrue="1" operator="equal">
      <formula>"Towel"</formula>
    </cfRule>
    <cfRule type="cellIs" dxfId="10366" priority="3507" stopIfTrue="1" operator="equal">
      <formula>"Napkin Hs"</formula>
    </cfRule>
    <cfRule type="cellIs" dxfId="10365" priority="3510" stopIfTrue="1" operator="equal">
      <formula>"Towel"</formula>
    </cfRule>
    <cfRule type="cellIs" dxfId="10364" priority="3511" stopIfTrue="1" operator="equal">
      <formula>"Napkin Hs"</formula>
    </cfRule>
    <cfRule type="cellIs" dxfId="10363" priority="3512" stopIfTrue="1" operator="equal">
      <formula>"Towel"</formula>
    </cfRule>
    <cfRule type="cellIs" dxfId="10362" priority="3513" stopIfTrue="1" operator="equal">
      <formula>"Napkin Hs"</formula>
    </cfRule>
    <cfRule type="cellIs" dxfId="10361" priority="3516" stopIfTrue="1" operator="equal">
      <formula>"Towel"</formula>
    </cfRule>
    <cfRule type="cellIs" dxfId="10360" priority="3517" stopIfTrue="1" operator="equal">
      <formula>"Napkin Hs"</formula>
    </cfRule>
    <cfRule type="cellIs" dxfId="10359" priority="3518" stopIfTrue="1" operator="equal">
      <formula>"Towel"</formula>
    </cfRule>
    <cfRule type="cellIs" dxfId="10358" priority="3519" stopIfTrue="1" operator="equal">
      <formula>"Napkin Hs"</formula>
    </cfRule>
    <cfRule type="cellIs" dxfId="10357" priority="3566" stopIfTrue="1" operator="equal">
      <formula>"Towel"</formula>
    </cfRule>
    <cfRule type="cellIs" dxfId="10356" priority="3567" stopIfTrue="1" operator="equal">
      <formula>"Napkin Hs"</formula>
    </cfRule>
  </conditionalFormatting>
  <conditionalFormatting sqref="C114">
    <cfRule type="cellIs" dxfId="10355" priority="3570" stopIfTrue="1" operator="equal">
      <formula>"Towel"</formula>
    </cfRule>
    <cfRule type="cellIs" dxfId="10354" priority="3571" stopIfTrue="1" operator="equal">
      <formula>"Napkin Hs"</formula>
    </cfRule>
    <cfRule type="cellIs" dxfId="10353" priority="3574" stopIfTrue="1" operator="equal">
      <formula>"Towel"</formula>
    </cfRule>
    <cfRule type="cellIs" dxfId="10352" priority="3575" stopIfTrue="1" operator="equal">
      <formula>"Napkin Hs"</formula>
    </cfRule>
    <cfRule type="cellIs" dxfId="10351" priority="3576" stopIfTrue="1" operator="equal">
      <formula>"Towel"</formula>
    </cfRule>
    <cfRule type="cellIs" dxfId="10350" priority="3577" stopIfTrue="1" operator="equal">
      <formula>"Napkin Hs"</formula>
    </cfRule>
    <cfRule type="cellIs" dxfId="10349" priority="3580" stopIfTrue="1" operator="equal">
      <formula>"Towel"</formula>
    </cfRule>
    <cfRule type="cellIs" dxfId="10348" priority="3581" stopIfTrue="1" operator="equal">
      <formula>"Napkin Hs"</formula>
    </cfRule>
    <cfRule type="cellIs" dxfId="10347" priority="3582" stopIfTrue="1" operator="equal">
      <formula>"Towel"</formula>
    </cfRule>
    <cfRule type="cellIs" dxfId="10346" priority="3583" stopIfTrue="1" operator="equal">
      <formula>"Napkin Hs"</formula>
    </cfRule>
    <cfRule type="cellIs" dxfId="10345" priority="3586" stopIfTrue="1" operator="equal">
      <formula>"Towel"</formula>
    </cfRule>
    <cfRule type="cellIs" dxfId="10344" priority="3587" stopIfTrue="1" operator="equal">
      <formula>"Napkin Hs"</formula>
    </cfRule>
    <cfRule type="cellIs" dxfId="10343" priority="3588" stopIfTrue="1" operator="equal">
      <formula>"Towel"</formula>
    </cfRule>
    <cfRule type="cellIs" dxfId="10342" priority="3589" stopIfTrue="1" operator="equal">
      <formula>"Napkin Hs"</formula>
    </cfRule>
    <cfRule type="cellIs" dxfId="10341" priority="3592" stopIfTrue="1" operator="equal">
      <formula>"Towel"</formula>
    </cfRule>
    <cfRule type="cellIs" dxfId="10340" priority="3593" stopIfTrue="1" operator="equal">
      <formula>"Napkin Hs"</formula>
    </cfRule>
    <cfRule type="cellIs" dxfId="10339" priority="3594" stopIfTrue="1" operator="equal">
      <formula>"Towel"</formula>
    </cfRule>
    <cfRule type="cellIs" dxfId="10338" priority="3595" stopIfTrue="1" operator="equal">
      <formula>"Napkin Hs"</formula>
    </cfRule>
    <cfRule type="cellIs" dxfId="10337" priority="3598" stopIfTrue="1" operator="equal">
      <formula>"Towel"</formula>
    </cfRule>
    <cfRule type="cellIs" dxfId="10336" priority="3599" stopIfTrue="1" operator="equal">
      <formula>"Napkin Hs"</formula>
    </cfRule>
    <cfRule type="cellIs" dxfId="10335" priority="3600" stopIfTrue="1" operator="equal">
      <formula>"Towel"</formula>
    </cfRule>
    <cfRule type="cellIs" dxfId="10334" priority="3601" stopIfTrue="1" operator="equal">
      <formula>"Napkin Hs"</formula>
    </cfRule>
    <cfRule type="cellIs" dxfId="10333" priority="3604" stopIfTrue="1" operator="equal">
      <formula>"Towel"</formula>
    </cfRule>
    <cfRule type="cellIs" dxfId="10332" priority="3605" stopIfTrue="1" operator="equal">
      <formula>"Napkin Hs"</formula>
    </cfRule>
    <cfRule type="cellIs" dxfId="10331" priority="3606" stopIfTrue="1" operator="equal">
      <formula>"Towel"</formula>
    </cfRule>
    <cfRule type="cellIs" dxfId="10330" priority="3607" stopIfTrue="1" operator="equal">
      <formula>"Napkin Hs"</formula>
    </cfRule>
    <cfRule type="cellIs" dxfId="10329" priority="3610" stopIfTrue="1" operator="equal">
      <formula>"Towel"</formula>
    </cfRule>
    <cfRule type="cellIs" dxfId="10328" priority="3611" stopIfTrue="1" operator="equal">
      <formula>"Napkin Hs"</formula>
    </cfRule>
  </conditionalFormatting>
  <conditionalFormatting sqref="C114">
    <cfRule type="cellIs" dxfId="10327" priority="3612" stopIfTrue="1" operator="equal">
      <formula>"Towel"</formula>
    </cfRule>
    <cfRule type="cellIs" dxfId="10326" priority="3613" stopIfTrue="1" operator="equal">
      <formula>"Napkin Hs"</formula>
    </cfRule>
  </conditionalFormatting>
  <conditionalFormatting sqref="B116">
    <cfRule type="cellIs" dxfId="10325" priority="3281" stopIfTrue="1" operator="equal">
      <formula>"Towel"</formula>
    </cfRule>
    <cfRule type="cellIs" dxfId="10324" priority="3282" stopIfTrue="1" operator="equal">
      <formula>"Napkin Hs"</formula>
    </cfRule>
    <cfRule type="cellIs" dxfId="10323" priority="3283" stopIfTrue="1" operator="equal">
      <formula>"Towel"</formula>
    </cfRule>
    <cfRule type="cellIs" dxfId="10322" priority="3284" stopIfTrue="1" operator="equal">
      <formula>"Napkin Hs"</formula>
    </cfRule>
    <cfRule type="cellIs" dxfId="10321" priority="3285" stopIfTrue="1" operator="equal">
      <formula>"Towel"</formula>
    </cfRule>
    <cfRule type="cellIs" dxfId="10320" priority="3286" stopIfTrue="1" operator="equal">
      <formula>"Napkin Hs"</formula>
    </cfRule>
    <cfRule type="cellIs" dxfId="10319" priority="3287" stopIfTrue="1" operator="equal">
      <formula>"Towel"</formula>
    </cfRule>
    <cfRule type="cellIs" dxfId="10318" priority="3288" stopIfTrue="1" operator="equal">
      <formula>"Napkin Hs"</formula>
    </cfRule>
    <cfRule type="cellIs" dxfId="10317" priority="3289" stopIfTrue="1" operator="equal">
      <formula>"Towel"</formula>
    </cfRule>
    <cfRule type="cellIs" dxfId="10316" priority="3290" stopIfTrue="1" operator="equal">
      <formula>"Napkin Hs"</formula>
    </cfRule>
    <cfRule type="cellIs" dxfId="10315" priority="3291" stopIfTrue="1" operator="equal">
      <formula>"Towel"</formula>
    </cfRule>
    <cfRule type="cellIs" dxfId="10314" priority="3292" stopIfTrue="1" operator="equal">
      <formula>"Napkin Hs"</formula>
    </cfRule>
    <cfRule type="cellIs" dxfId="10313" priority="3293" stopIfTrue="1" operator="equal">
      <formula>"Towel"</formula>
    </cfRule>
    <cfRule type="cellIs" dxfId="10312" priority="3294" stopIfTrue="1" operator="equal">
      <formula>"Napkin Hs"</formula>
    </cfRule>
    <cfRule type="cellIs" dxfId="10311" priority="3295" stopIfTrue="1" operator="equal">
      <formula>"Towel"</formula>
    </cfRule>
    <cfRule type="cellIs" dxfId="10310" priority="3296" stopIfTrue="1" operator="equal">
      <formula>"Napkin Hs"</formula>
    </cfRule>
  </conditionalFormatting>
  <conditionalFormatting sqref="B116:C117">
    <cfRule type="cellIs" dxfId="10309" priority="3273" stopIfTrue="1" operator="equal">
      <formula>"Towel"</formula>
    </cfRule>
    <cfRule type="cellIs" dxfId="10308" priority="3274" stopIfTrue="1" operator="equal">
      <formula>"Napkin Hs"</formula>
    </cfRule>
  </conditionalFormatting>
  <conditionalFormatting sqref="B118:C118">
    <cfRule type="cellIs" dxfId="10307" priority="3297" stopIfTrue="1" operator="equal">
      <formula>"Napkin Hs"</formula>
    </cfRule>
  </conditionalFormatting>
  <conditionalFormatting sqref="B119:C119">
    <cfRule type="cellIs" dxfId="10306" priority="3177" stopIfTrue="1" operator="equal">
      <formula>"Towel"</formula>
    </cfRule>
    <cfRule type="cellIs" dxfId="10305" priority="3178" stopIfTrue="1" operator="equal">
      <formula>"Napkin Hs"</formula>
    </cfRule>
    <cfRule type="cellIs" dxfId="10304" priority="3183" stopIfTrue="1" operator="equal">
      <formula>"Towel"</formula>
    </cfRule>
    <cfRule type="cellIs" dxfId="10303" priority="3184" stopIfTrue="1" operator="equal">
      <formula>"Napkin Hs"</formula>
    </cfRule>
    <cfRule type="cellIs" dxfId="10302" priority="3189" stopIfTrue="1" operator="equal">
      <formula>"Towel"</formula>
    </cfRule>
    <cfRule type="cellIs" dxfId="10301" priority="3190" stopIfTrue="1" operator="equal">
      <formula>"Napkin Hs"</formula>
    </cfRule>
    <cfRule type="cellIs" dxfId="10300" priority="3195" stopIfTrue="1" operator="equal">
      <formula>"Towel"</formula>
    </cfRule>
    <cfRule type="cellIs" dxfId="10299" priority="3196" stopIfTrue="1" operator="equal">
      <formula>"Napkin Hs"</formula>
    </cfRule>
    <cfRule type="cellIs" dxfId="10298" priority="3201" stopIfTrue="1" operator="equal">
      <formula>"Towel"</formula>
    </cfRule>
    <cfRule type="cellIs" dxfId="10297" priority="3202" stopIfTrue="1" operator="equal">
      <formula>"Napkin Hs"</formula>
    </cfRule>
    <cfRule type="cellIs" dxfId="10296" priority="3207" stopIfTrue="1" operator="equal">
      <formula>"Towel"</formula>
    </cfRule>
    <cfRule type="cellIs" dxfId="10295" priority="3208" stopIfTrue="1" operator="equal">
      <formula>"Napkin Hs"</formula>
    </cfRule>
    <cfRule type="cellIs" dxfId="10294" priority="3213" stopIfTrue="1" operator="equal">
      <formula>"Towel"</formula>
    </cfRule>
    <cfRule type="cellIs" dxfId="10293" priority="3214" stopIfTrue="1" operator="equal">
      <formula>"Napkin Hs"</formula>
    </cfRule>
    <cfRule type="cellIs" dxfId="10292" priority="3219" stopIfTrue="1" operator="equal">
      <formula>"Towel"</formula>
    </cfRule>
    <cfRule type="cellIs" dxfId="10291" priority="3220" stopIfTrue="1" operator="equal">
      <formula>"Napkin Hs"</formula>
    </cfRule>
    <cfRule type="cellIs" dxfId="10290" priority="3225" stopIfTrue="1" operator="equal">
      <formula>"Towel"</formula>
    </cfRule>
    <cfRule type="cellIs" dxfId="10289" priority="3226" stopIfTrue="1" operator="equal">
      <formula>"Napkin Hs"</formula>
    </cfRule>
  </conditionalFormatting>
  <conditionalFormatting sqref="B120:C121">
    <cfRule type="cellIs" dxfId="10288" priority="3125" stopIfTrue="1" operator="equal">
      <formula>"Towel"</formula>
    </cfRule>
    <cfRule type="cellIs" dxfId="10287" priority="3126" stopIfTrue="1" operator="equal">
      <formula>"Napkin Hs"</formula>
    </cfRule>
    <cfRule type="cellIs" dxfId="10286" priority="3131" stopIfTrue="1" operator="equal">
      <formula>"Towel"</formula>
    </cfRule>
    <cfRule type="cellIs" dxfId="10285" priority="3132" stopIfTrue="1" operator="equal">
      <formula>"Napkin Hs"</formula>
    </cfRule>
    <cfRule type="cellIs" dxfId="10284" priority="3137" stopIfTrue="1" operator="equal">
      <formula>"Towel"</formula>
    </cfRule>
    <cfRule type="cellIs" dxfId="10283" priority="3138" stopIfTrue="1" operator="equal">
      <formula>"Napkin Hs"</formula>
    </cfRule>
    <cfRule type="cellIs" dxfId="10282" priority="3143" stopIfTrue="1" operator="equal">
      <formula>"Towel"</formula>
    </cfRule>
    <cfRule type="cellIs" dxfId="10281" priority="3144" stopIfTrue="1" operator="equal">
      <formula>"Napkin Hs"</formula>
    </cfRule>
    <cfRule type="cellIs" dxfId="10280" priority="3149" stopIfTrue="1" operator="equal">
      <formula>"Towel"</formula>
    </cfRule>
    <cfRule type="cellIs" dxfId="10279" priority="3150" stopIfTrue="1" operator="equal">
      <formula>"Napkin Hs"</formula>
    </cfRule>
    <cfRule type="cellIs" dxfId="10278" priority="3155" stopIfTrue="1" operator="equal">
      <formula>"Towel"</formula>
    </cfRule>
    <cfRule type="cellIs" dxfId="10277" priority="3156" stopIfTrue="1" operator="equal">
      <formula>"Napkin Hs"</formula>
    </cfRule>
    <cfRule type="cellIs" dxfId="10276" priority="3161" stopIfTrue="1" operator="equal">
      <formula>"Towel"</formula>
    </cfRule>
    <cfRule type="cellIs" dxfId="10275" priority="3162" stopIfTrue="1" operator="equal">
      <formula>"Napkin Hs"</formula>
    </cfRule>
    <cfRule type="cellIs" dxfId="10274" priority="3167" stopIfTrue="1" operator="equal">
      <formula>"Towel"</formula>
    </cfRule>
    <cfRule type="cellIs" dxfId="10273" priority="3168" stopIfTrue="1" operator="equal">
      <formula>"Napkin Hs"</formula>
    </cfRule>
    <cfRule type="cellIs" dxfId="10272" priority="3173" stopIfTrue="1" operator="equal">
      <formula>"Towel"</formula>
    </cfRule>
    <cfRule type="cellIs" dxfId="10271" priority="3174" stopIfTrue="1" operator="equal">
      <formula>"Napkin Hs"</formula>
    </cfRule>
  </conditionalFormatting>
  <conditionalFormatting sqref="C116 B117:C117">
    <cfRule type="cellIs" dxfId="10270" priority="3280" stopIfTrue="1" operator="equal">
      <formula>"Napkin Hs"</formula>
    </cfRule>
  </conditionalFormatting>
  <conditionalFormatting sqref="C116 B117:C118">
    <cfRule type="cellIs" dxfId="10269" priority="3279" stopIfTrue="1" operator="equal">
      <formula>"Towel"</formula>
    </cfRule>
  </conditionalFormatting>
  <conditionalFormatting sqref="C116 B117:C117">
    <cfRule type="cellIs" dxfId="10268" priority="3231" stopIfTrue="1" operator="equal">
      <formula>"Towel"</formula>
    </cfRule>
    <cfRule type="cellIs" dxfId="10267" priority="3232" stopIfTrue="1" operator="equal">
      <formula>"Napkin Hs"</formula>
    </cfRule>
    <cfRule type="cellIs" dxfId="10266" priority="3237" stopIfTrue="1" operator="equal">
      <formula>"Towel"</formula>
    </cfRule>
    <cfRule type="cellIs" dxfId="10265" priority="3238" stopIfTrue="1" operator="equal">
      <formula>"Napkin Hs"</formula>
    </cfRule>
    <cfRule type="cellIs" dxfId="10264" priority="3243" stopIfTrue="1" operator="equal">
      <formula>"Towel"</formula>
    </cfRule>
    <cfRule type="cellIs" dxfId="10263" priority="3244" stopIfTrue="1" operator="equal">
      <formula>"Napkin Hs"</formula>
    </cfRule>
    <cfRule type="cellIs" dxfId="10262" priority="3249" stopIfTrue="1" operator="equal">
      <formula>"Towel"</formula>
    </cfRule>
    <cfRule type="cellIs" dxfId="10261" priority="3250" stopIfTrue="1" operator="equal">
      <formula>"Napkin Hs"</formula>
    </cfRule>
    <cfRule type="cellIs" dxfId="10260" priority="3255" stopIfTrue="1" operator="equal">
      <formula>"Towel"</formula>
    </cfRule>
    <cfRule type="cellIs" dxfId="10259" priority="3256" stopIfTrue="1" operator="equal">
      <formula>"Napkin Hs"</formula>
    </cfRule>
    <cfRule type="cellIs" dxfId="10258" priority="3261" stopIfTrue="1" operator="equal">
      <formula>"Towel"</formula>
    </cfRule>
    <cfRule type="cellIs" dxfId="10257" priority="3262" stopIfTrue="1" operator="equal">
      <formula>"Napkin Hs"</formula>
    </cfRule>
    <cfRule type="cellIs" dxfId="10256" priority="3267" stopIfTrue="1" operator="equal">
      <formula>"Towel"</formula>
    </cfRule>
    <cfRule type="cellIs" dxfId="10255" priority="3268" stopIfTrue="1" operator="equal">
      <formula>"Napkin Hs"</formula>
    </cfRule>
  </conditionalFormatting>
  <conditionalFormatting sqref="C116:C117">
    <cfRule type="cellIs" dxfId="10254" priority="3227" stopIfTrue="1" operator="equal">
      <formula>"Towel"</formula>
    </cfRule>
    <cfRule type="cellIs" dxfId="10253" priority="3228" stopIfTrue="1" operator="equal">
      <formula>"Napkin Hs"</formula>
    </cfRule>
    <cfRule type="cellIs" dxfId="10252" priority="3229" stopIfTrue="1" operator="equal">
      <formula>"Towel"</formula>
    </cfRule>
    <cfRule type="cellIs" dxfId="10251" priority="3230" stopIfTrue="1" operator="equal">
      <formula>"Napkin Hs"</formula>
    </cfRule>
    <cfRule type="cellIs" dxfId="10250" priority="3233" stopIfTrue="1" operator="equal">
      <formula>"Towel"</formula>
    </cfRule>
    <cfRule type="cellIs" dxfId="10249" priority="3234" stopIfTrue="1" operator="equal">
      <formula>"Napkin Hs"</formula>
    </cfRule>
    <cfRule type="cellIs" dxfId="10248" priority="3235" stopIfTrue="1" operator="equal">
      <formula>"Towel"</formula>
    </cfRule>
    <cfRule type="cellIs" dxfId="10247" priority="3236" stopIfTrue="1" operator="equal">
      <formula>"Napkin Hs"</formula>
    </cfRule>
    <cfRule type="cellIs" dxfId="10246" priority="3239" stopIfTrue="1" operator="equal">
      <formula>"Towel"</formula>
    </cfRule>
    <cfRule type="cellIs" dxfId="10245" priority="3240" stopIfTrue="1" operator="equal">
      <formula>"Napkin Hs"</formula>
    </cfRule>
    <cfRule type="cellIs" dxfId="10244" priority="3241" stopIfTrue="1" operator="equal">
      <formula>"Towel"</formula>
    </cfRule>
    <cfRule type="cellIs" dxfId="10243" priority="3242" stopIfTrue="1" operator="equal">
      <formula>"Napkin Hs"</formula>
    </cfRule>
    <cfRule type="cellIs" dxfId="10242" priority="3245" stopIfTrue="1" operator="equal">
      <formula>"Towel"</formula>
    </cfRule>
    <cfRule type="cellIs" dxfId="10241" priority="3246" stopIfTrue="1" operator="equal">
      <formula>"Napkin Hs"</formula>
    </cfRule>
    <cfRule type="cellIs" dxfId="10240" priority="3247" stopIfTrue="1" operator="equal">
      <formula>"Towel"</formula>
    </cfRule>
    <cfRule type="cellIs" dxfId="10239" priority="3248" stopIfTrue="1" operator="equal">
      <formula>"Napkin Hs"</formula>
    </cfRule>
    <cfRule type="cellIs" dxfId="10238" priority="3251" stopIfTrue="1" operator="equal">
      <formula>"Towel"</formula>
    </cfRule>
    <cfRule type="cellIs" dxfId="10237" priority="3252" stopIfTrue="1" operator="equal">
      <formula>"Napkin Hs"</formula>
    </cfRule>
    <cfRule type="cellIs" dxfId="10236" priority="3253" stopIfTrue="1" operator="equal">
      <formula>"Towel"</formula>
    </cfRule>
    <cfRule type="cellIs" dxfId="10235" priority="3254" stopIfTrue="1" operator="equal">
      <formula>"Napkin Hs"</formula>
    </cfRule>
    <cfRule type="cellIs" dxfId="10234" priority="3257" stopIfTrue="1" operator="equal">
      <formula>"Towel"</formula>
    </cfRule>
    <cfRule type="cellIs" dxfId="10233" priority="3258" stopIfTrue="1" operator="equal">
      <formula>"Napkin Hs"</formula>
    </cfRule>
    <cfRule type="cellIs" dxfId="10232" priority="3259" stopIfTrue="1" operator="equal">
      <formula>"Towel"</formula>
    </cfRule>
    <cfRule type="cellIs" dxfId="10231" priority="3260" stopIfTrue="1" operator="equal">
      <formula>"Napkin Hs"</formula>
    </cfRule>
    <cfRule type="cellIs" dxfId="10230" priority="3263" stopIfTrue="1" operator="equal">
      <formula>"Towel"</formula>
    </cfRule>
    <cfRule type="cellIs" dxfId="10229" priority="3264" stopIfTrue="1" operator="equal">
      <formula>"Napkin Hs"</formula>
    </cfRule>
    <cfRule type="cellIs" dxfId="10228" priority="3265" stopIfTrue="1" operator="equal">
      <formula>"Towel"</formula>
    </cfRule>
    <cfRule type="cellIs" dxfId="10227" priority="3266" stopIfTrue="1" operator="equal">
      <formula>"Napkin Hs"</formula>
    </cfRule>
    <cfRule type="cellIs" dxfId="10226" priority="3269" stopIfTrue="1" operator="equal">
      <formula>"Towel"</formula>
    </cfRule>
    <cfRule type="cellIs" dxfId="10225" priority="3270" stopIfTrue="1" operator="equal">
      <formula>"Napkin Hs"</formula>
    </cfRule>
    <cfRule type="cellIs" dxfId="10224" priority="3271" stopIfTrue="1" operator="equal">
      <formula>"Towel"</formula>
    </cfRule>
    <cfRule type="cellIs" dxfId="10223" priority="3272" stopIfTrue="1" operator="equal">
      <formula>"Napkin Hs"</formula>
    </cfRule>
    <cfRule type="cellIs" dxfId="10222" priority="3275" stopIfTrue="1" operator="equal">
      <formula>"Towel"</formula>
    </cfRule>
    <cfRule type="cellIs" dxfId="10221" priority="3276" stopIfTrue="1" operator="equal">
      <formula>"Napkin Hs"</formula>
    </cfRule>
  </conditionalFormatting>
  <conditionalFormatting sqref="C116:C118">
    <cfRule type="cellIs" dxfId="10220" priority="3277" stopIfTrue="1" operator="equal">
      <formula>"Towel"</formula>
    </cfRule>
    <cfRule type="cellIs" dxfId="10219" priority="3278" stopIfTrue="1" operator="equal">
      <formula>"Napkin Hs"</formula>
    </cfRule>
  </conditionalFormatting>
  <conditionalFormatting sqref="C118">
    <cfRule type="cellIs" dxfId="10218" priority="3298" stopIfTrue="1" operator="equal">
      <formula>"Towel"</formula>
    </cfRule>
    <cfRule type="cellIs" dxfId="10217" priority="3299" stopIfTrue="1" operator="equal">
      <formula>"Napkin Hs"</formula>
    </cfRule>
  </conditionalFormatting>
  <conditionalFormatting sqref="C119">
    <cfRule type="cellIs" dxfId="10216" priority="3175" stopIfTrue="1" operator="equal">
      <formula>"Towel"</formula>
    </cfRule>
    <cfRule type="cellIs" dxfId="10215" priority="3176" stopIfTrue="1" operator="equal">
      <formula>"Napkin Hs"</formula>
    </cfRule>
    <cfRule type="cellIs" dxfId="10214" priority="3179" stopIfTrue="1" operator="equal">
      <formula>"Towel"</formula>
    </cfRule>
    <cfRule type="cellIs" dxfId="10213" priority="3180" stopIfTrue="1" operator="equal">
      <formula>"Napkin Hs"</formula>
    </cfRule>
    <cfRule type="cellIs" dxfId="10212" priority="3181" stopIfTrue="1" operator="equal">
      <formula>"Towel"</formula>
    </cfRule>
    <cfRule type="cellIs" dxfId="10211" priority="3182" stopIfTrue="1" operator="equal">
      <formula>"Napkin Hs"</formula>
    </cfRule>
    <cfRule type="cellIs" dxfId="10210" priority="3185" stopIfTrue="1" operator="equal">
      <formula>"Towel"</formula>
    </cfRule>
    <cfRule type="cellIs" dxfId="10209" priority="3186" stopIfTrue="1" operator="equal">
      <formula>"Napkin Hs"</formula>
    </cfRule>
    <cfRule type="cellIs" dxfId="10208" priority="3187" stopIfTrue="1" operator="equal">
      <formula>"Towel"</formula>
    </cfRule>
    <cfRule type="cellIs" dxfId="10207" priority="3188" stopIfTrue="1" operator="equal">
      <formula>"Napkin Hs"</formula>
    </cfRule>
    <cfRule type="cellIs" dxfId="10206" priority="3191" stopIfTrue="1" operator="equal">
      <formula>"Towel"</formula>
    </cfRule>
    <cfRule type="cellIs" dxfId="10205" priority="3192" stopIfTrue="1" operator="equal">
      <formula>"Napkin Hs"</formula>
    </cfRule>
    <cfRule type="cellIs" dxfId="10204" priority="3193" stopIfTrue="1" operator="equal">
      <formula>"Towel"</formula>
    </cfRule>
    <cfRule type="cellIs" dxfId="10203" priority="3194" stopIfTrue="1" operator="equal">
      <formula>"Napkin Hs"</formula>
    </cfRule>
    <cfRule type="cellIs" dxfId="10202" priority="3197" stopIfTrue="1" operator="equal">
      <formula>"Towel"</formula>
    </cfRule>
    <cfRule type="cellIs" dxfId="10201" priority="3198" stopIfTrue="1" operator="equal">
      <formula>"Napkin Hs"</formula>
    </cfRule>
    <cfRule type="cellIs" dxfId="10200" priority="3199" stopIfTrue="1" operator="equal">
      <formula>"Towel"</formula>
    </cfRule>
    <cfRule type="cellIs" dxfId="10199" priority="3200" stopIfTrue="1" operator="equal">
      <formula>"Napkin Hs"</formula>
    </cfRule>
    <cfRule type="cellIs" dxfId="10198" priority="3203" stopIfTrue="1" operator="equal">
      <formula>"Towel"</formula>
    </cfRule>
    <cfRule type="cellIs" dxfId="10197" priority="3204" stopIfTrue="1" operator="equal">
      <formula>"Napkin Hs"</formula>
    </cfRule>
    <cfRule type="cellIs" dxfId="10196" priority="3205" stopIfTrue="1" operator="equal">
      <formula>"Towel"</formula>
    </cfRule>
    <cfRule type="cellIs" dxfId="10195" priority="3206" stopIfTrue="1" operator="equal">
      <formula>"Napkin Hs"</formula>
    </cfRule>
    <cfRule type="cellIs" dxfId="10194" priority="3209" stopIfTrue="1" operator="equal">
      <formula>"Towel"</formula>
    </cfRule>
    <cfRule type="cellIs" dxfId="10193" priority="3210" stopIfTrue="1" operator="equal">
      <formula>"Napkin Hs"</formula>
    </cfRule>
    <cfRule type="cellIs" dxfId="10192" priority="3211" stopIfTrue="1" operator="equal">
      <formula>"Towel"</formula>
    </cfRule>
    <cfRule type="cellIs" dxfId="10191" priority="3212" stopIfTrue="1" operator="equal">
      <formula>"Napkin Hs"</formula>
    </cfRule>
    <cfRule type="cellIs" dxfId="10190" priority="3215" stopIfTrue="1" operator="equal">
      <formula>"Towel"</formula>
    </cfRule>
    <cfRule type="cellIs" dxfId="10189" priority="3216" stopIfTrue="1" operator="equal">
      <formula>"Napkin Hs"</formula>
    </cfRule>
    <cfRule type="cellIs" dxfId="10188" priority="3217" stopIfTrue="1" operator="equal">
      <formula>"Towel"</formula>
    </cfRule>
    <cfRule type="cellIs" dxfId="10187" priority="3218" stopIfTrue="1" operator="equal">
      <formula>"Napkin Hs"</formula>
    </cfRule>
    <cfRule type="cellIs" dxfId="10186" priority="3221" stopIfTrue="1" operator="equal">
      <formula>"Towel"</formula>
    </cfRule>
    <cfRule type="cellIs" dxfId="10185" priority="3222" stopIfTrue="1" operator="equal">
      <formula>"Napkin Hs"</formula>
    </cfRule>
    <cfRule type="cellIs" dxfId="10184" priority="3223" stopIfTrue="1" operator="equal">
      <formula>"Towel"</formula>
    </cfRule>
    <cfRule type="cellIs" dxfId="10183" priority="3224" stopIfTrue="1" operator="equal">
      <formula>"Napkin Hs"</formula>
    </cfRule>
  </conditionalFormatting>
  <conditionalFormatting sqref="C119:C121">
    <cfRule type="cellIs" dxfId="10182" priority="3171" stopIfTrue="1" operator="equal">
      <formula>"Towel"</formula>
    </cfRule>
    <cfRule type="cellIs" dxfId="10181" priority="3172" stopIfTrue="1" operator="equal">
      <formula>"Napkin Hs"</formula>
    </cfRule>
  </conditionalFormatting>
  <conditionalFormatting sqref="C120:C121">
    <cfRule type="cellIs" dxfId="10180" priority="3121" stopIfTrue="1" operator="equal">
      <formula>"Towel"</formula>
    </cfRule>
    <cfRule type="cellIs" dxfId="10179" priority="3122" stopIfTrue="1" operator="equal">
      <formula>"Napkin Hs"</formula>
    </cfRule>
    <cfRule type="cellIs" dxfId="10178" priority="3123" stopIfTrue="1" operator="equal">
      <formula>"Towel"</formula>
    </cfRule>
    <cfRule type="cellIs" dxfId="10177" priority="3124" stopIfTrue="1" operator="equal">
      <formula>"Napkin Hs"</formula>
    </cfRule>
    <cfRule type="cellIs" dxfId="10176" priority="3127" stopIfTrue="1" operator="equal">
      <formula>"Towel"</formula>
    </cfRule>
    <cfRule type="cellIs" dxfId="10175" priority="3128" stopIfTrue="1" operator="equal">
      <formula>"Napkin Hs"</formula>
    </cfRule>
    <cfRule type="cellIs" dxfId="10174" priority="3129" stopIfTrue="1" operator="equal">
      <formula>"Towel"</formula>
    </cfRule>
    <cfRule type="cellIs" dxfId="10173" priority="3130" stopIfTrue="1" operator="equal">
      <formula>"Napkin Hs"</formula>
    </cfRule>
    <cfRule type="cellIs" dxfId="10172" priority="3133" stopIfTrue="1" operator="equal">
      <formula>"Towel"</formula>
    </cfRule>
    <cfRule type="cellIs" dxfId="10171" priority="3134" stopIfTrue="1" operator="equal">
      <formula>"Napkin Hs"</formula>
    </cfRule>
    <cfRule type="cellIs" dxfId="10170" priority="3135" stopIfTrue="1" operator="equal">
      <formula>"Towel"</formula>
    </cfRule>
    <cfRule type="cellIs" dxfId="10169" priority="3136" stopIfTrue="1" operator="equal">
      <formula>"Napkin Hs"</formula>
    </cfRule>
    <cfRule type="cellIs" dxfId="10168" priority="3139" stopIfTrue="1" operator="equal">
      <formula>"Towel"</formula>
    </cfRule>
    <cfRule type="cellIs" dxfId="10167" priority="3140" stopIfTrue="1" operator="equal">
      <formula>"Napkin Hs"</formula>
    </cfRule>
    <cfRule type="cellIs" dxfId="10166" priority="3141" stopIfTrue="1" operator="equal">
      <formula>"Towel"</formula>
    </cfRule>
    <cfRule type="cellIs" dxfId="10165" priority="3142" stopIfTrue="1" operator="equal">
      <formula>"Napkin Hs"</formula>
    </cfRule>
    <cfRule type="cellIs" dxfId="10164" priority="3145" stopIfTrue="1" operator="equal">
      <formula>"Towel"</formula>
    </cfRule>
    <cfRule type="cellIs" dxfId="10163" priority="3146" stopIfTrue="1" operator="equal">
      <formula>"Napkin Hs"</formula>
    </cfRule>
    <cfRule type="cellIs" dxfId="10162" priority="3147" stopIfTrue="1" operator="equal">
      <formula>"Towel"</formula>
    </cfRule>
    <cfRule type="cellIs" dxfId="10161" priority="3148" stopIfTrue="1" operator="equal">
      <formula>"Napkin Hs"</formula>
    </cfRule>
    <cfRule type="cellIs" dxfId="10160" priority="3151" stopIfTrue="1" operator="equal">
      <formula>"Towel"</formula>
    </cfRule>
    <cfRule type="cellIs" dxfId="10159" priority="3152" stopIfTrue="1" operator="equal">
      <formula>"Napkin Hs"</formula>
    </cfRule>
    <cfRule type="cellIs" dxfId="10158" priority="3153" stopIfTrue="1" operator="equal">
      <formula>"Towel"</formula>
    </cfRule>
    <cfRule type="cellIs" dxfId="10157" priority="3154" stopIfTrue="1" operator="equal">
      <formula>"Napkin Hs"</formula>
    </cfRule>
    <cfRule type="cellIs" dxfId="10156" priority="3157" stopIfTrue="1" operator="equal">
      <formula>"Towel"</formula>
    </cfRule>
    <cfRule type="cellIs" dxfId="10155" priority="3158" stopIfTrue="1" operator="equal">
      <formula>"Napkin Hs"</formula>
    </cfRule>
    <cfRule type="cellIs" dxfId="10154" priority="3159" stopIfTrue="1" operator="equal">
      <formula>"Towel"</formula>
    </cfRule>
    <cfRule type="cellIs" dxfId="10153" priority="3160" stopIfTrue="1" operator="equal">
      <formula>"Napkin Hs"</formula>
    </cfRule>
    <cfRule type="cellIs" dxfId="10152" priority="3163" stopIfTrue="1" operator="equal">
      <formula>"Towel"</formula>
    </cfRule>
    <cfRule type="cellIs" dxfId="10151" priority="3164" stopIfTrue="1" operator="equal">
      <formula>"Napkin Hs"</formula>
    </cfRule>
    <cfRule type="cellIs" dxfId="10150" priority="3165" stopIfTrue="1" operator="equal">
      <formula>"Towel"</formula>
    </cfRule>
    <cfRule type="cellIs" dxfId="10149" priority="3166" stopIfTrue="1" operator="equal">
      <formula>"Napkin Hs"</formula>
    </cfRule>
    <cfRule type="cellIs" dxfId="10148" priority="3169" stopIfTrue="1" operator="equal">
      <formula>"Towel"</formula>
    </cfRule>
    <cfRule type="cellIs" dxfId="10147" priority="3170" stopIfTrue="1" operator="equal">
      <formula>"Napkin Hs"</formula>
    </cfRule>
  </conditionalFormatting>
  <conditionalFormatting sqref="B120">
    <cfRule type="cellIs" dxfId="10146" priority="3105" stopIfTrue="1" operator="equal">
      <formula>"Towel"</formula>
    </cfRule>
    <cfRule type="cellIs" dxfId="10145" priority="3106" stopIfTrue="1" operator="equal">
      <formula>"Napkin Hs"</formula>
    </cfRule>
    <cfRule type="cellIs" dxfId="10144" priority="3107" stopIfTrue="1" operator="equal">
      <formula>"Towel"</formula>
    </cfRule>
    <cfRule type="cellIs" dxfId="10143" priority="3108" stopIfTrue="1" operator="equal">
      <formula>"Napkin Hs"</formula>
    </cfRule>
    <cfRule type="cellIs" dxfId="10142" priority="3109" stopIfTrue="1" operator="equal">
      <formula>"Towel"</formula>
    </cfRule>
    <cfRule type="cellIs" dxfId="10141" priority="3110" stopIfTrue="1" operator="equal">
      <formula>"Napkin Hs"</formula>
    </cfRule>
    <cfRule type="cellIs" dxfId="10140" priority="3111" stopIfTrue="1" operator="equal">
      <formula>"Towel"</formula>
    </cfRule>
    <cfRule type="cellIs" dxfId="10139" priority="3112" stopIfTrue="1" operator="equal">
      <formula>"Napkin Hs"</formula>
    </cfRule>
    <cfRule type="cellIs" dxfId="10138" priority="3113" stopIfTrue="1" operator="equal">
      <formula>"Towel"</formula>
    </cfRule>
    <cfRule type="cellIs" dxfId="10137" priority="3114" stopIfTrue="1" operator="equal">
      <formula>"Napkin Hs"</formula>
    </cfRule>
    <cfRule type="cellIs" dxfId="10136" priority="3115" stopIfTrue="1" operator="equal">
      <formula>"Towel"</formula>
    </cfRule>
    <cfRule type="cellIs" dxfId="10135" priority="3116" stopIfTrue="1" operator="equal">
      <formula>"Napkin Hs"</formula>
    </cfRule>
    <cfRule type="cellIs" dxfId="10134" priority="3117" stopIfTrue="1" operator="equal">
      <formula>"Towel"</formula>
    </cfRule>
    <cfRule type="cellIs" dxfId="10133" priority="3118" stopIfTrue="1" operator="equal">
      <formula>"Napkin Hs"</formula>
    </cfRule>
    <cfRule type="cellIs" dxfId="10132" priority="3119" stopIfTrue="1" operator="equal">
      <formula>"Towel"</formula>
    </cfRule>
    <cfRule type="cellIs" dxfId="10131" priority="3120" stopIfTrue="1" operator="equal">
      <formula>"Napkin Hs"</formula>
    </cfRule>
  </conditionalFormatting>
  <conditionalFormatting sqref="B120:C121">
    <cfRule type="cellIs" dxfId="10130" priority="3097" stopIfTrue="1" operator="equal">
      <formula>"Towel"</formula>
    </cfRule>
    <cfRule type="cellIs" dxfId="10129" priority="3098" stopIfTrue="1" operator="equal">
      <formula>"Napkin Hs"</formula>
    </cfRule>
  </conditionalFormatting>
  <conditionalFormatting sqref="C120 B121:C121">
    <cfRule type="cellIs" dxfId="10128" priority="3104" stopIfTrue="1" operator="equal">
      <formula>"Napkin Hs"</formula>
    </cfRule>
  </conditionalFormatting>
  <conditionalFormatting sqref="C120 B121:C121">
    <cfRule type="cellIs" dxfId="10127" priority="3103" stopIfTrue="1" operator="equal">
      <formula>"Towel"</formula>
    </cfRule>
  </conditionalFormatting>
  <conditionalFormatting sqref="C120 B121:C121">
    <cfRule type="cellIs" dxfId="10126" priority="3055" stopIfTrue="1" operator="equal">
      <formula>"Towel"</formula>
    </cfRule>
    <cfRule type="cellIs" dxfId="10125" priority="3056" stopIfTrue="1" operator="equal">
      <formula>"Napkin Hs"</formula>
    </cfRule>
    <cfRule type="cellIs" dxfId="10124" priority="3061" stopIfTrue="1" operator="equal">
      <formula>"Towel"</formula>
    </cfRule>
    <cfRule type="cellIs" dxfId="10123" priority="3062" stopIfTrue="1" operator="equal">
      <formula>"Napkin Hs"</formula>
    </cfRule>
    <cfRule type="cellIs" dxfId="10122" priority="3067" stopIfTrue="1" operator="equal">
      <formula>"Towel"</formula>
    </cfRule>
    <cfRule type="cellIs" dxfId="10121" priority="3068" stopIfTrue="1" operator="equal">
      <formula>"Napkin Hs"</formula>
    </cfRule>
    <cfRule type="cellIs" dxfId="10120" priority="3073" stopIfTrue="1" operator="equal">
      <formula>"Towel"</formula>
    </cfRule>
    <cfRule type="cellIs" dxfId="10119" priority="3074" stopIfTrue="1" operator="equal">
      <formula>"Napkin Hs"</formula>
    </cfRule>
    <cfRule type="cellIs" dxfId="10118" priority="3079" stopIfTrue="1" operator="equal">
      <formula>"Towel"</formula>
    </cfRule>
    <cfRule type="cellIs" dxfId="10117" priority="3080" stopIfTrue="1" operator="equal">
      <formula>"Napkin Hs"</formula>
    </cfRule>
    <cfRule type="cellIs" dxfId="10116" priority="3085" stopIfTrue="1" operator="equal">
      <formula>"Towel"</formula>
    </cfRule>
    <cfRule type="cellIs" dxfId="10115" priority="3086" stopIfTrue="1" operator="equal">
      <formula>"Napkin Hs"</formula>
    </cfRule>
    <cfRule type="cellIs" dxfId="10114" priority="3091" stopIfTrue="1" operator="equal">
      <formula>"Towel"</formula>
    </cfRule>
    <cfRule type="cellIs" dxfId="10113" priority="3092" stopIfTrue="1" operator="equal">
      <formula>"Napkin Hs"</formula>
    </cfRule>
  </conditionalFormatting>
  <conditionalFormatting sqref="C120:C121">
    <cfRule type="cellIs" dxfId="10112" priority="3051" stopIfTrue="1" operator="equal">
      <formula>"Towel"</formula>
    </cfRule>
    <cfRule type="cellIs" dxfId="10111" priority="3052" stopIfTrue="1" operator="equal">
      <formula>"Napkin Hs"</formula>
    </cfRule>
    <cfRule type="cellIs" dxfId="10110" priority="3053" stopIfTrue="1" operator="equal">
      <formula>"Towel"</formula>
    </cfRule>
    <cfRule type="cellIs" dxfId="10109" priority="3054" stopIfTrue="1" operator="equal">
      <formula>"Napkin Hs"</formula>
    </cfRule>
    <cfRule type="cellIs" dxfId="10108" priority="3057" stopIfTrue="1" operator="equal">
      <formula>"Towel"</formula>
    </cfRule>
    <cfRule type="cellIs" dxfId="10107" priority="3058" stopIfTrue="1" operator="equal">
      <formula>"Napkin Hs"</formula>
    </cfRule>
    <cfRule type="cellIs" dxfId="10106" priority="3059" stopIfTrue="1" operator="equal">
      <formula>"Towel"</formula>
    </cfRule>
    <cfRule type="cellIs" dxfId="10105" priority="3060" stopIfTrue="1" operator="equal">
      <formula>"Napkin Hs"</formula>
    </cfRule>
    <cfRule type="cellIs" dxfId="10104" priority="3063" stopIfTrue="1" operator="equal">
      <formula>"Towel"</formula>
    </cfRule>
    <cfRule type="cellIs" dxfId="10103" priority="3064" stopIfTrue="1" operator="equal">
      <formula>"Napkin Hs"</formula>
    </cfRule>
    <cfRule type="cellIs" dxfId="10102" priority="3065" stopIfTrue="1" operator="equal">
      <formula>"Towel"</formula>
    </cfRule>
    <cfRule type="cellIs" dxfId="10101" priority="3066" stopIfTrue="1" operator="equal">
      <formula>"Napkin Hs"</formula>
    </cfRule>
    <cfRule type="cellIs" dxfId="10100" priority="3069" stopIfTrue="1" operator="equal">
      <formula>"Towel"</formula>
    </cfRule>
    <cfRule type="cellIs" dxfId="10099" priority="3070" stopIfTrue="1" operator="equal">
      <formula>"Napkin Hs"</formula>
    </cfRule>
    <cfRule type="cellIs" dxfId="10098" priority="3071" stopIfTrue="1" operator="equal">
      <formula>"Towel"</formula>
    </cfRule>
    <cfRule type="cellIs" dxfId="10097" priority="3072" stopIfTrue="1" operator="equal">
      <formula>"Napkin Hs"</formula>
    </cfRule>
    <cfRule type="cellIs" dxfId="10096" priority="3075" stopIfTrue="1" operator="equal">
      <formula>"Towel"</formula>
    </cfRule>
    <cfRule type="cellIs" dxfId="10095" priority="3076" stopIfTrue="1" operator="equal">
      <formula>"Napkin Hs"</formula>
    </cfRule>
    <cfRule type="cellIs" dxfId="10094" priority="3077" stopIfTrue="1" operator="equal">
      <formula>"Towel"</formula>
    </cfRule>
    <cfRule type="cellIs" dxfId="10093" priority="3078" stopIfTrue="1" operator="equal">
      <formula>"Napkin Hs"</formula>
    </cfRule>
    <cfRule type="cellIs" dxfId="10092" priority="3081" stopIfTrue="1" operator="equal">
      <formula>"Towel"</formula>
    </cfRule>
    <cfRule type="cellIs" dxfId="10091" priority="3082" stopIfTrue="1" operator="equal">
      <formula>"Napkin Hs"</formula>
    </cfRule>
    <cfRule type="cellIs" dxfId="10090" priority="3083" stopIfTrue="1" operator="equal">
      <formula>"Towel"</formula>
    </cfRule>
    <cfRule type="cellIs" dxfId="10089" priority="3084" stopIfTrue="1" operator="equal">
      <formula>"Napkin Hs"</formula>
    </cfRule>
    <cfRule type="cellIs" dxfId="10088" priority="3087" stopIfTrue="1" operator="equal">
      <formula>"Towel"</formula>
    </cfRule>
    <cfRule type="cellIs" dxfId="10087" priority="3088" stopIfTrue="1" operator="equal">
      <formula>"Napkin Hs"</formula>
    </cfRule>
    <cfRule type="cellIs" dxfId="10086" priority="3089" stopIfTrue="1" operator="equal">
      <formula>"Towel"</formula>
    </cfRule>
    <cfRule type="cellIs" dxfId="10085" priority="3090" stopIfTrue="1" operator="equal">
      <formula>"Napkin Hs"</formula>
    </cfRule>
    <cfRule type="cellIs" dxfId="10084" priority="3093" stopIfTrue="1" operator="equal">
      <formula>"Towel"</formula>
    </cfRule>
    <cfRule type="cellIs" dxfId="10083" priority="3094" stopIfTrue="1" operator="equal">
      <formula>"Napkin Hs"</formula>
    </cfRule>
    <cfRule type="cellIs" dxfId="10082" priority="3095" stopIfTrue="1" operator="equal">
      <formula>"Towel"</formula>
    </cfRule>
    <cfRule type="cellIs" dxfId="10081" priority="3096" stopIfTrue="1" operator="equal">
      <formula>"Napkin Hs"</formula>
    </cfRule>
    <cfRule type="cellIs" dxfId="10080" priority="3099" stopIfTrue="1" operator="equal">
      <formula>"Towel"</formula>
    </cfRule>
    <cfRule type="cellIs" dxfId="10079" priority="3100" stopIfTrue="1" operator="equal">
      <formula>"Napkin Hs"</formula>
    </cfRule>
  </conditionalFormatting>
  <conditionalFormatting sqref="C120:C121">
    <cfRule type="cellIs" dxfId="10078" priority="3101" stopIfTrue="1" operator="equal">
      <formula>"Towel"</formula>
    </cfRule>
    <cfRule type="cellIs" dxfId="10077" priority="3102" stopIfTrue="1" operator="equal">
      <formula>"Napkin Hs"</formula>
    </cfRule>
  </conditionalFormatting>
  <conditionalFormatting sqref="B118:B119">
    <cfRule type="cellIs" dxfId="10076" priority="2901" stopIfTrue="1" operator="equal">
      <formula>"Towel"</formula>
    </cfRule>
    <cfRule type="cellIs" dxfId="10075" priority="2902" stopIfTrue="1" operator="equal">
      <formula>"Napkin Hs"</formula>
    </cfRule>
  </conditionalFormatting>
  <conditionalFormatting sqref="B116:C116">
    <cfRule type="cellIs" dxfId="10074" priority="2739" stopIfTrue="1" operator="equal">
      <formula>"Towel"</formula>
    </cfRule>
    <cfRule type="cellIs" dxfId="10073" priority="2740" stopIfTrue="1" operator="equal">
      <formula>"Napkin Hs"</formula>
    </cfRule>
    <cfRule type="cellIs" dxfId="10072" priority="2745" stopIfTrue="1" operator="equal">
      <formula>"Towel"</formula>
    </cfRule>
    <cfRule type="cellIs" dxfId="10071" priority="2746" stopIfTrue="1" operator="equal">
      <formula>"Napkin Hs"</formula>
    </cfRule>
    <cfRule type="cellIs" dxfId="10070" priority="2751" stopIfTrue="1" operator="equal">
      <formula>"Towel"</formula>
    </cfRule>
    <cfRule type="cellIs" dxfId="10069" priority="2752" stopIfTrue="1" operator="equal">
      <formula>"Napkin Hs"</formula>
    </cfRule>
    <cfRule type="cellIs" dxfId="10068" priority="2757" stopIfTrue="1" operator="equal">
      <formula>"Towel"</formula>
    </cfRule>
    <cfRule type="cellIs" dxfId="10067" priority="2758" stopIfTrue="1" operator="equal">
      <formula>"Napkin Hs"</formula>
    </cfRule>
    <cfRule type="cellIs" dxfId="10066" priority="2763" stopIfTrue="1" operator="equal">
      <formula>"Towel"</formula>
    </cfRule>
    <cfRule type="cellIs" dxfId="10065" priority="2764" stopIfTrue="1" operator="equal">
      <formula>"Napkin Hs"</formula>
    </cfRule>
    <cfRule type="cellIs" dxfId="10064" priority="2769" stopIfTrue="1" operator="equal">
      <formula>"Towel"</formula>
    </cfRule>
    <cfRule type="cellIs" dxfId="10063" priority="2770" stopIfTrue="1" operator="equal">
      <formula>"Napkin Hs"</formula>
    </cfRule>
    <cfRule type="cellIs" dxfId="10062" priority="2773" stopIfTrue="1" operator="equal">
      <formula>"Towel"</formula>
    </cfRule>
    <cfRule type="cellIs" dxfId="10061" priority="2774" stopIfTrue="1" operator="equal">
      <formula>"Napkin Hs"</formula>
    </cfRule>
    <cfRule type="cellIs" dxfId="10060" priority="2781" stopIfTrue="1" operator="equal">
      <formula>"Towel"</formula>
    </cfRule>
    <cfRule type="cellIs" dxfId="10059" priority="2782" stopIfTrue="1" operator="equal">
      <formula>"Napkin Hs"</formula>
    </cfRule>
    <cfRule type="cellIs" dxfId="10058" priority="2787" stopIfTrue="1" operator="equal">
      <formula>"Towel"</formula>
    </cfRule>
    <cfRule type="cellIs" dxfId="10057" priority="2788" stopIfTrue="1" operator="equal">
      <formula>"Napkin Hs"</formula>
    </cfRule>
    <cfRule type="cellIs" dxfId="10056" priority="2793" stopIfTrue="1" operator="equal">
      <formula>"Towel"</formula>
    </cfRule>
    <cfRule type="cellIs" dxfId="10055" priority="2794" stopIfTrue="1" operator="equal">
      <formula>"Napkin Hs"</formula>
    </cfRule>
    <cfRule type="cellIs" dxfId="10054" priority="2799" stopIfTrue="1" operator="equal">
      <formula>"Towel"</formula>
    </cfRule>
    <cfRule type="cellIs" dxfId="10053" priority="2800" stopIfTrue="1" operator="equal">
      <formula>"Napkin Hs"</formula>
    </cfRule>
    <cfRule type="cellIs" dxfId="10052" priority="2805" stopIfTrue="1" operator="equal">
      <formula>"Towel"</formula>
    </cfRule>
    <cfRule type="cellIs" dxfId="10051" priority="2806" stopIfTrue="1" operator="equal">
      <formula>"Napkin Hs"</formula>
    </cfRule>
    <cfRule type="cellIs" dxfId="10050" priority="2811" stopIfTrue="1" operator="equal">
      <formula>"Towel"</formula>
    </cfRule>
    <cfRule type="cellIs" dxfId="10049" priority="2812" stopIfTrue="1" operator="equal">
      <formula>"Napkin Hs"</formula>
    </cfRule>
    <cfRule type="cellIs" dxfId="10048" priority="2817" stopIfTrue="1" operator="equal">
      <formula>"Towel"</formula>
    </cfRule>
    <cfRule type="cellIs" dxfId="10047" priority="2818" stopIfTrue="1" operator="equal">
      <formula>"Napkin Hs"</formula>
    </cfRule>
  </conditionalFormatting>
  <conditionalFormatting sqref="B117:C117">
    <cfRule type="cellIs" dxfId="10046" priority="2821" stopIfTrue="1" operator="equal">
      <formula>"Towel"</formula>
    </cfRule>
    <cfRule type="cellIs" dxfId="10045" priority="2822" stopIfTrue="1" operator="equal">
      <formula>"Napkin Hs"</formula>
    </cfRule>
    <cfRule type="cellIs" dxfId="10044" priority="2827" stopIfTrue="1" operator="equal">
      <formula>"Towel"</formula>
    </cfRule>
    <cfRule type="cellIs" dxfId="10043" priority="2828" stopIfTrue="1" operator="equal">
      <formula>"Napkin Hs"</formula>
    </cfRule>
    <cfRule type="cellIs" dxfId="10042" priority="2833" stopIfTrue="1" operator="equal">
      <formula>"Towel"</formula>
    </cfRule>
    <cfRule type="cellIs" dxfId="10041" priority="2834" stopIfTrue="1" operator="equal">
      <formula>"Napkin Hs"</formula>
    </cfRule>
    <cfRule type="cellIs" dxfId="10040" priority="2839" stopIfTrue="1" operator="equal">
      <formula>"Towel"</formula>
    </cfRule>
    <cfRule type="cellIs" dxfId="10039" priority="2840" stopIfTrue="1" operator="equal">
      <formula>"Napkin Hs"</formula>
    </cfRule>
    <cfRule type="cellIs" dxfId="10038" priority="2845" stopIfTrue="1" operator="equal">
      <formula>"Towel"</formula>
    </cfRule>
    <cfRule type="cellIs" dxfId="10037" priority="2846" stopIfTrue="1" operator="equal">
      <formula>"Napkin Hs"</formula>
    </cfRule>
    <cfRule type="cellIs" dxfId="10036" priority="2851" stopIfTrue="1" operator="equal">
      <formula>"Towel"</formula>
    </cfRule>
    <cfRule type="cellIs" dxfId="10035" priority="2852" stopIfTrue="1" operator="equal">
      <formula>"Napkin Hs"</formula>
    </cfRule>
    <cfRule type="cellIs" dxfId="10034" priority="2855" stopIfTrue="1" operator="equal">
      <formula>"Towel"</formula>
    </cfRule>
    <cfRule type="cellIs" dxfId="10033" priority="2856" stopIfTrue="1" operator="equal">
      <formula>"Napkin Hs"</formula>
    </cfRule>
    <cfRule type="cellIs" dxfId="10032" priority="2863" stopIfTrue="1" operator="equal">
      <formula>"Towel"</formula>
    </cfRule>
    <cfRule type="cellIs" dxfId="10031" priority="2864" stopIfTrue="1" operator="equal">
      <formula>"Napkin Hs"</formula>
    </cfRule>
    <cfRule type="cellIs" dxfId="10030" priority="2869" stopIfTrue="1" operator="equal">
      <formula>"Towel"</formula>
    </cfRule>
    <cfRule type="cellIs" dxfId="10029" priority="2870" stopIfTrue="1" operator="equal">
      <formula>"Napkin Hs"</formula>
    </cfRule>
    <cfRule type="cellIs" dxfId="10028" priority="2875" stopIfTrue="1" operator="equal">
      <formula>"Towel"</formula>
    </cfRule>
    <cfRule type="cellIs" dxfId="10027" priority="2876" stopIfTrue="1" operator="equal">
      <formula>"Napkin Hs"</formula>
    </cfRule>
    <cfRule type="cellIs" dxfId="10026" priority="2881" stopIfTrue="1" operator="equal">
      <formula>"Towel"</formula>
    </cfRule>
    <cfRule type="cellIs" dxfId="10025" priority="2882" stopIfTrue="1" operator="equal">
      <formula>"Napkin Hs"</formula>
    </cfRule>
    <cfRule type="cellIs" dxfId="10024" priority="2887" stopIfTrue="1" operator="equal">
      <formula>"Towel"</formula>
    </cfRule>
    <cfRule type="cellIs" dxfId="10023" priority="2888" stopIfTrue="1" operator="equal">
      <formula>"Napkin Hs"</formula>
    </cfRule>
    <cfRule type="cellIs" dxfId="10022" priority="2893" stopIfTrue="1" operator="equal">
      <formula>"Towel"</formula>
    </cfRule>
    <cfRule type="cellIs" dxfId="10021" priority="2894" stopIfTrue="1" operator="equal">
      <formula>"Napkin Hs"</formula>
    </cfRule>
    <cfRule type="cellIs" dxfId="10020" priority="2899" stopIfTrue="1" operator="equal">
      <formula>"Towel"</formula>
    </cfRule>
    <cfRule type="cellIs" dxfId="10019" priority="2900" stopIfTrue="1" operator="equal">
      <formula>"Napkin Hs"</formula>
    </cfRule>
  </conditionalFormatting>
  <conditionalFormatting sqref="B118:C118">
    <cfRule type="cellIs" dxfId="10018" priority="2961" stopIfTrue="1" operator="equal">
      <formula>"Towel"</formula>
    </cfRule>
    <cfRule type="cellIs" dxfId="10017" priority="2962" stopIfTrue="1" operator="equal">
      <formula>"Napkin Hs"</formula>
    </cfRule>
    <cfRule type="cellIs" dxfId="10016" priority="2967" stopIfTrue="1" operator="equal">
      <formula>"Towel"</formula>
    </cfRule>
    <cfRule type="cellIs" dxfId="10015" priority="2968" stopIfTrue="1" operator="equal">
      <formula>"Napkin Hs"</formula>
    </cfRule>
    <cfRule type="cellIs" dxfId="10014" priority="2973" stopIfTrue="1" operator="equal">
      <formula>"Towel"</formula>
    </cfRule>
    <cfRule type="cellIs" dxfId="10013" priority="2974" stopIfTrue="1" operator="equal">
      <formula>"Napkin Hs"</formula>
    </cfRule>
    <cfRule type="cellIs" dxfId="10012" priority="2979" stopIfTrue="1" operator="equal">
      <formula>"Towel"</formula>
    </cfRule>
    <cfRule type="cellIs" dxfId="10011" priority="2980" stopIfTrue="1" operator="equal">
      <formula>"Napkin Hs"</formula>
    </cfRule>
    <cfRule type="cellIs" dxfId="10010" priority="2985" stopIfTrue="1" operator="equal">
      <formula>"Towel"</formula>
    </cfRule>
    <cfRule type="cellIs" dxfId="10009" priority="2986" stopIfTrue="1" operator="equal">
      <formula>"Napkin Hs"</formula>
    </cfRule>
    <cfRule type="cellIs" dxfId="10008" priority="2991" stopIfTrue="1" operator="equal">
      <formula>"Towel"</formula>
    </cfRule>
    <cfRule type="cellIs" dxfId="10007" priority="2992" stopIfTrue="1" operator="equal">
      <formula>"Napkin Hs"</formula>
    </cfRule>
    <cfRule type="cellIs" dxfId="10006" priority="2997" stopIfTrue="1" operator="equal">
      <formula>"Towel"</formula>
    </cfRule>
    <cfRule type="cellIs" dxfId="10005" priority="2998" stopIfTrue="1" operator="equal">
      <formula>"Napkin Hs"</formula>
    </cfRule>
    <cfRule type="cellIs" dxfId="10004" priority="3003" stopIfTrue="1" operator="equal">
      <formula>"Towel"</formula>
    </cfRule>
    <cfRule type="cellIs" dxfId="10003" priority="3004" stopIfTrue="1" operator="equal">
      <formula>"Napkin Hs"</formula>
    </cfRule>
  </conditionalFormatting>
  <conditionalFormatting sqref="B118:C119">
    <cfRule type="cellIs" dxfId="10002" priority="2903" stopIfTrue="1" operator="equal">
      <formula>"Towel"</formula>
    </cfRule>
    <cfRule type="cellIs" dxfId="10001" priority="2904" stopIfTrue="1" operator="equal">
      <formula>"Napkin Hs"</formula>
    </cfRule>
    <cfRule type="cellIs" dxfId="10000" priority="2919" stopIfTrue="1" operator="equal">
      <formula>"Towel"</formula>
    </cfRule>
    <cfRule type="cellIs" dxfId="9999" priority="2920" stopIfTrue="1" operator="equal">
      <formula>"Napkin Hs"</formula>
    </cfRule>
    <cfRule type="cellIs" dxfId="9998" priority="2925" stopIfTrue="1" operator="equal">
      <formula>"Towel"</formula>
    </cfRule>
    <cfRule type="cellIs" dxfId="9997" priority="2926" stopIfTrue="1" operator="equal">
      <formula>"Napkin Hs"</formula>
    </cfRule>
    <cfRule type="cellIs" dxfId="9996" priority="2931" stopIfTrue="1" operator="equal">
      <formula>"Towel"</formula>
    </cfRule>
    <cfRule type="cellIs" dxfId="9995" priority="2932" stopIfTrue="1" operator="equal">
      <formula>"Napkin Hs"</formula>
    </cfRule>
    <cfRule type="cellIs" dxfId="9994" priority="2937" stopIfTrue="1" operator="equal">
      <formula>"Towel"</formula>
    </cfRule>
    <cfRule type="cellIs" dxfId="9993" priority="2938" stopIfTrue="1" operator="equal">
      <formula>"Napkin Hs"</formula>
    </cfRule>
    <cfRule type="cellIs" dxfId="9992" priority="2943" stopIfTrue="1" operator="equal">
      <formula>"Towel"</formula>
    </cfRule>
    <cfRule type="cellIs" dxfId="9991" priority="2944" stopIfTrue="1" operator="equal">
      <formula>"Napkin Hs"</formula>
    </cfRule>
    <cfRule type="cellIs" dxfId="9990" priority="2949" stopIfTrue="1" operator="equal">
      <formula>"Towel"</formula>
    </cfRule>
    <cfRule type="cellIs" dxfId="9989" priority="2950" stopIfTrue="1" operator="equal">
      <formula>"Napkin Hs"</formula>
    </cfRule>
    <cfRule type="cellIs" dxfId="9988" priority="2955" stopIfTrue="1" operator="equal">
      <formula>"Towel"</formula>
    </cfRule>
    <cfRule type="cellIs" dxfId="9987" priority="2956" stopIfTrue="1" operator="equal">
      <formula>"Napkin Hs"</formula>
    </cfRule>
  </conditionalFormatting>
  <conditionalFormatting sqref="B119:C119">
    <cfRule type="cellIs" dxfId="9986" priority="3007" stopIfTrue="1" operator="equal">
      <formula>"Towel"</formula>
    </cfRule>
    <cfRule type="cellIs" dxfId="9985" priority="3008" stopIfTrue="1" operator="equal">
      <formula>"Napkin Hs"</formula>
    </cfRule>
    <cfRule type="cellIs" dxfId="9984" priority="3013" stopIfTrue="1" operator="equal">
      <formula>"Towel"</formula>
    </cfRule>
    <cfRule type="cellIs" dxfId="9983" priority="3014" stopIfTrue="1" operator="equal">
      <formula>"Napkin Hs"</formula>
    </cfRule>
    <cfRule type="cellIs" dxfId="9982" priority="3019" stopIfTrue="1" operator="equal">
      <formula>"Towel"</formula>
    </cfRule>
    <cfRule type="cellIs" dxfId="9981" priority="3020" stopIfTrue="1" operator="equal">
      <formula>"Napkin Hs"</formula>
    </cfRule>
    <cfRule type="cellIs" dxfId="9980" priority="3025" stopIfTrue="1" operator="equal">
      <formula>"Towel"</formula>
    </cfRule>
    <cfRule type="cellIs" dxfId="9979" priority="3026" stopIfTrue="1" operator="equal">
      <formula>"Napkin Hs"</formula>
    </cfRule>
    <cfRule type="cellIs" dxfId="9978" priority="3031" stopIfTrue="1" operator="equal">
      <formula>"Towel"</formula>
    </cfRule>
    <cfRule type="cellIs" dxfId="9977" priority="3032" stopIfTrue="1" operator="equal">
      <formula>"Napkin Hs"</formula>
    </cfRule>
    <cfRule type="cellIs" dxfId="9976" priority="3037" stopIfTrue="1" operator="equal">
      <formula>"Towel"</formula>
    </cfRule>
    <cfRule type="cellIs" dxfId="9975" priority="3038" stopIfTrue="1" operator="equal">
      <formula>"Napkin Hs"</formula>
    </cfRule>
    <cfRule type="cellIs" dxfId="9974" priority="3043" stopIfTrue="1" operator="equal">
      <formula>"Towel"</formula>
    </cfRule>
    <cfRule type="cellIs" dxfId="9973" priority="3044" stopIfTrue="1" operator="equal">
      <formula>"Napkin Hs"</formula>
    </cfRule>
    <cfRule type="cellIs" dxfId="9972" priority="3049" stopIfTrue="1" operator="equal">
      <formula>"Towel"</formula>
    </cfRule>
    <cfRule type="cellIs" dxfId="9971" priority="3050" stopIfTrue="1" operator="equal">
      <formula>"Napkin Hs"</formula>
    </cfRule>
  </conditionalFormatting>
  <conditionalFormatting sqref="C116">
    <cfRule type="cellIs" dxfId="9970" priority="2735" stopIfTrue="1" operator="equal">
      <formula>"Towel"</formula>
    </cfRule>
    <cfRule type="cellIs" dxfId="9969" priority="2736" stopIfTrue="1" operator="equal">
      <formula>"Napkin Hs"</formula>
    </cfRule>
    <cfRule type="cellIs" dxfId="9968" priority="2737" stopIfTrue="1" operator="equal">
      <formula>"Towel"</formula>
    </cfRule>
    <cfRule type="cellIs" dxfId="9967" priority="2738" stopIfTrue="1" operator="equal">
      <formula>"Napkin Hs"</formula>
    </cfRule>
    <cfRule type="cellIs" dxfId="9966" priority="2741" stopIfTrue="1" operator="equal">
      <formula>"Towel"</formula>
    </cfRule>
    <cfRule type="cellIs" dxfId="9965" priority="2742" stopIfTrue="1" operator="equal">
      <formula>"Napkin Hs"</formula>
    </cfRule>
    <cfRule type="cellIs" dxfId="9964" priority="2743" stopIfTrue="1" operator="equal">
      <formula>"Towel"</formula>
    </cfRule>
    <cfRule type="cellIs" dxfId="9963" priority="2744" stopIfTrue="1" operator="equal">
      <formula>"Napkin Hs"</formula>
    </cfRule>
    <cfRule type="cellIs" dxfId="9962" priority="2747" stopIfTrue="1" operator="equal">
      <formula>"Towel"</formula>
    </cfRule>
    <cfRule type="cellIs" dxfId="9961" priority="2748" stopIfTrue="1" operator="equal">
      <formula>"Napkin Hs"</formula>
    </cfRule>
    <cfRule type="cellIs" dxfId="9960" priority="2749" stopIfTrue="1" operator="equal">
      <formula>"Towel"</formula>
    </cfRule>
    <cfRule type="cellIs" dxfId="9959" priority="2750" stopIfTrue="1" operator="equal">
      <formula>"Napkin Hs"</formula>
    </cfRule>
    <cfRule type="cellIs" dxfId="9958" priority="2753" stopIfTrue="1" operator="equal">
      <formula>"Towel"</formula>
    </cfRule>
    <cfRule type="cellIs" dxfId="9957" priority="2754" stopIfTrue="1" operator="equal">
      <formula>"Napkin Hs"</formula>
    </cfRule>
    <cfRule type="cellIs" dxfId="9956" priority="2755" stopIfTrue="1" operator="equal">
      <formula>"Towel"</formula>
    </cfRule>
    <cfRule type="cellIs" dxfId="9955" priority="2756" stopIfTrue="1" operator="equal">
      <formula>"Napkin Hs"</formula>
    </cfRule>
    <cfRule type="cellIs" dxfId="9954" priority="2759" stopIfTrue="1" operator="equal">
      <formula>"Towel"</formula>
    </cfRule>
    <cfRule type="cellIs" dxfId="9953" priority="2760" stopIfTrue="1" operator="equal">
      <formula>"Napkin Hs"</formula>
    </cfRule>
    <cfRule type="cellIs" dxfId="9952" priority="2761" stopIfTrue="1" operator="equal">
      <formula>"Towel"</formula>
    </cfRule>
    <cfRule type="cellIs" dxfId="9951" priority="2762" stopIfTrue="1" operator="equal">
      <formula>"Napkin Hs"</formula>
    </cfRule>
    <cfRule type="cellIs" dxfId="9950" priority="2765" stopIfTrue="1" operator="equal">
      <formula>"Towel"</formula>
    </cfRule>
    <cfRule type="cellIs" dxfId="9949" priority="2766" stopIfTrue="1" operator="equal">
      <formula>"Napkin Hs"</formula>
    </cfRule>
    <cfRule type="cellIs" dxfId="9948" priority="2767" stopIfTrue="1" operator="equal">
      <formula>"Towel"</formula>
    </cfRule>
    <cfRule type="cellIs" dxfId="9947" priority="2768" stopIfTrue="1" operator="equal">
      <formula>"Napkin Hs"</formula>
    </cfRule>
    <cfRule type="cellIs" dxfId="9946" priority="2771" stopIfTrue="1" operator="equal">
      <formula>"Towel"</formula>
    </cfRule>
    <cfRule type="cellIs" dxfId="9945" priority="2772" stopIfTrue="1" operator="equal">
      <formula>"Napkin Hs"</formula>
    </cfRule>
    <cfRule type="cellIs" dxfId="9944" priority="2775" stopIfTrue="1" operator="equal">
      <formula>"Towel"</formula>
    </cfRule>
    <cfRule type="cellIs" dxfId="9943" priority="2776" stopIfTrue="1" operator="equal">
      <formula>"Napkin Hs"</formula>
    </cfRule>
    <cfRule type="cellIs" dxfId="9942" priority="2777" stopIfTrue="1" operator="equal">
      <formula>"Towel"</formula>
    </cfRule>
    <cfRule type="cellIs" dxfId="9941" priority="2778" stopIfTrue="1" operator="equal">
      <formula>"Napkin Hs"</formula>
    </cfRule>
    <cfRule type="cellIs" dxfId="9940" priority="2779" stopIfTrue="1" operator="equal">
      <formula>"Towel"</formula>
    </cfRule>
    <cfRule type="cellIs" dxfId="9939" priority="2780" stopIfTrue="1" operator="equal">
      <formula>"Napkin Hs"</formula>
    </cfRule>
    <cfRule type="cellIs" dxfId="9938" priority="2783" stopIfTrue="1" operator="equal">
      <formula>"Towel"</formula>
    </cfRule>
    <cfRule type="cellIs" dxfId="9937" priority="2784" stopIfTrue="1" operator="equal">
      <formula>"Napkin Hs"</formula>
    </cfRule>
    <cfRule type="cellIs" dxfId="9936" priority="2785" stopIfTrue="1" operator="equal">
      <formula>"Towel"</formula>
    </cfRule>
    <cfRule type="cellIs" dxfId="9935" priority="2786" stopIfTrue="1" operator="equal">
      <formula>"Napkin Hs"</formula>
    </cfRule>
    <cfRule type="cellIs" dxfId="9934" priority="2789" stopIfTrue="1" operator="equal">
      <formula>"Towel"</formula>
    </cfRule>
    <cfRule type="cellIs" dxfId="9933" priority="2790" stopIfTrue="1" operator="equal">
      <formula>"Napkin Hs"</formula>
    </cfRule>
    <cfRule type="cellIs" dxfId="9932" priority="2791" stopIfTrue="1" operator="equal">
      <formula>"Towel"</formula>
    </cfRule>
    <cfRule type="cellIs" dxfId="9931" priority="2792" stopIfTrue="1" operator="equal">
      <formula>"Napkin Hs"</formula>
    </cfRule>
    <cfRule type="cellIs" dxfId="9930" priority="2795" stopIfTrue="1" operator="equal">
      <formula>"Towel"</formula>
    </cfRule>
    <cfRule type="cellIs" dxfId="9929" priority="2796" stopIfTrue="1" operator="equal">
      <formula>"Napkin Hs"</formula>
    </cfRule>
    <cfRule type="cellIs" dxfId="9928" priority="2797" stopIfTrue="1" operator="equal">
      <formula>"Towel"</formula>
    </cfRule>
    <cfRule type="cellIs" dxfId="9927" priority="2798" stopIfTrue="1" operator="equal">
      <formula>"Napkin Hs"</formula>
    </cfRule>
    <cfRule type="cellIs" dxfId="9926" priority="2801" stopIfTrue="1" operator="equal">
      <formula>"Towel"</formula>
    </cfRule>
    <cfRule type="cellIs" dxfId="9925" priority="2802" stopIfTrue="1" operator="equal">
      <formula>"Napkin Hs"</formula>
    </cfRule>
    <cfRule type="cellIs" dxfId="9924" priority="2803" stopIfTrue="1" operator="equal">
      <formula>"Towel"</formula>
    </cfRule>
    <cfRule type="cellIs" dxfId="9923" priority="2804" stopIfTrue="1" operator="equal">
      <formula>"Napkin Hs"</formula>
    </cfRule>
    <cfRule type="cellIs" dxfId="9922" priority="2807" stopIfTrue="1" operator="equal">
      <formula>"Towel"</formula>
    </cfRule>
    <cfRule type="cellIs" dxfId="9921" priority="2808" stopIfTrue="1" operator="equal">
      <formula>"Napkin Hs"</formula>
    </cfRule>
    <cfRule type="cellIs" dxfId="9920" priority="2809" stopIfTrue="1" operator="equal">
      <formula>"Towel"</formula>
    </cfRule>
    <cfRule type="cellIs" dxfId="9919" priority="2810" stopIfTrue="1" operator="equal">
      <formula>"Napkin Hs"</formula>
    </cfRule>
    <cfRule type="cellIs" dxfId="9918" priority="2813" stopIfTrue="1" operator="equal">
      <formula>"Towel"</formula>
    </cfRule>
    <cfRule type="cellIs" dxfId="9917" priority="2814" stopIfTrue="1" operator="equal">
      <formula>"Napkin Hs"</formula>
    </cfRule>
  </conditionalFormatting>
  <conditionalFormatting sqref="C116:C117">
    <cfRule type="cellIs" dxfId="9916" priority="2815" stopIfTrue="1" operator="equal">
      <formula>"Towel"</formula>
    </cfRule>
    <cfRule type="cellIs" dxfId="9915" priority="2816" stopIfTrue="1" operator="equal">
      <formula>"Napkin Hs"</formula>
    </cfRule>
  </conditionalFormatting>
  <conditionalFormatting sqref="C117">
    <cfRule type="cellIs" dxfId="9914" priority="2819" stopIfTrue="1" operator="equal">
      <formula>"Towel"</formula>
    </cfRule>
    <cfRule type="cellIs" dxfId="9913" priority="2820" stopIfTrue="1" operator="equal">
      <formula>"Napkin Hs"</formula>
    </cfRule>
    <cfRule type="cellIs" dxfId="9912" priority="2823" stopIfTrue="1" operator="equal">
      <formula>"Towel"</formula>
    </cfRule>
    <cfRule type="cellIs" dxfId="9911" priority="2824" stopIfTrue="1" operator="equal">
      <formula>"Napkin Hs"</formula>
    </cfRule>
    <cfRule type="cellIs" dxfId="9910" priority="2825" stopIfTrue="1" operator="equal">
      <formula>"Towel"</formula>
    </cfRule>
    <cfRule type="cellIs" dxfId="9909" priority="2826" stopIfTrue="1" operator="equal">
      <formula>"Napkin Hs"</formula>
    </cfRule>
    <cfRule type="cellIs" dxfId="9908" priority="2829" stopIfTrue="1" operator="equal">
      <formula>"Towel"</formula>
    </cfRule>
    <cfRule type="cellIs" dxfId="9907" priority="2830" stopIfTrue="1" operator="equal">
      <formula>"Napkin Hs"</formula>
    </cfRule>
    <cfRule type="cellIs" dxfId="9906" priority="2831" stopIfTrue="1" operator="equal">
      <formula>"Towel"</formula>
    </cfRule>
    <cfRule type="cellIs" dxfId="9905" priority="2832" stopIfTrue="1" operator="equal">
      <formula>"Napkin Hs"</formula>
    </cfRule>
    <cfRule type="cellIs" dxfId="9904" priority="2835" stopIfTrue="1" operator="equal">
      <formula>"Towel"</formula>
    </cfRule>
    <cfRule type="cellIs" dxfId="9903" priority="2836" stopIfTrue="1" operator="equal">
      <formula>"Napkin Hs"</formula>
    </cfRule>
    <cfRule type="cellIs" dxfId="9902" priority="2837" stopIfTrue="1" operator="equal">
      <formula>"Towel"</formula>
    </cfRule>
    <cfRule type="cellIs" dxfId="9901" priority="2838" stopIfTrue="1" operator="equal">
      <formula>"Napkin Hs"</formula>
    </cfRule>
    <cfRule type="cellIs" dxfId="9900" priority="2841" stopIfTrue="1" operator="equal">
      <formula>"Towel"</formula>
    </cfRule>
    <cfRule type="cellIs" dxfId="9899" priority="2842" stopIfTrue="1" operator="equal">
      <formula>"Napkin Hs"</formula>
    </cfRule>
    <cfRule type="cellIs" dxfId="9898" priority="2843" stopIfTrue="1" operator="equal">
      <formula>"Towel"</formula>
    </cfRule>
    <cfRule type="cellIs" dxfId="9897" priority="2844" stopIfTrue="1" operator="equal">
      <formula>"Napkin Hs"</formula>
    </cfRule>
    <cfRule type="cellIs" dxfId="9896" priority="2847" stopIfTrue="1" operator="equal">
      <formula>"Towel"</formula>
    </cfRule>
    <cfRule type="cellIs" dxfId="9895" priority="2848" stopIfTrue="1" operator="equal">
      <formula>"Napkin Hs"</formula>
    </cfRule>
    <cfRule type="cellIs" dxfId="9894" priority="2849" stopIfTrue="1" operator="equal">
      <formula>"Towel"</formula>
    </cfRule>
    <cfRule type="cellIs" dxfId="9893" priority="2850" stopIfTrue="1" operator="equal">
      <formula>"Napkin Hs"</formula>
    </cfRule>
    <cfRule type="cellIs" dxfId="9892" priority="2853" stopIfTrue="1" operator="equal">
      <formula>"Towel"</formula>
    </cfRule>
    <cfRule type="cellIs" dxfId="9891" priority="2854" stopIfTrue="1" operator="equal">
      <formula>"Napkin Hs"</formula>
    </cfRule>
    <cfRule type="cellIs" dxfId="9890" priority="2857" stopIfTrue="1" operator="equal">
      <formula>"Towel"</formula>
    </cfRule>
    <cfRule type="cellIs" dxfId="9889" priority="2858" stopIfTrue="1" operator="equal">
      <formula>"Napkin Hs"</formula>
    </cfRule>
    <cfRule type="cellIs" dxfId="9888" priority="2859" stopIfTrue="1" operator="equal">
      <formula>"Towel"</formula>
    </cfRule>
    <cfRule type="cellIs" dxfId="9887" priority="2860" stopIfTrue="1" operator="equal">
      <formula>"Napkin Hs"</formula>
    </cfRule>
    <cfRule type="cellIs" dxfId="9886" priority="2861" stopIfTrue="1" operator="equal">
      <formula>"Towel"</formula>
    </cfRule>
    <cfRule type="cellIs" dxfId="9885" priority="2862" stopIfTrue="1" operator="equal">
      <formula>"Napkin Hs"</formula>
    </cfRule>
    <cfRule type="cellIs" dxfId="9884" priority="2865" stopIfTrue="1" operator="equal">
      <formula>"Towel"</formula>
    </cfRule>
    <cfRule type="cellIs" dxfId="9883" priority="2866" stopIfTrue="1" operator="equal">
      <formula>"Napkin Hs"</formula>
    </cfRule>
    <cfRule type="cellIs" dxfId="9882" priority="2867" stopIfTrue="1" operator="equal">
      <formula>"Towel"</formula>
    </cfRule>
    <cfRule type="cellIs" dxfId="9881" priority="2868" stopIfTrue="1" operator="equal">
      <formula>"Napkin Hs"</formula>
    </cfRule>
    <cfRule type="cellIs" dxfId="9880" priority="2871" stopIfTrue="1" operator="equal">
      <formula>"Towel"</formula>
    </cfRule>
    <cfRule type="cellIs" dxfId="9879" priority="2872" stopIfTrue="1" operator="equal">
      <formula>"Napkin Hs"</formula>
    </cfRule>
    <cfRule type="cellIs" dxfId="9878" priority="2873" stopIfTrue="1" operator="equal">
      <formula>"Towel"</formula>
    </cfRule>
    <cfRule type="cellIs" dxfId="9877" priority="2874" stopIfTrue="1" operator="equal">
      <formula>"Napkin Hs"</formula>
    </cfRule>
    <cfRule type="cellIs" dxfId="9876" priority="2877" stopIfTrue="1" operator="equal">
      <formula>"Towel"</formula>
    </cfRule>
    <cfRule type="cellIs" dxfId="9875" priority="2878" stopIfTrue="1" operator="equal">
      <formula>"Napkin Hs"</formula>
    </cfRule>
    <cfRule type="cellIs" dxfId="9874" priority="2879" stopIfTrue="1" operator="equal">
      <formula>"Towel"</formula>
    </cfRule>
    <cfRule type="cellIs" dxfId="9873" priority="2880" stopIfTrue="1" operator="equal">
      <formula>"Napkin Hs"</formula>
    </cfRule>
    <cfRule type="cellIs" dxfId="9872" priority="2883" stopIfTrue="1" operator="equal">
      <formula>"Towel"</formula>
    </cfRule>
    <cfRule type="cellIs" dxfId="9871" priority="2884" stopIfTrue="1" operator="equal">
      <formula>"Napkin Hs"</formula>
    </cfRule>
    <cfRule type="cellIs" dxfId="9870" priority="2885" stopIfTrue="1" operator="equal">
      <formula>"Towel"</formula>
    </cfRule>
    <cfRule type="cellIs" dxfId="9869" priority="2886" stopIfTrue="1" operator="equal">
      <formula>"Napkin Hs"</formula>
    </cfRule>
    <cfRule type="cellIs" dxfId="9868" priority="2889" stopIfTrue="1" operator="equal">
      <formula>"Towel"</formula>
    </cfRule>
    <cfRule type="cellIs" dxfId="9867" priority="2890" stopIfTrue="1" operator="equal">
      <formula>"Napkin Hs"</formula>
    </cfRule>
    <cfRule type="cellIs" dxfId="9866" priority="2891" stopIfTrue="1" operator="equal">
      <formula>"Towel"</formula>
    </cfRule>
    <cfRule type="cellIs" dxfId="9865" priority="2892" stopIfTrue="1" operator="equal">
      <formula>"Napkin Hs"</formula>
    </cfRule>
    <cfRule type="cellIs" dxfId="9864" priority="2895" stopIfTrue="1" operator="equal">
      <formula>"Towel"</formula>
    </cfRule>
    <cfRule type="cellIs" dxfId="9863" priority="2896" stopIfTrue="1" operator="equal">
      <formula>"Napkin Hs"</formula>
    </cfRule>
    <cfRule type="cellIs" dxfId="9862" priority="2897" stopIfTrue="1" operator="equal">
      <formula>"Towel"</formula>
    </cfRule>
    <cfRule type="cellIs" dxfId="9861" priority="2898" stopIfTrue="1" operator="equal">
      <formula>"Napkin Hs"</formula>
    </cfRule>
  </conditionalFormatting>
  <conditionalFormatting sqref="C118">
    <cfRule type="cellIs" dxfId="9860" priority="2957" stopIfTrue="1" operator="equal">
      <formula>"Towel"</formula>
    </cfRule>
    <cfRule type="cellIs" dxfId="9859" priority="2958" stopIfTrue="1" operator="equal">
      <formula>"Napkin Hs"</formula>
    </cfRule>
    <cfRule type="cellIs" dxfId="9858" priority="2959" stopIfTrue="1" operator="equal">
      <formula>"Towel"</formula>
    </cfRule>
    <cfRule type="cellIs" dxfId="9857" priority="2960" stopIfTrue="1" operator="equal">
      <formula>"Napkin Hs"</formula>
    </cfRule>
    <cfRule type="cellIs" dxfId="9856" priority="2963" stopIfTrue="1" operator="equal">
      <formula>"Towel"</formula>
    </cfRule>
    <cfRule type="cellIs" dxfId="9855" priority="2964" stopIfTrue="1" operator="equal">
      <formula>"Napkin Hs"</formula>
    </cfRule>
    <cfRule type="cellIs" dxfId="9854" priority="2965" stopIfTrue="1" operator="equal">
      <formula>"Towel"</formula>
    </cfRule>
    <cfRule type="cellIs" dxfId="9853" priority="2966" stopIfTrue="1" operator="equal">
      <formula>"Napkin Hs"</formula>
    </cfRule>
    <cfRule type="cellIs" dxfId="9852" priority="2969" stopIfTrue="1" operator="equal">
      <formula>"Towel"</formula>
    </cfRule>
    <cfRule type="cellIs" dxfId="9851" priority="2970" stopIfTrue="1" operator="equal">
      <formula>"Napkin Hs"</formula>
    </cfRule>
    <cfRule type="cellIs" dxfId="9850" priority="2971" stopIfTrue="1" operator="equal">
      <formula>"Towel"</formula>
    </cfRule>
    <cfRule type="cellIs" dxfId="9849" priority="2972" stopIfTrue="1" operator="equal">
      <formula>"Napkin Hs"</formula>
    </cfRule>
    <cfRule type="cellIs" dxfId="9848" priority="2975" stopIfTrue="1" operator="equal">
      <formula>"Towel"</formula>
    </cfRule>
    <cfRule type="cellIs" dxfId="9847" priority="2976" stopIfTrue="1" operator="equal">
      <formula>"Napkin Hs"</formula>
    </cfRule>
    <cfRule type="cellIs" dxfId="9846" priority="2977" stopIfTrue="1" operator="equal">
      <formula>"Towel"</formula>
    </cfRule>
    <cfRule type="cellIs" dxfId="9845" priority="2978" stopIfTrue="1" operator="equal">
      <formula>"Napkin Hs"</formula>
    </cfRule>
    <cfRule type="cellIs" dxfId="9844" priority="2981" stopIfTrue="1" operator="equal">
      <formula>"Towel"</formula>
    </cfRule>
    <cfRule type="cellIs" dxfId="9843" priority="2982" stopIfTrue="1" operator="equal">
      <formula>"Napkin Hs"</formula>
    </cfRule>
    <cfRule type="cellIs" dxfId="9842" priority="2983" stopIfTrue="1" operator="equal">
      <formula>"Towel"</formula>
    </cfRule>
    <cfRule type="cellIs" dxfId="9841" priority="2984" stopIfTrue="1" operator="equal">
      <formula>"Napkin Hs"</formula>
    </cfRule>
    <cfRule type="cellIs" dxfId="9840" priority="2987" stopIfTrue="1" operator="equal">
      <formula>"Towel"</formula>
    </cfRule>
    <cfRule type="cellIs" dxfId="9839" priority="2988" stopIfTrue="1" operator="equal">
      <formula>"Napkin Hs"</formula>
    </cfRule>
    <cfRule type="cellIs" dxfId="9838" priority="2989" stopIfTrue="1" operator="equal">
      <formula>"Towel"</formula>
    </cfRule>
    <cfRule type="cellIs" dxfId="9837" priority="2990" stopIfTrue="1" operator="equal">
      <formula>"Napkin Hs"</formula>
    </cfRule>
    <cfRule type="cellIs" dxfId="9836" priority="2993" stopIfTrue="1" operator="equal">
      <formula>"Towel"</formula>
    </cfRule>
    <cfRule type="cellIs" dxfId="9835" priority="2994" stopIfTrue="1" operator="equal">
      <formula>"Napkin Hs"</formula>
    </cfRule>
    <cfRule type="cellIs" dxfId="9834" priority="2995" stopIfTrue="1" operator="equal">
      <formula>"Towel"</formula>
    </cfRule>
    <cfRule type="cellIs" dxfId="9833" priority="2996" stopIfTrue="1" operator="equal">
      <formula>"Napkin Hs"</formula>
    </cfRule>
    <cfRule type="cellIs" dxfId="9832" priority="2999" stopIfTrue="1" operator="equal">
      <formula>"Towel"</formula>
    </cfRule>
    <cfRule type="cellIs" dxfId="9831" priority="3000" stopIfTrue="1" operator="equal">
      <formula>"Napkin Hs"</formula>
    </cfRule>
  </conditionalFormatting>
  <conditionalFormatting sqref="C118:C119">
    <cfRule type="cellIs" dxfId="9830" priority="2905" stopIfTrue="1" operator="equal">
      <formula>"Towel"</formula>
    </cfRule>
    <cfRule type="cellIs" dxfId="9829" priority="2906" stopIfTrue="1" operator="equal">
      <formula>"Napkin Hs"</formula>
    </cfRule>
    <cfRule type="cellIs" dxfId="9828" priority="2907" stopIfTrue="1" operator="equal">
      <formula>"Towel"</formula>
    </cfRule>
    <cfRule type="cellIs" dxfId="9827" priority="2908" stopIfTrue="1" operator="equal">
      <formula>"Napkin Hs"</formula>
    </cfRule>
    <cfRule type="cellIs" dxfId="9826" priority="2909" stopIfTrue="1" operator="equal">
      <formula>"Towel"</formula>
    </cfRule>
    <cfRule type="cellIs" dxfId="9825" priority="2910" stopIfTrue="1" operator="equal">
      <formula>"Napkin Hs"</formula>
    </cfRule>
    <cfRule type="cellIs" dxfId="9824" priority="2911" stopIfTrue="1" operator="equal">
      <formula>"Towel"</formula>
    </cfRule>
    <cfRule type="cellIs" dxfId="9823" priority="2912" stopIfTrue="1" operator="equal">
      <formula>"Napkin Hs"</formula>
    </cfRule>
    <cfRule type="cellIs" dxfId="9822" priority="2913" stopIfTrue="1" operator="equal">
      <formula>"Towel"</formula>
    </cfRule>
    <cfRule type="cellIs" dxfId="9821" priority="2914" stopIfTrue="1" operator="equal">
      <formula>"Napkin Hs"</formula>
    </cfRule>
    <cfRule type="cellIs" dxfId="9820" priority="2915" stopIfTrue="1" operator="equal">
      <formula>"Towel"</formula>
    </cfRule>
    <cfRule type="cellIs" dxfId="9819" priority="2916" stopIfTrue="1" operator="equal">
      <formula>"Napkin Hs"</formula>
    </cfRule>
    <cfRule type="cellIs" dxfId="9818" priority="2917" stopIfTrue="1" operator="equal">
      <formula>"Towel"</formula>
    </cfRule>
    <cfRule type="cellIs" dxfId="9817" priority="2918" stopIfTrue="1" operator="equal">
      <formula>"Napkin Hs"</formula>
    </cfRule>
    <cfRule type="cellIs" dxfId="9816" priority="2921" stopIfTrue="1" operator="equal">
      <formula>"Towel"</formula>
    </cfRule>
    <cfRule type="cellIs" dxfId="9815" priority="2922" stopIfTrue="1" operator="equal">
      <formula>"Napkin Hs"</formula>
    </cfRule>
    <cfRule type="cellIs" dxfId="9814" priority="2923" stopIfTrue="1" operator="equal">
      <formula>"Towel"</formula>
    </cfRule>
    <cfRule type="cellIs" dxfId="9813" priority="2924" stopIfTrue="1" operator="equal">
      <formula>"Napkin Hs"</formula>
    </cfRule>
    <cfRule type="cellIs" dxfId="9812" priority="2927" stopIfTrue="1" operator="equal">
      <formula>"Towel"</formula>
    </cfRule>
    <cfRule type="cellIs" dxfId="9811" priority="2928" stopIfTrue="1" operator="equal">
      <formula>"Napkin Hs"</formula>
    </cfRule>
    <cfRule type="cellIs" dxfId="9810" priority="2929" stopIfTrue="1" operator="equal">
      <formula>"Towel"</formula>
    </cfRule>
    <cfRule type="cellIs" dxfId="9809" priority="2930" stopIfTrue="1" operator="equal">
      <formula>"Napkin Hs"</formula>
    </cfRule>
    <cfRule type="cellIs" dxfId="9808" priority="2933" stopIfTrue="1" operator="equal">
      <formula>"Towel"</formula>
    </cfRule>
    <cfRule type="cellIs" dxfId="9807" priority="2934" stopIfTrue="1" operator="equal">
      <formula>"Napkin Hs"</formula>
    </cfRule>
    <cfRule type="cellIs" dxfId="9806" priority="2935" stopIfTrue="1" operator="equal">
      <formula>"Towel"</formula>
    </cfRule>
    <cfRule type="cellIs" dxfId="9805" priority="2936" stopIfTrue="1" operator="equal">
      <formula>"Napkin Hs"</formula>
    </cfRule>
    <cfRule type="cellIs" dxfId="9804" priority="2939" stopIfTrue="1" operator="equal">
      <formula>"Towel"</formula>
    </cfRule>
    <cfRule type="cellIs" dxfId="9803" priority="2940" stopIfTrue="1" operator="equal">
      <formula>"Napkin Hs"</formula>
    </cfRule>
    <cfRule type="cellIs" dxfId="9802" priority="2941" stopIfTrue="1" operator="equal">
      <formula>"Towel"</formula>
    </cfRule>
    <cfRule type="cellIs" dxfId="9801" priority="2942" stopIfTrue="1" operator="equal">
      <formula>"Napkin Hs"</formula>
    </cfRule>
    <cfRule type="cellIs" dxfId="9800" priority="2945" stopIfTrue="1" operator="equal">
      <formula>"Towel"</formula>
    </cfRule>
    <cfRule type="cellIs" dxfId="9799" priority="2946" stopIfTrue="1" operator="equal">
      <formula>"Napkin Hs"</formula>
    </cfRule>
    <cfRule type="cellIs" dxfId="9798" priority="2947" stopIfTrue="1" operator="equal">
      <formula>"Towel"</formula>
    </cfRule>
    <cfRule type="cellIs" dxfId="9797" priority="2948" stopIfTrue="1" operator="equal">
      <formula>"Napkin Hs"</formula>
    </cfRule>
    <cfRule type="cellIs" dxfId="9796" priority="2951" stopIfTrue="1" operator="equal">
      <formula>"Towel"</formula>
    </cfRule>
    <cfRule type="cellIs" dxfId="9795" priority="2952" stopIfTrue="1" operator="equal">
      <formula>"Napkin Hs"</formula>
    </cfRule>
    <cfRule type="cellIs" dxfId="9794" priority="2953" stopIfTrue="1" operator="equal">
      <formula>"Towel"</formula>
    </cfRule>
    <cfRule type="cellIs" dxfId="9793" priority="2954" stopIfTrue="1" operator="equal">
      <formula>"Napkin Hs"</formula>
    </cfRule>
    <cfRule type="cellIs" dxfId="9792" priority="3001" stopIfTrue="1" operator="equal">
      <formula>"Towel"</formula>
    </cfRule>
    <cfRule type="cellIs" dxfId="9791" priority="3002" stopIfTrue="1" operator="equal">
      <formula>"Napkin Hs"</formula>
    </cfRule>
  </conditionalFormatting>
  <conditionalFormatting sqref="C119">
    <cfRule type="cellIs" dxfId="9790" priority="3005" stopIfTrue="1" operator="equal">
      <formula>"Towel"</formula>
    </cfRule>
    <cfRule type="cellIs" dxfId="9789" priority="3006" stopIfTrue="1" operator="equal">
      <formula>"Napkin Hs"</formula>
    </cfRule>
    <cfRule type="cellIs" dxfId="9788" priority="3009" stopIfTrue="1" operator="equal">
      <formula>"Towel"</formula>
    </cfRule>
    <cfRule type="cellIs" dxfId="9787" priority="3010" stopIfTrue="1" operator="equal">
      <formula>"Napkin Hs"</formula>
    </cfRule>
    <cfRule type="cellIs" dxfId="9786" priority="3011" stopIfTrue="1" operator="equal">
      <formula>"Towel"</formula>
    </cfRule>
    <cfRule type="cellIs" dxfId="9785" priority="3012" stopIfTrue="1" operator="equal">
      <formula>"Napkin Hs"</formula>
    </cfRule>
    <cfRule type="cellIs" dxfId="9784" priority="3015" stopIfTrue="1" operator="equal">
      <formula>"Towel"</formula>
    </cfRule>
    <cfRule type="cellIs" dxfId="9783" priority="3016" stopIfTrue="1" operator="equal">
      <formula>"Napkin Hs"</formula>
    </cfRule>
    <cfRule type="cellIs" dxfId="9782" priority="3017" stopIfTrue="1" operator="equal">
      <formula>"Towel"</formula>
    </cfRule>
    <cfRule type="cellIs" dxfId="9781" priority="3018" stopIfTrue="1" operator="equal">
      <formula>"Napkin Hs"</formula>
    </cfRule>
    <cfRule type="cellIs" dxfId="9780" priority="3021" stopIfTrue="1" operator="equal">
      <formula>"Towel"</formula>
    </cfRule>
    <cfRule type="cellIs" dxfId="9779" priority="3022" stopIfTrue="1" operator="equal">
      <formula>"Napkin Hs"</formula>
    </cfRule>
    <cfRule type="cellIs" dxfId="9778" priority="3023" stopIfTrue="1" operator="equal">
      <formula>"Towel"</formula>
    </cfRule>
    <cfRule type="cellIs" dxfId="9777" priority="3024" stopIfTrue="1" operator="equal">
      <formula>"Napkin Hs"</formula>
    </cfRule>
    <cfRule type="cellIs" dxfId="9776" priority="3027" stopIfTrue="1" operator="equal">
      <formula>"Towel"</formula>
    </cfRule>
    <cfRule type="cellIs" dxfId="9775" priority="3028" stopIfTrue="1" operator="equal">
      <formula>"Napkin Hs"</formula>
    </cfRule>
    <cfRule type="cellIs" dxfId="9774" priority="3029" stopIfTrue="1" operator="equal">
      <formula>"Towel"</formula>
    </cfRule>
    <cfRule type="cellIs" dxfId="9773" priority="3030" stopIfTrue="1" operator="equal">
      <formula>"Napkin Hs"</formula>
    </cfRule>
    <cfRule type="cellIs" dxfId="9772" priority="3033" stopIfTrue="1" operator="equal">
      <formula>"Towel"</formula>
    </cfRule>
    <cfRule type="cellIs" dxfId="9771" priority="3034" stopIfTrue="1" operator="equal">
      <formula>"Napkin Hs"</formula>
    </cfRule>
    <cfRule type="cellIs" dxfId="9770" priority="3035" stopIfTrue="1" operator="equal">
      <formula>"Towel"</formula>
    </cfRule>
    <cfRule type="cellIs" dxfId="9769" priority="3036" stopIfTrue="1" operator="equal">
      <formula>"Napkin Hs"</formula>
    </cfRule>
    <cfRule type="cellIs" dxfId="9768" priority="3039" stopIfTrue="1" operator="equal">
      <formula>"Towel"</formula>
    </cfRule>
    <cfRule type="cellIs" dxfId="9767" priority="3040" stopIfTrue="1" operator="equal">
      <formula>"Napkin Hs"</formula>
    </cfRule>
    <cfRule type="cellIs" dxfId="9766" priority="3041" stopIfTrue="1" operator="equal">
      <formula>"Towel"</formula>
    </cfRule>
    <cfRule type="cellIs" dxfId="9765" priority="3042" stopIfTrue="1" operator="equal">
      <formula>"Napkin Hs"</formula>
    </cfRule>
    <cfRule type="cellIs" dxfId="9764" priority="3045" stopIfTrue="1" operator="equal">
      <formula>"Towel"</formula>
    </cfRule>
    <cfRule type="cellIs" dxfId="9763" priority="3046" stopIfTrue="1" operator="equal">
      <formula>"Napkin Hs"</formula>
    </cfRule>
  </conditionalFormatting>
  <conditionalFormatting sqref="C119">
    <cfRule type="cellIs" dxfId="9762" priority="3047" stopIfTrue="1" operator="equal">
      <formula>"Towel"</formula>
    </cfRule>
    <cfRule type="cellIs" dxfId="9761" priority="3048" stopIfTrue="1" operator="equal">
      <formula>"Napkin Hs"</formula>
    </cfRule>
  </conditionalFormatting>
  <conditionalFormatting sqref="B122:B123">
    <cfRule type="cellIs" dxfId="9760" priority="2716" stopIfTrue="1" operator="equal">
      <formula>"Towel"</formula>
    </cfRule>
    <cfRule type="cellIs" dxfId="9759" priority="2717" stopIfTrue="1" operator="equal">
      <formula>"Napkin Hs"</formula>
    </cfRule>
    <cfRule type="cellIs" dxfId="9758" priority="2718" stopIfTrue="1" operator="equal">
      <formula>"Towel"</formula>
    </cfRule>
    <cfRule type="cellIs" dxfId="9757" priority="2719" stopIfTrue="1" operator="equal">
      <formula>"Napkin Hs"</formula>
    </cfRule>
    <cfRule type="cellIs" dxfId="9756" priority="2720" stopIfTrue="1" operator="equal">
      <formula>"Towel"</formula>
    </cfRule>
    <cfRule type="cellIs" dxfId="9755" priority="2721" stopIfTrue="1" operator="equal">
      <formula>"Napkin Hs"</formula>
    </cfRule>
    <cfRule type="cellIs" dxfId="9754" priority="2722" stopIfTrue="1" operator="equal">
      <formula>"Towel"</formula>
    </cfRule>
    <cfRule type="cellIs" dxfId="9753" priority="2723" stopIfTrue="1" operator="equal">
      <formula>"Napkin Hs"</formula>
    </cfRule>
    <cfRule type="cellIs" dxfId="9752" priority="2724" stopIfTrue="1" operator="equal">
      <formula>"Towel"</formula>
    </cfRule>
    <cfRule type="cellIs" dxfId="9751" priority="2725" stopIfTrue="1" operator="equal">
      <formula>"Napkin Hs"</formula>
    </cfRule>
    <cfRule type="cellIs" dxfId="9750" priority="2726" stopIfTrue="1" operator="equal">
      <formula>"Towel"</formula>
    </cfRule>
    <cfRule type="cellIs" dxfId="9749" priority="2727" stopIfTrue="1" operator="equal">
      <formula>"Napkin Hs"</formula>
    </cfRule>
    <cfRule type="cellIs" dxfId="9748" priority="2728" stopIfTrue="1" operator="equal">
      <formula>"Towel"</formula>
    </cfRule>
    <cfRule type="cellIs" dxfId="9747" priority="2729" stopIfTrue="1" operator="equal">
      <formula>"Napkin Hs"</formula>
    </cfRule>
    <cfRule type="cellIs" dxfId="9746" priority="2730" stopIfTrue="1" operator="equal">
      <formula>"Towel"</formula>
    </cfRule>
    <cfRule type="cellIs" dxfId="9745" priority="2731" stopIfTrue="1" operator="equal">
      <formula>"Napkin Hs"</formula>
    </cfRule>
  </conditionalFormatting>
  <conditionalFormatting sqref="B122:C123">
    <cfRule type="cellIs" dxfId="9744" priority="2708" stopIfTrue="1" operator="equal">
      <formula>"Towel"</formula>
    </cfRule>
    <cfRule type="cellIs" dxfId="9743" priority="2709" stopIfTrue="1" operator="equal">
      <formula>"Napkin Hs"</formula>
    </cfRule>
  </conditionalFormatting>
  <conditionalFormatting sqref="B124:C124">
    <cfRule type="cellIs" dxfId="9742" priority="2732" stopIfTrue="1" operator="equal">
      <formula>"Napkin Hs"</formula>
    </cfRule>
  </conditionalFormatting>
  <conditionalFormatting sqref="C122:C123">
    <cfRule type="cellIs" dxfId="9741" priority="2715" stopIfTrue="1" operator="equal">
      <formula>"Napkin Hs"</formula>
    </cfRule>
  </conditionalFormatting>
  <conditionalFormatting sqref="B124:C124 C122:C123">
    <cfRule type="cellIs" dxfId="9740" priority="2714" stopIfTrue="1" operator="equal">
      <formula>"Towel"</formula>
    </cfRule>
  </conditionalFormatting>
  <conditionalFormatting sqref="C122:C123">
    <cfRule type="cellIs" dxfId="9739" priority="2666" stopIfTrue="1" operator="equal">
      <formula>"Towel"</formula>
    </cfRule>
    <cfRule type="cellIs" dxfId="9738" priority="2667" stopIfTrue="1" operator="equal">
      <formula>"Napkin Hs"</formula>
    </cfRule>
    <cfRule type="cellIs" dxfId="9737" priority="2672" stopIfTrue="1" operator="equal">
      <formula>"Towel"</formula>
    </cfRule>
    <cfRule type="cellIs" dxfId="9736" priority="2673" stopIfTrue="1" operator="equal">
      <formula>"Napkin Hs"</formula>
    </cfRule>
    <cfRule type="cellIs" dxfId="9735" priority="2678" stopIfTrue="1" operator="equal">
      <formula>"Towel"</formula>
    </cfRule>
    <cfRule type="cellIs" dxfId="9734" priority="2679" stopIfTrue="1" operator="equal">
      <formula>"Napkin Hs"</formula>
    </cfRule>
    <cfRule type="cellIs" dxfId="9733" priority="2684" stopIfTrue="1" operator="equal">
      <formula>"Towel"</formula>
    </cfRule>
    <cfRule type="cellIs" dxfId="9732" priority="2685" stopIfTrue="1" operator="equal">
      <formula>"Napkin Hs"</formula>
    </cfRule>
    <cfRule type="cellIs" dxfId="9731" priority="2690" stopIfTrue="1" operator="equal">
      <formula>"Towel"</formula>
    </cfRule>
    <cfRule type="cellIs" dxfId="9730" priority="2691" stopIfTrue="1" operator="equal">
      <formula>"Napkin Hs"</formula>
    </cfRule>
    <cfRule type="cellIs" dxfId="9729" priority="2696" stopIfTrue="1" operator="equal">
      <formula>"Towel"</formula>
    </cfRule>
    <cfRule type="cellIs" dxfId="9728" priority="2697" stopIfTrue="1" operator="equal">
      <formula>"Napkin Hs"</formula>
    </cfRule>
    <cfRule type="cellIs" dxfId="9727" priority="2702" stopIfTrue="1" operator="equal">
      <formula>"Towel"</formula>
    </cfRule>
    <cfRule type="cellIs" dxfId="9726" priority="2703" stopIfTrue="1" operator="equal">
      <formula>"Napkin Hs"</formula>
    </cfRule>
  </conditionalFormatting>
  <conditionalFormatting sqref="C122:C123">
    <cfRule type="cellIs" dxfId="9725" priority="2662" stopIfTrue="1" operator="equal">
      <formula>"Towel"</formula>
    </cfRule>
    <cfRule type="cellIs" dxfId="9724" priority="2663" stopIfTrue="1" operator="equal">
      <formula>"Napkin Hs"</formula>
    </cfRule>
    <cfRule type="cellIs" dxfId="9723" priority="2664" stopIfTrue="1" operator="equal">
      <formula>"Towel"</formula>
    </cfRule>
    <cfRule type="cellIs" dxfId="9722" priority="2665" stopIfTrue="1" operator="equal">
      <formula>"Napkin Hs"</formula>
    </cfRule>
    <cfRule type="cellIs" dxfId="9721" priority="2668" stopIfTrue="1" operator="equal">
      <formula>"Towel"</formula>
    </cfRule>
    <cfRule type="cellIs" dxfId="9720" priority="2669" stopIfTrue="1" operator="equal">
      <formula>"Napkin Hs"</formula>
    </cfRule>
    <cfRule type="cellIs" dxfId="9719" priority="2670" stopIfTrue="1" operator="equal">
      <formula>"Towel"</formula>
    </cfRule>
    <cfRule type="cellIs" dxfId="9718" priority="2671" stopIfTrue="1" operator="equal">
      <formula>"Napkin Hs"</formula>
    </cfRule>
    <cfRule type="cellIs" dxfId="9717" priority="2674" stopIfTrue="1" operator="equal">
      <formula>"Towel"</formula>
    </cfRule>
    <cfRule type="cellIs" dxfId="9716" priority="2675" stopIfTrue="1" operator="equal">
      <formula>"Napkin Hs"</formula>
    </cfRule>
    <cfRule type="cellIs" dxfId="9715" priority="2676" stopIfTrue="1" operator="equal">
      <formula>"Towel"</formula>
    </cfRule>
    <cfRule type="cellIs" dxfId="9714" priority="2677" stopIfTrue="1" operator="equal">
      <formula>"Napkin Hs"</formula>
    </cfRule>
    <cfRule type="cellIs" dxfId="9713" priority="2680" stopIfTrue="1" operator="equal">
      <formula>"Towel"</formula>
    </cfRule>
    <cfRule type="cellIs" dxfId="9712" priority="2681" stopIfTrue="1" operator="equal">
      <formula>"Napkin Hs"</formula>
    </cfRule>
    <cfRule type="cellIs" dxfId="9711" priority="2682" stopIfTrue="1" operator="equal">
      <formula>"Towel"</formula>
    </cfRule>
    <cfRule type="cellIs" dxfId="9710" priority="2683" stopIfTrue="1" operator="equal">
      <formula>"Napkin Hs"</formula>
    </cfRule>
    <cfRule type="cellIs" dxfId="9709" priority="2686" stopIfTrue="1" operator="equal">
      <formula>"Towel"</formula>
    </cfRule>
    <cfRule type="cellIs" dxfId="9708" priority="2687" stopIfTrue="1" operator="equal">
      <formula>"Napkin Hs"</formula>
    </cfRule>
    <cfRule type="cellIs" dxfId="9707" priority="2688" stopIfTrue="1" operator="equal">
      <formula>"Towel"</formula>
    </cfRule>
    <cfRule type="cellIs" dxfId="9706" priority="2689" stopIfTrue="1" operator="equal">
      <formula>"Napkin Hs"</formula>
    </cfRule>
    <cfRule type="cellIs" dxfId="9705" priority="2692" stopIfTrue="1" operator="equal">
      <formula>"Towel"</formula>
    </cfRule>
    <cfRule type="cellIs" dxfId="9704" priority="2693" stopIfTrue="1" operator="equal">
      <formula>"Napkin Hs"</formula>
    </cfRule>
    <cfRule type="cellIs" dxfId="9703" priority="2694" stopIfTrue="1" operator="equal">
      <formula>"Towel"</formula>
    </cfRule>
    <cfRule type="cellIs" dxfId="9702" priority="2695" stopIfTrue="1" operator="equal">
      <formula>"Napkin Hs"</formula>
    </cfRule>
    <cfRule type="cellIs" dxfId="9701" priority="2698" stopIfTrue="1" operator="equal">
      <formula>"Towel"</formula>
    </cfRule>
    <cfRule type="cellIs" dxfId="9700" priority="2699" stopIfTrue="1" operator="equal">
      <formula>"Napkin Hs"</formula>
    </cfRule>
    <cfRule type="cellIs" dxfId="9699" priority="2700" stopIfTrue="1" operator="equal">
      <formula>"Towel"</formula>
    </cfRule>
    <cfRule type="cellIs" dxfId="9698" priority="2701" stopIfTrue="1" operator="equal">
      <formula>"Napkin Hs"</formula>
    </cfRule>
    <cfRule type="cellIs" dxfId="9697" priority="2704" stopIfTrue="1" operator="equal">
      <formula>"Towel"</formula>
    </cfRule>
    <cfRule type="cellIs" dxfId="9696" priority="2705" stopIfTrue="1" operator="equal">
      <formula>"Napkin Hs"</formula>
    </cfRule>
    <cfRule type="cellIs" dxfId="9695" priority="2706" stopIfTrue="1" operator="equal">
      <formula>"Towel"</formula>
    </cfRule>
    <cfRule type="cellIs" dxfId="9694" priority="2707" stopIfTrue="1" operator="equal">
      <formula>"Napkin Hs"</formula>
    </cfRule>
    <cfRule type="cellIs" dxfId="9693" priority="2710" stopIfTrue="1" operator="equal">
      <formula>"Towel"</formula>
    </cfRule>
    <cfRule type="cellIs" dxfId="9692" priority="2711" stopIfTrue="1" operator="equal">
      <formula>"Napkin Hs"</formula>
    </cfRule>
  </conditionalFormatting>
  <conditionalFormatting sqref="C122:C124">
    <cfRule type="cellIs" dxfId="9691" priority="2712" stopIfTrue="1" operator="equal">
      <formula>"Towel"</formula>
    </cfRule>
    <cfRule type="cellIs" dxfId="9690" priority="2713" stopIfTrue="1" operator="equal">
      <formula>"Napkin Hs"</formula>
    </cfRule>
  </conditionalFormatting>
  <conditionalFormatting sqref="C124">
    <cfRule type="cellIs" dxfId="9689" priority="2733" stopIfTrue="1" operator="equal">
      <formula>"Towel"</formula>
    </cfRule>
    <cfRule type="cellIs" dxfId="9688" priority="2734" stopIfTrue="1" operator="equal">
      <formula>"Napkin Hs"</formula>
    </cfRule>
  </conditionalFormatting>
  <conditionalFormatting sqref="B124">
    <cfRule type="cellIs" dxfId="9687" priority="2558" stopIfTrue="1" operator="equal">
      <formula>"Towel"</formula>
    </cfRule>
    <cfRule type="cellIs" dxfId="9686" priority="2559" stopIfTrue="1" operator="equal">
      <formula>"Napkin Hs"</formula>
    </cfRule>
  </conditionalFormatting>
  <conditionalFormatting sqref="B122:C123">
    <cfRule type="cellIs" dxfId="9685" priority="2396" stopIfTrue="1" operator="equal">
      <formula>"Towel"</formula>
    </cfRule>
    <cfRule type="cellIs" dxfId="9684" priority="2397" stopIfTrue="1" operator="equal">
      <formula>"Napkin Hs"</formula>
    </cfRule>
    <cfRule type="cellIs" dxfId="9683" priority="2402" stopIfTrue="1" operator="equal">
      <formula>"Towel"</formula>
    </cfRule>
    <cfRule type="cellIs" dxfId="9682" priority="2403" stopIfTrue="1" operator="equal">
      <formula>"Napkin Hs"</formula>
    </cfRule>
    <cfRule type="cellIs" dxfId="9681" priority="2408" stopIfTrue="1" operator="equal">
      <formula>"Towel"</formula>
    </cfRule>
    <cfRule type="cellIs" dxfId="9680" priority="2409" stopIfTrue="1" operator="equal">
      <formula>"Napkin Hs"</formula>
    </cfRule>
    <cfRule type="cellIs" dxfId="9679" priority="2414" stopIfTrue="1" operator="equal">
      <formula>"Towel"</formula>
    </cfRule>
    <cfRule type="cellIs" dxfId="9678" priority="2415" stopIfTrue="1" operator="equal">
      <formula>"Napkin Hs"</formula>
    </cfRule>
    <cfRule type="cellIs" dxfId="9677" priority="2420" stopIfTrue="1" operator="equal">
      <formula>"Towel"</formula>
    </cfRule>
    <cfRule type="cellIs" dxfId="9676" priority="2421" stopIfTrue="1" operator="equal">
      <formula>"Napkin Hs"</formula>
    </cfRule>
    <cfRule type="cellIs" dxfId="9675" priority="2426" stopIfTrue="1" operator="equal">
      <formula>"Towel"</formula>
    </cfRule>
    <cfRule type="cellIs" dxfId="9674" priority="2427" stopIfTrue="1" operator="equal">
      <formula>"Napkin Hs"</formula>
    </cfRule>
    <cfRule type="cellIs" dxfId="9673" priority="2430" stopIfTrue="1" operator="equal">
      <formula>"Towel"</formula>
    </cfRule>
    <cfRule type="cellIs" dxfId="9672" priority="2431" stopIfTrue="1" operator="equal">
      <formula>"Napkin Hs"</formula>
    </cfRule>
    <cfRule type="cellIs" dxfId="9671" priority="2438" stopIfTrue="1" operator="equal">
      <formula>"Towel"</formula>
    </cfRule>
    <cfRule type="cellIs" dxfId="9670" priority="2439" stopIfTrue="1" operator="equal">
      <formula>"Napkin Hs"</formula>
    </cfRule>
    <cfRule type="cellIs" dxfId="9669" priority="2444" stopIfTrue="1" operator="equal">
      <formula>"Towel"</formula>
    </cfRule>
    <cfRule type="cellIs" dxfId="9668" priority="2445" stopIfTrue="1" operator="equal">
      <formula>"Napkin Hs"</formula>
    </cfRule>
    <cfRule type="cellIs" dxfId="9667" priority="2450" stopIfTrue="1" operator="equal">
      <formula>"Towel"</formula>
    </cfRule>
    <cfRule type="cellIs" dxfId="9666" priority="2451" stopIfTrue="1" operator="equal">
      <formula>"Napkin Hs"</formula>
    </cfRule>
    <cfRule type="cellIs" dxfId="9665" priority="2456" stopIfTrue="1" operator="equal">
      <formula>"Towel"</formula>
    </cfRule>
    <cfRule type="cellIs" dxfId="9664" priority="2457" stopIfTrue="1" operator="equal">
      <formula>"Napkin Hs"</formula>
    </cfRule>
    <cfRule type="cellIs" dxfId="9663" priority="2462" stopIfTrue="1" operator="equal">
      <formula>"Towel"</formula>
    </cfRule>
    <cfRule type="cellIs" dxfId="9662" priority="2463" stopIfTrue="1" operator="equal">
      <formula>"Napkin Hs"</formula>
    </cfRule>
    <cfRule type="cellIs" dxfId="9661" priority="2468" stopIfTrue="1" operator="equal">
      <formula>"Towel"</formula>
    </cfRule>
    <cfRule type="cellIs" dxfId="9660" priority="2469" stopIfTrue="1" operator="equal">
      <formula>"Napkin Hs"</formula>
    </cfRule>
    <cfRule type="cellIs" dxfId="9659" priority="2474" stopIfTrue="1" operator="equal">
      <formula>"Towel"</formula>
    </cfRule>
    <cfRule type="cellIs" dxfId="9658" priority="2475" stopIfTrue="1" operator="equal">
      <formula>"Napkin Hs"</formula>
    </cfRule>
  </conditionalFormatting>
  <conditionalFormatting sqref="B124:C124">
    <cfRule type="cellIs" dxfId="9657" priority="2618" stopIfTrue="1" operator="equal">
      <formula>"Towel"</formula>
    </cfRule>
    <cfRule type="cellIs" dxfId="9656" priority="2619" stopIfTrue="1" operator="equal">
      <formula>"Napkin Hs"</formula>
    </cfRule>
    <cfRule type="cellIs" dxfId="9655" priority="2624" stopIfTrue="1" operator="equal">
      <formula>"Towel"</formula>
    </cfRule>
    <cfRule type="cellIs" dxfId="9654" priority="2625" stopIfTrue="1" operator="equal">
      <formula>"Napkin Hs"</formula>
    </cfRule>
    <cfRule type="cellIs" dxfId="9653" priority="2630" stopIfTrue="1" operator="equal">
      <formula>"Towel"</formula>
    </cfRule>
    <cfRule type="cellIs" dxfId="9652" priority="2631" stopIfTrue="1" operator="equal">
      <formula>"Napkin Hs"</formula>
    </cfRule>
    <cfRule type="cellIs" dxfId="9651" priority="2636" stopIfTrue="1" operator="equal">
      <formula>"Towel"</formula>
    </cfRule>
    <cfRule type="cellIs" dxfId="9650" priority="2637" stopIfTrue="1" operator="equal">
      <formula>"Napkin Hs"</formula>
    </cfRule>
    <cfRule type="cellIs" dxfId="9649" priority="2642" stopIfTrue="1" operator="equal">
      <formula>"Towel"</formula>
    </cfRule>
    <cfRule type="cellIs" dxfId="9648" priority="2643" stopIfTrue="1" operator="equal">
      <formula>"Napkin Hs"</formula>
    </cfRule>
    <cfRule type="cellIs" dxfId="9647" priority="2648" stopIfTrue="1" operator="equal">
      <formula>"Towel"</formula>
    </cfRule>
    <cfRule type="cellIs" dxfId="9646" priority="2649" stopIfTrue="1" operator="equal">
      <formula>"Napkin Hs"</formula>
    </cfRule>
    <cfRule type="cellIs" dxfId="9645" priority="2654" stopIfTrue="1" operator="equal">
      <formula>"Towel"</formula>
    </cfRule>
    <cfRule type="cellIs" dxfId="9644" priority="2655" stopIfTrue="1" operator="equal">
      <formula>"Napkin Hs"</formula>
    </cfRule>
    <cfRule type="cellIs" dxfId="9643" priority="2660" stopIfTrue="1" operator="equal">
      <formula>"Towel"</formula>
    </cfRule>
    <cfRule type="cellIs" dxfId="9642" priority="2661" stopIfTrue="1" operator="equal">
      <formula>"Napkin Hs"</formula>
    </cfRule>
  </conditionalFormatting>
  <conditionalFormatting sqref="B124:C124">
    <cfRule type="cellIs" dxfId="9641" priority="2560" stopIfTrue="1" operator="equal">
      <formula>"Towel"</formula>
    </cfRule>
    <cfRule type="cellIs" dxfId="9640" priority="2561" stopIfTrue="1" operator="equal">
      <formula>"Napkin Hs"</formula>
    </cfRule>
    <cfRule type="cellIs" dxfId="9639" priority="2576" stopIfTrue="1" operator="equal">
      <formula>"Towel"</formula>
    </cfRule>
    <cfRule type="cellIs" dxfId="9638" priority="2577" stopIfTrue="1" operator="equal">
      <formula>"Napkin Hs"</formula>
    </cfRule>
    <cfRule type="cellIs" dxfId="9637" priority="2582" stopIfTrue="1" operator="equal">
      <formula>"Towel"</formula>
    </cfRule>
    <cfRule type="cellIs" dxfId="9636" priority="2583" stopIfTrue="1" operator="equal">
      <formula>"Napkin Hs"</formula>
    </cfRule>
    <cfRule type="cellIs" dxfId="9635" priority="2588" stopIfTrue="1" operator="equal">
      <formula>"Towel"</formula>
    </cfRule>
    <cfRule type="cellIs" dxfId="9634" priority="2589" stopIfTrue="1" operator="equal">
      <formula>"Napkin Hs"</formula>
    </cfRule>
    <cfRule type="cellIs" dxfId="9633" priority="2594" stopIfTrue="1" operator="equal">
      <formula>"Towel"</formula>
    </cfRule>
    <cfRule type="cellIs" dxfId="9632" priority="2595" stopIfTrue="1" operator="equal">
      <formula>"Napkin Hs"</formula>
    </cfRule>
    <cfRule type="cellIs" dxfId="9631" priority="2600" stopIfTrue="1" operator="equal">
      <formula>"Towel"</formula>
    </cfRule>
    <cfRule type="cellIs" dxfId="9630" priority="2601" stopIfTrue="1" operator="equal">
      <formula>"Napkin Hs"</formula>
    </cfRule>
    <cfRule type="cellIs" dxfId="9629" priority="2606" stopIfTrue="1" operator="equal">
      <formula>"Towel"</formula>
    </cfRule>
    <cfRule type="cellIs" dxfId="9628" priority="2607" stopIfTrue="1" operator="equal">
      <formula>"Napkin Hs"</formula>
    </cfRule>
    <cfRule type="cellIs" dxfId="9627" priority="2612" stopIfTrue="1" operator="equal">
      <formula>"Towel"</formula>
    </cfRule>
    <cfRule type="cellIs" dxfId="9626" priority="2613" stopIfTrue="1" operator="equal">
      <formula>"Napkin Hs"</formula>
    </cfRule>
  </conditionalFormatting>
  <conditionalFormatting sqref="C122:C123">
    <cfRule type="cellIs" dxfId="9625" priority="2392" stopIfTrue="1" operator="equal">
      <formula>"Towel"</formula>
    </cfRule>
    <cfRule type="cellIs" dxfId="9624" priority="2393" stopIfTrue="1" operator="equal">
      <formula>"Napkin Hs"</formula>
    </cfRule>
    <cfRule type="cellIs" dxfId="9623" priority="2394" stopIfTrue="1" operator="equal">
      <formula>"Towel"</formula>
    </cfRule>
    <cfRule type="cellIs" dxfId="9622" priority="2395" stopIfTrue="1" operator="equal">
      <formula>"Napkin Hs"</formula>
    </cfRule>
    <cfRule type="cellIs" dxfId="9621" priority="2398" stopIfTrue="1" operator="equal">
      <formula>"Towel"</formula>
    </cfRule>
    <cfRule type="cellIs" dxfId="9620" priority="2399" stopIfTrue="1" operator="equal">
      <formula>"Napkin Hs"</formula>
    </cfRule>
    <cfRule type="cellIs" dxfId="9619" priority="2400" stopIfTrue="1" operator="equal">
      <formula>"Towel"</formula>
    </cfRule>
    <cfRule type="cellIs" dxfId="9618" priority="2401" stopIfTrue="1" operator="equal">
      <formula>"Napkin Hs"</formula>
    </cfRule>
    <cfRule type="cellIs" dxfId="9617" priority="2404" stopIfTrue="1" operator="equal">
      <formula>"Towel"</formula>
    </cfRule>
    <cfRule type="cellIs" dxfId="9616" priority="2405" stopIfTrue="1" operator="equal">
      <formula>"Napkin Hs"</formula>
    </cfRule>
    <cfRule type="cellIs" dxfId="9615" priority="2406" stopIfTrue="1" operator="equal">
      <formula>"Towel"</formula>
    </cfRule>
    <cfRule type="cellIs" dxfId="9614" priority="2407" stopIfTrue="1" operator="equal">
      <formula>"Napkin Hs"</formula>
    </cfRule>
    <cfRule type="cellIs" dxfId="9613" priority="2410" stopIfTrue="1" operator="equal">
      <formula>"Towel"</formula>
    </cfRule>
    <cfRule type="cellIs" dxfId="9612" priority="2411" stopIfTrue="1" operator="equal">
      <formula>"Napkin Hs"</formula>
    </cfRule>
    <cfRule type="cellIs" dxfId="9611" priority="2412" stopIfTrue="1" operator="equal">
      <formula>"Towel"</formula>
    </cfRule>
    <cfRule type="cellIs" dxfId="9610" priority="2413" stopIfTrue="1" operator="equal">
      <formula>"Napkin Hs"</formula>
    </cfRule>
    <cfRule type="cellIs" dxfId="9609" priority="2416" stopIfTrue="1" operator="equal">
      <formula>"Towel"</formula>
    </cfRule>
    <cfRule type="cellIs" dxfId="9608" priority="2417" stopIfTrue="1" operator="equal">
      <formula>"Napkin Hs"</formula>
    </cfRule>
    <cfRule type="cellIs" dxfId="9607" priority="2418" stopIfTrue="1" operator="equal">
      <formula>"Towel"</formula>
    </cfRule>
    <cfRule type="cellIs" dxfId="9606" priority="2419" stopIfTrue="1" operator="equal">
      <formula>"Napkin Hs"</formula>
    </cfRule>
    <cfRule type="cellIs" dxfId="9605" priority="2422" stopIfTrue="1" operator="equal">
      <formula>"Towel"</formula>
    </cfRule>
    <cfRule type="cellIs" dxfId="9604" priority="2423" stopIfTrue="1" operator="equal">
      <formula>"Napkin Hs"</formula>
    </cfRule>
    <cfRule type="cellIs" dxfId="9603" priority="2424" stopIfTrue="1" operator="equal">
      <formula>"Towel"</formula>
    </cfRule>
    <cfRule type="cellIs" dxfId="9602" priority="2425" stopIfTrue="1" operator="equal">
      <formula>"Napkin Hs"</formula>
    </cfRule>
    <cfRule type="cellIs" dxfId="9601" priority="2428" stopIfTrue="1" operator="equal">
      <formula>"Towel"</formula>
    </cfRule>
    <cfRule type="cellIs" dxfId="9600" priority="2429" stopIfTrue="1" operator="equal">
      <formula>"Napkin Hs"</formula>
    </cfRule>
    <cfRule type="cellIs" dxfId="9599" priority="2432" stopIfTrue="1" operator="equal">
      <formula>"Towel"</formula>
    </cfRule>
    <cfRule type="cellIs" dxfId="9598" priority="2433" stopIfTrue="1" operator="equal">
      <formula>"Napkin Hs"</formula>
    </cfRule>
    <cfRule type="cellIs" dxfId="9597" priority="2434" stopIfTrue="1" operator="equal">
      <formula>"Towel"</formula>
    </cfRule>
    <cfRule type="cellIs" dxfId="9596" priority="2435" stopIfTrue="1" operator="equal">
      <formula>"Napkin Hs"</formula>
    </cfRule>
    <cfRule type="cellIs" dxfId="9595" priority="2436" stopIfTrue="1" operator="equal">
      <formula>"Towel"</formula>
    </cfRule>
    <cfRule type="cellIs" dxfId="9594" priority="2437" stopIfTrue="1" operator="equal">
      <formula>"Napkin Hs"</formula>
    </cfRule>
    <cfRule type="cellIs" dxfId="9593" priority="2440" stopIfTrue="1" operator="equal">
      <formula>"Towel"</formula>
    </cfRule>
    <cfRule type="cellIs" dxfId="9592" priority="2441" stopIfTrue="1" operator="equal">
      <formula>"Napkin Hs"</formula>
    </cfRule>
    <cfRule type="cellIs" dxfId="9591" priority="2442" stopIfTrue="1" operator="equal">
      <formula>"Towel"</formula>
    </cfRule>
    <cfRule type="cellIs" dxfId="9590" priority="2443" stopIfTrue="1" operator="equal">
      <formula>"Napkin Hs"</formula>
    </cfRule>
    <cfRule type="cellIs" dxfId="9589" priority="2446" stopIfTrue="1" operator="equal">
      <formula>"Towel"</formula>
    </cfRule>
    <cfRule type="cellIs" dxfId="9588" priority="2447" stopIfTrue="1" operator="equal">
      <formula>"Napkin Hs"</formula>
    </cfRule>
    <cfRule type="cellIs" dxfId="9587" priority="2448" stopIfTrue="1" operator="equal">
      <formula>"Towel"</formula>
    </cfRule>
    <cfRule type="cellIs" dxfId="9586" priority="2449" stopIfTrue="1" operator="equal">
      <formula>"Napkin Hs"</formula>
    </cfRule>
    <cfRule type="cellIs" dxfId="9585" priority="2452" stopIfTrue="1" operator="equal">
      <formula>"Towel"</formula>
    </cfRule>
    <cfRule type="cellIs" dxfId="9584" priority="2453" stopIfTrue="1" operator="equal">
      <formula>"Napkin Hs"</formula>
    </cfRule>
    <cfRule type="cellIs" dxfId="9583" priority="2454" stopIfTrue="1" operator="equal">
      <formula>"Towel"</formula>
    </cfRule>
    <cfRule type="cellIs" dxfId="9582" priority="2455" stopIfTrue="1" operator="equal">
      <formula>"Napkin Hs"</formula>
    </cfRule>
    <cfRule type="cellIs" dxfId="9581" priority="2458" stopIfTrue="1" operator="equal">
      <formula>"Towel"</formula>
    </cfRule>
    <cfRule type="cellIs" dxfId="9580" priority="2459" stopIfTrue="1" operator="equal">
      <formula>"Napkin Hs"</formula>
    </cfRule>
    <cfRule type="cellIs" dxfId="9579" priority="2460" stopIfTrue="1" operator="equal">
      <formula>"Towel"</formula>
    </cfRule>
    <cfRule type="cellIs" dxfId="9578" priority="2461" stopIfTrue="1" operator="equal">
      <formula>"Napkin Hs"</formula>
    </cfRule>
    <cfRule type="cellIs" dxfId="9577" priority="2464" stopIfTrue="1" operator="equal">
      <formula>"Towel"</formula>
    </cfRule>
    <cfRule type="cellIs" dxfId="9576" priority="2465" stopIfTrue="1" operator="equal">
      <formula>"Napkin Hs"</formula>
    </cfRule>
    <cfRule type="cellIs" dxfId="9575" priority="2466" stopIfTrue="1" operator="equal">
      <formula>"Towel"</formula>
    </cfRule>
    <cfRule type="cellIs" dxfId="9574" priority="2467" stopIfTrue="1" operator="equal">
      <formula>"Napkin Hs"</formula>
    </cfRule>
    <cfRule type="cellIs" dxfId="9573" priority="2470" stopIfTrue="1" operator="equal">
      <formula>"Towel"</formula>
    </cfRule>
    <cfRule type="cellIs" dxfId="9572" priority="2471" stopIfTrue="1" operator="equal">
      <formula>"Napkin Hs"</formula>
    </cfRule>
  </conditionalFormatting>
  <conditionalFormatting sqref="C122:C123">
    <cfRule type="cellIs" dxfId="9571" priority="2472" stopIfTrue="1" operator="equal">
      <formula>"Towel"</formula>
    </cfRule>
    <cfRule type="cellIs" dxfId="9570" priority="2473" stopIfTrue="1" operator="equal">
      <formula>"Napkin Hs"</formula>
    </cfRule>
  </conditionalFormatting>
  <conditionalFormatting sqref="C124">
    <cfRule type="cellIs" dxfId="9569" priority="2614" stopIfTrue="1" operator="equal">
      <formula>"Towel"</formula>
    </cfRule>
    <cfRule type="cellIs" dxfId="9568" priority="2615" stopIfTrue="1" operator="equal">
      <formula>"Napkin Hs"</formula>
    </cfRule>
    <cfRule type="cellIs" dxfId="9567" priority="2616" stopIfTrue="1" operator="equal">
      <formula>"Towel"</formula>
    </cfRule>
    <cfRule type="cellIs" dxfId="9566" priority="2617" stopIfTrue="1" operator="equal">
      <formula>"Napkin Hs"</formula>
    </cfRule>
    <cfRule type="cellIs" dxfId="9565" priority="2620" stopIfTrue="1" operator="equal">
      <formula>"Towel"</formula>
    </cfRule>
    <cfRule type="cellIs" dxfId="9564" priority="2621" stopIfTrue="1" operator="equal">
      <formula>"Napkin Hs"</formula>
    </cfRule>
    <cfRule type="cellIs" dxfId="9563" priority="2622" stopIfTrue="1" operator="equal">
      <formula>"Towel"</formula>
    </cfRule>
    <cfRule type="cellIs" dxfId="9562" priority="2623" stopIfTrue="1" operator="equal">
      <formula>"Napkin Hs"</formula>
    </cfRule>
    <cfRule type="cellIs" dxfId="9561" priority="2626" stopIfTrue="1" operator="equal">
      <formula>"Towel"</formula>
    </cfRule>
    <cfRule type="cellIs" dxfId="9560" priority="2627" stopIfTrue="1" operator="equal">
      <formula>"Napkin Hs"</formula>
    </cfRule>
    <cfRule type="cellIs" dxfId="9559" priority="2628" stopIfTrue="1" operator="equal">
      <formula>"Towel"</formula>
    </cfRule>
    <cfRule type="cellIs" dxfId="9558" priority="2629" stopIfTrue="1" operator="equal">
      <formula>"Napkin Hs"</formula>
    </cfRule>
    <cfRule type="cellIs" dxfId="9557" priority="2632" stopIfTrue="1" operator="equal">
      <formula>"Towel"</formula>
    </cfRule>
    <cfRule type="cellIs" dxfId="9556" priority="2633" stopIfTrue="1" operator="equal">
      <formula>"Napkin Hs"</formula>
    </cfRule>
    <cfRule type="cellIs" dxfId="9555" priority="2634" stopIfTrue="1" operator="equal">
      <formula>"Towel"</formula>
    </cfRule>
    <cfRule type="cellIs" dxfId="9554" priority="2635" stopIfTrue="1" operator="equal">
      <formula>"Napkin Hs"</formula>
    </cfRule>
    <cfRule type="cellIs" dxfId="9553" priority="2638" stopIfTrue="1" operator="equal">
      <formula>"Towel"</formula>
    </cfRule>
    <cfRule type="cellIs" dxfId="9552" priority="2639" stopIfTrue="1" operator="equal">
      <formula>"Napkin Hs"</formula>
    </cfRule>
    <cfRule type="cellIs" dxfId="9551" priority="2640" stopIfTrue="1" operator="equal">
      <formula>"Towel"</formula>
    </cfRule>
    <cfRule type="cellIs" dxfId="9550" priority="2641" stopIfTrue="1" operator="equal">
      <formula>"Napkin Hs"</formula>
    </cfRule>
    <cfRule type="cellIs" dxfId="9549" priority="2644" stopIfTrue="1" operator="equal">
      <formula>"Towel"</formula>
    </cfRule>
    <cfRule type="cellIs" dxfId="9548" priority="2645" stopIfTrue="1" operator="equal">
      <formula>"Napkin Hs"</formula>
    </cfRule>
    <cfRule type="cellIs" dxfId="9547" priority="2646" stopIfTrue="1" operator="equal">
      <formula>"Towel"</formula>
    </cfRule>
    <cfRule type="cellIs" dxfId="9546" priority="2647" stopIfTrue="1" operator="equal">
      <formula>"Napkin Hs"</formula>
    </cfRule>
    <cfRule type="cellIs" dxfId="9545" priority="2650" stopIfTrue="1" operator="equal">
      <formula>"Towel"</formula>
    </cfRule>
    <cfRule type="cellIs" dxfId="9544" priority="2651" stopIfTrue="1" operator="equal">
      <formula>"Napkin Hs"</formula>
    </cfRule>
    <cfRule type="cellIs" dxfId="9543" priority="2652" stopIfTrue="1" operator="equal">
      <formula>"Towel"</formula>
    </cfRule>
    <cfRule type="cellIs" dxfId="9542" priority="2653" stopIfTrue="1" operator="equal">
      <formula>"Napkin Hs"</formula>
    </cfRule>
    <cfRule type="cellIs" dxfId="9541" priority="2656" stopIfTrue="1" operator="equal">
      <formula>"Towel"</formula>
    </cfRule>
    <cfRule type="cellIs" dxfId="9540" priority="2657" stopIfTrue="1" operator="equal">
      <formula>"Napkin Hs"</formula>
    </cfRule>
  </conditionalFormatting>
  <conditionalFormatting sqref="C124">
    <cfRule type="cellIs" dxfId="9539" priority="2562" stopIfTrue="1" operator="equal">
      <formula>"Towel"</formula>
    </cfRule>
    <cfRule type="cellIs" dxfId="9538" priority="2563" stopIfTrue="1" operator="equal">
      <formula>"Napkin Hs"</formula>
    </cfRule>
    <cfRule type="cellIs" dxfId="9537" priority="2564" stopIfTrue="1" operator="equal">
      <formula>"Towel"</formula>
    </cfRule>
    <cfRule type="cellIs" dxfId="9536" priority="2565" stopIfTrue="1" operator="equal">
      <formula>"Napkin Hs"</formula>
    </cfRule>
    <cfRule type="cellIs" dxfId="9535" priority="2566" stopIfTrue="1" operator="equal">
      <formula>"Towel"</formula>
    </cfRule>
    <cfRule type="cellIs" dxfId="9534" priority="2567" stopIfTrue="1" operator="equal">
      <formula>"Napkin Hs"</formula>
    </cfRule>
    <cfRule type="cellIs" dxfId="9533" priority="2568" stopIfTrue="1" operator="equal">
      <formula>"Towel"</formula>
    </cfRule>
    <cfRule type="cellIs" dxfId="9532" priority="2569" stopIfTrue="1" operator="equal">
      <formula>"Napkin Hs"</formula>
    </cfRule>
    <cfRule type="cellIs" dxfId="9531" priority="2570" stopIfTrue="1" operator="equal">
      <formula>"Towel"</formula>
    </cfRule>
    <cfRule type="cellIs" dxfId="9530" priority="2571" stopIfTrue="1" operator="equal">
      <formula>"Napkin Hs"</formula>
    </cfRule>
    <cfRule type="cellIs" dxfId="9529" priority="2572" stopIfTrue="1" operator="equal">
      <formula>"Towel"</formula>
    </cfRule>
    <cfRule type="cellIs" dxfId="9528" priority="2573" stopIfTrue="1" operator="equal">
      <formula>"Napkin Hs"</formula>
    </cfRule>
    <cfRule type="cellIs" dxfId="9527" priority="2574" stopIfTrue="1" operator="equal">
      <formula>"Towel"</formula>
    </cfRule>
    <cfRule type="cellIs" dxfId="9526" priority="2575" stopIfTrue="1" operator="equal">
      <formula>"Napkin Hs"</formula>
    </cfRule>
    <cfRule type="cellIs" dxfId="9525" priority="2578" stopIfTrue="1" operator="equal">
      <formula>"Towel"</formula>
    </cfRule>
    <cfRule type="cellIs" dxfId="9524" priority="2579" stopIfTrue="1" operator="equal">
      <formula>"Napkin Hs"</formula>
    </cfRule>
    <cfRule type="cellIs" dxfId="9523" priority="2580" stopIfTrue="1" operator="equal">
      <formula>"Towel"</formula>
    </cfRule>
    <cfRule type="cellIs" dxfId="9522" priority="2581" stopIfTrue="1" operator="equal">
      <formula>"Napkin Hs"</formula>
    </cfRule>
    <cfRule type="cellIs" dxfId="9521" priority="2584" stopIfTrue="1" operator="equal">
      <formula>"Towel"</formula>
    </cfRule>
    <cfRule type="cellIs" dxfId="9520" priority="2585" stopIfTrue="1" operator="equal">
      <formula>"Napkin Hs"</formula>
    </cfRule>
    <cfRule type="cellIs" dxfId="9519" priority="2586" stopIfTrue="1" operator="equal">
      <formula>"Towel"</formula>
    </cfRule>
    <cfRule type="cellIs" dxfId="9518" priority="2587" stopIfTrue="1" operator="equal">
      <formula>"Napkin Hs"</formula>
    </cfRule>
    <cfRule type="cellIs" dxfId="9517" priority="2590" stopIfTrue="1" operator="equal">
      <formula>"Towel"</formula>
    </cfRule>
    <cfRule type="cellIs" dxfId="9516" priority="2591" stopIfTrue="1" operator="equal">
      <formula>"Napkin Hs"</formula>
    </cfRule>
    <cfRule type="cellIs" dxfId="9515" priority="2592" stopIfTrue="1" operator="equal">
      <formula>"Towel"</formula>
    </cfRule>
    <cfRule type="cellIs" dxfId="9514" priority="2593" stopIfTrue="1" operator="equal">
      <formula>"Napkin Hs"</formula>
    </cfRule>
    <cfRule type="cellIs" dxfId="9513" priority="2596" stopIfTrue="1" operator="equal">
      <formula>"Towel"</formula>
    </cfRule>
    <cfRule type="cellIs" dxfId="9512" priority="2597" stopIfTrue="1" operator="equal">
      <formula>"Napkin Hs"</formula>
    </cfRule>
    <cfRule type="cellIs" dxfId="9511" priority="2598" stopIfTrue="1" operator="equal">
      <formula>"Towel"</formula>
    </cfRule>
    <cfRule type="cellIs" dxfId="9510" priority="2599" stopIfTrue="1" operator="equal">
      <formula>"Napkin Hs"</formula>
    </cfRule>
    <cfRule type="cellIs" dxfId="9509" priority="2602" stopIfTrue="1" operator="equal">
      <formula>"Towel"</formula>
    </cfRule>
    <cfRule type="cellIs" dxfId="9508" priority="2603" stopIfTrue="1" operator="equal">
      <formula>"Napkin Hs"</formula>
    </cfRule>
    <cfRule type="cellIs" dxfId="9507" priority="2604" stopIfTrue="1" operator="equal">
      <formula>"Towel"</formula>
    </cfRule>
    <cfRule type="cellIs" dxfId="9506" priority="2605" stopIfTrue="1" operator="equal">
      <formula>"Napkin Hs"</formula>
    </cfRule>
    <cfRule type="cellIs" dxfId="9505" priority="2608" stopIfTrue="1" operator="equal">
      <formula>"Towel"</formula>
    </cfRule>
    <cfRule type="cellIs" dxfId="9504" priority="2609" stopIfTrue="1" operator="equal">
      <formula>"Napkin Hs"</formula>
    </cfRule>
    <cfRule type="cellIs" dxfId="9503" priority="2610" stopIfTrue="1" operator="equal">
      <formula>"Towel"</formula>
    </cfRule>
    <cfRule type="cellIs" dxfId="9502" priority="2611" stopIfTrue="1" operator="equal">
      <formula>"Napkin Hs"</formula>
    </cfRule>
    <cfRule type="cellIs" dxfId="9501" priority="2658" stopIfTrue="1" operator="equal">
      <formula>"Towel"</formula>
    </cfRule>
    <cfRule type="cellIs" dxfId="9500" priority="2659" stopIfTrue="1" operator="equal">
      <formula>"Napkin Hs"</formula>
    </cfRule>
  </conditionalFormatting>
  <conditionalFormatting sqref="B128">
    <cfRule type="cellIs" dxfId="9499" priority="2373" stopIfTrue="1" operator="equal">
      <formula>"Towel"</formula>
    </cfRule>
    <cfRule type="cellIs" dxfId="9498" priority="2374" stopIfTrue="1" operator="equal">
      <formula>"Napkin Hs"</formula>
    </cfRule>
    <cfRule type="cellIs" dxfId="9497" priority="2375" stopIfTrue="1" operator="equal">
      <formula>"Towel"</formula>
    </cfRule>
    <cfRule type="cellIs" dxfId="9496" priority="2376" stopIfTrue="1" operator="equal">
      <formula>"Napkin Hs"</formula>
    </cfRule>
    <cfRule type="cellIs" dxfId="9495" priority="2377" stopIfTrue="1" operator="equal">
      <formula>"Towel"</formula>
    </cfRule>
    <cfRule type="cellIs" dxfId="9494" priority="2378" stopIfTrue="1" operator="equal">
      <formula>"Napkin Hs"</formula>
    </cfRule>
    <cfRule type="cellIs" dxfId="9493" priority="2379" stopIfTrue="1" operator="equal">
      <formula>"Towel"</formula>
    </cfRule>
    <cfRule type="cellIs" dxfId="9492" priority="2380" stopIfTrue="1" operator="equal">
      <formula>"Napkin Hs"</formula>
    </cfRule>
    <cfRule type="cellIs" dxfId="9491" priority="2381" stopIfTrue="1" operator="equal">
      <formula>"Towel"</formula>
    </cfRule>
    <cfRule type="cellIs" dxfId="9490" priority="2382" stopIfTrue="1" operator="equal">
      <formula>"Napkin Hs"</formula>
    </cfRule>
    <cfRule type="cellIs" dxfId="9489" priority="2383" stopIfTrue="1" operator="equal">
      <formula>"Towel"</formula>
    </cfRule>
    <cfRule type="cellIs" dxfId="9488" priority="2384" stopIfTrue="1" operator="equal">
      <formula>"Napkin Hs"</formula>
    </cfRule>
    <cfRule type="cellIs" dxfId="9487" priority="2385" stopIfTrue="1" operator="equal">
      <formula>"Towel"</formula>
    </cfRule>
    <cfRule type="cellIs" dxfId="9486" priority="2386" stopIfTrue="1" operator="equal">
      <formula>"Napkin Hs"</formula>
    </cfRule>
    <cfRule type="cellIs" dxfId="9485" priority="2387" stopIfTrue="1" operator="equal">
      <formula>"Towel"</formula>
    </cfRule>
    <cfRule type="cellIs" dxfId="9484" priority="2388" stopIfTrue="1" operator="equal">
      <formula>"Napkin Hs"</formula>
    </cfRule>
  </conditionalFormatting>
  <conditionalFormatting sqref="B128:C128">
    <cfRule type="cellIs" dxfId="9483" priority="2365" stopIfTrue="1" operator="equal">
      <formula>"Towel"</formula>
    </cfRule>
    <cfRule type="cellIs" dxfId="9482" priority="2366" stopIfTrue="1" operator="equal">
      <formula>"Napkin Hs"</formula>
    </cfRule>
  </conditionalFormatting>
  <conditionalFormatting sqref="B129:C129">
    <cfRule type="cellIs" dxfId="9481" priority="2389" stopIfTrue="1" operator="equal">
      <formula>"Napkin Hs"</formula>
    </cfRule>
  </conditionalFormatting>
  <conditionalFormatting sqref="C128">
    <cfRule type="cellIs" dxfId="9480" priority="2372" stopIfTrue="1" operator="equal">
      <formula>"Napkin Hs"</formula>
    </cfRule>
  </conditionalFormatting>
  <conditionalFormatting sqref="B129:C129 C128">
    <cfRule type="cellIs" dxfId="9479" priority="2371" stopIfTrue="1" operator="equal">
      <formula>"Towel"</formula>
    </cfRule>
  </conditionalFormatting>
  <conditionalFormatting sqref="C128">
    <cfRule type="cellIs" dxfId="9478" priority="2323" stopIfTrue="1" operator="equal">
      <formula>"Towel"</formula>
    </cfRule>
    <cfRule type="cellIs" dxfId="9477" priority="2324" stopIfTrue="1" operator="equal">
      <formula>"Napkin Hs"</formula>
    </cfRule>
    <cfRule type="cellIs" dxfId="9476" priority="2329" stopIfTrue="1" operator="equal">
      <formula>"Towel"</formula>
    </cfRule>
    <cfRule type="cellIs" dxfId="9475" priority="2330" stopIfTrue="1" operator="equal">
      <formula>"Napkin Hs"</formula>
    </cfRule>
    <cfRule type="cellIs" dxfId="9474" priority="2335" stopIfTrue="1" operator="equal">
      <formula>"Towel"</formula>
    </cfRule>
    <cfRule type="cellIs" dxfId="9473" priority="2336" stopIfTrue="1" operator="equal">
      <formula>"Napkin Hs"</formula>
    </cfRule>
    <cfRule type="cellIs" dxfId="9472" priority="2341" stopIfTrue="1" operator="equal">
      <formula>"Towel"</formula>
    </cfRule>
    <cfRule type="cellIs" dxfId="9471" priority="2342" stopIfTrue="1" operator="equal">
      <formula>"Napkin Hs"</formula>
    </cfRule>
    <cfRule type="cellIs" dxfId="9470" priority="2347" stopIfTrue="1" operator="equal">
      <formula>"Towel"</formula>
    </cfRule>
    <cfRule type="cellIs" dxfId="9469" priority="2348" stopIfTrue="1" operator="equal">
      <formula>"Napkin Hs"</formula>
    </cfRule>
    <cfRule type="cellIs" dxfId="9468" priority="2353" stopIfTrue="1" operator="equal">
      <formula>"Towel"</formula>
    </cfRule>
    <cfRule type="cellIs" dxfId="9467" priority="2354" stopIfTrue="1" operator="equal">
      <formula>"Napkin Hs"</formula>
    </cfRule>
    <cfRule type="cellIs" dxfId="9466" priority="2359" stopIfTrue="1" operator="equal">
      <formula>"Towel"</formula>
    </cfRule>
    <cfRule type="cellIs" dxfId="9465" priority="2360" stopIfTrue="1" operator="equal">
      <formula>"Napkin Hs"</formula>
    </cfRule>
  </conditionalFormatting>
  <conditionalFormatting sqref="C128">
    <cfRule type="cellIs" dxfId="9464" priority="2319" stopIfTrue="1" operator="equal">
      <formula>"Towel"</formula>
    </cfRule>
    <cfRule type="cellIs" dxfId="9463" priority="2320" stopIfTrue="1" operator="equal">
      <formula>"Napkin Hs"</formula>
    </cfRule>
    <cfRule type="cellIs" dxfId="9462" priority="2321" stopIfTrue="1" operator="equal">
      <formula>"Towel"</formula>
    </cfRule>
    <cfRule type="cellIs" dxfId="9461" priority="2322" stopIfTrue="1" operator="equal">
      <formula>"Napkin Hs"</formula>
    </cfRule>
    <cfRule type="cellIs" dxfId="9460" priority="2325" stopIfTrue="1" operator="equal">
      <formula>"Towel"</formula>
    </cfRule>
    <cfRule type="cellIs" dxfId="9459" priority="2326" stopIfTrue="1" operator="equal">
      <formula>"Napkin Hs"</formula>
    </cfRule>
    <cfRule type="cellIs" dxfId="9458" priority="2327" stopIfTrue="1" operator="equal">
      <formula>"Towel"</formula>
    </cfRule>
    <cfRule type="cellIs" dxfId="9457" priority="2328" stopIfTrue="1" operator="equal">
      <formula>"Napkin Hs"</formula>
    </cfRule>
    <cfRule type="cellIs" dxfId="9456" priority="2331" stopIfTrue="1" operator="equal">
      <formula>"Towel"</formula>
    </cfRule>
    <cfRule type="cellIs" dxfId="9455" priority="2332" stopIfTrue="1" operator="equal">
      <formula>"Napkin Hs"</formula>
    </cfRule>
    <cfRule type="cellIs" dxfId="9454" priority="2333" stopIfTrue="1" operator="equal">
      <formula>"Towel"</formula>
    </cfRule>
    <cfRule type="cellIs" dxfId="9453" priority="2334" stopIfTrue="1" operator="equal">
      <formula>"Napkin Hs"</formula>
    </cfRule>
    <cfRule type="cellIs" dxfId="9452" priority="2337" stopIfTrue="1" operator="equal">
      <formula>"Towel"</formula>
    </cfRule>
    <cfRule type="cellIs" dxfId="9451" priority="2338" stopIfTrue="1" operator="equal">
      <formula>"Napkin Hs"</formula>
    </cfRule>
    <cfRule type="cellIs" dxfId="9450" priority="2339" stopIfTrue="1" operator="equal">
      <formula>"Towel"</formula>
    </cfRule>
    <cfRule type="cellIs" dxfId="9449" priority="2340" stopIfTrue="1" operator="equal">
      <formula>"Napkin Hs"</formula>
    </cfRule>
    <cfRule type="cellIs" dxfId="9448" priority="2343" stopIfTrue="1" operator="equal">
      <formula>"Towel"</formula>
    </cfRule>
    <cfRule type="cellIs" dxfId="9447" priority="2344" stopIfTrue="1" operator="equal">
      <formula>"Napkin Hs"</formula>
    </cfRule>
    <cfRule type="cellIs" dxfId="9446" priority="2345" stopIfTrue="1" operator="equal">
      <formula>"Towel"</formula>
    </cfRule>
    <cfRule type="cellIs" dxfId="9445" priority="2346" stopIfTrue="1" operator="equal">
      <formula>"Napkin Hs"</formula>
    </cfRule>
    <cfRule type="cellIs" dxfId="9444" priority="2349" stopIfTrue="1" operator="equal">
      <formula>"Towel"</formula>
    </cfRule>
    <cfRule type="cellIs" dxfId="9443" priority="2350" stopIfTrue="1" operator="equal">
      <formula>"Napkin Hs"</formula>
    </cfRule>
    <cfRule type="cellIs" dxfId="9442" priority="2351" stopIfTrue="1" operator="equal">
      <formula>"Towel"</formula>
    </cfRule>
    <cfRule type="cellIs" dxfId="9441" priority="2352" stopIfTrue="1" operator="equal">
      <formula>"Napkin Hs"</formula>
    </cfRule>
    <cfRule type="cellIs" dxfId="9440" priority="2355" stopIfTrue="1" operator="equal">
      <formula>"Towel"</formula>
    </cfRule>
    <cfRule type="cellIs" dxfId="9439" priority="2356" stopIfTrue="1" operator="equal">
      <formula>"Napkin Hs"</formula>
    </cfRule>
    <cfRule type="cellIs" dxfId="9438" priority="2357" stopIfTrue="1" operator="equal">
      <formula>"Towel"</formula>
    </cfRule>
    <cfRule type="cellIs" dxfId="9437" priority="2358" stopIfTrue="1" operator="equal">
      <formula>"Napkin Hs"</formula>
    </cfRule>
    <cfRule type="cellIs" dxfId="9436" priority="2361" stopIfTrue="1" operator="equal">
      <formula>"Towel"</formula>
    </cfRule>
    <cfRule type="cellIs" dxfId="9435" priority="2362" stopIfTrue="1" operator="equal">
      <formula>"Napkin Hs"</formula>
    </cfRule>
    <cfRule type="cellIs" dxfId="9434" priority="2363" stopIfTrue="1" operator="equal">
      <formula>"Towel"</formula>
    </cfRule>
    <cfRule type="cellIs" dxfId="9433" priority="2364" stopIfTrue="1" operator="equal">
      <formula>"Napkin Hs"</formula>
    </cfRule>
    <cfRule type="cellIs" dxfId="9432" priority="2367" stopIfTrue="1" operator="equal">
      <formula>"Towel"</formula>
    </cfRule>
    <cfRule type="cellIs" dxfId="9431" priority="2368" stopIfTrue="1" operator="equal">
      <formula>"Napkin Hs"</formula>
    </cfRule>
  </conditionalFormatting>
  <conditionalFormatting sqref="C128:C129">
    <cfRule type="cellIs" dxfId="9430" priority="2369" stopIfTrue="1" operator="equal">
      <formula>"Towel"</formula>
    </cfRule>
    <cfRule type="cellIs" dxfId="9429" priority="2370" stopIfTrue="1" operator="equal">
      <formula>"Napkin Hs"</formula>
    </cfRule>
  </conditionalFormatting>
  <conditionalFormatting sqref="C129">
    <cfRule type="cellIs" dxfId="9428" priority="2390" stopIfTrue="1" operator="equal">
      <formula>"Towel"</formula>
    </cfRule>
    <cfRule type="cellIs" dxfId="9427" priority="2391" stopIfTrue="1" operator="equal">
      <formula>"Napkin Hs"</formula>
    </cfRule>
  </conditionalFormatting>
  <conditionalFormatting sqref="B129">
    <cfRule type="cellIs" dxfId="9426" priority="2215" stopIfTrue="1" operator="equal">
      <formula>"Towel"</formula>
    </cfRule>
    <cfRule type="cellIs" dxfId="9425" priority="2216" stopIfTrue="1" operator="equal">
      <formula>"Napkin Hs"</formula>
    </cfRule>
  </conditionalFormatting>
  <conditionalFormatting sqref="B128:C128">
    <cfRule type="cellIs" dxfId="9424" priority="2135" stopIfTrue="1" operator="equal">
      <formula>"Towel"</formula>
    </cfRule>
    <cfRule type="cellIs" dxfId="9423" priority="2136" stopIfTrue="1" operator="equal">
      <formula>"Napkin Hs"</formula>
    </cfRule>
    <cfRule type="cellIs" dxfId="9422" priority="2141" stopIfTrue="1" operator="equal">
      <formula>"Towel"</formula>
    </cfRule>
    <cfRule type="cellIs" dxfId="9421" priority="2142" stopIfTrue="1" operator="equal">
      <formula>"Napkin Hs"</formula>
    </cfRule>
    <cfRule type="cellIs" dxfId="9420" priority="2147" stopIfTrue="1" operator="equal">
      <formula>"Towel"</formula>
    </cfRule>
    <cfRule type="cellIs" dxfId="9419" priority="2148" stopIfTrue="1" operator="equal">
      <formula>"Napkin Hs"</formula>
    </cfRule>
    <cfRule type="cellIs" dxfId="9418" priority="2153" stopIfTrue="1" operator="equal">
      <formula>"Towel"</formula>
    </cfRule>
    <cfRule type="cellIs" dxfId="9417" priority="2154" stopIfTrue="1" operator="equal">
      <formula>"Napkin Hs"</formula>
    </cfRule>
    <cfRule type="cellIs" dxfId="9416" priority="2159" stopIfTrue="1" operator="equal">
      <formula>"Towel"</formula>
    </cfRule>
    <cfRule type="cellIs" dxfId="9415" priority="2160" stopIfTrue="1" operator="equal">
      <formula>"Napkin Hs"</formula>
    </cfRule>
    <cfRule type="cellIs" dxfId="9414" priority="2165" stopIfTrue="1" operator="equal">
      <formula>"Towel"</formula>
    </cfRule>
    <cfRule type="cellIs" dxfId="9413" priority="2166" stopIfTrue="1" operator="equal">
      <formula>"Napkin Hs"</formula>
    </cfRule>
    <cfRule type="cellIs" dxfId="9412" priority="2169" stopIfTrue="1" operator="equal">
      <formula>"Towel"</formula>
    </cfRule>
    <cfRule type="cellIs" dxfId="9411" priority="2170" stopIfTrue="1" operator="equal">
      <formula>"Napkin Hs"</formula>
    </cfRule>
    <cfRule type="cellIs" dxfId="9410" priority="2177" stopIfTrue="1" operator="equal">
      <formula>"Towel"</formula>
    </cfRule>
    <cfRule type="cellIs" dxfId="9409" priority="2178" stopIfTrue="1" operator="equal">
      <formula>"Napkin Hs"</formula>
    </cfRule>
    <cfRule type="cellIs" dxfId="9408" priority="2183" stopIfTrue="1" operator="equal">
      <formula>"Towel"</formula>
    </cfRule>
    <cfRule type="cellIs" dxfId="9407" priority="2184" stopIfTrue="1" operator="equal">
      <formula>"Napkin Hs"</formula>
    </cfRule>
    <cfRule type="cellIs" dxfId="9406" priority="2189" stopIfTrue="1" operator="equal">
      <formula>"Towel"</formula>
    </cfRule>
    <cfRule type="cellIs" dxfId="9405" priority="2190" stopIfTrue="1" operator="equal">
      <formula>"Napkin Hs"</formula>
    </cfRule>
    <cfRule type="cellIs" dxfId="9404" priority="2195" stopIfTrue="1" operator="equal">
      <formula>"Towel"</formula>
    </cfRule>
    <cfRule type="cellIs" dxfId="9403" priority="2196" stopIfTrue="1" operator="equal">
      <formula>"Napkin Hs"</formula>
    </cfRule>
    <cfRule type="cellIs" dxfId="9402" priority="2201" stopIfTrue="1" operator="equal">
      <formula>"Towel"</formula>
    </cfRule>
    <cfRule type="cellIs" dxfId="9401" priority="2202" stopIfTrue="1" operator="equal">
      <formula>"Napkin Hs"</formula>
    </cfRule>
    <cfRule type="cellIs" dxfId="9400" priority="2207" stopIfTrue="1" operator="equal">
      <formula>"Towel"</formula>
    </cfRule>
    <cfRule type="cellIs" dxfId="9399" priority="2208" stopIfTrue="1" operator="equal">
      <formula>"Napkin Hs"</formula>
    </cfRule>
    <cfRule type="cellIs" dxfId="9398" priority="2213" stopIfTrue="1" operator="equal">
      <formula>"Towel"</formula>
    </cfRule>
    <cfRule type="cellIs" dxfId="9397" priority="2214" stopIfTrue="1" operator="equal">
      <formula>"Napkin Hs"</formula>
    </cfRule>
  </conditionalFormatting>
  <conditionalFormatting sqref="B129:C129">
    <cfRule type="cellIs" dxfId="9396" priority="2275" stopIfTrue="1" operator="equal">
      <formula>"Towel"</formula>
    </cfRule>
    <cfRule type="cellIs" dxfId="9395" priority="2276" stopIfTrue="1" operator="equal">
      <formula>"Napkin Hs"</formula>
    </cfRule>
    <cfRule type="cellIs" dxfId="9394" priority="2281" stopIfTrue="1" operator="equal">
      <formula>"Towel"</formula>
    </cfRule>
    <cfRule type="cellIs" dxfId="9393" priority="2282" stopIfTrue="1" operator="equal">
      <formula>"Napkin Hs"</formula>
    </cfRule>
    <cfRule type="cellIs" dxfId="9392" priority="2287" stopIfTrue="1" operator="equal">
      <formula>"Towel"</formula>
    </cfRule>
    <cfRule type="cellIs" dxfId="9391" priority="2288" stopIfTrue="1" operator="equal">
      <formula>"Napkin Hs"</formula>
    </cfRule>
    <cfRule type="cellIs" dxfId="9390" priority="2293" stopIfTrue="1" operator="equal">
      <formula>"Towel"</formula>
    </cfRule>
    <cfRule type="cellIs" dxfId="9389" priority="2294" stopIfTrue="1" operator="equal">
      <formula>"Napkin Hs"</formula>
    </cfRule>
    <cfRule type="cellIs" dxfId="9388" priority="2299" stopIfTrue="1" operator="equal">
      <formula>"Towel"</formula>
    </cfRule>
    <cfRule type="cellIs" dxfId="9387" priority="2300" stopIfTrue="1" operator="equal">
      <formula>"Napkin Hs"</formula>
    </cfRule>
    <cfRule type="cellIs" dxfId="9386" priority="2305" stopIfTrue="1" operator="equal">
      <formula>"Towel"</formula>
    </cfRule>
    <cfRule type="cellIs" dxfId="9385" priority="2306" stopIfTrue="1" operator="equal">
      <formula>"Napkin Hs"</formula>
    </cfRule>
    <cfRule type="cellIs" dxfId="9384" priority="2311" stopIfTrue="1" operator="equal">
      <formula>"Towel"</formula>
    </cfRule>
    <cfRule type="cellIs" dxfId="9383" priority="2312" stopIfTrue="1" operator="equal">
      <formula>"Napkin Hs"</formula>
    </cfRule>
    <cfRule type="cellIs" dxfId="9382" priority="2317" stopIfTrue="1" operator="equal">
      <formula>"Towel"</formula>
    </cfRule>
    <cfRule type="cellIs" dxfId="9381" priority="2318" stopIfTrue="1" operator="equal">
      <formula>"Napkin Hs"</formula>
    </cfRule>
  </conditionalFormatting>
  <conditionalFormatting sqref="B129:C129">
    <cfRule type="cellIs" dxfId="9380" priority="2217" stopIfTrue="1" operator="equal">
      <formula>"Towel"</formula>
    </cfRule>
    <cfRule type="cellIs" dxfId="9379" priority="2218" stopIfTrue="1" operator="equal">
      <formula>"Napkin Hs"</formula>
    </cfRule>
    <cfRule type="cellIs" dxfId="9378" priority="2233" stopIfTrue="1" operator="equal">
      <formula>"Towel"</formula>
    </cfRule>
    <cfRule type="cellIs" dxfId="9377" priority="2234" stopIfTrue="1" operator="equal">
      <formula>"Napkin Hs"</formula>
    </cfRule>
    <cfRule type="cellIs" dxfId="9376" priority="2239" stopIfTrue="1" operator="equal">
      <formula>"Towel"</formula>
    </cfRule>
    <cfRule type="cellIs" dxfId="9375" priority="2240" stopIfTrue="1" operator="equal">
      <formula>"Napkin Hs"</formula>
    </cfRule>
    <cfRule type="cellIs" dxfId="9374" priority="2245" stopIfTrue="1" operator="equal">
      <formula>"Towel"</formula>
    </cfRule>
    <cfRule type="cellIs" dxfId="9373" priority="2246" stopIfTrue="1" operator="equal">
      <formula>"Napkin Hs"</formula>
    </cfRule>
    <cfRule type="cellIs" dxfId="9372" priority="2251" stopIfTrue="1" operator="equal">
      <formula>"Towel"</formula>
    </cfRule>
    <cfRule type="cellIs" dxfId="9371" priority="2252" stopIfTrue="1" operator="equal">
      <formula>"Napkin Hs"</formula>
    </cfRule>
    <cfRule type="cellIs" dxfId="9370" priority="2257" stopIfTrue="1" operator="equal">
      <formula>"Towel"</formula>
    </cfRule>
    <cfRule type="cellIs" dxfId="9369" priority="2258" stopIfTrue="1" operator="equal">
      <formula>"Napkin Hs"</formula>
    </cfRule>
    <cfRule type="cellIs" dxfId="9368" priority="2263" stopIfTrue="1" operator="equal">
      <formula>"Towel"</formula>
    </cfRule>
    <cfRule type="cellIs" dxfId="9367" priority="2264" stopIfTrue="1" operator="equal">
      <formula>"Napkin Hs"</formula>
    </cfRule>
    <cfRule type="cellIs" dxfId="9366" priority="2269" stopIfTrue="1" operator="equal">
      <formula>"Towel"</formula>
    </cfRule>
    <cfRule type="cellIs" dxfId="9365" priority="2270" stopIfTrue="1" operator="equal">
      <formula>"Napkin Hs"</formula>
    </cfRule>
  </conditionalFormatting>
  <conditionalFormatting sqref="C128">
    <cfRule type="cellIs" dxfId="9364" priority="2131" stopIfTrue="1" operator="equal">
      <formula>"Towel"</formula>
    </cfRule>
    <cfRule type="cellIs" dxfId="9363" priority="2132" stopIfTrue="1" operator="equal">
      <formula>"Napkin Hs"</formula>
    </cfRule>
    <cfRule type="cellIs" dxfId="9362" priority="2133" stopIfTrue="1" operator="equal">
      <formula>"Towel"</formula>
    </cfRule>
    <cfRule type="cellIs" dxfId="9361" priority="2134" stopIfTrue="1" operator="equal">
      <formula>"Napkin Hs"</formula>
    </cfRule>
    <cfRule type="cellIs" dxfId="9360" priority="2137" stopIfTrue="1" operator="equal">
      <formula>"Towel"</formula>
    </cfRule>
    <cfRule type="cellIs" dxfId="9359" priority="2138" stopIfTrue="1" operator="equal">
      <formula>"Napkin Hs"</formula>
    </cfRule>
    <cfRule type="cellIs" dxfId="9358" priority="2139" stopIfTrue="1" operator="equal">
      <formula>"Towel"</formula>
    </cfRule>
    <cfRule type="cellIs" dxfId="9357" priority="2140" stopIfTrue="1" operator="equal">
      <formula>"Napkin Hs"</formula>
    </cfRule>
    <cfRule type="cellIs" dxfId="9356" priority="2143" stopIfTrue="1" operator="equal">
      <formula>"Towel"</formula>
    </cfRule>
    <cfRule type="cellIs" dxfId="9355" priority="2144" stopIfTrue="1" operator="equal">
      <formula>"Napkin Hs"</formula>
    </cfRule>
    <cfRule type="cellIs" dxfId="9354" priority="2145" stopIfTrue="1" operator="equal">
      <formula>"Towel"</formula>
    </cfRule>
    <cfRule type="cellIs" dxfId="9353" priority="2146" stopIfTrue="1" operator="equal">
      <formula>"Napkin Hs"</formula>
    </cfRule>
    <cfRule type="cellIs" dxfId="9352" priority="2149" stopIfTrue="1" operator="equal">
      <formula>"Towel"</formula>
    </cfRule>
    <cfRule type="cellIs" dxfId="9351" priority="2150" stopIfTrue="1" operator="equal">
      <formula>"Napkin Hs"</formula>
    </cfRule>
    <cfRule type="cellIs" dxfId="9350" priority="2151" stopIfTrue="1" operator="equal">
      <formula>"Towel"</formula>
    </cfRule>
    <cfRule type="cellIs" dxfId="9349" priority="2152" stopIfTrue="1" operator="equal">
      <formula>"Napkin Hs"</formula>
    </cfRule>
    <cfRule type="cellIs" dxfId="9348" priority="2155" stopIfTrue="1" operator="equal">
      <formula>"Towel"</formula>
    </cfRule>
    <cfRule type="cellIs" dxfId="9347" priority="2156" stopIfTrue="1" operator="equal">
      <formula>"Napkin Hs"</formula>
    </cfRule>
    <cfRule type="cellIs" dxfId="9346" priority="2157" stopIfTrue="1" operator="equal">
      <formula>"Towel"</formula>
    </cfRule>
    <cfRule type="cellIs" dxfId="9345" priority="2158" stopIfTrue="1" operator="equal">
      <formula>"Napkin Hs"</formula>
    </cfRule>
    <cfRule type="cellIs" dxfId="9344" priority="2161" stopIfTrue="1" operator="equal">
      <formula>"Towel"</formula>
    </cfRule>
    <cfRule type="cellIs" dxfId="9343" priority="2162" stopIfTrue="1" operator="equal">
      <formula>"Napkin Hs"</formula>
    </cfRule>
    <cfRule type="cellIs" dxfId="9342" priority="2163" stopIfTrue="1" operator="equal">
      <formula>"Towel"</formula>
    </cfRule>
    <cfRule type="cellIs" dxfId="9341" priority="2164" stopIfTrue="1" operator="equal">
      <formula>"Napkin Hs"</formula>
    </cfRule>
    <cfRule type="cellIs" dxfId="9340" priority="2167" stopIfTrue="1" operator="equal">
      <formula>"Towel"</formula>
    </cfRule>
    <cfRule type="cellIs" dxfId="9339" priority="2168" stopIfTrue="1" operator="equal">
      <formula>"Napkin Hs"</formula>
    </cfRule>
    <cfRule type="cellIs" dxfId="9338" priority="2171" stopIfTrue="1" operator="equal">
      <formula>"Towel"</formula>
    </cfRule>
    <cfRule type="cellIs" dxfId="9337" priority="2172" stopIfTrue="1" operator="equal">
      <formula>"Napkin Hs"</formula>
    </cfRule>
    <cfRule type="cellIs" dxfId="9336" priority="2173" stopIfTrue="1" operator="equal">
      <formula>"Towel"</formula>
    </cfRule>
    <cfRule type="cellIs" dxfId="9335" priority="2174" stopIfTrue="1" operator="equal">
      <formula>"Napkin Hs"</formula>
    </cfRule>
    <cfRule type="cellIs" dxfId="9334" priority="2175" stopIfTrue="1" operator="equal">
      <formula>"Towel"</formula>
    </cfRule>
    <cfRule type="cellIs" dxfId="9333" priority="2176" stopIfTrue="1" operator="equal">
      <formula>"Napkin Hs"</formula>
    </cfRule>
    <cfRule type="cellIs" dxfId="9332" priority="2179" stopIfTrue="1" operator="equal">
      <formula>"Towel"</formula>
    </cfRule>
    <cfRule type="cellIs" dxfId="9331" priority="2180" stopIfTrue="1" operator="equal">
      <formula>"Napkin Hs"</formula>
    </cfRule>
    <cfRule type="cellIs" dxfId="9330" priority="2181" stopIfTrue="1" operator="equal">
      <formula>"Towel"</formula>
    </cfRule>
    <cfRule type="cellIs" dxfId="9329" priority="2182" stopIfTrue="1" operator="equal">
      <formula>"Napkin Hs"</formula>
    </cfRule>
    <cfRule type="cellIs" dxfId="9328" priority="2185" stopIfTrue="1" operator="equal">
      <formula>"Towel"</formula>
    </cfRule>
    <cfRule type="cellIs" dxfId="9327" priority="2186" stopIfTrue="1" operator="equal">
      <formula>"Napkin Hs"</formula>
    </cfRule>
    <cfRule type="cellIs" dxfId="9326" priority="2187" stopIfTrue="1" operator="equal">
      <formula>"Towel"</formula>
    </cfRule>
    <cfRule type="cellIs" dxfId="9325" priority="2188" stopIfTrue="1" operator="equal">
      <formula>"Napkin Hs"</formula>
    </cfRule>
    <cfRule type="cellIs" dxfId="9324" priority="2191" stopIfTrue="1" operator="equal">
      <formula>"Towel"</formula>
    </cfRule>
    <cfRule type="cellIs" dxfId="9323" priority="2192" stopIfTrue="1" operator="equal">
      <formula>"Napkin Hs"</formula>
    </cfRule>
    <cfRule type="cellIs" dxfId="9322" priority="2193" stopIfTrue="1" operator="equal">
      <formula>"Towel"</formula>
    </cfRule>
    <cfRule type="cellIs" dxfId="9321" priority="2194" stopIfTrue="1" operator="equal">
      <formula>"Napkin Hs"</formula>
    </cfRule>
    <cfRule type="cellIs" dxfId="9320" priority="2197" stopIfTrue="1" operator="equal">
      <formula>"Towel"</formula>
    </cfRule>
    <cfRule type="cellIs" dxfId="9319" priority="2198" stopIfTrue="1" operator="equal">
      <formula>"Napkin Hs"</formula>
    </cfRule>
    <cfRule type="cellIs" dxfId="9318" priority="2199" stopIfTrue="1" operator="equal">
      <formula>"Towel"</formula>
    </cfRule>
    <cfRule type="cellIs" dxfId="9317" priority="2200" stopIfTrue="1" operator="equal">
      <formula>"Napkin Hs"</formula>
    </cfRule>
    <cfRule type="cellIs" dxfId="9316" priority="2203" stopIfTrue="1" operator="equal">
      <formula>"Towel"</formula>
    </cfRule>
    <cfRule type="cellIs" dxfId="9315" priority="2204" stopIfTrue="1" operator="equal">
      <formula>"Napkin Hs"</formula>
    </cfRule>
    <cfRule type="cellIs" dxfId="9314" priority="2205" stopIfTrue="1" operator="equal">
      <formula>"Towel"</formula>
    </cfRule>
    <cfRule type="cellIs" dxfId="9313" priority="2206" stopIfTrue="1" operator="equal">
      <formula>"Napkin Hs"</formula>
    </cfRule>
    <cfRule type="cellIs" dxfId="9312" priority="2209" stopIfTrue="1" operator="equal">
      <formula>"Towel"</formula>
    </cfRule>
    <cfRule type="cellIs" dxfId="9311" priority="2210" stopIfTrue="1" operator="equal">
      <formula>"Napkin Hs"</formula>
    </cfRule>
  </conditionalFormatting>
  <conditionalFormatting sqref="C128">
    <cfRule type="cellIs" dxfId="9310" priority="2211" stopIfTrue="1" operator="equal">
      <formula>"Towel"</formula>
    </cfRule>
    <cfRule type="cellIs" dxfId="9309" priority="2212" stopIfTrue="1" operator="equal">
      <formula>"Napkin Hs"</formula>
    </cfRule>
  </conditionalFormatting>
  <conditionalFormatting sqref="C129">
    <cfRule type="cellIs" dxfId="9308" priority="2271" stopIfTrue="1" operator="equal">
      <formula>"Towel"</formula>
    </cfRule>
    <cfRule type="cellIs" dxfId="9307" priority="2272" stopIfTrue="1" operator="equal">
      <formula>"Napkin Hs"</formula>
    </cfRule>
    <cfRule type="cellIs" dxfId="9306" priority="2273" stopIfTrue="1" operator="equal">
      <formula>"Towel"</formula>
    </cfRule>
    <cfRule type="cellIs" dxfId="9305" priority="2274" stopIfTrue="1" operator="equal">
      <formula>"Napkin Hs"</formula>
    </cfRule>
    <cfRule type="cellIs" dxfId="9304" priority="2277" stopIfTrue="1" operator="equal">
      <formula>"Towel"</formula>
    </cfRule>
    <cfRule type="cellIs" dxfId="9303" priority="2278" stopIfTrue="1" operator="equal">
      <formula>"Napkin Hs"</formula>
    </cfRule>
    <cfRule type="cellIs" dxfId="9302" priority="2279" stopIfTrue="1" operator="equal">
      <formula>"Towel"</formula>
    </cfRule>
    <cfRule type="cellIs" dxfId="9301" priority="2280" stopIfTrue="1" operator="equal">
      <formula>"Napkin Hs"</formula>
    </cfRule>
    <cfRule type="cellIs" dxfId="9300" priority="2283" stopIfTrue="1" operator="equal">
      <formula>"Towel"</formula>
    </cfRule>
    <cfRule type="cellIs" dxfId="9299" priority="2284" stopIfTrue="1" operator="equal">
      <formula>"Napkin Hs"</formula>
    </cfRule>
    <cfRule type="cellIs" dxfId="9298" priority="2285" stopIfTrue="1" operator="equal">
      <formula>"Towel"</formula>
    </cfRule>
    <cfRule type="cellIs" dxfId="9297" priority="2286" stopIfTrue="1" operator="equal">
      <formula>"Napkin Hs"</formula>
    </cfRule>
    <cfRule type="cellIs" dxfId="9296" priority="2289" stopIfTrue="1" operator="equal">
      <formula>"Towel"</formula>
    </cfRule>
    <cfRule type="cellIs" dxfId="9295" priority="2290" stopIfTrue="1" operator="equal">
      <formula>"Napkin Hs"</formula>
    </cfRule>
    <cfRule type="cellIs" dxfId="9294" priority="2291" stopIfTrue="1" operator="equal">
      <formula>"Towel"</formula>
    </cfRule>
    <cfRule type="cellIs" dxfId="9293" priority="2292" stopIfTrue="1" operator="equal">
      <formula>"Napkin Hs"</formula>
    </cfRule>
    <cfRule type="cellIs" dxfId="9292" priority="2295" stopIfTrue="1" operator="equal">
      <formula>"Towel"</formula>
    </cfRule>
    <cfRule type="cellIs" dxfId="9291" priority="2296" stopIfTrue="1" operator="equal">
      <formula>"Napkin Hs"</formula>
    </cfRule>
    <cfRule type="cellIs" dxfId="9290" priority="2297" stopIfTrue="1" operator="equal">
      <formula>"Towel"</formula>
    </cfRule>
    <cfRule type="cellIs" dxfId="9289" priority="2298" stopIfTrue="1" operator="equal">
      <formula>"Napkin Hs"</formula>
    </cfRule>
    <cfRule type="cellIs" dxfId="9288" priority="2301" stopIfTrue="1" operator="equal">
      <formula>"Towel"</formula>
    </cfRule>
    <cfRule type="cellIs" dxfId="9287" priority="2302" stopIfTrue="1" operator="equal">
      <formula>"Napkin Hs"</formula>
    </cfRule>
    <cfRule type="cellIs" dxfId="9286" priority="2303" stopIfTrue="1" operator="equal">
      <formula>"Towel"</formula>
    </cfRule>
    <cfRule type="cellIs" dxfId="9285" priority="2304" stopIfTrue="1" operator="equal">
      <formula>"Napkin Hs"</formula>
    </cfRule>
    <cfRule type="cellIs" dxfId="9284" priority="2307" stopIfTrue="1" operator="equal">
      <formula>"Towel"</formula>
    </cfRule>
    <cfRule type="cellIs" dxfId="9283" priority="2308" stopIfTrue="1" operator="equal">
      <formula>"Napkin Hs"</formula>
    </cfRule>
    <cfRule type="cellIs" dxfId="9282" priority="2309" stopIfTrue="1" operator="equal">
      <formula>"Towel"</formula>
    </cfRule>
    <cfRule type="cellIs" dxfId="9281" priority="2310" stopIfTrue="1" operator="equal">
      <formula>"Napkin Hs"</formula>
    </cfRule>
    <cfRule type="cellIs" dxfId="9280" priority="2313" stopIfTrue="1" operator="equal">
      <formula>"Towel"</formula>
    </cfRule>
    <cfRule type="cellIs" dxfId="9279" priority="2314" stopIfTrue="1" operator="equal">
      <formula>"Napkin Hs"</formula>
    </cfRule>
  </conditionalFormatting>
  <conditionalFormatting sqref="C129">
    <cfRule type="cellIs" dxfId="9278" priority="2219" stopIfTrue="1" operator="equal">
      <formula>"Towel"</formula>
    </cfRule>
    <cfRule type="cellIs" dxfId="9277" priority="2220" stopIfTrue="1" operator="equal">
      <formula>"Napkin Hs"</formula>
    </cfRule>
    <cfRule type="cellIs" dxfId="9276" priority="2221" stopIfTrue="1" operator="equal">
      <formula>"Towel"</formula>
    </cfRule>
    <cfRule type="cellIs" dxfId="9275" priority="2222" stopIfTrue="1" operator="equal">
      <formula>"Napkin Hs"</formula>
    </cfRule>
    <cfRule type="cellIs" dxfId="9274" priority="2223" stopIfTrue="1" operator="equal">
      <formula>"Towel"</formula>
    </cfRule>
    <cfRule type="cellIs" dxfId="9273" priority="2224" stopIfTrue="1" operator="equal">
      <formula>"Napkin Hs"</formula>
    </cfRule>
    <cfRule type="cellIs" dxfId="9272" priority="2225" stopIfTrue="1" operator="equal">
      <formula>"Towel"</formula>
    </cfRule>
    <cfRule type="cellIs" dxfId="9271" priority="2226" stopIfTrue="1" operator="equal">
      <formula>"Napkin Hs"</formula>
    </cfRule>
    <cfRule type="cellIs" dxfId="9270" priority="2227" stopIfTrue="1" operator="equal">
      <formula>"Towel"</formula>
    </cfRule>
    <cfRule type="cellIs" dxfId="9269" priority="2228" stopIfTrue="1" operator="equal">
      <formula>"Napkin Hs"</formula>
    </cfRule>
    <cfRule type="cellIs" dxfId="9268" priority="2229" stopIfTrue="1" operator="equal">
      <formula>"Towel"</formula>
    </cfRule>
    <cfRule type="cellIs" dxfId="9267" priority="2230" stopIfTrue="1" operator="equal">
      <formula>"Napkin Hs"</formula>
    </cfRule>
    <cfRule type="cellIs" dxfId="9266" priority="2231" stopIfTrue="1" operator="equal">
      <formula>"Towel"</formula>
    </cfRule>
    <cfRule type="cellIs" dxfId="9265" priority="2232" stopIfTrue="1" operator="equal">
      <formula>"Napkin Hs"</formula>
    </cfRule>
    <cfRule type="cellIs" dxfId="9264" priority="2235" stopIfTrue="1" operator="equal">
      <formula>"Towel"</formula>
    </cfRule>
    <cfRule type="cellIs" dxfId="9263" priority="2236" stopIfTrue="1" operator="equal">
      <formula>"Napkin Hs"</formula>
    </cfRule>
    <cfRule type="cellIs" dxfId="9262" priority="2237" stopIfTrue="1" operator="equal">
      <formula>"Towel"</formula>
    </cfRule>
    <cfRule type="cellIs" dxfId="9261" priority="2238" stopIfTrue="1" operator="equal">
      <formula>"Napkin Hs"</formula>
    </cfRule>
    <cfRule type="cellIs" dxfId="9260" priority="2241" stopIfTrue="1" operator="equal">
      <formula>"Towel"</formula>
    </cfRule>
    <cfRule type="cellIs" dxfId="9259" priority="2242" stopIfTrue="1" operator="equal">
      <formula>"Napkin Hs"</formula>
    </cfRule>
    <cfRule type="cellIs" dxfId="9258" priority="2243" stopIfTrue="1" operator="equal">
      <formula>"Towel"</formula>
    </cfRule>
    <cfRule type="cellIs" dxfId="9257" priority="2244" stopIfTrue="1" operator="equal">
      <formula>"Napkin Hs"</formula>
    </cfRule>
    <cfRule type="cellIs" dxfId="9256" priority="2247" stopIfTrue="1" operator="equal">
      <formula>"Towel"</formula>
    </cfRule>
    <cfRule type="cellIs" dxfId="9255" priority="2248" stopIfTrue="1" operator="equal">
      <formula>"Napkin Hs"</formula>
    </cfRule>
    <cfRule type="cellIs" dxfId="9254" priority="2249" stopIfTrue="1" operator="equal">
      <formula>"Towel"</formula>
    </cfRule>
    <cfRule type="cellIs" dxfId="9253" priority="2250" stopIfTrue="1" operator="equal">
      <formula>"Napkin Hs"</formula>
    </cfRule>
    <cfRule type="cellIs" dxfId="9252" priority="2253" stopIfTrue="1" operator="equal">
      <formula>"Towel"</formula>
    </cfRule>
    <cfRule type="cellIs" dxfId="9251" priority="2254" stopIfTrue="1" operator="equal">
      <formula>"Napkin Hs"</formula>
    </cfRule>
    <cfRule type="cellIs" dxfId="9250" priority="2255" stopIfTrue="1" operator="equal">
      <formula>"Towel"</formula>
    </cfRule>
    <cfRule type="cellIs" dxfId="9249" priority="2256" stopIfTrue="1" operator="equal">
      <formula>"Napkin Hs"</formula>
    </cfRule>
    <cfRule type="cellIs" dxfId="9248" priority="2259" stopIfTrue="1" operator="equal">
      <formula>"Towel"</formula>
    </cfRule>
    <cfRule type="cellIs" dxfId="9247" priority="2260" stopIfTrue="1" operator="equal">
      <formula>"Napkin Hs"</formula>
    </cfRule>
    <cfRule type="cellIs" dxfId="9246" priority="2261" stopIfTrue="1" operator="equal">
      <formula>"Towel"</formula>
    </cfRule>
    <cfRule type="cellIs" dxfId="9245" priority="2262" stopIfTrue="1" operator="equal">
      <formula>"Napkin Hs"</formula>
    </cfRule>
    <cfRule type="cellIs" dxfId="9244" priority="2265" stopIfTrue="1" operator="equal">
      <formula>"Towel"</formula>
    </cfRule>
    <cfRule type="cellIs" dxfId="9243" priority="2266" stopIfTrue="1" operator="equal">
      <formula>"Napkin Hs"</formula>
    </cfRule>
    <cfRule type="cellIs" dxfId="9242" priority="2267" stopIfTrue="1" operator="equal">
      <formula>"Towel"</formula>
    </cfRule>
    <cfRule type="cellIs" dxfId="9241" priority="2268" stopIfTrue="1" operator="equal">
      <formula>"Napkin Hs"</formula>
    </cfRule>
    <cfRule type="cellIs" dxfId="9240" priority="2315" stopIfTrue="1" operator="equal">
      <formula>"Towel"</formula>
    </cfRule>
    <cfRule type="cellIs" dxfId="9239" priority="2316" stopIfTrue="1" operator="equal">
      <formula>"Napkin Hs"</formula>
    </cfRule>
  </conditionalFormatting>
  <conditionalFormatting sqref="B127">
    <cfRule type="cellIs" dxfId="9238" priority="2115" stopIfTrue="1" operator="equal">
      <formula>"Towel"</formula>
    </cfRule>
    <cfRule type="cellIs" dxfId="9237" priority="2116" stopIfTrue="1" operator="equal">
      <formula>"Napkin Hs"</formula>
    </cfRule>
    <cfRule type="cellIs" dxfId="9236" priority="2117" stopIfTrue="1" operator="equal">
      <formula>"Towel"</formula>
    </cfRule>
    <cfRule type="cellIs" dxfId="9235" priority="2118" stopIfTrue="1" operator="equal">
      <formula>"Napkin Hs"</formula>
    </cfRule>
    <cfRule type="cellIs" dxfId="9234" priority="2119" stopIfTrue="1" operator="equal">
      <formula>"Towel"</formula>
    </cfRule>
    <cfRule type="cellIs" dxfId="9233" priority="2120" stopIfTrue="1" operator="equal">
      <formula>"Napkin Hs"</formula>
    </cfRule>
    <cfRule type="cellIs" dxfId="9232" priority="2121" stopIfTrue="1" operator="equal">
      <formula>"Towel"</formula>
    </cfRule>
    <cfRule type="cellIs" dxfId="9231" priority="2122" stopIfTrue="1" operator="equal">
      <formula>"Napkin Hs"</formula>
    </cfRule>
    <cfRule type="cellIs" dxfId="9230" priority="2123" stopIfTrue="1" operator="equal">
      <formula>"Towel"</formula>
    </cfRule>
    <cfRule type="cellIs" dxfId="9229" priority="2124" stopIfTrue="1" operator="equal">
      <formula>"Napkin Hs"</formula>
    </cfRule>
    <cfRule type="cellIs" dxfId="9228" priority="2125" stopIfTrue="1" operator="equal">
      <formula>"Towel"</formula>
    </cfRule>
    <cfRule type="cellIs" dxfId="9227" priority="2126" stopIfTrue="1" operator="equal">
      <formula>"Napkin Hs"</formula>
    </cfRule>
    <cfRule type="cellIs" dxfId="9226" priority="2127" stopIfTrue="1" operator="equal">
      <formula>"Towel"</formula>
    </cfRule>
    <cfRule type="cellIs" dxfId="9225" priority="2128" stopIfTrue="1" operator="equal">
      <formula>"Napkin Hs"</formula>
    </cfRule>
    <cfRule type="cellIs" dxfId="9224" priority="2129" stopIfTrue="1" operator="equal">
      <formula>"Towel"</formula>
    </cfRule>
    <cfRule type="cellIs" dxfId="9223" priority="2130" stopIfTrue="1" operator="equal">
      <formula>"Napkin Hs"</formula>
    </cfRule>
  </conditionalFormatting>
  <conditionalFormatting sqref="B127:C127">
    <cfRule type="cellIs" dxfId="9222" priority="2107" stopIfTrue="1" operator="equal">
      <formula>"Towel"</formula>
    </cfRule>
    <cfRule type="cellIs" dxfId="9221" priority="2108" stopIfTrue="1" operator="equal">
      <formula>"Napkin Hs"</formula>
    </cfRule>
  </conditionalFormatting>
  <conditionalFormatting sqref="C127">
    <cfRule type="cellIs" dxfId="9220" priority="2114" stopIfTrue="1" operator="equal">
      <formula>"Napkin Hs"</formula>
    </cfRule>
  </conditionalFormatting>
  <conditionalFormatting sqref="C127">
    <cfRule type="cellIs" dxfId="9219" priority="2113" stopIfTrue="1" operator="equal">
      <formula>"Towel"</formula>
    </cfRule>
  </conditionalFormatting>
  <conditionalFormatting sqref="C127">
    <cfRule type="cellIs" dxfId="9218" priority="2065" stopIfTrue="1" operator="equal">
      <formula>"Towel"</formula>
    </cfRule>
    <cfRule type="cellIs" dxfId="9217" priority="2066" stopIfTrue="1" operator="equal">
      <formula>"Napkin Hs"</formula>
    </cfRule>
    <cfRule type="cellIs" dxfId="9216" priority="2071" stopIfTrue="1" operator="equal">
      <formula>"Towel"</formula>
    </cfRule>
    <cfRule type="cellIs" dxfId="9215" priority="2072" stopIfTrue="1" operator="equal">
      <formula>"Napkin Hs"</formula>
    </cfRule>
    <cfRule type="cellIs" dxfId="9214" priority="2077" stopIfTrue="1" operator="equal">
      <formula>"Towel"</formula>
    </cfRule>
    <cfRule type="cellIs" dxfId="9213" priority="2078" stopIfTrue="1" operator="equal">
      <formula>"Napkin Hs"</formula>
    </cfRule>
    <cfRule type="cellIs" dxfId="9212" priority="2083" stopIfTrue="1" operator="equal">
      <formula>"Towel"</formula>
    </cfRule>
    <cfRule type="cellIs" dxfId="9211" priority="2084" stopIfTrue="1" operator="equal">
      <formula>"Napkin Hs"</formula>
    </cfRule>
    <cfRule type="cellIs" dxfId="9210" priority="2089" stopIfTrue="1" operator="equal">
      <formula>"Towel"</formula>
    </cfRule>
    <cfRule type="cellIs" dxfId="9209" priority="2090" stopIfTrue="1" operator="equal">
      <formula>"Napkin Hs"</formula>
    </cfRule>
    <cfRule type="cellIs" dxfId="9208" priority="2095" stopIfTrue="1" operator="equal">
      <formula>"Towel"</formula>
    </cfRule>
    <cfRule type="cellIs" dxfId="9207" priority="2096" stopIfTrue="1" operator="equal">
      <formula>"Napkin Hs"</formula>
    </cfRule>
    <cfRule type="cellIs" dxfId="9206" priority="2101" stopIfTrue="1" operator="equal">
      <formula>"Towel"</formula>
    </cfRule>
    <cfRule type="cellIs" dxfId="9205" priority="2102" stopIfTrue="1" operator="equal">
      <formula>"Napkin Hs"</formula>
    </cfRule>
  </conditionalFormatting>
  <conditionalFormatting sqref="C127">
    <cfRule type="cellIs" dxfId="9204" priority="2061" stopIfTrue="1" operator="equal">
      <formula>"Towel"</formula>
    </cfRule>
    <cfRule type="cellIs" dxfId="9203" priority="2062" stopIfTrue="1" operator="equal">
      <formula>"Napkin Hs"</formula>
    </cfRule>
    <cfRule type="cellIs" dxfId="9202" priority="2063" stopIfTrue="1" operator="equal">
      <formula>"Towel"</formula>
    </cfRule>
    <cfRule type="cellIs" dxfId="9201" priority="2064" stopIfTrue="1" operator="equal">
      <formula>"Napkin Hs"</formula>
    </cfRule>
    <cfRule type="cellIs" dxfId="9200" priority="2067" stopIfTrue="1" operator="equal">
      <formula>"Towel"</formula>
    </cfRule>
    <cfRule type="cellIs" dxfId="9199" priority="2068" stopIfTrue="1" operator="equal">
      <formula>"Napkin Hs"</formula>
    </cfRule>
    <cfRule type="cellIs" dxfId="9198" priority="2069" stopIfTrue="1" operator="equal">
      <formula>"Towel"</formula>
    </cfRule>
    <cfRule type="cellIs" dxfId="9197" priority="2070" stopIfTrue="1" operator="equal">
      <formula>"Napkin Hs"</formula>
    </cfRule>
    <cfRule type="cellIs" dxfId="9196" priority="2073" stopIfTrue="1" operator="equal">
      <formula>"Towel"</formula>
    </cfRule>
    <cfRule type="cellIs" dxfId="9195" priority="2074" stopIfTrue="1" operator="equal">
      <formula>"Napkin Hs"</formula>
    </cfRule>
    <cfRule type="cellIs" dxfId="9194" priority="2075" stopIfTrue="1" operator="equal">
      <formula>"Towel"</formula>
    </cfRule>
    <cfRule type="cellIs" dxfId="9193" priority="2076" stopIfTrue="1" operator="equal">
      <formula>"Napkin Hs"</formula>
    </cfRule>
    <cfRule type="cellIs" dxfId="9192" priority="2079" stopIfTrue="1" operator="equal">
      <formula>"Towel"</formula>
    </cfRule>
    <cfRule type="cellIs" dxfId="9191" priority="2080" stopIfTrue="1" operator="equal">
      <formula>"Napkin Hs"</formula>
    </cfRule>
    <cfRule type="cellIs" dxfId="9190" priority="2081" stopIfTrue="1" operator="equal">
      <formula>"Towel"</formula>
    </cfRule>
    <cfRule type="cellIs" dxfId="9189" priority="2082" stopIfTrue="1" operator="equal">
      <formula>"Napkin Hs"</formula>
    </cfRule>
    <cfRule type="cellIs" dxfId="9188" priority="2085" stopIfTrue="1" operator="equal">
      <formula>"Towel"</formula>
    </cfRule>
    <cfRule type="cellIs" dxfId="9187" priority="2086" stopIfTrue="1" operator="equal">
      <formula>"Napkin Hs"</formula>
    </cfRule>
    <cfRule type="cellIs" dxfId="9186" priority="2087" stopIfTrue="1" operator="equal">
      <formula>"Towel"</formula>
    </cfRule>
    <cfRule type="cellIs" dxfId="9185" priority="2088" stopIfTrue="1" operator="equal">
      <formula>"Napkin Hs"</formula>
    </cfRule>
    <cfRule type="cellIs" dxfId="9184" priority="2091" stopIfTrue="1" operator="equal">
      <formula>"Towel"</formula>
    </cfRule>
    <cfRule type="cellIs" dxfId="9183" priority="2092" stopIfTrue="1" operator="equal">
      <formula>"Napkin Hs"</formula>
    </cfRule>
    <cfRule type="cellIs" dxfId="9182" priority="2093" stopIfTrue="1" operator="equal">
      <formula>"Towel"</formula>
    </cfRule>
    <cfRule type="cellIs" dxfId="9181" priority="2094" stopIfTrue="1" operator="equal">
      <formula>"Napkin Hs"</formula>
    </cfRule>
    <cfRule type="cellIs" dxfId="9180" priority="2097" stopIfTrue="1" operator="equal">
      <formula>"Towel"</formula>
    </cfRule>
    <cfRule type="cellIs" dxfId="9179" priority="2098" stopIfTrue="1" operator="equal">
      <formula>"Napkin Hs"</formula>
    </cfRule>
    <cfRule type="cellIs" dxfId="9178" priority="2099" stopIfTrue="1" operator="equal">
      <formula>"Towel"</formula>
    </cfRule>
    <cfRule type="cellIs" dxfId="9177" priority="2100" stopIfTrue="1" operator="equal">
      <formula>"Napkin Hs"</formula>
    </cfRule>
    <cfRule type="cellIs" dxfId="9176" priority="2103" stopIfTrue="1" operator="equal">
      <formula>"Towel"</formula>
    </cfRule>
    <cfRule type="cellIs" dxfId="9175" priority="2104" stopIfTrue="1" operator="equal">
      <formula>"Napkin Hs"</formula>
    </cfRule>
    <cfRule type="cellIs" dxfId="9174" priority="2105" stopIfTrue="1" operator="equal">
      <formula>"Towel"</formula>
    </cfRule>
    <cfRule type="cellIs" dxfId="9173" priority="2106" stopIfTrue="1" operator="equal">
      <formula>"Napkin Hs"</formula>
    </cfRule>
    <cfRule type="cellIs" dxfId="9172" priority="2109" stopIfTrue="1" operator="equal">
      <formula>"Towel"</formula>
    </cfRule>
    <cfRule type="cellIs" dxfId="9171" priority="2110" stopIfTrue="1" operator="equal">
      <formula>"Napkin Hs"</formula>
    </cfRule>
  </conditionalFormatting>
  <conditionalFormatting sqref="C127">
    <cfRule type="cellIs" dxfId="9170" priority="2111" stopIfTrue="1" operator="equal">
      <formula>"Towel"</formula>
    </cfRule>
    <cfRule type="cellIs" dxfId="9169" priority="2112" stopIfTrue="1" operator="equal">
      <formula>"Napkin Hs"</formula>
    </cfRule>
  </conditionalFormatting>
  <conditionalFormatting sqref="B127:C127">
    <cfRule type="cellIs" dxfId="9168" priority="1981" stopIfTrue="1" operator="equal">
      <formula>"Towel"</formula>
    </cfRule>
    <cfRule type="cellIs" dxfId="9167" priority="1982" stopIfTrue="1" operator="equal">
      <formula>"Napkin Hs"</formula>
    </cfRule>
    <cfRule type="cellIs" dxfId="9166" priority="1987" stopIfTrue="1" operator="equal">
      <formula>"Towel"</formula>
    </cfRule>
    <cfRule type="cellIs" dxfId="9165" priority="1988" stopIfTrue="1" operator="equal">
      <formula>"Napkin Hs"</formula>
    </cfRule>
    <cfRule type="cellIs" dxfId="9164" priority="1993" stopIfTrue="1" operator="equal">
      <formula>"Towel"</formula>
    </cfRule>
    <cfRule type="cellIs" dxfId="9163" priority="1994" stopIfTrue="1" operator="equal">
      <formula>"Napkin Hs"</formula>
    </cfRule>
    <cfRule type="cellIs" dxfId="9162" priority="1999" stopIfTrue="1" operator="equal">
      <formula>"Towel"</formula>
    </cfRule>
    <cfRule type="cellIs" dxfId="9161" priority="2000" stopIfTrue="1" operator="equal">
      <formula>"Napkin Hs"</formula>
    </cfRule>
    <cfRule type="cellIs" dxfId="9160" priority="2005" stopIfTrue="1" operator="equal">
      <formula>"Towel"</formula>
    </cfRule>
    <cfRule type="cellIs" dxfId="9159" priority="2006" stopIfTrue="1" operator="equal">
      <formula>"Napkin Hs"</formula>
    </cfRule>
    <cfRule type="cellIs" dxfId="9158" priority="2011" stopIfTrue="1" operator="equal">
      <formula>"Towel"</formula>
    </cfRule>
    <cfRule type="cellIs" dxfId="9157" priority="2012" stopIfTrue="1" operator="equal">
      <formula>"Napkin Hs"</formula>
    </cfRule>
    <cfRule type="cellIs" dxfId="9156" priority="2015" stopIfTrue="1" operator="equal">
      <formula>"Towel"</formula>
    </cfRule>
    <cfRule type="cellIs" dxfId="9155" priority="2016" stopIfTrue="1" operator="equal">
      <formula>"Napkin Hs"</formula>
    </cfRule>
    <cfRule type="cellIs" dxfId="9154" priority="2023" stopIfTrue="1" operator="equal">
      <formula>"Towel"</formula>
    </cfRule>
    <cfRule type="cellIs" dxfId="9153" priority="2024" stopIfTrue="1" operator="equal">
      <formula>"Napkin Hs"</formula>
    </cfRule>
    <cfRule type="cellIs" dxfId="9152" priority="2029" stopIfTrue="1" operator="equal">
      <formula>"Towel"</formula>
    </cfRule>
    <cfRule type="cellIs" dxfId="9151" priority="2030" stopIfTrue="1" operator="equal">
      <formula>"Napkin Hs"</formula>
    </cfRule>
    <cfRule type="cellIs" dxfId="9150" priority="2035" stopIfTrue="1" operator="equal">
      <formula>"Towel"</formula>
    </cfRule>
    <cfRule type="cellIs" dxfId="9149" priority="2036" stopIfTrue="1" operator="equal">
      <formula>"Napkin Hs"</formula>
    </cfRule>
    <cfRule type="cellIs" dxfId="9148" priority="2041" stopIfTrue="1" operator="equal">
      <formula>"Towel"</formula>
    </cfRule>
    <cfRule type="cellIs" dxfId="9147" priority="2042" stopIfTrue="1" operator="equal">
      <formula>"Napkin Hs"</formula>
    </cfRule>
    <cfRule type="cellIs" dxfId="9146" priority="2047" stopIfTrue="1" operator="equal">
      <formula>"Towel"</formula>
    </cfRule>
    <cfRule type="cellIs" dxfId="9145" priority="2048" stopIfTrue="1" operator="equal">
      <formula>"Napkin Hs"</formula>
    </cfRule>
    <cfRule type="cellIs" dxfId="9144" priority="2053" stopIfTrue="1" operator="equal">
      <formula>"Towel"</formula>
    </cfRule>
    <cfRule type="cellIs" dxfId="9143" priority="2054" stopIfTrue="1" operator="equal">
      <formula>"Napkin Hs"</formula>
    </cfRule>
    <cfRule type="cellIs" dxfId="9142" priority="2059" stopIfTrue="1" operator="equal">
      <formula>"Towel"</formula>
    </cfRule>
    <cfRule type="cellIs" dxfId="9141" priority="2060" stopIfTrue="1" operator="equal">
      <formula>"Napkin Hs"</formula>
    </cfRule>
  </conditionalFormatting>
  <conditionalFormatting sqref="C127">
    <cfRule type="cellIs" dxfId="9140" priority="1977" stopIfTrue="1" operator="equal">
      <formula>"Towel"</formula>
    </cfRule>
    <cfRule type="cellIs" dxfId="9139" priority="1978" stopIfTrue="1" operator="equal">
      <formula>"Napkin Hs"</formula>
    </cfRule>
    <cfRule type="cellIs" dxfId="9138" priority="1979" stopIfTrue="1" operator="equal">
      <formula>"Towel"</formula>
    </cfRule>
    <cfRule type="cellIs" dxfId="9137" priority="1980" stopIfTrue="1" operator="equal">
      <formula>"Napkin Hs"</formula>
    </cfRule>
    <cfRule type="cellIs" dxfId="9136" priority="1983" stopIfTrue="1" operator="equal">
      <formula>"Towel"</formula>
    </cfRule>
    <cfRule type="cellIs" dxfId="9135" priority="1984" stopIfTrue="1" operator="equal">
      <formula>"Napkin Hs"</formula>
    </cfRule>
    <cfRule type="cellIs" dxfId="9134" priority="1985" stopIfTrue="1" operator="equal">
      <formula>"Towel"</formula>
    </cfRule>
    <cfRule type="cellIs" dxfId="9133" priority="1986" stopIfTrue="1" operator="equal">
      <formula>"Napkin Hs"</formula>
    </cfRule>
    <cfRule type="cellIs" dxfId="9132" priority="1989" stopIfTrue="1" operator="equal">
      <formula>"Towel"</formula>
    </cfRule>
    <cfRule type="cellIs" dxfId="9131" priority="1990" stopIfTrue="1" operator="equal">
      <formula>"Napkin Hs"</formula>
    </cfRule>
    <cfRule type="cellIs" dxfId="9130" priority="1991" stopIfTrue="1" operator="equal">
      <formula>"Towel"</formula>
    </cfRule>
    <cfRule type="cellIs" dxfId="9129" priority="1992" stopIfTrue="1" operator="equal">
      <formula>"Napkin Hs"</formula>
    </cfRule>
    <cfRule type="cellIs" dxfId="9128" priority="1995" stopIfTrue="1" operator="equal">
      <formula>"Towel"</formula>
    </cfRule>
    <cfRule type="cellIs" dxfId="9127" priority="1996" stopIfTrue="1" operator="equal">
      <formula>"Napkin Hs"</formula>
    </cfRule>
    <cfRule type="cellIs" dxfId="9126" priority="1997" stopIfTrue="1" operator="equal">
      <formula>"Towel"</formula>
    </cfRule>
    <cfRule type="cellIs" dxfId="9125" priority="1998" stopIfTrue="1" operator="equal">
      <formula>"Napkin Hs"</formula>
    </cfRule>
    <cfRule type="cellIs" dxfId="9124" priority="2001" stopIfTrue="1" operator="equal">
      <formula>"Towel"</formula>
    </cfRule>
    <cfRule type="cellIs" dxfId="9123" priority="2002" stopIfTrue="1" operator="equal">
      <formula>"Napkin Hs"</formula>
    </cfRule>
    <cfRule type="cellIs" dxfId="9122" priority="2003" stopIfTrue="1" operator="equal">
      <formula>"Towel"</formula>
    </cfRule>
    <cfRule type="cellIs" dxfId="9121" priority="2004" stopIfTrue="1" operator="equal">
      <formula>"Napkin Hs"</formula>
    </cfRule>
    <cfRule type="cellIs" dxfId="9120" priority="2007" stopIfTrue="1" operator="equal">
      <formula>"Towel"</formula>
    </cfRule>
    <cfRule type="cellIs" dxfId="9119" priority="2008" stopIfTrue="1" operator="equal">
      <formula>"Napkin Hs"</formula>
    </cfRule>
    <cfRule type="cellIs" dxfId="9118" priority="2009" stopIfTrue="1" operator="equal">
      <formula>"Towel"</formula>
    </cfRule>
    <cfRule type="cellIs" dxfId="9117" priority="2010" stopIfTrue="1" operator="equal">
      <formula>"Napkin Hs"</formula>
    </cfRule>
    <cfRule type="cellIs" dxfId="9116" priority="2013" stopIfTrue="1" operator="equal">
      <formula>"Towel"</formula>
    </cfRule>
    <cfRule type="cellIs" dxfId="9115" priority="2014" stopIfTrue="1" operator="equal">
      <formula>"Napkin Hs"</formula>
    </cfRule>
    <cfRule type="cellIs" dxfId="9114" priority="2017" stopIfTrue="1" operator="equal">
      <formula>"Towel"</formula>
    </cfRule>
    <cfRule type="cellIs" dxfId="9113" priority="2018" stopIfTrue="1" operator="equal">
      <formula>"Napkin Hs"</formula>
    </cfRule>
    <cfRule type="cellIs" dxfId="9112" priority="2019" stopIfTrue="1" operator="equal">
      <formula>"Towel"</formula>
    </cfRule>
    <cfRule type="cellIs" dxfId="9111" priority="2020" stopIfTrue="1" operator="equal">
      <formula>"Napkin Hs"</formula>
    </cfRule>
    <cfRule type="cellIs" dxfId="9110" priority="2021" stopIfTrue="1" operator="equal">
      <formula>"Towel"</formula>
    </cfRule>
    <cfRule type="cellIs" dxfId="9109" priority="2022" stopIfTrue="1" operator="equal">
      <formula>"Napkin Hs"</formula>
    </cfRule>
    <cfRule type="cellIs" dxfId="9108" priority="2025" stopIfTrue="1" operator="equal">
      <formula>"Towel"</formula>
    </cfRule>
    <cfRule type="cellIs" dxfId="9107" priority="2026" stopIfTrue="1" operator="equal">
      <formula>"Napkin Hs"</formula>
    </cfRule>
    <cfRule type="cellIs" dxfId="9106" priority="2027" stopIfTrue="1" operator="equal">
      <formula>"Towel"</formula>
    </cfRule>
    <cfRule type="cellIs" dxfId="9105" priority="2028" stopIfTrue="1" operator="equal">
      <formula>"Napkin Hs"</formula>
    </cfRule>
    <cfRule type="cellIs" dxfId="9104" priority="2031" stopIfTrue="1" operator="equal">
      <formula>"Towel"</formula>
    </cfRule>
    <cfRule type="cellIs" dxfId="9103" priority="2032" stopIfTrue="1" operator="equal">
      <formula>"Napkin Hs"</formula>
    </cfRule>
    <cfRule type="cellIs" dxfId="9102" priority="2033" stopIfTrue="1" operator="equal">
      <formula>"Towel"</formula>
    </cfRule>
    <cfRule type="cellIs" dxfId="9101" priority="2034" stopIfTrue="1" operator="equal">
      <formula>"Napkin Hs"</formula>
    </cfRule>
    <cfRule type="cellIs" dxfId="9100" priority="2037" stopIfTrue="1" operator="equal">
      <formula>"Towel"</formula>
    </cfRule>
    <cfRule type="cellIs" dxfId="9099" priority="2038" stopIfTrue="1" operator="equal">
      <formula>"Napkin Hs"</formula>
    </cfRule>
    <cfRule type="cellIs" dxfId="9098" priority="2039" stopIfTrue="1" operator="equal">
      <formula>"Towel"</formula>
    </cfRule>
    <cfRule type="cellIs" dxfId="9097" priority="2040" stopIfTrue="1" operator="equal">
      <formula>"Napkin Hs"</formula>
    </cfRule>
    <cfRule type="cellIs" dxfId="9096" priority="2043" stopIfTrue="1" operator="equal">
      <formula>"Towel"</formula>
    </cfRule>
    <cfRule type="cellIs" dxfId="9095" priority="2044" stopIfTrue="1" operator="equal">
      <formula>"Napkin Hs"</formula>
    </cfRule>
    <cfRule type="cellIs" dxfId="9094" priority="2045" stopIfTrue="1" operator="equal">
      <formula>"Towel"</formula>
    </cfRule>
    <cfRule type="cellIs" dxfId="9093" priority="2046" stopIfTrue="1" operator="equal">
      <formula>"Napkin Hs"</formula>
    </cfRule>
    <cfRule type="cellIs" dxfId="9092" priority="2049" stopIfTrue="1" operator="equal">
      <formula>"Towel"</formula>
    </cfRule>
    <cfRule type="cellIs" dxfId="9091" priority="2050" stopIfTrue="1" operator="equal">
      <formula>"Napkin Hs"</formula>
    </cfRule>
    <cfRule type="cellIs" dxfId="9090" priority="2051" stopIfTrue="1" operator="equal">
      <formula>"Towel"</formula>
    </cfRule>
    <cfRule type="cellIs" dxfId="9089" priority="2052" stopIfTrue="1" operator="equal">
      <formula>"Napkin Hs"</formula>
    </cfRule>
    <cfRule type="cellIs" dxfId="9088" priority="2055" stopIfTrue="1" operator="equal">
      <formula>"Towel"</formula>
    </cfRule>
    <cfRule type="cellIs" dxfId="9087" priority="2056" stopIfTrue="1" operator="equal">
      <formula>"Napkin Hs"</formula>
    </cfRule>
  </conditionalFormatting>
  <conditionalFormatting sqref="C127">
    <cfRule type="cellIs" dxfId="9086" priority="2057" stopIfTrue="1" operator="equal">
      <formula>"Towel"</formula>
    </cfRule>
    <cfRule type="cellIs" dxfId="9085" priority="2058" stopIfTrue="1" operator="equal">
      <formula>"Napkin Hs"</formula>
    </cfRule>
  </conditionalFormatting>
  <conditionalFormatting sqref="B132">
    <cfRule type="cellIs" dxfId="9084" priority="1958" stopIfTrue="1" operator="equal">
      <formula>"Towel"</formula>
    </cfRule>
    <cfRule type="cellIs" dxfId="9083" priority="1959" stopIfTrue="1" operator="equal">
      <formula>"Napkin Hs"</formula>
    </cfRule>
    <cfRule type="cellIs" dxfId="9082" priority="1960" stopIfTrue="1" operator="equal">
      <formula>"Towel"</formula>
    </cfRule>
    <cfRule type="cellIs" dxfId="9081" priority="1961" stopIfTrue="1" operator="equal">
      <formula>"Napkin Hs"</formula>
    </cfRule>
    <cfRule type="cellIs" dxfId="9080" priority="1962" stopIfTrue="1" operator="equal">
      <formula>"Towel"</formula>
    </cfRule>
    <cfRule type="cellIs" dxfId="9079" priority="1963" stopIfTrue="1" operator="equal">
      <formula>"Napkin Hs"</formula>
    </cfRule>
    <cfRule type="cellIs" dxfId="9078" priority="1964" stopIfTrue="1" operator="equal">
      <formula>"Towel"</formula>
    </cfRule>
    <cfRule type="cellIs" dxfId="9077" priority="1965" stopIfTrue="1" operator="equal">
      <formula>"Napkin Hs"</formula>
    </cfRule>
    <cfRule type="cellIs" dxfId="9076" priority="1966" stopIfTrue="1" operator="equal">
      <formula>"Towel"</formula>
    </cfRule>
    <cfRule type="cellIs" dxfId="9075" priority="1967" stopIfTrue="1" operator="equal">
      <formula>"Napkin Hs"</formula>
    </cfRule>
    <cfRule type="cellIs" dxfId="9074" priority="1968" stopIfTrue="1" operator="equal">
      <formula>"Towel"</formula>
    </cfRule>
    <cfRule type="cellIs" dxfId="9073" priority="1969" stopIfTrue="1" operator="equal">
      <formula>"Napkin Hs"</formula>
    </cfRule>
    <cfRule type="cellIs" dxfId="9072" priority="1970" stopIfTrue="1" operator="equal">
      <formula>"Towel"</formula>
    </cfRule>
    <cfRule type="cellIs" dxfId="9071" priority="1971" stopIfTrue="1" operator="equal">
      <formula>"Napkin Hs"</formula>
    </cfRule>
    <cfRule type="cellIs" dxfId="9070" priority="1972" stopIfTrue="1" operator="equal">
      <formula>"Towel"</formula>
    </cfRule>
    <cfRule type="cellIs" dxfId="9069" priority="1973" stopIfTrue="1" operator="equal">
      <formula>"Napkin Hs"</formula>
    </cfRule>
  </conditionalFormatting>
  <conditionalFormatting sqref="B132:C132">
    <cfRule type="cellIs" dxfId="9068" priority="1950" stopIfTrue="1" operator="equal">
      <formula>"Towel"</formula>
    </cfRule>
    <cfRule type="cellIs" dxfId="9067" priority="1951" stopIfTrue="1" operator="equal">
      <formula>"Napkin Hs"</formula>
    </cfRule>
  </conditionalFormatting>
  <conditionalFormatting sqref="B133:C133">
    <cfRule type="cellIs" dxfId="9066" priority="1974" stopIfTrue="1" operator="equal">
      <formula>"Napkin Hs"</formula>
    </cfRule>
  </conditionalFormatting>
  <conditionalFormatting sqref="C132">
    <cfRule type="cellIs" dxfId="9065" priority="1957" stopIfTrue="1" operator="equal">
      <formula>"Napkin Hs"</formula>
    </cfRule>
  </conditionalFormatting>
  <conditionalFormatting sqref="B133:C133 C132">
    <cfRule type="cellIs" dxfId="9064" priority="1956" stopIfTrue="1" operator="equal">
      <formula>"Towel"</formula>
    </cfRule>
  </conditionalFormatting>
  <conditionalFormatting sqref="C132">
    <cfRule type="cellIs" dxfId="9063" priority="1908" stopIfTrue="1" operator="equal">
      <formula>"Towel"</formula>
    </cfRule>
    <cfRule type="cellIs" dxfId="9062" priority="1909" stopIfTrue="1" operator="equal">
      <formula>"Napkin Hs"</formula>
    </cfRule>
    <cfRule type="cellIs" dxfId="9061" priority="1914" stopIfTrue="1" operator="equal">
      <formula>"Towel"</formula>
    </cfRule>
    <cfRule type="cellIs" dxfId="9060" priority="1915" stopIfTrue="1" operator="equal">
      <formula>"Napkin Hs"</formula>
    </cfRule>
    <cfRule type="cellIs" dxfId="9059" priority="1920" stopIfTrue="1" operator="equal">
      <formula>"Towel"</formula>
    </cfRule>
    <cfRule type="cellIs" dxfId="9058" priority="1921" stopIfTrue="1" operator="equal">
      <formula>"Napkin Hs"</formula>
    </cfRule>
    <cfRule type="cellIs" dxfId="9057" priority="1926" stopIfTrue="1" operator="equal">
      <formula>"Towel"</formula>
    </cfRule>
    <cfRule type="cellIs" dxfId="9056" priority="1927" stopIfTrue="1" operator="equal">
      <formula>"Napkin Hs"</formula>
    </cfRule>
    <cfRule type="cellIs" dxfId="9055" priority="1932" stopIfTrue="1" operator="equal">
      <formula>"Towel"</formula>
    </cfRule>
    <cfRule type="cellIs" dxfId="9054" priority="1933" stopIfTrue="1" operator="equal">
      <formula>"Napkin Hs"</formula>
    </cfRule>
    <cfRule type="cellIs" dxfId="9053" priority="1938" stopIfTrue="1" operator="equal">
      <formula>"Towel"</formula>
    </cfRule>
    <cfRule type="cellIs" dxfId="9052" priority="1939" stopIfTrue="1" operator="equal">
      <formula>"Napkin Hs"</formula>
    </cfRule>
    <cfRule type="cellIs" dxfId="9051" priority="1944" stopIfTrue="1" operator="equal">
      <formula>"Towel"</formula>
    </cfRule>
    <cfRule type="cellIs" dxfId="9050" priority="1945" stopIfTrue="1" operator="equal">
      <formula>"Napkin Hs"</formula>
    </cfRule>
  </conditionalFormatting>
  <conditionalFormatting sqref="C132">
    <cfRule type="cellIs" dxfId="9049" priority="1904" stopIfTrue="1" operator="equal">
      <formula>"Towel"</formula>
    </cfRule>
    <cfRule type="cellIs" dxfId="9048" priority="1905" stopIfTrue="1" operator="equal">
      <formula>"Napkin Hs"</formula>
    </cfRule>
    <cfRule type="cellIs" dxfId="9047" priority="1906" stopIfTrue="1" operator="equal">
      <formula>"Towel"</formula>
    </cfRule>
    <cfRule type="cellIs" dxfId="9046" priority="1907" stopIfTrue="1" operator="equal">
      <formula>"Napkin Hs"</formula>
    </cfRule>
    <cfRule type="cellIs" dxfId="9045" priority="1910" stopIfTrue="1" operator="equal">
      <formula>"Towel"</formula>
    </cfRule>
    <cfRule type="cellIs" dxfId="9044" priority="1911" stopIfTrue="1" operator="equal">
      <formula>"Napkin Hs"</formula>
    </cfRule>
    <cfRule type="cellIs" dxfId="9043" priority="1912" stopIfTrue="1" operator="equal">
      <formula>"Towel"</formula>
    </cfRule>
    <cfRule type="cellIs" dxfId="9042" priority="1913" stopIfTrue="1" operator="equal">
      <formula>"Napkin Hs"</formula>
    </cfRule>
    <cfRule type="cellIs" dxfId="9041" priority="1916" stopIfTrue="1" operator="equal">
      <formula>"Towel"</formula>
    </cfRule>
    <cfRule type="cellIs" dxfId="9040" priority="1917" stopIfTrue="1" operator="equal">
      <formula>"Napkin Hs"</formula>
    </cfRule>
    <cfRule type="cellIs" dxfId="9039" priority="1918" stopIfTrue="1" operator="equal">
      <formula>"Towel"</formula>
    </cfRule>
    <cfRule type="cellIs" dxfId="9038" priority="1919" stopIfTrue="1" operator="equal">
      <formula>"Napkin Hs"</formula>
    </cfRule>
    <cfRule type="cellIs" dxfId="9037" priority="1922" stopIfTrue="1" operator="equal">
      <formula>"Towel"</formula>
    </cfRule>
    <cfRule type="cellIs" dxfId="9036" priority="1923" stopIfTrue="1" operator="equal">
      <formula>"Napkin Hs"</formula>
    </cfRule>
    <cfRule type="cellIs" dxfId="9035" priority="1924" stopIfTrue="1" operator="equal">
      <formula>"Towel"</formula>
    </cfRule>
    <cfRule type="cellIs" dxfId="9034" priority="1925" stopIfTrue="1" operator="equal">
      <formula>"Napkin Hs"</formula>
    </cfRule>
    <cfRule type="cellIs" dxfId="9033" priority="1928" stopIfTrue="1" operator="equal">
      <formula>"Towel"</formula>
    </cfRule>
    <cfRule type="cellIs" dxfId="9032" priority="1929" stopIfTrue="1" operator="equal">
      <formula>"Napkin Hs"</formula>
    </cfRule>
    <cfRule type="cellIs" dxfId="9031" priority="1930" stopIfTrue="1" operator="equal">
      <formula>"Towel"</formula>
    </cfRule>
    <cfRule type="cellIs" dxfId="9030" priority="1931" stopIfTrue="1" operator="equal">
      <formula>"Napkin Hs"</formula>
    </cfRule>
    <cfRule type="cellIs" dxfId="9029" priority="1934" stopIfTrue="1" operator="equal">
      <formula>"Towel"</formula>
    </cfRule>
    <cfRule type="cellIs" dxfId="9028" priority="1935" stopIfTrue="1" operator="equal">
      <formula>"Napkin Hs"</formula>
    </cfRule>
    <cfRule type="cellIs" dxfId="9027" priority="1936" stopIfTrue="1" operator="equal">
      <formula>"Towel"</formula>
    </cfRule>
    <cfRule type="cellIs" dxfId="9026" priority="1937" stopIfTrue="1" operator="equal">
      <formula>"Napkin Hs"</formula>
    </cfRule>
    <cfRule type="cellIs" dxfId="9025" priority="1940" stopIfTrue="1" operator="equal">
      <formula>"Towel"</formula>
    </cfRule>
    <cfRule type="cellIs" dxfId="9024" priority="1941" stopIfTrue="1" operator="equal">
      <formula>"Napkin Hs"</formula>
    </cfRule>
    <cfRule type="cellIs" dxfId="9023" priority="1942" stopIfTrue="1" operator="equal">
      <formula>"Towel"</formula>
    </cfRule>
    <cfRule type="cellIs" dxfId="9022" priority="1943" stopIfTrue="1" operator="equal">
      <formula>"Napkin Hs"</formula>
    </cfRule>
    <cfRule type="cellIs" dxfId="9021" priority="1946" stopIfTrue="1" operator="equal">
      <formula>"Towel"</formula>
    </cfRule>
    <cfRule type="cellIs" dxfId="9020" priority="1947" stopIfTrue="1" operator="equal">
      <formula>"Napkin Hs"</formula>
    </cfRule>
    <cfRule type="cellIs" dxfId="9019" priority="1948" stopIfTrue="1" operator="equal">
      <formula>"Towel"</formula>
    </cfRule>
    <cfRule type="cellIs" dxfId="9018" priority="1949" stopIfTrue="1" operator="equal">
      <formula>"Napkin Hs"</formula>
    </cfRule>
    <cfRule type="cellIs" dxfId="9017" priority="1952" stopIfTrue="1" operator="equal">
      <formula>"Towel"</formula>
    </cfRule>
    <cfRule type="cellIs" dxfId="9016" priority="1953" stopIfTrue="1" operator="equal">
      <formula>"Napkin Hs"</formula>
    </cfRule>
  </conditionalFormatting>
  <conditionalFormatting sqref="C132:C133">
    <cfRule type="cellIs" dxfId="9015" priority="1954" stopIfTrue="1" operator="equal">
      <formula>"Towel"</formula>
    </cfRule>
    <cfRule type="cellIs" dxfId="9014" priority="1955" stopIfTrue="1" operator="equal">
      <formula>"Napkin Hs"</formula>
    </cfRule>
  </conditionalFormatting>
  <conditionalFormatting sqref="C133">
    <cfRule type="cellIs" dxfId="9013" priority="1975" stopIfTrue="1" operator="equal">
      <formula>"Towel"</formula>
    </cfRule>
    <cfRule type="cellIs" dxfId="9012" priority="1976" stopIfTrue="1" operator="equal">
      <formula>"Napkin Hs"</formula>
    </cfRule>
  </conditionalFormatting>
  <conditionalFormatting sqref="B133">
    <cfRule type="cellIs" dxfId="9011" priority="1800" stopIfTrue="1" operator="equal">
      <formula>"Towel"</formula>
    </cfRule>
    <cfRule type="cellIs" dxfId="9010" priority="1801" stopIfTrue="1" operator="equal">
      <formula>"Napkin Hs"</formula>
    </cfRule>
  </conditionalFormatting>
  <conditionalFormatting sqref="B132:C132">
    <cfRule type="cellIs" dxfId="9009" priority="1720" stopIfTrue="1" operator="equal">
      <formula>"Towel"</formula>
    </cfRule>
    <cfRule type="cellIs" dxfId="9008" priority="1721" stopIfTrue="1" operator="equal">
      <formula>"Napkin Hs"</formula>
    </cfRule>
    <cfRule type="cellIs" dxfId="9007" priority="1726" stopIfTrue="1" operator="equal">
      <formula>"Towel"</formula>
    </cfRule>
    <cfRule type="cellIs" dxfId="9006" priority="1727" stopIfTrue="1" operator="equal">
      <formula>"Napkin Hs"</formula>
    </cfRule>
    <cfRule type="cellIs" dxfId="9005" priority="1732" stopIfTrue="1" operator="equal">
      <formula>"Towel"</formula>
    </cfRule>
    <cfRule type="cellIs" dxfId="9004" priority="1733" stopIfTrue="1" operator="equal">
      <formula>"Napkin Hs"</formula>
    </cfRule>
    <cfRule type="cellIs" dxfId="9003" priority="1738" stopIfTrue="1" operator="equal">
      <formula>"Towel"</formula>
    </cfRule>
    <cfRule type="cellIs" dxfId="9002" priority="1739" stopIfTrue="1" operator="equal">
      <formula>"Napkin Hs"</formula>
    </cfRule>
    <cfRule type="cellIs" dxfId="9001" priority="1744" stopIfTrue="1" operator="equal">
      <formula>"Towel"</formula>
    </cfRule>
    <cfRule type="cellIs" dxfId="9000" priority="1745" stopIfTrue="1" operator="equal">
      <formula>"Napkin Hs"</formula>
    </cfRule>
    <cfRule type="cellIs" dxfId="8999" priority="1750" stopIfTrue="1" operator="equal">
      <formula>"Towel"</formula>
    </cfRule>
    <cfRule type="cellIs" dxfId="8998" priority="1751" stopIfTrue="1" operator="equal">
      <formula>"Napkin Hs"</formula>
    </cfRule>
    <cfRule type="cellIs" dxfId="8997" priority="1754" stopIfTrue="1" operator="equal">
      <formula>"Towel"</formula>
    </cfRule>
    <cfRule type="cellIs" dxfId="8996" priority="1755" stopIfTrue="1" operator="equal">
      <formula>"Napkin Hs"</formula>
    </cfRule>
    <cfRule type="cellIs" dxfId="8995" priority="1762" stopIfTrue="1" operator="equal">
      <formula>"Towel"</formula>
    </cfRule>
    <cfRule type="cellIs" dxfId="8994" priority="1763" stopIfTrue="1" operator="equal">
      <formula>"Napkin Hs"</formula>
    </cfRule>
    <cfRule type="cellIs" dxfId="8993" priority="1768" stopIfTrue="1" operator="equal">
      <formula>"Towel"</formula>
    </cfRule>
    <cfRule type="cellIs" dxfId="8992" priority="1769" stopIfTrue="1" operator="equal">
      <formula>"Napkin Hs"</formula>
    </cfRule>
    <cfRule type="cellIs" dxfId="8991" priority="1774" stopIfTrue="1" operator="equal">
      <formula>"Towel"</formula>
    </cfRule>
    <cfRule type="cellIs" dxfId="8990" priority="1775" stopIfTrue="1" operator="equal">
      <formula>"Napkin Hs"</formula>
    </cfRule>
    <cfRule type="cellIs" dxfId="8989" priority="1780" stopIfTrue="1" operator="equal">
      <formula>"Towel"</formula>
    </cfRule>
    <cfRule type="cellIs" dxfId="8988" priority="1781" stopIfTrue="1" operator="equal">
      <formula>"Napkin Hs"</formula>
    </cfRule>
    <cfRule type="cellIs" dxfId="8987" priority="1786" stopIfTrue="1" operator="equal">
      <formula>"Towel"</formula>
    </cfRule>
    <cfRule type="cellIs" dxfId="8986" priority="1787" stopIfTrue="1" operator="equal">
      <formula>"Napkin Hs"</formula>
    </cfRule>
    <cfRule type="cellIs" dxfId="8985" priority="1792" stopIfTrue="1" operator="equal">
      <formula>"Towel"</formula>
    </cfRule>
    <cfRule type="cellIs" dxfId="8984" priority="1793" stopIfTrue="1" operator="equal">
      <formula>"Napkin Hs"</formula>
    </cfRule>
    <cfRule type="cellIs" dxfId="8983" priority="1798" stopIfTrue="1" operator="equal">
      <formula>"Towel"</formula>
    </cfRule>
    <cfRule type="cellIs" dxfId="8982" priority="1799" stopIfTrue="1" operator="equal">
      <formula>"Napkin Hs"</formula>
    </cfRule>
  </conditionalFormatting>
  <conditionalFormatting sqref="B133:C133">
    <cfRule type="cellIs" dxfId="8981" priority="1860" stopIfTrue="1" operator="equal">
      <formula>"Towel"</formula>
    </cfRule>
    <cfRule type="cellIs" dxfId="8980" priority="1861" stopIfTrue="1" operator="equal">
      <formula>"Napkin Hs"</formula>
    </cfRule>
    <cfRule type="cellIs" dxfId="8979" priority="1866" stopIfTrue="1" operator="equal">
      <formula>"Towel"</formula>
    </cfRule>
    <cfRule type="cellIs" dxfId="8978" priority="1867" stopIfTrue="1" operator="equal">
      <formula>"Napkin Hs"</formula>
    </cfRule>
    <cfRule type="cellIs" dxfId="8977" priority="1872" stopIfTrue="1" operator="equal">
      <formula>"Towel"</formula>
    </cfRule>
    <cfRule type="cellIs" dxfId="8976" priority="1873" stopIfTrue="1" operator="equal">
      <formula>"Napkin Hs"</formula>
    </cfRule>
    <cfRule type="cellIs" dxfId="8975" priority="1878" stopIfTrue="1" operator="equal">
      <formula>"Towel"</formula>
    </cfRule>
    <cfRule type="cellIs" dxfId="8974" priority="1879" stopIfTrue="1" operator="equal">
      <formula>"Napkin Hs"</formula>
    </cfRule>
    <cfRule type="cellIs" dxfId="8973" priority="1884" stopIfTrue="1" operator="equal">
      <formula>"Towel"</formula>
    </cfRule>
    <cfRule type="cellIs" dxfId="8972" priority="1885" stopIfTrue="1" operator="equal">
      <formula>"Napkin Hs"</formula>
    </cfRule>
    <cfRule type="cellIs" dxfId="8971" priority="1890" stopIfTrue="1" operator="equal">
      <formula>"Towel"</formula>
    </cfRule>
    <cfRule type="cellIs" dxfId="8970" priority="1891" stopIfTrue="1" operator="equal">
      <formula>"Napkin Hs"</formula>
    </cfRule>
    <cfRule type="cellIs" dxfId="8969" priority="1896" stopIfTrue="1" operator="equal">
      <formula>"Towel"</formula>
    </cfRule>
    <cfRule type="cellIs" dxfId="8968" priority="1897" stopIfTrue="1" operator="equal">
      <formula>"Napkin Hs"</formula>
    </cfRule>
    <cfRule type="cellIs" dxfId="8967" priority="1902" stopIfTrue="1" operator="equal">
      <formula>"Towel"</formula>
    </cfRule>
    <cfRule type="cellIs" dxfId="8966" priority="1903" stopIfTrue="1" operator="equal">
      <formula>"Napkin Hs"</formula>
    </cfRule>
  </conditionalFormatting>
  <conditionalFormatting sqref="B133:C133">
    <cfRule type="cellIs" dxfId="8965" priority="1802" stopIfTrue="1" operator="equal">
      <formula>"Towel"</formula>
    </cfRule>
    <cfRule type="cellIs" dxfId="8964" priority="1803" stopIfTrue="1" operator="equal">
      <formula>"Napkin Hs"</formula>
    </cfRule>
    <cfRule type="cellIs" dxfId="8963" priority="1818" stopIfTrue="1" operator="equal">
      <formula>"Towel"</formula>
    </cfRule>
    <cfRule type="cellIs" dxfId="8962" priority="1819" stopIfTrue="1" operator="equal">
      <formula>"Napkin Hs"</formula>
    </cfRule>
    <cfRule type="cellIs" dxfId="8961" priority="1824" stopIfTrue="1" operator="equal">
      <formula>"Towel"</formula>
    </cfRule>
    <cfRule type="cellIs" dxfId="8960" priority="1825" stopIfTrue="1" operator="equal">
      <formula>"Napkin Hs"</formula>
    </cfRule>
    <cfRule type="cellIs" dxfId="8959" priority="1830" stopIfTrue="1" operator="equal">
      <formula>"Towel"</formula>
    </cfRule>
    <cfRule type="cellIs" dxfId="8958" priority="1831" stopIfTrue="1" operator="equal">
      <formula>"Napkin Hs"</formula>
    </cfRule>
    <cfRule type="cellIs" dxfId="8957" priority="1836" stopIfTrue="1" operator="equal">
      <formula>"Towel"</formula>
    </cfRule>
    <cfRule type="cellIs" dxfId="8956" priority="1837" stopIfTrue="1" operator="equal">
      <formula>"Napkin Hs"</formula>
    </cfRule>
    <cfRule type="cellIs" dxfId="8955" priority="1842" stopIfTrue="1" operator="equal">
      <formula>"Towel"</formula>
    </cfRule>
    <cfRule type="cellIs" dxfId="8954" priority="1843" stopIfTrue="1" operator="equal">
      <formula>"Napkin Hs"</formula>
    </cfRule>
    <cfRule type="cellIs" dxfId="8953" priority="1848" stopIfTrue="1" operator="equal">
      <formula>"Towel"</formula>
    </cfRule>
    <cfRule type="cellIs" dxfId="8952" priority="1849" stopIfTrue="1" operator="equal">
      <formula>"Napkin Hs"</formula>
    </cfRule>
    <cfRule type="cellIs" dxfId="8951" priority="1854" stopIfTrue="1" operator="equal">
      <formula>"Towel"</formula>
    </cfRule>
    <cfRule type="cellIs" dxfId="8950" priority="1855" stopIfTrue="1" operator="equal">
      <formula>"Napkin Hs"</formula>
    </cfRule>
  </conditionalFormatting>
  <conditionalFormatting sqref="C132">
    <cfRule type="cellIs" dxfId="8949" priority="1716" stopIfTrue="1" operator="equal">
      <formula>"Towel"</formula>
    </cfRule>
    <cfRule type="cellIs" dxfId="8948" priority="1717" stopIfTrue="1" operator="equal">
      <formula>"Napkin Hs"</formula>
    </cfRule>
    <cfRule type="cellIs" dxfId="8947" priority="1718" stopIfTrue="1" operator="equal">
      <formula>"Towel"</formula>
    </cfRule>
    <cfRule type="cellIs" dxfId="8946" priority="1719" stopIfTrue="1" operator="equal">
      <formula>"Napkin Hs"</formula>
    </cfRule>
    <cfRule type="cellIs" dxfId="8945" priority="1722" stopIfTrue="1" operator="equal">
      <formula>"Towel"</formula>
    </cfRule>
    <cfRule type="cellIs" dxfId="8944" priority="1723" stopIfTrue="1" operator="equal">
      <formula>"Napkin Hs"</formula>
    </cfRule>
    <cfRule type="cellIs" dxfId="8943" priority="1724" stopIfTrue="1" operator="equal">
      <formula>"Towel"</formula>
    </cfRule>
    <cfRule type="cellIs" dxfId="8942" priority="1725" stopIfTrue="1" operator="equal">
      <formula>"Napkin Hs"</formula>
    </cfRule>
    <cfRule type="cellIs" dxfId="8941" priority="1728" stopIfTrue="1" operator="equal">
      <formula>"Towel"</formula>
    </cfRule>
    <cfRule type="cellIs" dxfId="8940" priority="1729" stopIfTrue="1" operator="equal">
      <formula>"Napkin Hs"</formula>
    </cfRule>
    <cfRule type="cellIs" dxfId="8939" priority="1730" stopIfTrue="1" operator="equal">
      <formula>"Towel"</formula>
    </cfRule>
    <cfRule type="cellIs" dxfId="8938" priority="1731" stopIfTrue="1" operator="equal">
      <formula>"Napkin Hs"</formula>
    </cfRule>
    <cfRule type="cellIs" dxfId="8937" priority="1734" stopIfTrue="1" operator="equal">
      <formula>"Towel"</formula>
    </cfRule>
    <cfRule type="cellIs" dxfId="8936" priority="1735" stopIfTrue="1" operator="equal">
      <formula>"Napkin Hs"</formula>
    </cfRule>
    <cfRule type="cellIs" dxfId="8935" priority="1736" stopIfTrue="1" operator="equal">
      <formula>"Towel"</formula>
    </cfRule>
    <cfRule type="cellIs" dxfId="8934" priority="1737" stopIfTrue="1" operator="equal">
      <formula>"Napkin Hs"</formula>
    </cfRule>
    <cfRule type="cellIs" dxfId="8933" priority="1740" stopIfTrue="1" operator="equal">
      <formula>"Towel"</formula>
    </cfRule>
    <cfRule type="cellIs" dxfId="8932" priority="1741" stopIfTrue="1" operator="equal">
      <formula>"Napkin Hs"</formula>
    </cfRule>
    <cfRule type="cellIs" dxfId="8931" priority="1742" stopIfTrue="1" operator="equal">
      <formula>"Towel"</formula>
    </cfRule>
    <cfRule type="cellIs" dxfId="8930" priority="1743" stopIfTrue="1" operator="equal">
      <formula>"Napkin Hs"</formula>
    </cfRule>
    <cfRule type="cellIs" dxfId="8929" priority="1746" stopIfTrue="1" operator="equal">
      <formula>"Towel"</formula>
    </cfRule>
    <cfRule type="cellIs" dxfId="8928" priority="1747" stopIfTrue="1" operator="equal">
      <formula>"Napkin Hs"</formula>
    </cfRule>
    <cfRule type="cellIs" dxfId="8927" priority="1748" stopIfTrue="1" operator="equal">
      <formula>"Towel"</formula>
    </cfRule>
    <cfRule type="cellIs" dxfId="8926" priority="1749" stopIfTrue="1" operator="equal">
      <formula>"Napkin Hs"</formula>
    </cfRule>
    <cfRule type="cellIs" dxfId="8925" priority="1752" stopIfTrue="1" operator="equal">
      <formula>"Towel"</formula>
    </cfRule>
    <cfRule type="cellIs" dxfId="8924" priority="1753" stopIfTrue="1" operator="equal">
      <formula>"Napkin Hs"</formula>
    </cfRule>
    <cfRule type="cellIs" dxfId="8923" priority="1756" stopIfTrue="1" operator="equal">
      <formula>"Towel"</formula>
    </cfRule>
    <cfRule type="cellIs" dxfId="8922" priority="1757" stopIfTrue="1" operator="equal">
      <formula>"Napkin Hs"</formula>
    </cfRule>
    <cfRule type="cellIs" dxfId="8921" priority="1758" stopIfTrue="1" operator="equal">
      <formula>"Towel"</formula>
    </cfRule>
    <cfRule type="cellIs" dxfId="8920" priority="1759" stopIfTrue="1" operator="equal">
      <formula>"Napkin Hs"</formula>
    </cfRule>
    <cfRule type="cellIs" dxfId="8919" priority="1760" stopIfTrue="1" operator="equal">
      <formula>"Towel"</formula>
    </cfRule>
    <cfRule type="cellIs" dxfId="8918" priority="1761" stopIfTrue="1" operator="equal">
      <formula>"Napkin Hs"</formula>
    </cfRule>
    <cfRule type="cellIs" dxfId="8917" priority="1764" stopIfTrue="1" operator="equal">
      <formula>"Towel"</formula>
    </cfRule>
    <cfRule type="cellIs" dxfId="8916" priority="1765" stopIfTrue="1" operator="equal">
      <formula>"Napkin Hs"</formula>
    </cfRule>
    <cfRule type="cellIs" dxfId="8915" priority="1766" stopIfTrue="1" operator="equal">
      <formula>"Towel"</formula>
    </cfRule>
    <cfRule type="cellIs" dxfId="8914" priority="1767" stopIfTrue="1" operator="equal">
      <formula>"Napkin Hs"</formula>
    </cfRule>
    <cfRule type="cellIs" dxfId="8913" priority="1770" stopIfTrue="1" operator="equal">
      <formula>"Towel"</formula>
    </cfRule>
    <cfRule type="cellIs" dxfId="8912" priority="1771" stopIfTrue="1" operator="equal">
      <formula>"Napkin Hs"</formula>
    </cfRule>
    <cfRule type="cellIs" dxfId="8911" priority="1772" stopIfTrue="1" operator="equal">
      <formula>"Towel"</formula>
    </cfRule>
    <cfRule type="cellIs" dxfId="8910" priority="1773" stopIfTrue="1" operator="equal">
      <formula>"Napkin Hs"</formula>
    </cfRule>
    <cfRule type="cellIs" dxfId="8909" priority="1776" stopIfTrue="1" operator="equal">
      <formula>"Towel"</formula>
    </cfRule>
    <cfRule type="cellIs" dxfId="8908" priority="1777" stopIfTrue="1" operator="equal">
      <formula>"Napkin Hs"</formula>
    </cfRule>
    <cfRule type="cellIs" dxfId="8907" priority="1778" stopIfTrue="1" operator="equal">
      <formula>"Towel"</formula>
    </cfRule>
    <cfRule type="cellIs" dxfId="8906" priority="1779" stopIfTrue="1" operator="equal">
      <formula>"Napkin Hs"</formula>
    </cfRule>
    <cfRule type="cellIs" dxfId="8905" priority="1782" stopIfTrue="1" operator="equal">
      <formula>"Towel"</formula>
    </cfRule>
    <cfRule type="cellIs" dxfId="8904" priority="1783" stopIfTrue="1" operator="equal">
      <formula>"Napkin Hs"</formula>
    </cfRule>
    <cfRule type="cellIs" dxfId="8903" priority="1784" stopIfTrue="1" operator="equal">
      <formula>"Towel"</formula>
    </cfRule>
    <cfRule type="cellIs" dxfId="8902" priority="1785" stopIfTrue="1" operator="equal">
      <formula>"Napkin Hs"</formula>
    </cfRule>
    <cfRule type="cellIs" dxfId="8901" priority="1788" stopIfTrue="1" operator="equal">
      <formula>"Towel"</formula>
    </cfRule>
    <cfRule type="cellIs" dxfId="8900" priority="1789" stopIfTrue="1" operator="equal">
      <formula>"Napkin Hs"</formula>
    </cfRule>
    <cfRule type="cellIs" dxfId="8899" priority="1790" stopIfTrue="1" operator="equal">
      <formula>"Towel"</formula>
    </cfRule>
    <cfRule type="cellIs" dxfId="8898" priority="1791" stopIfTrue="1" operator="equal">
      <formula>"Napkin Hs"</formula>
    </cfRule>
    <cfRule type="cellIs" dxfId="8897" priority="1794" stopIfTrue="1" operator="equal">
      <formula>"Towel"</formula>
    </cfRule>
    <cfRule type="cellIs" dxfId="8896" priority="1795" stopIfTrue="1" operator="equal">
      <formula>"Napkin Hs"</formula>
    </cfRule>
  </conditionalFormatting>
  <conditionalFormatting sqref="C132">
    <cfRule type="cellIs" dxfId="8895" priority="1796" stopIfTrue="1" operator="equal">
      <formula>"Towel"</formula>
    </cfRule>
    <cfRule type="cellIs" dxfId="8894" priority="1797" stopIfTrue="1" operator="equal">
      <formula>"Napkin Hs"</formula>
    </cfRule>
  </conditionalFormatting>
  <conditionalFormatting sqref="C133">
    <cfRule type="cellIs" dxfId="8893" priority="1856" stopIfTrue="1" operator="equal">
      <formula>"Towel"</formula>
    </cfRule>
    <cfRule type="cellIs" dxfId="8892" priority="1857" stopIfTrue="1" operator="equal">
      <formula>"Napkin Hs"</formula>
    </cfRule>
    <cfRule type="cellIs" dxfId="8891" priority="1858" stopIfTrue="1" operator="equal">
      <formula>"Towel"</formula>
    </cfRule>
    <cfRule type="cellIs" dxfId="8890" priority="1859" stopIfTrue="1" operator="equal">
      <formula>"Napkin Hs"</formula>
    </cfRule>
    <cfRule type="cellIs" dxfId="8889" priority="1862" stopIfTrue="1" operator="equal">
      <formula>"Towel"</formula>
    </cfRule>
    <cfRule type="cellIs" dxfId="8888" priority="1863" stopIfTrue="1" operator="equal">
      <formula>"Napkin Hs"</formula>
    </cfRule>
    <cfRule type="cellIs" dxfId="8887" priority="1864" stopIfTrue="1" operator="equal">
      <formula>"Towel"</formula>
    </cfRule>
    <cfRule type="cellIs" dxfId="8886" priority="1865" stopIfTrue="1" operator="equal">
      <formula>"Napkin Hs"</formula>
    </cfRule>
    <cfRule type="cellIs" dxfId="8885" priority="1868" stopIfTrue="1" operator="equal">
      <formula>"Towel"</formula>
    </cfRule>
    <cfRule type="cellIs" dxfId="8884" priority="1869" stopIfTrue="1" operator="equal">
      <formula>"Napkin Hs"</formula>
    </cfRule>
    <cfRule type="cellIs" dxfId="8883" priority="1870" stopIfTrue="1" operator="equal">
      <formula>"Towel"</formula>
    </cfRule>
    <cfRule type="cellIs" dxfId="8882" priority="1871" stopIfTrue="1" operator="equal">
      <formula>"Napkin Hs"</formula>
    </cfRule>
    <cfRule type="cellIs" dxfId="8881" priority="1874" stopIfTrue="1" operator="equal">
      <formula>"Towel"</formula>
    </cfRule>
    <cfRule type="cellIs" dxfId="8880" priority="1875" stopIfTrue="1" operator="equal">
      <formula>"Napkin Hs"</formula>
    </cfRule>
    <cfRule type="cellIs" dxfId="8879" priority="1876" stopIfTrue="1" operator="equal">
      <formula>"Towel"</formula>
    </cfRule>
    <cfRule type="cellIs" dxfId="8878" priority="1877" stopIfTrue="1" operator="equal">
      <formula>"Napkin Hs"</formula>
    </cfRule>
    <cfRule type="cellIs" dxfId="8877" priority="1880" stopIfTrue="1" operator="equal">
      <formula>"Towel"</formula>
    </cfRule>
    <cfRule type="cellIs" dxfId="8876" priority="1881" stopIfTrue="1" operator="equal">
      <formula>"Napkin Hs"</formula>
    </cfRule>
    <cfRule type="cellIs" dxfId="8875" priority="1882" stopIfTrue="1" operator="equal">
      <formula>"Towel"</formula>
    </cfRule>
    <cfRule type="cellIs" dxfId="8874" priority="1883" stopIfTrue="1" operator="equal">
      <formula>"Napkin Hs"</formula>
    </cfRule>
    <cfRule type="cellIs" dxfId="8873" priority="1886" stopIfTrue="1" operator="equal">
      <formula>"Towel"</formula>
    </cfRule>
    <cfRule type="cellIs" dxfId="8872" priority="1887" stopIfTrue="1" operator="equal">
      <formula>"Napkin Hs"</formula>
    </cfRule>
    <cfRule type="cellIs" dxfId="8871" priority="1888" stopIfTrue="1" operator="equal">
      <formula>"Towel"</formula>
    </cfRule>
    <cfRule type="cellIs" dxfId="8870" priority="1889" stopIfTrue="1" operator="equal">
      <formula>"Napkin Hs"</formula>
    </cfRule>
    <cfRule type="cellIs" dxfId="8869" priority="1892" stopIfTrue="1" operator="equal">
      <formula>"Towel"</formula>
    </cfRule>
    <cfRule type="cellIs" dxfId="8868" priority="1893" stopIfTrue="1" operator="equal">
      <formula>"Napkin Hs"</formula>
    </cfRule>
    <cfRule type="cellIs" dxfId="8867" priority="1894" stopIfTrue="1" operator="equal">
      <formula>"Towel"</formula>
    </cfRule>
    <cfRule type="cellIs" dxfId="8866" priority="1895" stopIfTrue="1" operator="equal">
      <formula>"Napkin Hs"</formula>
    </cfRule>
    <cfRule type="cellIs" dxfId="8865" priority="1898" stopIfTrue="1" operator="equal">
      <formula>"Towel"</formula>
    </cfRule>
    <cfRule type="cellIs" dxfId="8864" priority="1899" stopIfTrue="1" operator="equal">
      <formula>"Napkin Hs"</formula>
    </cfRule>
  </conditionalFormatting>
  <conditionalFormatting sqref="C133">
    <cfRule type="cellIs" dxfId="8863" priority="1804" stopIfTrue="1" operator="equal">
      <formula>"Towel"</formula>
    </cfRule>
    <cfRule type="cellIs" dxfId="8862" priority="1805" stopIfTrue="1" operator="equal">
      <formula>"Napkin Hs"</formula>
    </cfRule>
    <cfRule type="cellIs" dxfId="8861" priority="1806" stopIfTrue="1" operator="equal">
      <formula>"Towel"</formula>
    </cfRule>
    <cfRule type="cellIs" dxfId="8860" priority="1807" stopIfTrue="1" operator="equal">
      <formula>"Napkin Hs"</formula>
    </cfRule>
    <cfRule type="cellIs" dxfId="8859" priority="1808" stopIfTrue="1" operator="equal">
      <formula>"Towel"</formula>
    </cfRule>
    <cfRule type="cellIs" dxfId="8858" priority="1809" stopIfTrue="1" operator="equal">
      <formula>"Napkin Hs"</formula>
    </cfRule>
    <cfRule type="cellIs" dxfId="8857" priority="1810" stopIfTrue="1" operator="equal">
      <formula>"Towel"</formula>
    </cfRule>
    <cfRule type="cellIs" dxfId="8856" priority="1811" stopIfTrue="1" operator="equal">
      <formula>"Napkin Hs"</formula>
    </cfRule>
    <cfRule type="cellIs" dxfId="8855" priority="1812" stopIfTrue="1" operator="equal">
      <formula>"Towel"</formula>
    </cfRule>
    <cfRule type="cellIs" dxfId="8854" priority="1813" stopIfTrue="1" operator="equal">
      <formula>"Napkin Hs"</formula>
    </cfRule>
    <cfRule type="cellIs" dxfId="8853" priority="1814" stopIfTrue="1" operator="equal">
      <formula>"Towel"</formula>
    </cfRule>
    <cfRule type="cellIs" dxfId="8852" priority="1815" stopIfTrue="1" operator="equal">
      <formula>"Napkin Hs"</formula>
    </cfRule>
    <cfRule type="cellIs" dxfId="8851" priority="1816" stopIfTrue="1" operator="equal">
      <formula>"Towel"</formula>
    </cfRule>
    <cfRule type="cellIs" dxfId="8850" priority="1817" stopIfTrue="1" operator="equal">
      <formula>"Napkin Hs"</formula>
    </cfRule>
    <cfRule type="cellIs" dxfId="8849" priority="1820" stopIfTrue="1" operator="equal">
      <formula>"Towel"</formula>
    </cfRule>
    <cfRule type="cellIs" dxfId="8848" priority="1821" stopIfTrue="1" operator="equal">
      <formula>"Napkin Hs"</formula>
    </cfRule>
    <cfRule type="cellIs" dxfId="8847" priority="1822" stopIfTrue="1" operator="equal">
      <formula>"Towel"</formula>
    </cfRule>
    <cfRule type="cellIs" dxfId="8846" priority="1823" stopIfTrue="1" operator="equal">
      <formula>"Napkin Hs"</formula>
    </cfRule>
    <cfRule type="cellIs" dxfId="8845" priority="1826" stopIfTrue="1" operator="equal">
      <formula>"Towel"</formula>
    </cfRule>
    <cfRule type="cellIs" dxfId="8844" priority="1827" stopIfTrue="1" operator="equal">
      <formula>"Napkin Hs"</formula>
    </cfRule>
    <cfRule type="cellIs" dxfId="8843" priority="1828" stopIfTrue="1" operator="equal">
      <formula>"Towel"</formula>
    </cfRule>
    <cfRule type="cellIs" dxfId="8842" priority="1829" stopIfTrue="1" operator="equal">
      <formula>"Napkin Hs"</formula>
    </cfRule>
    <cfRule type="cellIs" dxfId="8841" priority="1832" stopIfTrue="1" operator="equal">
      <formula>"Towel"</formula>
    </cfRule>
    <cfRule type="cellIs" dxfId="8840" priority="1833" stopIfTrue="1" operator="equal">
      <formula>"Napkin Hs"</formula>
    </cfRule>
    <cfRule type="cellIs" dxfId="8839" priority="1834" stopIfTrue="1" operator="equal">
      <formula>"Towel"</formula>
    </cfRule>
    <cfRule type="cellIs" dxfId="8838" priority="1835" stopIfTrue="1" operator="equal">
      <formula>"Napkin Hs"</formula>
    </cfRule>
    <cfRule type="cellIs" dxfId="8837" priority="1838" stopIfTrue="1" operator="equal">
      <formula>"Towel"</formula>
    </cfRule>
    <cfRule type="cellIs" dxfId="8836" priority="1839" stopIfTrue="1" operator="equal">
      <formula>"Napkin Hs"</formula>
    </cfRule>
    <cfRule type="cellIs" dxfId="8835" priority="1840" stopIfTrue="1" operator="equal">
      <formula>"Towel"</formula>
    </cfRule>
    <cfRule type="cellIs" dxfId="8834" priority="1841" stopIfTrue="1" operator="equal">
      <formula>"Napkin Hs"</formula>
    </cfRule>
    <cfRule type="cellIs" dxfId="8833" priority="1844" stopIfTrue="1" operator="equal">
      <formula>"Towel"</formula>
    </cfRule>
    <cfRule type="cellIs" dxfId="8832" priority="1845" stopIfTrue="1" operator="equal">
      <formula>"Napkin Hs"</formula>
    </cfRule>
    <cfRule type="cellIs" dxfId="8831" priority="1846" stopIfTrue="1" operator="equal">
      <formula>"Towel"</formula>
    </cfRule>
    <cfRule type="cellIs" dxfId="8830" priority="1847" stopIfTrue="1" operator="equal">
      <formula>"Napkin Hs"</formula>
    </cfRule>
    <cfRule type="cellIs" dxfId="8829" priority="1850" stopIfTrue="1" operator="equal">
      <formula>"Towel"</formula>
    </cfRule>
    <cfRule type="cellIs" dxfId="8828" priority="1851" stopIfTrue="1" operator="equal">
      <formula>"Napkin Hs"</formula>
    </cfRule>
    <cfRule type="cellIs" dxfId="8827" priority="1852" stopIfTrue="1" operator="equal">
      <formula>"Towel"</formula>
    </cfRule>
    <cfRule type="cellIs" dxfId="8826" priority="1853" stopIfTrue="1" operator="equal">
      <formula>"Napkin Hs"</formula>
    </cfRule>
    <cfRule type="cellIs" dxfId="8825" priority="1900" stopIfTrue="1" operator="equal">
      <formula>"Towel"</formula>
    </cfRule>
    <cfRule type="cellIs" dxfId="8824" priority="1901" stopIfTrue="1" operator="equal">
      <formula>"Napkin Hs"</formula>
    </cfRule>
  </conditionalFormatting>
  <conditionalFormatting sqref="B131">
    <cfRule type="cellIs" dxfId="8823" priority="1700" stopIfTrue="1" operator="equal">
      <formula>"Towel"</formula>
    </cfRule>
    <cfRule type="cellIs" dxfId="8822" priority="1701" stopIfTrue="1" operator="equal">
      <formula>"Napkin Hs"</formula>
    </cfRule>
    <cfRule type="cellIs" dxfId="8821" priority="1702" stopIfTrue="1" operator="equal">
      <formula>"Towel"</formula>
    </cfRule>
    <cfRule type="cellIs" dxfId="8820" priority="1703" stopIfTrue="1" operator="equal">
      <formula>"Napkin Hs"</formula>
    </cfRule>
    <cfRule type="cellIs" dxfId="8819" priority="1704" stopIfTrue="1" operator="equal">
      <formula>"Towel"</formula>
    </cfRule>
    <cfRule type="cellIs" dxfId="8818" priority="1705" stopIfTrue="1" operator="equal">
      <formula>"Napkin Hs"</formula>
    </cfRule>
    <cfRule type="cellIs" dxfId="8817" priority="1706" stopIfTrue="1" operator="equal">
      <formula>"Towel"</formula>
    </cfRule>
    <cfRule type="cellIs" dxfId="8816" priority="1707" stopIfTrue="1" operator="equal">
      <formula>"Napkin Hs"</formula>
    </cfRule>
    <cfRule type="cellIs" dxfId="8815" priority="1708" stopIfTrue="1" operator="equal">
      <formula>"Towel"</formula>
    </cfRule>
    <cfRule type="cellIs" dxfId="8814" priority="1709" stopIfTrue="1" operator="equal">
      <formula>"Napkin Hs"</formula>
    </cfRule>
    <cfRule type="cellIs" dxfId="8813" priority="1710" stopIfTrue="1" operator="equal">
      <formula>"Towel"</formula>
    </cfRule>
    <cfRule type="cellIs" dxfId="8812" priority="1711" stopIfTrue="1" operator="equal">
      <formula>"Napkin Hs"</formula>
    </cfRule>
    <cfRule type="cellIs" dxfId="8811" priority="1712" stopIfTrue="1" operator="equal">
      <formula>"Towel"</formula>
    </cfRule>
    <cfRule type="cellIs" dxfId="8810" priority="1713" stopIfTrue="1" operator="equal">
      <formula>"Napkin Hs"</formula>
    </cfRule>
    <cfRule type="cellIs" dxfId="8809" priority="1714" stopIfTrue="1" operator="equal">
      <formula>"Towel"</formula>
    </cfRule>
    <cfRule type="cellIs" dxfId="8808" priority="1715" stopIfTrue="1" operator="equal">
      <formula>"Napkin Hs"</formula>
    </cfRule>
  </conditionalFormatting>
  <conditionalFormatting sqref="B131:C131">
    <cfRule type="cellIs" dxfId="8807" priority="1692" stopIfTrue="1" operator="equal">
      <formula>"Towel"</formula>
    </cfRule>
    <cfRule type="cellIs" dxfId="8806" priority="1693" stopIfTrue="1" operator="equal">
      <formula>"Napkin Hs"</formula>
    </cfRule>
  </conditionalFormatting>
  <conditionalFormatting sqref="C131">
    <cfRule type="cellIs" dxfId="8805" priority="1699" stopIfTrue="1" operator="equal">
      <formula>"Napkin Hs"</formula>
    </cfRule>
  </conditionalFormatting>
  <conditionalFormatting sqref="C131">
    <cfRule type="cellIs" dxfId="8804" priority="1698" stopIfTrue="1" operator="equal">
      <formula>"Towel"</formula>
    </cfRule>
  </conditionalFormatting>
  <conditionalFormatting sqref="C131">
    <cfRule type="cellIs" dxfId="8803" priority="1650" stopIfTrue="1" operator="equal">
      <formula>"Towel"</formula>
    </cfRule>
    <cfRule type="cellIs" dxfId="8802" priority="1651" stopIfTrue="1" operator="equal">
      <formula>"Napkin Hs"</formula>
    </cfRule>
    <cfRule type="cellIs" dxfId="8801" priority="1656" stopIfTrue="1" operator="equal">
      <formula>"Towel"</formula>
    </cfRule>
    <cfRule type="cellIs" dxfId="8800" priority="1657" stopIfTrue="1" operator="equal">
      <formula>"Napkin Hs"</formula>
    </cfRule>
    <cfRule type="cellIs" dxfId="8799" priority="1662" stopIfTrue="1" operator="equal">
      <formula>"Towel"</formula>
    </cfRule>
    <cfRule type="cellIs" dxfId="8798" priority="1663" stopIfTrue="1" operator="equal">
      <formula>"Napkin Hs"</formula>
    </cfRule>
    <cfRule type="cellIs" dxfId="8797" priority="1668" stopIfTrue="1" operator="equal">
      <formula>"Towel"</formula>
    </cfRule>
    <cfRule type="cellIs" dxfId="8796" priority="1669" stopIfTrue="1" operator="equal">
      <formula>"Napkin Hs"</formula>
    </cfRule>
    <cfRule type="cellIs" dxfId="8795" priority="1674" stopIfTrue="1" operator="equal">
      <formula>"Towel"</formula>
    </cfRule>
    <cfRule type="cellIs" dxfId="8794" priority="1675" stopIfTrue="1" operator="equal">
      <formula>"Napkin Hs"</formula>
    </cfRule>
    <cfRule type="cellIs" dxfId="8793" priority="1680" stopIfTrue="1" operator="equal">
      <formula>"Towel"</formula>
    </cfRule>
    <cfRule type="cellIs" dxfId="8792" priority="1681" stopIfTrue="1" operator="equal">
      <formula>"Napkin Hs"</formula>
    </cfRule>
    <cfRule type="cellIs" dxfId="8791" priority="1686" stopIfTrue="1" operator="equal">
      <formula>"Towel"</formula>
    </cfRule>
    <cfRule type="cellIs" dxfId="8790" priority="1687" stopIfTrue="1" operator="equal">
      <formula>"Napkin Hs"</formula>
    </cfRule>
  </conditionalFormatting>
  <conditionalFormatting sqref="C131">
    <cfRule type="cellIs" dxfId="8789" priority="1646" stopIfTrue="1" operator="equal">
      <formula>"Towel"</formula>
    </cfRule>
    <cfRule type="cellIs" dxfId="8788" priority="1647" stopIfTrue="1" operator="equal">
      <formula>"Napkin Hs"</formula>
    </cfRule>
    <cfRule type="cellIs" dxfId="8787" priority="1648" stopIfTrue="1" operator="equal">
      <formula>"Towel"</formula>
    </cfRule>
    <cfRule type="cellIs" dxfId="8786" priority="1649" stopIfTrue="1" operator="equal">
      <formula>"Napkin Hs"</formula>
    </cfRule>
    <cfRule type="cellIs" dxfId="8785" priority="1652" stopIfTrue="1" operator="equal">
      <formula>"Towel"</formula>
    </cfRule>
    <cfRule type="cellIs" dxfId="8784" priority="1653" stopIfTrue="1" operator="equal">
      <formula>"Napkin Hs"</formula>
    </cfRule>
    <cfRule type="cellIs" dxfId="8783" priority="1654" stopIfTrue="1" operator="equal">
      <formula>"Towel"</formula>
    </cfRule>
    <cfRule type="cellIs" dxfId="8782" priority="1655" stopIfTrue="1" operator="equal">
      <formula>"Napkin Hs"</formula>
    </cfRule>
    <cfRule type="cellIs" dxfId="8781" priority="1658" stopIfTrue="1" operator="equal">
      <formula>"Towel"</formula>
    </cfRule>
    <cfRule type="cellIs" dxfId="8780" priority="1659" stopIfTrue="1" operator="equal">
      <formula>"Napkin Hs"</formula>
    </cfRule>
    <cfRule type="cellIs" dxfId="8779" priority="1660" stopIfTrue="1" operator="equal">
      <formula>"Towel"</formula>
    </cfRule>
    <cfRule type="cellIs" dxfId="8778" priority="1661" stopIfTrue="1" operator="equal">
      <formula>"Napkin Hs"</formula>
    </cfRule>
    <cfRule type="cellIs" dxfId="8777" priority="1664" stopIfTrue="1" operator="equal">
      <formula>"Towel"</formula>
    </cfRule>
    <cfRule type="cellIs" dxfId="8776" priority="1665" stopIfTrue="1" operator="equal">
      <formula>"Napkin Hs"</formula>
    </cfRule>
    <cfRule type="cellIs" dxfId="8775" priority="1666" stopIfTrue="1" operator="equal">
      <formula>"Towel"</formula>
    </cfRule>
    <cfRule type="cellIs" dxfId="8774" priority="1667" stopIfTrue="1" operator="equal">
      <formula>"Napkin Hs"</formula>
    </cfRule>
    <cfRule type="cellIs" dxfId="8773" priority="1670" stopIfTrue="1" operator="equal">
      <formula>"Towel"</formula>
    </cfRule>
    <cfRule type="cellIs" dxfId="8772" priority="1671" stopIfTrue="1" operator="equal">
      <formula>"Napkin Hs"</formula>
    </cfRule>
    <cfRule type="cellIs" dxfId="8771" priority="1672" stopIfTrue="1" operator="equal">
      <formula>"Towel"</formula>
    </cfRule>
    <cfRule type="cellIs" dxfId="8770" priority="1673" stopIfTrue="1" operator="equal">
      <formula>"Napkin Hs"</formula>
    </cfRule>
    <cfRule type="cellIs" dxfId="8769" priority="1676" stopIfTrue="1" operator="equal">
      <formula>"Towel"</formula>
    </cfRule>
    <cfRule type="cellIs" dxfId="8768" priority="1677" stopIfTrue="1" operator="equal">
      <formula>"Napkin Hs"</formula>
    </cfRule>
    <cfRule type="cellIs" dxfId="8767" priority="1678" stopIfTrue="1" operator="equal">
      <formula>"Towel"</formula>
    </cfRule>
    <cfRule type="cellIs" dxfId="8766" priority="1679" stopIfTrue="1" operator="equal">
      <formula>"Napkin Hs"</formula>
    </cfRule>
    <cfRule type="cellIs" dxfId="8765" priority="1682" stopIfTrue="1" operator="equal">
      <formula>"Towel"</formula>
    </cfRule>
    <cfRule type="cellIs" dxfId="8764" priority="1683" stopIfTrue="1" operator="equal">
      <formula>"Napkin Hs"</formula>
    </cfRule>
    <cfRule type="cellIs" dxfId="8763" priority="1684" stopIfTrue="1" operator="equal">
      <formula>"Towel"</formula>
    </cfRule>
    <cfRule type="cellIs" dxfId="8762" priority="1685" stopIfTrue="1" operator="equal">
      <formula>"Napkin Hs"</formula>
    </cfRule>
    <cfRule type="cellIs" dxfId="8761" priority="1688" stopIfTrue="1" operator="equal">
      <formula>"Towel"</formula>
    </cfRule>
    <cfRule type="cellIs" dxfId="8760" priority="1689" stopIfTrue="1" operator="equal">
      <formula>"Napkin Hs"</formula>
    </cfRule>
    <cfRule type="cellIs" dxfId="8759" priority="1690" stopIfTrue="1" operator="equal">
      <formula>"Towel"</formula>
    </cfRule>
    <cfRule type="cellIs" dxfId="8758" priority="1691" stopIfTrue="1" operator="equal">
      <formula>"Napkin Hs"</formula>
    </cfRule>
    <cfRule type="cellIs" dxfId="8757" priority="1694" stopIfTrue="1" operator="equal">
      <formula>"Towel"</formula>
    </cfRule>
    <cfRule type="cellIs" dxfId="8756" priority="1695" stopIfTrue="1" operator="equal">
      <formula>"Napkin Hs"</formula>
    </cfRule>
  </conditionalFormatting>
  <conditionalFormatting sqref="C131">
    <cfRule type="cellIs" dxfId="8755" priority="1696" stopIfTrue="1" operator="equal">
      <formula>"Towel"</formula>
    </cfRule>
    <cfRule type="cellIs" dxfId="8754" priority="1697" stopIfTrue="1" operator="equal">
      <formula>"Napkin Hs"</formula>
    </cfRule>
  </conditionalFormatting>
  <conditionalFormatting sqref="B131:C131">
    <cfRule type="cellIs" dxfId="8753" priority="1566" stopIfTrue="1" operator="equal">
      <formula>"Towel"</formula>
    </cfRule>
    <cfRule type="cellIs" dxfId="8752" priority="1567" stopIfTrue="1" operator="equal">
      <formula>"Napkin Hs"</formula>
    </cfRule>
    <cfRule type="cellIs" dxfId="8751" priority="1572" stopIfTrue="1" operator="equal">
      <formula>"Towel"</formula>
    </cfRule>
    <cfRule type="cellIs" dxfId="8750" priority="1573" stopIfTrue="1" operator="equal">
      <formula>"Napkin Hs"</formula>
    </cfRule>
    <cfRule type="cellIs" dxfId="8749" priority="1578" stopIfTrue="1" operator="equal">
      <formula>"Towel"</formula>
    </cfRule>
    <cfRule type="cellIs" dxfId="8748" priority="1579" stopIfTrue="1" operator="equal">
      <formula>"Napkin Hs"</formula>
    </cfRule>
    <cfRule type="cellIs" dxfId="8747" priority="1584" stopIfTrue="1" operator="equal">
      <formula>"Towel"</formula>
    </cfRule>
    <cfRule type="cellIs" dxfId="8746" priority="1585" stopIfTrue="1" operator="equal">
      <formula>"Napkin Hs"</formula>
    </cfRule>
    <cfRule type="cellIs" dxfId="8745" priority="1590" stopIfTrue="1" operator="equal">
      <formula>"Towel"</formula>
    </cfRule>
    <cfRule type="cellIs" dxfId="8744" priority="1591" stopIfTrue="1" operator="equal">
      <formula>"Napkin Hs"</formula>
    </cfRule>
    <cfRule type="cellIs" dxfId="8743" priority="1596" stopIfTrue="1" operator="equal">
      <formula>"Towel"</formula>
    </cfRule>
    <cfRule type="cellIs" dxfId="8742" priority="1597" stopIfTrue="1" operator="equal">
      <formula>"Napkin Hs"</formula>
    </cfRule>
    <cfRule type="cellIs" dxfId="8741" priority="1600" stopIfTrue="1" operator="equal">
      <formula>"Towel"</formula>
    </cfRule>
    <cfRule type="cellIs" dxfId="8740" priority="1601" stopIfTrue="1" operator="equal">
      <formula>"Napkin Hs"</formula>
    </cfRule>
    <cfRule type="cellIs" dxfId="8739" priority="1608" stopIfTrue="1" operator="equal">
      <formula>"Towel"</formula>
    </cfRule>
    <cfRule type="cellIs" dxfId="8738" priority="1609" stopIfTrue="1" operator="equal">
      <formula>"Napkin Hs"</formula>
    </cfRule>
    <cfRule type="cellIs" dxfId="8737" priority="1614" stopIfTrue="1" operator="equal">
      <formula>"Towel"</formula>
    </cfRule>
    <cfRule type="cellIs" dxfId="8736" priority="1615" stopIfTrue="1" operator="equal">
      <formula>"Napkin Hs"</formula>
    </cfRule>
    <cfRule type="cellIs" dxfId="8735" priority="1620" stopIfTrue="1" operator="equal">
      <formula>"Towel"</formula>
    </cfRule>
    <cfRule type="cellIs" dxfId="8734" priority="1621" stopIfTrue="1" operator="equal">
      <formula>"Napkin Hs"</formula>
    </cfRule>
    <cfRule type="cellIs" dxfId="8733" priority="1626" stopIfTrue="1" operator="equal">
      <formula>"Towel"</formula>
    </cfRule>
    <cfRule type="cellIs" dxfId="8732" priority="1627" stopIfTrue="1" operator="equal">
      <formula>"Napkin Hs"</formula>
    </cfRule>
    <cfRule type="cellIs" dxfId="8731" priority="1632" stopIfTrue="1" operator="equal">
      <formula>"Towel"</formula>
    </cfRule>
    <cfRule type="cellIs" dxfId="8730" priority="1633" stopIfTrue="1" operator="equal">
      <formula>"Napkin Hs"</formula>
    </cfRule>
    <cfRule type="cellIs" dxfId="8729" priority="1638" stopIfTrue="1" operator="equal">
      <formula>"Towel"</formula>
    </cfRule>
    <cfRule type="cellIs" dxfId="8728" priority="1639" stopIfTrue="1" operator="equal">
      <formula>"Napkin Hs"</formula>
    </cfRule>
    <cfRule type="cellIs" dxfId="8727" priority="1644" stopIfTrue="1" operator="equal">
      <formula>"Towel"</formula>
    </cfRule>
    <cfRule type="cellIs" dxfId="8726" priority="1645" stopIfTrue="1" operator="equal">
      <formula>"Napkin Hs"</formula>
    </cfRule>
  </conditionalFormatting>
  <conditionalFormatting sqref="C131">
    <cfRule type="cellIs" dxfId="8725" priority="1562" stopIfTrue="1" operator="equal">
      <formula>"Towel"</formula>
    </cfRule>
    <cfRule type="cellIs" dxfId="8724" priority="1563" stopIfTrue="1" operator="equal">
      <formula>"Napkin Hs"</formula>
    </cfRule>
    <cfRule type="cellIs" dxfId="8723" priority="1564" stopIfTrue="1" operator="equal">
      <formula>"Towel"</formula>
    </cfRule>
    <cfRule type="cellIs" dxfId="8722" priority="1565" stopIfTrue="1" operator="equal">
      <formula>"Napkin Hs"</formula>
    </cfRule>
    <cfRule type="cellIs" dxfId="8721" priority="1568" stopIfTrue="1" operator="equal">
      <formula>"Towel"</formula>
    </cfRule>
    <cfRule type="cellIs" dxfId="8720" priority="1569" stopIfTrue="1" operator="equal">
      <formula>"Napkin Hs"</formula>
    </cfRule>
    <cfRule type="cellIs" dxfId="8719" priority="1570" stopIfTrue="1" operator="equal">
      <formula>"Towel"</formula>
    </cfRule>
    <cfRule type="cellIs" dxfId="8718" priority="1571" stopIfTrue="1" operator="equal">
      <formula>"Napkin Hs"</formula>
    </cfRule>
    <cfRule type="cellIs" dxfId="8717" priority="1574" stopIfTrue="1" operator="equal">
      <formula>"Towel"</formula>
    </cfRule>
    <cfRule type="cellIs" dxfId="8716" priority="1575" stopIfTrue="1" operator="equal">
      <formula>"Napkin Hs"</formula>
    </cfRule>
    <cfRule type="cellIs" dxfId="8715" priority="1576" stopIfTrue="1" operator="equal">
      <formula>"Towel"</formula>
    </cfRule>
    <cfRule type="cellIs" dxfId="8714" priority="1577" stopIfTrue="1" operator="equal">
      <formula>"Napkin Hs"</formula>
    </cfRule>
    <cfRule type="cellIs" dxfId="8713" priority="1580" stopIfTrue="1" operator="equal">
      <formula>"Towel"</formula>
    </cfRule>
    <cfRule type="cellIs" dxfId="8712" priority="1581" stopIfTrue="1" operator="equal">
      <formula>"Napkin Hs"</formula>
    </cfRule>
    <cfRule type="cellIs" dxfId="8711" priority="1582" stopIfTrue="1" operator="equal">
      <formula>"Towel"</formula>
    </cfRule>
    <cfRule type="cellIs" dxfId="8710" priority="1583" stopIfTrue="1" operator="equal">
      <formula>"Napkin Hs"</formula>
    </cfRule>
    <cfRule type="cellIs" dxfId="8709" priority="1586" stopIfTrue="1" operator="equal">
      <formula>"Towel"</formula>
    </cfRule>
    <cfRule type="cellIs" dxfId="8708" priority="1587" stopIfTrue="1" operator="equal">
      <formula>"Napkin Hs"</formula>
    </cfRule>
    <cfRule type="cellIs" dxfId="8707" priority="1588" stopIfTrue="1" operator="equal">
      <formula>"Towel"</formula>
    </cfRule>
    <cfRule type="cellIs" dxfId="8706" priority="1589" stopIfTrue="1" operator="equal">
      <formula>"Napkin Hs"</formula>
    </cfRule>
    <cfRule type="cellIs" dxfId="8705" priority="1592" stopIfTrue="1" operator="equal">
      <formula>"Towel"</formula>
    </cfRule>
    <cfRule type="cellIs" dxfId="8704" priority="1593" stopIfTrue="1" operator="equal">
      <formula>"Napkin Hs"</formula>
    </cfRule>
    <cfRule type="cellIs" dxfId="8703" priority="1594" stopIfTrue="1" operator="equal">
      <formula>"Towel"</formula>
    </cfRule>
    <cfRule type="cellIs" dxfId="8702" priority="1595" stopIfTrue="1" operator="equal">
      <formula>"Napkin Hs"</formula>
    </cfRule>
    <cfRule type="cellIs" dxfId="8701" priority="1598" stopIfTrue="1" operator="equal">
      <formula>"Towel"</formula>
    </cfRule>
    <cfRule type="cellIs" dxfId="8700" priority="1599" stopIfTrue="1" operator="equal">
      <formula>"Napkin Hs"</formula>
    </cfRule>
    <cfRule type="cellIs" dxfId="8699" priority="1602" stopIfTrue="1" operator="equal">
      <formula>"Towel"</formula>
    </cfRule>
    <cfRule type="cellIs" dxfId="8698" priority="1603" stopIfTrue="1" operator="equal">
      <formula>"Napkin Hs"</formula>
    </cfRule>
    <cfRule type="cellIs" dxfId="8697" priority="1604" stopIfTrue="1" operator="equal">
      <formula>"Towel"</formula>
    </cfRule>
    <cfRule type="cellIs" dxfId="8696" priority="1605" stopIfTrue="1" operator="equal">
      <formula>"Napkin Hs"</formula>
    </cfRule>
    <cfRule type="cellIs" dxfId="8695" priority="1606" stopIfTrue="1" operator="equal">
      <formula>"Towel"</formula>
    </cfRule>
    <cfRule type="cellIs" dxfId="8694" priority="1607" stopIfTrue="1" operator="equal">
      <formula>"Napkin Hs"</formula>
    </cfRule>
    <cfRule type="cellIs" dxfId="8693" priority="1610" stopIfTrue="1" operator="equal">
      <formula>"Towel"</formula>
    </cfRule>
    <cfRule type="cellIs" dxfId="8692" priority="1611" stopIfTrue="1" operator="equal">
      <formula>"Napkin Hs"</formula>
    </cfRule>
    <cfRule type="cellIs" dxfId="8691" priority="1612" stopIfTrue="1" operator="equal">
      <formula>"Towel"</formula>
    </cfRule>
    <cfRule type="cellIs" dxfId="8690" priority="1613" stopIfTrue="1" operator="equal">
      <formula>"Napkin Hs"</formula>
    </cfRule>
    <cfRule type="cellIs" dxfId="8689" priority="1616" stopIfTrue="1" operator="equal">
      <formula>"Towel"</formula>
    </cfRule>
    <cfRule type="cellIs" dxfId="8688" priority="1617" stopIfTrue="1" operator="equal">
      <formula>"Napkin Hs"</formula>
    </cfRule>
    <cfRule type="cellIs" dxfId="8687" priority="1618" stopIfTrue="1" operator="equal">
      <formula>"Towel"</formula>
    </cfRule>
    <cfRule type="cellIs" dxfId="8686" priority="1619" stopIfTrue="1" operator="equal">
      <formula>"Napkin Hs"</formula>
    </cfRule>
    <cfRule type="cellIs" dxfId="8685" priority="1622" stopIfTrue="1" operator="equal">
      <formula>"Towel"</formula>
    </cfRule>
    <cfRule type="cellIs" dxfId="8684" priority="1623" stopIfTrue="1" operator="equal">
      <formula>"Napkin Hs"</formula>
    </cfRule>
    <cfRule type="cellIs" dxfId="8683" priority="1624" stopIfTrue="1" operator="equal">
      <formula>"Towel"</formula>
    </cfRule>
    <cfRule type="cellIs" dxfId="8682" priority="1625" stopIfTrue="1" operator="equal">
      <formula>"Napkin Hs"</formula>
    </cfRule>
    <cfRule type="cellIs" dxfId="8681" priority="1628" stopIfTrue="1" operator="equal">
      <formula>"Towel"</formula>
    </cfRule>
    <cfRule type="cellIs" dxfId="8680" priority="1629" stopIfTrue="1" operator="equal">
      <formula>"Napkin Hs"</formula>
    </cfRule>
    <cfRule type="cellIs" dxfId="8679" priority="1630" stopIfTrue="1" operator="equal">
      <formula>"Towel"</formula>
    </cfRule>
    <cfRule type="cellIs" dxfId="8678" priority="1631" stopIfTrue="1" operator="equal">
      <formula>"Napkin Hs"</formula>
    </cfRule>
    <cfRule type="cellIs" dxfId="8677" priority="1634" stopIfTrue="1" operator="equal">
      <formula>"Towel"</formula>
    </cfRule>
    <cfRule type="cellIs" dxfId="8676" priority="1635" stopIfTrue="1" operator="equal">
      <formula>"Napkin Hs"</formula>
    </cfRule>
    <cfRule type="cellIs" dxfId="8675" priority="1636" stopIfTrue="1" operator="equal">
      <formula>"Towel"</formula>
    </cfRule>
    <cfRule type="cellIs" dxfId="8674" priority="1637" stopIfTrue="1" operator="equal">
      <formula>"Napkin Hs"</formula>
    </cfRule>
    <cfRule type="cellIs" dxfId="8673" priority="1640" stopIfTrue="1" operator="equal">
      <formula>"Towel"</formula>
    </cfRule>
    <cfRule type="cellIs" dxfId="8672" priority="1641" stopIfTrue="1" operator="equal">
      <formula>"Napkin Hs"</formula>
    </cfRule>
  </conditionalFormatting>
  <conditionalFormatting sqref="C131">
    <cfRule type="cellIs" dxfId="8671" priority="1642" stopIfTrue="1" operator="equal">
      <formula>"Towel"</formula>
    </cfRule>
    <cfRule type="cellIs" dxfId="8670" priority="1643" stopIfTrue="1" operator="equal">
      <formula>"Napkin Hs"</formula>
    </cfRule>
  </conditionalFormatting>
  <conditionalFormatting sqref="B138:C138">
    <cfRule type="cellIs" dxfId="8669" priority="1560" stopIfTrue="1" operator="equal">
      <formula>"Towel"</formula>
    </cfRule>
    <cfRule type="cellIs" dxfId="8668" priority="1561" stopIfTrue="1" operator="equal">
      <formula>"Napkin Hs"</formula>
    </cfRule>
  </conditionalFormatting>
  <conditionalFormatting sqref="C138">
    <cfRule type="cellIs" dxfId="8667" priority="1559" stopIfTrue="1" operator="equal">
      <formula>"Napkin Hs"</formula>
    </cfRule>
  </conditionalFormatting>
  <conditionalFormatting sqref="C138">
    <cfRule type="cellIs" dxfId="8666" priority="1558" stopIfTrue="1" operator="equal">
      <formula>"Towel"</formula>
    </cfRule>
  </conditionalFormatting>
  <conditionalFormatting sqref="C138">
    <cfRule type="cellIs" dxfId="8665" priority="1556" stopIfTrue="1" operator="equal">
      <formula>"Towel"</formula>
    </cfRule>
    <cfRule type="cellIs" dxfId="8664" priority="1557" stopIfTrue="1" operator="equal">
      <formula>"Napkin Hs"</formula>
    </cfRule>
  </conditionalFormatting>
  <conditionalFormatting sqref="B137:C137">
    <cfRule type="cellIs" dxfId="8663" priority="1553" stopIfTrue="1" operator="equal">
      <formula>"Napkin Hs"</formula>
    </cfRule>
  </conditionalFormatting>
  <conditionalFormatting sqref="B137:C137">
    <cfRule type="cellIs" dxfId="8662" priority="1535" stopIfTrue="1" operator="equal">
      <formula>"Towel"</formula>
    </cfRule>
  </conditionalFormatting>
  <conditionalFormatting sqref="C137">
    <cfRule type="cellIs" dxfId="8661" priority="1533" stopIfTrue="1" operator="equal">
      <formula>"Towel"</formula>
    </cfRule>
    <cfRule type="cellIs" dxfId="8660" priority="1534" stopIfTrue="1" operator="equal">
      <formula>"Napkin Hs"</formula>
    </cfRule>
  </conditionalFormatting>
  <conditionalFormatting sqref="C137">
    <cfRule type="cellIs" dxfId="8659" priority="1554" stopIfTrue="1" operator="equal">
      <formula>"Towel"</formula>
    </cfRule>
    <cfRule type="cellIs" dxfId="8658" priority="1555" stopIfTrue="1" operator="equal">
      <formula>"Napkin Hs"</formula>
    </cfRule>
  </conditionalFormatting>
  <conditionalFormatting sqref="B137">
    <cfRule type="cellIs" dxfId="8657" priority="1379" stopIfTrue="1" operator="equal">
      <formula>"Towel"</formula>
    </cfRule>
    <cfRule type="cellIs" dxfId="8656" priority="1380" stopIfTrue="1" operator="equal">
      <formula>"Napkin Hs"</formula>
    </cfRule>
  </conditionalFormatting>
  <conditionalFormatting sqref="B137:C137">
    <cfRule type="cellIs" dxfId="8655" priority="1439" stopIfTrue="1" operator="equal">
      <formula>"Towel"</formula>
    </cfRule>
    <cfRule type="cellIs" dxfId="8654" priority="1440" stopIfTrue="1" operator="equal">
      <formula>"Napkin Hs"</formula>
    </cfRule>
    <cfRule type="cellIs" dxfId="8653" priority="1445" stopIfTrue="1" operator="equal">
      <formula>"Towel"</formula>
    </cfRule>
    <cfRule type="cellIs" dxfId="8652" priority="1446" stopIfTrue="1" operator="equal">
      <formula>"Napkin Hs"</formula>
    </cfRule>
    <cfRule type="cellIs" dxfId="8651" priority="1451" stopIfTrue="1" operator="equal">
      <formula>"Towel"</formula>
    </cfRule>
    <cfRule type="cellIs" dxfId="8650" priority="1452" stopIfTrue="1" operator="equal">
      <formula>"Napkin Hs"</formula>
    </cfRule>
    <cfRule type="cellIs" dxfId="8649" priority="1457" stopIfTrue="1" operator="equal">
      <formula>"Towel"</formula>
    </cfRule>
    <cfRule type="cellIs" dxfId="8648" priority="1458" stopIfTrue="1" operator="equal">
      <formula>"Napkin Hs"</formula>
    </cfRule>
    <cfRule type="cellIs" dxfId="8647" priority="1463" stopIfTrue="1" operator="equal">
      <formula>"Towel"</formula>
    </cfRule>
    <cfRule type="cellIs" dxfId="8646" priority="1464" stopIfTrue="1" operator="equal">
      <formula>"Napkin Hs"</formula>
    </cfRule>
    <cfRule type="cellIs" dxfId="8645" priority="1469" stopIfTrue="1" operator="equal">
      <formula>"Towel"</formula>
    </cfRule>
    <cfRule type="cellIs" dxfId="8644" priority="1470" stopIfTrue="1" operator="equal">
      <formula>"Napkin Hs"</formula>
    </cfRule>
    <cfRule type="cellIs" dxfId="8643" priority="1475" stopIfTrue="1" operator="equal">
      <formula>"Towel"</formula>
    </cfRule>
    <cfRule type="cellIs" dxfId="8642" priority="1476" stopIfTrue="1" operator="equal">
      <formula>"Napkin Hs"</formula>
    </cfRule>
    <cfRule type="cellIs" dxfId="8641" priority="1481" stopIfTrue="1" operator="equal">
      <formula>"Towel"</formula>
    </cfRule>
    <cfRule type="cellIs" dxfId="8640" priority="1482" stopIfTrue="1" operator="equal">
      <formula>"Napkin Hs"</formula>
    </cfRule>
  </conditionalFormatting>
  <conditionalFormatting sqref="B137:C137">
    <cfRule type="cellIs" dxfId="8639" priority="1381" stopIfTrue="1" operator="equal">
      <formula>"Towel"</formula>
    </cfRule>
    <cfRule type="cellIs" dxfId="8638" priority="1382" stopIfTrue="1" operator="equal">
      <formula>"Napkin Hs"</formula>
    </cfRule>
    <cfRule type="cellIs" dxfId="8637" priority="1397" stopIfTrue="1" operator="equal">
      <formula>"Towel"</formula>
    </cfRule>
    <cfRule type="cellIs" dxfId="8636" priority="1398" stopIfTrue="1" operator="equal">
      <formula>"Napkin Hs"</formula>
    </cfRule>
    <cfRule type="cellIs" dxfId="8635" priority="1403" stopIfTrue="1" operator="equal">
      <formula>"Towel"</formula>
    </cfRule>
    <cfRule type="cellIs" dxfId="8634" priority="1404" stopIfTrue="1" operator="equal">
      <formula>"Napkin Hs"</formula>
    </cfRule>
    <cfRule type="cellIs" dxfId="8633" priority="1409" stopIfTrue="1" operator="equal">
      <formula>"Towel"</formula>
    </cfRule>
    <cfRule type="cellIs" dxfId="8632" priority="1410" stopIfTrue="1" operator="equal">
      <formula>"Napkin Hs"</formula>
    </cfRule>
    <cfRule type="cellIs" dxfId="8631" priority="1415" stopIfTrue="1" operator="equal">
      <formula>"Towel"</formula>
    </cfRule>
    <cfRule type="cellIs" dxfId="8630" priority="1416" stopIfTrue="1" operator="equal">
      <formula>"Napkin Hs"</formula>
    </cfRule>
    <cfRule type="cellIs" dxfId="8629" priority="1421" stopIfTrue="1" operator="equal">
      <formula>"Towel"</formula>
    </cfRule>
    <cfRule type="cellIs" dxfId="8628" priority="1422" stopIfTrue="1" operator="equal">
      <formula>"Napkin Hs"</formula>
    </cfRule>
    <cfRule type="cellIs" dxfId="8627" priority="1427" stopIfTrue="1" operator="equal">
      <formula>"Towel"</formula>
    </cfRule>
    <cfRule type="cellIs" dxfId="8626" priority="1428" stopIfTrue="1" operator="equal">
      <formula>"Napkin Hs"</formula>
    </cfRule>
    <cfRule type="cellIs" dxfId="8625" priority="1433" stopIfTrue="1" operator="equal">
      <formula>"Towel"</formula>
    </cfRule>
    <cfRule type="cellIs" dxfId="8624" priority="1434" stopIfTrue="1" operator="equal">
      <formula>"Napkin Hs"</formula>
    </cfRule>
  </conditionalFormatting>
  <conditionalFormatting sqref="C137">
    <cfRule type="cellIs" dxfId="8623" priority="1435" stopIfTrue="1" operator="equal">
      <formula>"Towel"</formula>
    </cfRule>
    <cfRule type="cellIs" dxfId="8622" priority="1436" stopIfTrue="1" operator="equal">
      <formula>"Napkin Hs"</formula>
    </cfRule>
    <cfRule type="cellIs" dxfId="8621" priority="1437" stopIfTrue="1" operator="equal">
      <formula>"Towel"</formula>
    </cfRule>
    <cfRule type="cellIs" dxfId="8620" priority="1438" stopIfTrue="1" operator="equal">
      <formula>"Napkin Hs"</formula>
    </cfRule>
    <cfRule type="cellIs" dxfId="8619" priority="1441" stopIfTrue="1" operator="equal">
      <formula>"Towel"</formula>
    </cfRule>
    <cfRule type="cellIs" dxfId="8618" priority="1442" stopIfTrue="1" operator="equal">
      <formula>"Napkin Hs"</formula>
    </cfRule>
    <cfRule type="cellIs" dxfId="8617" priority="1443" stopIfTrue="1" operator="equal">
      <formula>"Towel"</formula>
    </cfRule>
    <cfRule type="cellIs" dxfId="8616" priority="1444" stopIfTrue="1" operator="equal">
      <formula>"Napkin Hs"</formula>
    </cfRule>
    <cfRule type="cellIs" dxfId="8615" priority="1447" stopIfTrue="1" operator="equal">
      <formula>"Towel"</formula>
    </cfRule>
    <cfRule type="cellIs" dxfId="8614" priority="1448" stopIfTrue="1" operator="equal">
      <formula>"Napkin Hs"</formula>
    </cfRule>
    <cfRule type="cellIs" dxfId="8613" priority="1449" stopIfTrue="1" operator="equal">
      <formula>"Towel"</formula>
    </cfRule>
    <cfRule type="cellIs" dxfId="8612" priority="1450" stopIfTrue="1" operator="equal">
      <formula>"Napkin Hs"</formula>
    </cfRule>
    <cfRule type="cellIs" dxfId="8611" priority="1453" stopIfTrue="1" operator="equal">
      <formula>"Towel"</formula>
    </cfRule>
    <cfRule type="cellIs" dxfId="8610" priority="1454" stopIfTrue="1" operator="equal">
      <formula>"Napkin Hs"</formula>
    </cfRule>
    <cfRule type="cellIs" dxfId="8609" priority="1455" stopIfTrue="1" operator="equal">
      <formula>"Towel"</formula>
    </cfRule>
    <cfRule type="cellIs" dxfId="8608" priority="1456" stopIfTrue="1" operator="equal">
      <formula>"Napkin Hs"</formula>
    </cfRule>
    <cfRule type="cellIs" dxfId="8607" priority="1459" stopIfTrue="1" operator="equal">
      <formula>"Towel"</formula>
    </cfRule>
    <cfRule type="cellIs" dxfId="8606" priority="1460" stopIfTrue="1" operator="equal">
      <formula>"Napkin Hs"</formula>
    </cfRule>
    <cfRule type="cellIs" dxfId="8605" priority="1461" stopIfTrue="1" operator="equal">
      <formula>"Towel"</formula>
    </cfRule>
    <cfRule type="cellIs" dxfId="8604" priority="1462" stopIfTrue="1" operator="equal">
      <formula>"Napkin Hs"</formula>
    </cfRule>
    <cfRule type="cellIs" dxfId="8603" priority="1465" stopIfTrue="1" operator="equal">
      <formula>"Towel"</formula>
    </cfRule>
    <cfRule type="cellIs" dxfId="8602" priority="1466" stopIfTrue="1" operator="equal">
      <formula>"Napkin Hs"</formula>
    </cfRule>
    <cfRule type="cellIs" dxfId="8601" priority="1467" stopIfTrue="1" operator="equal">
      <formula>"Towel"</formula>
    </cfRule>
    <cfRule type="cellIs" dxfId="8600" priority="1468" stopIfTrue="1" operator="equal">
      <formula>"Napkin Hs"</formula>
    </cfRule>
    <cfRule type="cellIs" dxfId="8599" priority="1471" stopIfTrue="1" operator="equal">
      <formula>"Towel"</formula>
    </cfRule>
    <cfRule type="cellIs" dxfId="8598" priority="1472" stopIfTrue="1" operator="equal">
      <formula>"Napkin Hs"</formula>
    </cfRule>
    <cfRule type="cellIs" dxfId="8597" priority="1473" stopIfTrue="1" operator="equal">
      <formula>"Towel"</formula>
    </cfRule>
    <cfRule type="cellIs" dxfId="8596" priority="1474" stopIfTrue="1" operator="equal">
      <formula>"Napkin Hs"</formula>
    </cfRule>
    <cfRule type="cellIs" dxfId="8595" priority="1477" stopIfTrue="1" operator="equal">
      <formula>"Towel"</formula>
    </cfRule>
    <cfRule type="cellIs" dxfId="8594" priority="1478" stopIfTrue="1" operator="equal">
      <formula>"Napkin Hs"</formula>
    </cfRule>
  </conditionalFormatting>
  <conditionalFormatting sqref="C137">
    <cfRule type="cellIs" dxfId="8593" priority="1383" stopIfTrue="1" operator="equal">
      <formula>"Towel"</formula>
    </cfRule>
    <cfRule type="cellIs" dxfId="8592" priority="1384" stopIfTrue="1" operator="equal">
      <formula>"Napkin Hs"</formula>
    </cfRule>
    <cfRule type="cellIs" dxfId="8591" priority="1385" stopIfTrue="1" operator="equal">
      <formula>"Towel"</formula>
    </cfRule>
    <cfRule type="cellIs" dxfId="8590" priority="1386" stopIfTrue="1" operator="equal">
      <formula>"Napkin Hs"</formula>
    </cfRule>
    <cfRule type="cellIs" dxfId="8589" priority="1387" stopIfTrue="1" operator="equal">
      <formula>"Towel"</formula>
    </cfRule>
    <cfRule type="cellIs" dxfId="8588" priority="1388" stopIfTrue="1" operator="equal">
      <formula>"Napkin Hs"</formula>
    </cfRule>
    <cfRule type="cellIs" dxfId="8587" priority="1389" stopIfTrue="1" operator="equal">
      <formula>"Towel"</formula>
    </cfRule>
    <cfRule type="cellIs" dxfId="8586" priority="1390" stopIfTrue="1" operator="equal">
      <formula>"Napkin Hs"</formula>
    </cfRule>
    <cfRule type="cellIs" dxfId="8585" priority="1391" stopIfTrue="1" operator="equal">
      <formula>"Towel"</formula>
    </cfRule>
    <cfRule type="cellIs" dxfId="8584" priority="1392" stopIfTrue="1" operator="equal">
      <formula>"Napkin Hs"</formula>
    </cfRule>
    <cfRule type="cellIs" dxfId="8583" priority="1393" stopIfTrue="1" operator="equal">
      <formula>"Towel"</formula>
    </cfRule>
    <cfRule type="cellIs" dxfId="8582" priority="1394" stopIfTrue="1" operator="equal">
      <formula>"Napkin Hs"</formula>
    </cfRule>
    <cfRule type="cellIs" dxfId="8581" priority="1395" stopIfTrue="1" operator="equal">
      <formula>"Towel"</formula>
    </cfRule>
    <cfRule type="cellIs" dxfId="8580" priority="1396" stopIfTrue="1" operator="equal">
      <formula>"Napkin Hs"</formula>
    </cfRule>
    <cfRule type="cellIs" dxfId="8579" priority="1399" stopIfTrue="1" operator="equal">
      <formula>"Towel"</formula>
    </cfRule>
    <cfRule type="cellIs" dxfId="8578" priority="1400" stopIfTrue="1" operator="equal">
      <formula>"Napkin Hs"</formula>
    </cfRule>
    <cfRule type="cellIs" dxfId="8577" priority="1401" stopIfTrue="1" operator="equal">
      <formula>"Towel"</formula>
    </cfRule>
    <cfRule type="cellIs" dxfId="8576" priority="1402" stopIfTrue="1" operator="equal">
      <formula>"Napkin Hs"</formula>
    </cfRule>
    <cfRule type="cellIs" dxfId="8575" priority="1405" stopIfTrue="1" operator="equal">
      <formula>"Towel"</formula>
    </cfRule>
    <cfRule type="cellIs" dxfId="8574" priority="1406" stopIfTrue="1" operator="equal">
      <formula>"Napkin Hs"</formula>
    </cfRule>
    <cfRule type="cellIs" dxfId="8573" priority="1407" stopIfTrue="1" operator="equal">
      <formula>"Towel"</formula>
    </cfRule>
    <cfRule type="cellIs" dxfId="8572" priority="1408" stopIfTrue="1" operator="equal">
      <formula>"Napkin Hs"</formula>
    </cfRule>
    <cfRule type="cellIs" dxfId="8571" priority="1411" stopIfTrue="1" operator="equal">
      <formula>"Towel"</formula>
    </cfRule>
    <cfRule type="cellIs" dxfId="8570" priority="1412" stopIfTrue="1" operator="equal">
      <formula>"Napkin Hs"</formula>
    </cfRule>
    <cfRule type="cellIs" dxfId="8569" priority="1413" stopIfTrue="1" operator="equal">
      <formula>"Towel"</formula>
    </cfRule>
    <cfRule type="cellIs" dxfId="8568" priority="1414" stopIfTrue="1" operator="equal">
      <formula>"Napkin Hs"</formula>
    </cfRule>
    <cfRule type="cellIs" dxfId="8567" priority="1417" stopIfTrue="1" operator="equal">
      <formula>"Towel"</formula>
    </cfRule>
    <cfRule type="cellIs" dxfId="8566" priority="1418" stopIfTrue="1" operator="equal">
      <formula>"Napkin Hs"</formula>
    </cfRule>
    <cfRule type="cellIs" dxfId="8565" priority="1419" stopIfTrue="1" operator="equal">
      <formula>"Towel"</formula>
    </cfRule>
    <cfRule type="cellIs" dxfId="8564" priority="1420" stopIfTrue="1" operator="equal">
      <formula>"Napkin Hs"</formula>
    </cfRule>
    <cfRule type="cellIs" dxfId="8563" priority="1423" stopIfTrue="1" operator="equal">
      <formula>"Towel"</formula>
    </cfRule>
    <cfRule type="cellIs" dxfId="8562" priority="1424" stopIfTrue="1" operator="equal">
      <formula>"Napkin Hs"</formula>
    </cfRule>
    <cfRule type="cellIs" dxfId="8561" priority="1425" stopIfTrue="1" operator="equal">
      <formula>"Towel"</formula>
    </cfRule>
    <cfRule type="cellIs" dxfId="8560" priority="1426" stopIfTrue="1" operator="equal">
      <formula>"Napkin Hs"</formula>
    </cfRule>
    <cfRule type="cellIs" dxfId="8559" priority="1429" stopIfTrue="1" operator="equal">
      <formula>"Towel"</formula>
    </cfRule>
    <cfRule type="cellIs" dxfId="8558" priority="1430" stopIfTrue="1" operator="equal">
      <formula>"Napkin Hs"</formula>
    </cfRule>
    <cfRule type="cellIs" dxfId="8557" priority="1431" stopIfTrue="1" operator="equal">
      <formula>"Towel"</formula>
    </cfRule>
    <cfRule type="cellIs" dxfId="8556" priority="1432" stopIfTrue="1" operator="equal">
      <formula>"Napkin Hs"</formula>
    </cfRule>
    <cfRule type="cellIs" dxfId="8555" priority="1479" stopIfTrue="1" operator="equal">
      <formula>"Towel"</formula>
    </cfRule>
    <cfRule type="cellIs" dxfId="8554" priority="1480" stopIfTrue="1" operator="equal">
      <formula>"Napkin Hs"</formula>
    </cfRule>
  </conditionalFormatting>
  <conditionalFormatting sqref="B135">
    <cfRule type="cellIs" dxfId="8553" priority="1279" stopIfTrue="1" operator="equal">
      <formula>"Towel"</formula>
    </cfRule>
    <cfRule type="cellIs" dxfId="8552" priority="1280" stopIfTrue="1" operator="equal">
      <formula>"Napkin Hs"</formula>
    </cfRule>
    <cfRule type="cellIs" dxfId="8551" priority="1281" stopIfTrue="1" operator="equal">
      <formula>"Towel"</formula>
    </cfRule>
    <cfRule type="cellIs" dxfId="8550" priority="1282" stopIfTrue="1" operator="equal">
      <formula>"Napkin Hs"</formula>
    </cfRule>
    <cfRule type="cellIs" dxfId="8549" priority="1283" stopIfTrue="1" operator="equal">
      <formula>"Towel"</formula>
    </cfRule>
    <cfRule type="cellIs" dxfId="8548" priority="1284" stopIfTrue="1" operator="equal">
      <formula>"Napkin Hs"</formula>
    </cfRule>
    <cfRule type="cellIs" dxfId="8547" priority="1285" stopIfTrue="1" operator="equal">
      <formula>"Towel"</formula>
    </cfRule>
    <cfRule type="cellIs" dxfId="8546" priority="1286" stopIfTrue="1" operator="equal">
      <formula>"Napkin Hs"</formula>
    </cfRule>
    <cfRule type="cellIs" dxfId="8545" priority="1287" stopIfTrue="1" operator="equal">
      <formula>"Towel"</formula>
    </cfRule>
    <cfRule type="cellIs" dxfId="8544" priority="1288" stopIfTrue="1" operator="equal">
      <formula>"Napkin Hs"</formula>
    </cfRule>
    <cfRule type="cellIs" dxfId="8543" priority="1289" stopIfTrue="1" operator="equal">
      <formula>"Towel"</formula>
    </cfRule>
    <cfRule type="cellIs" dxfId="8542" priority="1290" stopIfTrue="1" operator="equal">
      <formula>"Napkin Hs"</formula>
    </cfRule>
    <cfRule type="cellIs" dxfId="8541" priority="1291" stopIfTrue="1" operator="equal">
      <formula>"Towel"</formula>
    </cfRule>
    <cfRule type="cellIs" dxfId="8540" priority="1292" stopIfTrue="1" operator="equal">
      <formula>"Napkin Hs"</formula>
    </cfRule>
    <cfRule type="cellIs" dxfId="8539" priority="1293" stopIfTrue="1" operator="equal">
      <formula>"Towel"</formula>
    </cfRule>
    <cfRule type="cellIs" dxfId="8538" priority="1294" stopIfTrue="1" operator="equal">
      <formula>"Napkin Hs"</formula>
    </cfRule>
  </conditionalFormatting>
  <conditionalFormatting sqref="B135:C135">
    <cfRule type="cellIs" dxfId="8537" priority="1271" stopIfTrue="1" operator="equal">
      <formula>"Towel"</formula>
    </cfRule>
    <cfRule type="cellIs" dxfId="8536" priority="1272" stopIfTrue="1" operator="equal">
      <formula>"Napkin Hs"</formula>
    </cfRule>
  </conditionalFormatting>
  <conditionalFormatting sqref="C135">
    <cfRule type="cellIs" dxfId="8535" priority="1278" stopIfTrue="1" operator="equal">
      <formula>"Napkin Hs"</formula>
    </cfRule>
  </conditionalFormatting>
  <conditionalFormatting sqref="C135">
    <cfRule type="cellIs" dxfId="8534" priority="1277" stopIfTrue="1" operator="equal">
      <formula>"Towel"</formula>
    </cfRule>
  </conditionalFormatting>
  <conditionalFormatting sqref="C135">
    <cfRule type="cellIs" dxfId="8533" priority="1229" stopIfTrue="1" operator="equal">
      <formula>"Towel"</formula>
    </cfRule>
    <cfRule type="cellIs" dxfId="8532" priority="1230" stopIfTrue="1" operator="equal">
      <formula>"Napkin Hs"</formula>
    </cfRule>
    <cfRule type="cellIs" dxfId="8531" priority="1235" stopIfTrue="1" operator="equal">
      <formula>"Towel"</formula>
    </cfRule>
    <cfRule type="cellIs" dxfId="8530" priority="1236" stopIfTrue="1" operator="equal">
      <formula>"Napkin Hs"</formula>
    </cfRule>
    <cfRule type="cellIs" dxfId="8529" priority="1241" stopIfTrue="1" operator="equal">
      <formula>"Towel"</formula>
    </cfRule>
    <cfRule type="cellIs" dxfId="8528" priority="1242" stopIfTrue="1" operator="equal">
      <formula>"Napkin Hs"</formula>
    </cfRule>
    <cfRule type="cellIs" dxfId="8527" priority="1247" stopIfTrue="1" operator="equal">
      <formula>"Towel"</formula>
    </cfRule>
    <cfRule type="cellIs" dxfId="8526" priority="1248" stopIfTrue="1" operator="equal">
      <formula>"Napkin Hs"</formula>
    </cfRule>
    <cfRule type="cellIs" dxfId="8525" priority="1253" stopIfTrue="1" operator="equal">
      <formula>"Towel"</formula>
    </cfRule>
    <cfRule type="cellIs" dxfId="8524" priority="1254" stopIfTrue="1" operator="equal">
      <formula>"Napkin Hs"</formula>
    </cfRule>
    <cfRule type="cellIs" dxfId="8523" priority="1259" stopIfTrue="1" operator="equal">
      <formula>"Towel"</formula>
    </cfRule>
    <cfRule type="cellIs" dxfId="8522" priority="1260" stopIfTrue="1" operator="equal">
      <formula>"Napkin Hs"</formula>
    </cfRule>
    <cfRule type="cellIs" dxfId="8521" priority="1265" stopIfTrue="1" operator="equal">
      <formula>"Towel"</formula>
    </cfRule>
    <cfRule type="cellIs" dxfId="8520" priority="1266" stopIfTrue="1" operator="equal">
      <formula>"Napkin Hs"</formula>
    </cfRule>
  </conditionalFormatting>
  <conditionalFormatting sqref="C135">
    <cfRule type="cellIs" dxfId="8519" priority="1225" stopIfTrue="1" operator="equal">
      <formula>"Towel"</formula>
    </cfRule>
    <cfRule type="cellIs" dxfId="8518" priority="1226" stopIfTrue="1" operator="equal">
      <formula>"Napkin Hs"</formula>
    </cfRule>
    <cfRule type="cellIs" dxfId="8517" priority="1227" stopIfTrue="1" operator="equal">
      <formula>"Towel"</formula>
    </cfRule>
    <cfRule type="cellIs" dxfId="8516" priority="1228" stopIfTrue="1" operator="equal">
      <formula>"Napkin Hs"</formula>
    </cfRule>
    <cfRule type="cellIs" dxfId="8515" priority="1231" stopIfTrue="1" operator="equal">
      <formula>"Towel"</formula>
    </cfRule>
    <cfRule type="cellIs" dxfId="8514" priority="1232" stopIfTrue="1" operator="equal">
      <formula>"Napkin Hs"</formula>
    </cfRule>
    <cfRule type="cellIs" dxfId="8513" priority="1233" stopIfTrue="1" operator="equal">
      <formula>"Towel"</formula>
    </cfRule>
    <cfRule type="cellIs" dxfId="8512" priority="1234" stopIfTrue="1" operator="equal">
      <formula>"Napkin Hs"</formula>
    </cfRule>
    <cfRule type="cellIs" dxfId="8511" priority="1237" stopIfTrue="1" operator="equal">
      <formula>"Towel"</formula>
    </cfRule>
    <cfRule type="cellIs" dxfId="8510" priority="1238" stopIfTrue="1" operator="equal">
      <formula>"Napkin Hs"</formula>
    </cfRule>
    <cfRule type="cellIs" dxfId="8509" priority="1239" stopIfTrue="1" operator="equal">
      <formula>"Towel"</formula>
    </cfRule>
    <cfRule type="cellIs" dxfId="8508" priority="1240" stopIfTrue="1" operator="equal">
      <formula>"Napkin Hs"</formula>
    </cfRule>
    <cfRule type="cellIs" dxfId="8507" priority="1243" stopIfTrue="1" operator="equal">
      <formula>"Towel"</formula>
    </cfRule>
    <cfRule type="cellIs" dxfId="8506" priority="1244" stopIfTrue="1" operator="equal">
      <formula>"Napkin Hs"</formula>
    </cfRule>
    <cfRule type="cellIs" dxfId="8505" priority="1245" stopIfTrue="1" operator="equal">
      <formula>"Towel"</formula>
    </cfRule>
    <cfRule type="cellIs" dxfId="8504" priority="1246" stopIfTrue="1" operator="equal">
      <formula>"Napkin Hs"</formula>
    </cfRule>
    <cfRule type="cellIs" dxfId="8503" priority="1249" stopIfTrue="1" operator="equal">
      <formula>"Towel"</formula>
    </cfRule>
    <cfRule type="cellIs" dxfId="8502" priority="1250" stopIfTrue="1" operator="equal">
      <formula>"Napkin Hs"</formula>
    </cfRule>
    <cfRule type="cellIs" dxfId="8501" priority="1251" stopIfTrue="1" operator="equal">
      <formula>"Towel"</formula>
    </cfRule>
    <cfRule type="cellIs" dxfId="8500" priority="1252" stopIfTrue="1" operator="equal">
      <formula>"Napkin Hs"</formula>
    </cfRule>
    <cfRule type="cellIs" dxfId="8499" priority="1255" stopIfTrue="1" operator="equal">
      <formula>"Towel"</formula>
    </cfRule>
    <cfRule type="cellIs" dxfId="8498" priority="1256" stopIfTrue="1" operator="equal">
      <formula>"Napkin Hs"</formula>
    </cfRule>
    <cfRule type="cellIs" dxfId="8497" priority="1257" stopIfTrue="1" operator="equal">
      <formula>"Towel"</formula>
    </cfRule>
    <cfRule type="cellIs" dxfId="8496" priority="1258" stopIfTrue="1" operator="equal">
      <formula>"Napkin Hs"</formula>
    </cfRule>
    <cfRule type="cellIs" dxfId="8495" priority="1261" stopIfTrue="1" operator="equal">
      <formula>"Towel"</formula>
    </cfRule>
    <cfRule type="cellIs" dxfId="8494" priority="1262" stopIfTrue="1" operator="equal">
      <formula>"Napkin Hs"</formula>
    </cfRule>
    <cfRule type="cellIs" dxfId="8493" priority="1263" stopIfTrue="1" operator="equal">
      <formula>"Towel"</formula>
    </cfRule>
    <cfRule type="cellIs" dxfId="8492" priority="1264" stopIfTrue="1" operator="equal">
      <formula>"Napkin Hs"</formula>
    </cfRule>
    <cfRule type="cellIs" dxfId="8491" priority="1267" stopIfTrue="1" operator="equal">
      <formula>"Towel"</formula>
    </cfRule>
    <cfRule type="cellIs" dxfId="8490" priority="1268" stopIfTrue="1" operator="equal">
      <formula>"Napkin Hs"</formula>
    </cfRule>
    <cfRule type="cellIs" dxfId="8489" priority="1269" stopIfTrue="1" operator="equal">
      <formula>"Towel"</formula>
    </cfRule>
    <cfRule type="cellIs" dxfId="8488" priority="1270" stopIfTrue="1" operator="equal">
      <formula>"Napkin Hs"</formula>
    </cfRule>
    <cfRule type="cellIs" dxfId="8487" priority="1273" stopIfTrue="1" operator="equal">
      <formula>"Towel"</formula>
    </cfRule>
    <cfRule type="cellIs" dxfId="8486" priority="1274" stopIfTrue="1" operator="equal">
      <formula>"Napkin Hs"</formula>
    </cfRule>
  </conditionalFormatting>
  <conditionalFormatting sqref="C135">
    <cfRule type="cellIs" dxfId="8485" priority="1275" stopIfTrue="1" operator="equal">
      <formula>"Towel"</formula>
    </cfRule>
    <cfRule type="cellIs" dxfId="8484" priority="1276" stopIfTrue="1" operator="equal">
      <formula>"Napkin Hs"</formula>
    </cfRule>
  </conditionalFormatting>
  <conditionalFormatting sqref="B135:C135">
    <cfRule type="cellIs" dxfId="8483" priority="1145" stopIfTrue="1" operator="equal">
      <formula>"Towel"</formula>
    </cfRule>
    <cfRule type="cellIs" dxfId="8482" priority="1146" stopIfTrue="1" operator="equal">
      <formula>"Napkin Hs"</formula>
    </cfRule>
    <cfRule type="cellIs" dxfId="8481" priority="1151" stopIfTrue="1" operator="equal">
      <formula>"Towel"</formula>
    </cfRule>
    <cfRule type="cellIs" dxfId="8480" priority="1152" stopIfTrue="1" operator="equal">
      <formula>"Napkin Hs"</formula>
    </cfRule>
    <cfRule type="cellIs" dxfId="8479" priority="1157" stopIfTrue="1" operator="equal">
      <formula>"Towel"</formula>
    </cfRule>
    <cfRule type="cellIs" dxfId="8478" priority="1158" stopIfTrue="1" operator="equal">
      <formula>"Napkin Hs"</formula>
    </cfRule>
    <cfRule type="cellIs" dxfId="8477" priority="1163" stopIfTrue="1" operator="equal">
      <formula>"Towel"</formula>
    </cfRule>
    <cfRule type="cellIs" dxfId="8476" priority="1164" stopIfTrue="1" operator="equal">
      <formula>"Napkin Hs"</formula>
    </cfRule>
    <cfRule type="cellIs" dxfId="8475" priority="1169" stopIfTrue="1" operator="equal">
      <formula>"Towel"</formula>
    </cfRule>
    <cfRule type="cellIs" dxfId="8474" priority="1170" stopIfTrue="1" operator="equal">
      <formula>"Napkin Hs"</formula>
    </cfRule>
    <cfRule type="cellIs" dxfId="8473" priority="1175" stopIfTrue="1" operator="equal">
      <formula>"Towel"</formula>
    </cfRule>
    <cfRule type="cellIs" dxfId="8472" priority="1176" stopIfTrue="1" operator="equal">
      <formula>"Napkin Hs"</formula>
    </cfRule>
    <cfRule type="cellIs" dxfId="8471" priority="1179" stopIfTrue="1" operator="equal">
      <formula>"Towel"</formula>
    </cfRule>
    <cfRule type="cellIs" dxfId="8470" priority="1180" stopIfTrue="1" operator="equal">
      <formula>"Napkin Hs"</formula>
    </cfRule>
    <cfRule type="cellIs" dxfId="8469" priority="1187" stopIfTrue="1" operator="equal">
      <formula>"Towel"</formula>
    </cfRule>
    <cfRule type="cellIs" dxfId="8468" priority="1188" stopIfTrue="1" operator="equal">
      <formula>"Napkin Hs"</formula>
    </cfRule>
    <cfRule type="cellIs" dxfId="8467" priority="1193" stopIfTrue="1" operator="equal">
      <formula>"Towel"</formula>
    </cfRule>
    <cfRule type="cellIs" dxfId="8466" priority="1194" stopIfTrue="1" operator="equal">
      <formula>"Napkin Hs"</formula>
    </cfRule>
    <cfRule type="cellIs" dxfId="8465" priority="1199" stopIfTrue="1" operator="equal">
      <formula>"Towel"</formula>
    </cfRule>
    <cfRule type="cellIs" dxfId="8464" priority="1200" stopIfTrue="1" operator="equal">
      <formula>"Napkin Hs"</formula>
    </cfRule>
    <cfRule type="cellIs" dxfId="8463" priority="1205" stopIfTrue="1" operator="equal">
      <formula>"Towel"</formula>
    </cfRule>
    <cfRule type="cellIs" dxfId="8462" priority="1206" stopIfTrue="1" operator="equal">
      <formula>"Napkin Hs"</formula>
    </cfRule>
    <cfRule type="cellIs" dxfId="8461" priority="1211" stopIfTrue="1" operator="equal">
      <formula>"Towel"</formula>
    </cfRule>
    <cfRule type="cellIs" dxfId="8460" priority="1212" stopIfTrue="1" operator="equal">
      <formula>"Napkin Hs"</formula>
    </cfRule>
    <cfRule type="cellIs" dxfId="8459" priority="1217" stopIfTrue="1" operator="equal">
      <formula>"Towel"</formula>
    </cfRule>
    <cfRule type="cellIs" dxfId="8458" priority="1218" stopIfTrue="1" operator="equal">
      <formula>"Napkin Hs"</formula>
    </cfRule>
    <cfRule type="cellIs" dxfId="8457" priority="1223" stopIfTrue="1" operator="equal">
      <formula>"Towel"</formula>
    </cfRule>
    <cfRule type="cellIs" dxfId="8456" priority="1224" stopIfTrue="1" operator="equal">
      <formula>"Napkin Hs"</formula>
    </cfRule>
  </conditionalFormatting>
  <conditionalFormatting sqref="C135">
    <cfRule type="cellIs" dxfId="8455" priority="1141" stopIfTrue="1" operator="equal">
      <formula>"Towel"</formula>
    </cfRule>
    <cfRule type="cellIs" dxfId="8454" priority="1142" stopIfTrue="1" operator="equal">
      <formula>"Napkin Hs"</formula>
    </cfRule>
    <cfRule type="cellIs" dxfId="8453" priority="1143" stopIfTrue="1" operator="equal">
      <formula>"Towel"</formula>
    </cfRule>
    <cfRule type="cellIs" dxfId="8452" priority="1144" stopIfTrue="1" operator="equal">
      <formula>"Napkin Hs"</formula>
    </cfRule>
    <cfRule type="cellIs" dxfId="8451" priority="1147" stopIfTrue="1" operator="equal">
      <formula>"Towel"</formula>
    </cfRule>
    <cfRule type="cellIs" dxfId="8450" priority="1148" stopIfTrue="1" operator="equal">
      <formula>"Napkin Hs"</formula>
    </cfRule>
    <cfRule type="cellIs" dxfId="8449" priority="1149" stopIfTrue="1" operator="equal">
      <formula>"Towel"</formula>
    </cfRule>
    <cfRule type="cellIs" dxfId="8448" priority="1150" stopIfTrue="1" operator="equal">
      <formula>"Napkin Hs"</formula>
    </cfRule>
    <cfRule type="cellIs" dxfId="8447" priority="1153" stopIfTrue="1" operator="equal">
      <formula>"Towel"</formula>
    </cfRule>
    <cfRule type="cellIs" dxfId="8446" priority="1154" stopIfTrue="1" operator="equal">
      <formula>"Napkin Hs"</formula>
    </cfRule>
    <cfRule type="cellIs" dxfId="8445" priority="1155" stopIfTrue="1" operator="equal">
      <formula>"Towel"</formula>
    </cfRule>
    <cfRule type="cellIs" dxfId="8444" priority="1156" stopIfTrue="1" operator="equal">
      <formula>"Napkin Hs"</formula>
    </cfRule>
    <cfRule type="cellIs" dxfId="8443" priority="1159" stopIfTrue="1" operator="equal">
      <formula>"Towel"</formula>
    </cfRule>
    <cfRule type="cellIs" dxfId="8442" priority="1160" stopIfTrue="1" operator="equal">
      <formula>"Napkin Hs"</formula>
    </cfRule>
    <cfRule type="cellIs" dxfId="8441" priority="1161" stopIfTrue="1" operator="equal">
      <formula>"Towel"</formula>
    </cfRule>
    <cfRule type="cellIs" dxfId="8440" priority="1162" stopIfTrue="1" operator="equal">
      <formula>"Napkin Hs"</formula>
    </cfRule>
    <cfRule type="cellIs" dxfId="8439" priority="1165" stopIfTrue="1" operator="equal">
      <formula>"Towel"</formula>
    </cfRule>
    <cfRule type="cellIs" dxfId="8438" priority="1166" stopIfTrue="1" operator="equal">
      <formula>"Napkin Hs"</formula>
    </cfRule>
    <cfRule type="cellIs" dxfId="8437" priority="1167" stopIfTrue="1" operator="equal">
      <formula>"Towel"</formula>
    </cfRule>
    <cfRule type="cellIs" dxfId="8436" priority="1168" stopIfTrue="1" operator="equal">
      <formula>"Napkin Hs"</formula>
    </cfRule>
    <cfRule type="cellIs" dxfId="8435" priority="1171" stopIfTrue="1" operator="equal">
      <formula>"Towel"</formula>
    </cfRule>
    <cfRule type="cellIs" dxfId="8434" priority="1172" stopIfTrue="1" operator="equal">
      <formula>"Napkin Hs"</formula>
    </cfRule>
    <cfRule type="cellIs" dxfId="8433" priority="1173" stopIfTrue="1" operator="equal">
      <formula>"Towel"</formula>
    </cfRule>
    <cfRule type="cellIs" dxfId="8432" priority="1174" stopIfTrue="1" operator="equal">
      <formula>"Napkin Hs"</formula>
    </cfRule>
    <cfRule type="cellIs" dxfId="8431" priority="1177" stopIfTrue="1" operator="equal">
      <formula>"Towel"</formula>
    </cfRule>
    <cfRule type="cellIs" dxfId="8430" priority="1178" stopIfTrue="1" operator="equal">
      <formula>"Napkin Hs"</formula>
    </cfRule>
    <cfRule type="cellIs" dxfId="8429" priority="1181" stopIfTrue="1" operator="equal">
      <formula>"Towel"</formula>
    </cfRule>
    <cfRule type="cellIs" dxfId="8428" priority="1182" stopIfTrue="1" operator="equal">
      <formula>"Napkin Hs"</formula>
    </cfRule>
    <cfRule type="cellIs" dxfId="8427" priority="1183" stopIfTrue="1" operator="equal">
      <formula>"Towel"</formula>
    </cfRule>
    <cfRule type="cellIs" dxfId="8426" priority="1184" stopIfTrue="1" operator="equal">
      <formula>"Napkin Hs"</formula>
    </cfRule>
    <cfRule type="cellIs" dxfId="8425" priority="1185" stopIfTrue="1" operator="equal">
      <formula>"Towel"</formula>
    </cfRule>
    <cfRule type="cellIs" dxfId="8424" priority="1186" stopIfTrue="1" operator="equal">
      <formula>"Napkin Hs"</formula>
    </cfRule>
    <cfRule type="cellIs" dxfId="8423" priority="1189" stopIfTrue="1" operator="equal">
      <formula>"Towel"</formula>
    </cfRule>
    <cfRule type="cellIs" dxfId="8422" priority="1190" stopIfTrue="1" operator="equal">
      <formula>"Napkin Hs"</formula>
    </cfRule>
    <cfRule type="cellIs" dxfId="8421" priority="1191" stopIfTrue="1" operator="equal">
      <formula>"Towel"</formula>
    </cfRule>
    <cfRule type="cellIs" dxfId="8420" priority="1192" stopIfTrue="1" operator="equal">
      <formula>"Napkin Hs"</formula>
    </cfRule>
    <cfRule type="cellIs" dxfId="8419" priority="1195" stopIfTrue="1" operator="equal">
      <formula>"Towel"</formula>
    </cfRule>
    <cfRule type="cellIs" dxfId="8418" priority="1196" stopIfTrue="1" operator="equal">
      <formula>"Napkin Hs"</formula>
    </cfRule>
    <cfRule type="cellIs" dxfId="8417" priority="1197" stopIfTrue="1" operator="equal">
      <formula>"Towel"</formula>
    </cfRule>
    <cfRule type="cellIs" dxfId="8416" priority="1198" stopIfTrue="1" operator="equal">
      <formula>"Napkin Hs"</formula>
    </cfRule>
    <cfRule type="cellIs" dxfId="8415" priority="1201" stopIfTrue="1" operator="equal">
      <formula>"Towel"</formula>
    </cfRule>
    <cfRule type="cellIs" dxfId="8414" priority="1202" stopIfTrue="1" operator="equal">
      <formula>"Napkin Hs"</formula>
    </cfRule>
    <cfRule type="cellIs" dxfId="8413" priority="1203" stopIfTrue="1" operator="equal">
      <formula>"Towel"</formula>
    </cfRule>
    <cfRule type="cellIs" dxfId="8412" priority="1204" stopIfTrue="1" operator="equal">
      <formula>"Napkin Hs"</formula>
    </cfRule>
    <cfRule type="cellIs" dxfId="8411" priority="1207" stopIfTrue="1" operator="equal">
      <formula>"Towel"</formula>
    </cfRule>
    <cfRule type="cellIs" dxfId="8410" priority="1208" stopIfTrue="1" operator="equal">
      <formula>"Napkin Hs"</formula>
    </cfRule>
    <cfRule type="cellIs" dxfId="8409" priority="1209" stopIfTrue="1" operator="equal">
      <formula>"Towel"</formula>
    </cfRule>
    <cfRule type="cellIs" dxfId="8408" priority="1210" stopIfTrue="1" operator="equal">
      <formula>"Napkin Hs"</formula>
    </cfRule>
    <cfRule type="cellIs" dxfId="8407" priority="1213" stopIfTrue="1" operator="equal">
      <formula>"Towel"</formula>
    </cfRule>
    <cfRule type="cellIs" dxfId="8406" priority="1214" stopIfTrue="1" operator="equal">
      <formula>"Napkin Hs"</formula>
    </cfRule>
    <cfRule type="cellIs" dxfId="8405" priority="1215" stopIfTrue="1" operator="equal">
      <formula>"Towel"</formula>
    </cfRule>
    <cfRule type="cellIs" dxfId="8404" priority="1216" stopIfTrue="1" operator="equal">
      <formula>"Napkin Hs"</formula>
    </cfRule>
    <cfRule type="cellIs" dxfId="8403" priority="1219" stopIfTrue="1" operator="equal">
      <formula>"Towel"</formula>
    </cfRule>
    <cfRule type="cellIs" dxfId="8402" priority="1220" stopIfTrue="1" operator="equal">
      <formula>"Napkin Hs"</formula>
    </cfRule>
  </conditionalFormatting>
  <conditionalFormatting sqref="C135">
    <cfRule type="cellIs" dxfId="8401" priority="1221" stopIfTrue="1" operator="equal">
      <formula>"Towel"</formula>
    </cfRule>
    <cfRule type="cellIs" dxfId="8400" priority="1222" stopIfTrue="1" operator="equal">
      <formula>"Napkin Hs"</formula>
    </cfRule>
  </conditionalFormatting>
  <conditionalFormatting sqref="B136:C136">
    <cfRule type="cellIs" dxfId="8399" priority="1063" stopIfTrue="1" operator="equal">
      <formula>"Towel"</formula>
    </cfRule>
    <cfRule type="cellIs" dxfId="8398" priority="1064" stopIfTrue="1" operator="equal">
      <formula>"Napkin Hs"</formula>
    </cfRule>
    <cfRule type="cellIs" dxfId="8397" priority="1069" stopIfTrue="1" operator="equal">
      <formula>"Towel"</formula>
    </cfRule>
    <cfRule type="cellIs" dxfId="8396" priority="1070" stopIfTrue="1" operator="equal">
      <formula>"Napkin Hs"</formula>
    </cfRule>
    <cfRule type="cellIs" dxfId="8395" priority="1075" stopIfTrue="1" operator="equal">
      <formula>"Towel"</formula>
    </cfRule>
    <cfRule type="cellIs" dxfId="8394" priority="1076" stopIfTrue="1" operator="equal">
      <formula>"Napkin Hs"</formula>
    </cfRule>
    <cfRule type="cellIs" dxfId="8393" priority="1081" stopIfTrue="1" operator="equal">
      <formula>"Towel"</formula>
    </cfRule>
    <cfRule type="cellIs" dxfId="8392" priority="1082" stopIfTrue="1" operator="equal">
      <formula>"Napkin Hs"</formula>
    </cfRule>
    <cfRule type="cellIs" dxfId="8391" priority="1087" stopIfTrue="1" operator="equal">
      <formula>"Towel"</formula>
    </cfRule>
    <cfRule type="cellIs" dxfId="8390" priority="1088" stopIfTrue="1" operator="equal">
      <formula>"Napkin Hs"</formula>
    </cfRule>
    <cfRule type="cellIs" dxfId="8389" priority="1093" stopIfTrue="1" operator="equal">
      <formula>"Towel"</formula>
    </cfRule>
    <cfRule type="cellIs" dxfId="8388" priority="1094" stopIfTrue="1" operator="equal">
      <formula>"Napkin Hs"</formula>
    </cfRule>
    <cfRule type="cellIs" dxfId="8387" priority="1097" stopIfTrue="1" operator="equal">
      <formula>"Towel"</formula>
    </cfRule>
    <cfRule type="cellIs" dxfId="8386" priority="1098" stopIfTrue="1" operator="equal">
      <formula>"Napkin Hs"</formula>
    </cfRule>
    <cfRule type="cellIs" dxfId="8385" priority="1103" stopIfTrue="1" operator="equal">
      <formula>"Towel"</formula>
    </cfRule>
    <cfRule type="cellIs" dxfId="8384" priority="1104" stopIfTrue="1" operator="equal">
      <formula>"Napkin Hs"</formula>
    </cfRule>
    <cfRule type="cellIs" dxfId="8383" priority="1109" stopIfTrue="1" operator="equal">
      <formula>"Towel"</formula>
    </cfRule>
    <cfRule type="cellIs" dxfId="8382" priority="1110" stopIfTrue="1" operator="equal">
      <formula>"Napkin Hs"</formula>
    </cfRule>
    <cfRule type="cellIs" dxfId="8381" priority="1115" stopIfTrue="1" operator="equal">
      <formula>"Towel"</formula>
    </cfRule>
    <cfRule type="cellIs" dxfId="8380" priority="1116" stopIfTrue="1" operator="equal">
      <formula>"Napkin Hs"</formula>
    </cfRule>
    <cfRule type="cellIs" dxfId="8379" priority="1121" stopIfTrue="1" operator="equal">
      <formula>"Towel"</formula>
    </cfRule>
    <cfRule type="cellIs" dxfId="8378" priority="1122" stopIfTrue="1" operator="equal">
      <formula>"Napkin Hs"</formula>
    </cfRule>
    <cfRule type="cellIs" dxfId="8377" priority="1127" stopIfTrue="1" operator="equal">
      <formula>"Towel"</formula>
    </cfRule>
    <cfRule type="cellIs" dxfId="8376" priority="1128" stopIfTrue="1" operator="equal">
      <formula>"Napkin Hs"</formula>
    </cfRule>
    <cfRule type="cellIs" dxfId="8375" priority="1133" stopIfTrue="1" operator="equal">
      <formula>"Towel"</formula>
    </cfRule>
    <cfRule type="cellIs" dxfId="8374" priority="1134" stopIfTrue="1" operator="equal">
      <formula>"Napkin Hs"</formula>
    </cfRule>
    <cfRule type="cellIs" dxfId="8373" priority="1138" stopIfTrue="1" operator="equal">
      <formula>"Napkin Hs"</formula>
    </cfRule>
  </conditionalFormatting>
  <conditionalFormatting sqref="B136:C136">
    <cfRule type="cellIs" dxfId="8372" priority="1137" stopIfTrue="1" operator="equal">
      <formula>"Towel"</formula>
    </cfRule>
  </conditionalFormatting>
  <conditionalFormatting sqref="C136">
    <cfRule type="cellIs" dxfId="8371" priority="1059" stopIfTrue="1" operator="equal">
      <formula>"Towel"</formula>
    </cfRule>
    <cfRule type="cellIs" dxfId="8370" priority="1060" stopIfTrue="1" operator="equal">
      <formula>"Napkin Hs"</formula>
    </cfRule>
  </conditionalFormatting>
  <conditionalFormatting sqref="C136">
    <cfRule type="cellIs" dxfId="8369" priority="1099" stopIfTrue="1" operator="equal">
      <formula>"Towel"</formula>
    </cfRule>
    <cfRule type="cellIs" dxfId="8368" priority="1100" stopIfTrue="1" operator="equal">
      <formula>"Napkin Hs"</formula>
    </cfRule>
    <cfRule type="cellIs" dxfId="8367" priority="1139" stopIfTrue="1" operator="equal">
      <formula>"Towel"</formula>
    </cfRule>
    <cfRule type="cellIs" dxfId="8366" priority="1140" stopIfTrue="1" operator="equal">
      <formula>"Napkin Hs"</formula>
    </cfRule>
  </conditionalFormatting>
  <conditionalFormatting sqref="C136">
    <cfRule type="cellIs" dxfId="8365" priority="1061" stopIfTrue="1" operator="equal">
      <formula>"Towel"</formula>
    </cfRule>
    <cfRule type="cellIs" dxfId="8364" priority="1062" stopIfTrue="1" operator="equal">
      <formula>"Napkin Hs"</formula>
    </cfRule>
    <cfRule type="cellIs" dxfId="8363" priority="1065" stopIfTrue="1" operator="equal">
      <formula>"Towel"</formula>
    </cfRule>
    <cfRule type="cellIs" dxfId="8362" priority="1066" stopIfTrue="1" operator="equal">
      <formula>"Napkin Hs"</formula>
    </cfRule>
    <cfRule type="cellIs" dxfId="8361" priority="1067" stopIfTrue="1" operator="equal">
      <formula>"Towel"</formula>
    </cfRule>
    <cfRule type="cellIs" dxfId="8360" priority="1068" stopIfTrue="1" operator="equal">
      <formula>"Napkin Hs"</formula>
    </cfRule>
    <cfRule type="cellIs" dxfId="8359" priority="1071" stopIfTrue="1" operator="equal">
      <formula>"Towel"</formula>
    </cfRule>
    <cfRule type="cellIs" dxfId="8358" priority="1072" stopIfTrue="1" operator="equal">
      <formula>"Napkin Hs"</formula>
    </cfRule>
    <cfRule type="cellIs" dxfId="8357" priority="1073" stopIfTrue="1" operator="equal">
      <formula>"Towel"</formula>
    </cfRule>
    <cfRule type="cellIs" dxfId="8356" priority="1074" stopIfTrue="1" operator="equal">
      <formula>"Napkin Hs"</formula>
    </cfRule>
    <cfRule type="cellIs" dxfId="8355" priority="1077" stopIfTrue="1" operator="equal">
      <formula>"Towel"</formula>
    </cfRule>
    <cfRule type="cellIs" dxfId="8354" priority="1078" stopIfTrue="1" operator="equal">
      <formula>"Napkin Hs"</formula>
    </cfRule>
    <cfRule type="cellIs" dxfId="8353" priority="1079" stopIfTrue="1" operator="equal">
      <formula>"Towel"</formula>
    </cfRule>
    <cfRule type="cellIs" dxfId="8352" priority="1080" stopIfTrue="1" operator="equal">
      <formula>"Napkin Hs"</formula>
    </cfRule>
    <cfRule type="cellIs" dxfId="8351" priority="1083" stopIfTrue="1" operator="equal">
      <formula>"Towel"</formula>
    </cfRule>
    <cfRule type="cellIs" dxfId="8350" priority="1084" stopIfTrue="1" operator="equal">
      <formula>"Napkin Hs"</formula>
    </cfRule>
    <cfRule type="cellIs" dxfId="8349" priority="1085" stopIfTrue="1" operator="equal">
      <formula>"Towel"</formula>
    </cfRule>
    <cfRule type="cellIs" dxfId="8348" priority="1086" stopIfTrue="1" operator="equal">
      <formula>"Napkin Hs"</formula>
    </cfRule>
    <cfRule type="cellIs" dxfId="8347" priority="1089" stopIfTrue="1" operator="equal">
      <formula>"Towel"</formula>
    </cfRule>
    <cfRule type="cellIs" dxfId="8346" priority="1090" stopIfTrue="1" operator="equal">
      <formula>"Napkin Hs"</formula>
    </cfRule>
    <cfRule type="cellIs" dxfId="8345" priority="1091" stopIfTrue="1" operator="equal">
      <formula>"Towel"</formula>
    </cfRule>
    <cfRule type="cellIs" dxfId="8344" priority="1092" stopIfTrue="1" operator="equal">
      <formula>"Napkin Hs"</formula>
    </cfRule>
    <cfRule type="cellIs" dxfId="8343" priority="1095" stopIfTrue="1" operator="equal">
      <formula>"Towel"</formula>
    </cfRule>
    <cfRule type="cellIs" dxfId="8342" priority="1096" stopIfTrue="1" operator="equal">
      <formula>"Napkin Hs"</formula>
    </cfRule>
    <cfRule type="cellIs" dxfId="8341" priority="1101" stopIfTrue="1" operator="equal">
      <formula>"Towel"</formula>
    </cfRule>
    <cfRule type="cellIs" dxfId="8340" priority="1102" stopIfTrue="1" operator="equal">
      <formula>"Napkin Hs"</formula>
    </cfRule>
    <cfRule type="cellIs" dxfId="8339" priority="1105" stopIfTrue="1" operator="equal">
      <formula>"Towel"</formula>
    </cfRule>
    <cfRule type="cellIs" dxfId="8338" priority="1106" stopIfTrue="1" operator="equal">
      <formula>"Napkin Hs"</formula>
    </cfRule>
    <cfRule type="cellIs" dxfId="8337" priority="1107" stopIfTrue="1" operator="equal">
      <formula>"Towel"</formula>
    </cfRule>
    <cfRule type="cellIs" dxfId="8336" priority="1108" stopIfTrue="1" operator="equal">
      <formula>"Napkin Hs"</formula>
    </cfRule>
    <cfRule type="cellIs" dxfId="8335" priority="1111" stopIfTrue="1" operator="equal">
      <formula>"Towel"</formula>
    </cfRule>
    <cfRule type="cellIs" dxfId="8334" priority="1112" stopIfTrue="1" operator="equal">
      <formula>"Napkin Hs"</formula>
    </cfRule>
    <cfRule type="cellIs" dxfId="8333" priority="1113" stopIfTrue="1" operator="equal">
      <formula>"Towel"</formula>
    </cfRule>
    <cfRule type="cellIs" dxfId="8332" priority="1114" stopIfTrue="1" operator="equal">
      <formula>"Napkin Hs"</formula>
    </cfRule>
    <cfRule type="cellIs" dxfId="8331" priority="1117" stopIfTrue="1" operator="equal">
      <formula>"Towel"</formula>
    </cfRule>
    <cfRule type="cellIs" dxfId="8330" priority="1118" stopIfTrue="1" operator="equal">
      <formula>"Napkin Hs"</formula>
    </cfRule>
    <cfRule type="cellIs" dxfId="8329" priority="1119" stopIfTrue="1" operator="equal">
      <formula>"Towel"</formula>
    </cfRule>
    <cfRule type="cellIs" dxfId="8328" priority="1120" stopIfTrue="1" operator="equal">
      <formula>"Napkin Hs"</formula>
    </cfRule>
    <cfRule type="cellIs" dxfId="8327" priority="1123" stopIfTrue="1" operator="equal">
      <formula>"Towel"</formula>
    </cfRule>
    <cfRule type="cellIs" dxfId="8326" priority="1124" stopIfTrue="1" operator="equal">
      <formula>"Napkin Hs"</formula>
    </cfRule>
    <cfRule type="cellIs" dxfId="8325" priority="1125" stopIfTrue="1" operator="equal">
      <formula>"Towel"</formula>
    </cfRule>
    <cfRule type="cellIs" dxfId="8324" priority="1126" stopIfTrue="1" operator="equal">
      <formula>"Napkin Hs"</formula>
    </cfRule>
    <cfRule type="cellIs" dxfId="8323" priority="1129" stopIfTrue="1" operator="equal">
      <formula>"Towel"</formula>
    </cfRule>
    <cfRule type="cellIs" dxfId="8322" priority="1130" stopIfTrue="1" operator="equal">
      <formula>"Napkin Hs"</formula>
    </cfRule>
    <cfRule type="cellIs" dxfId="8321" priority="1131" stopIfTrue="1" operator="equal">
      <formula>"Towel"</formula>
    </cfRule>
    <cfRule type="cellIs" dxfId="8320" priority="1132" stopIfTrue="1" operator="equal">
      <formula>"Napkin Hs"</formula>
    </cfRule>
  </conditionalFormatting>
  <conditionalFormatting sqref="C136">
    <cfRule type="cellIs" dxfId="8319" priority="1135" stopIfTrue="1" operator="equal">
      <formula>"Towel"</formula>
    </cfRule>
    <cfRule type="cellIs" dxfId="8318" priority="1136" stopIfTrue="1" operator="equal">
      <formula>"Napkin Hs"</formula>
    </cfRule>
  </conditionalFormatting>
  <conditionalFormatting sqref="B142:C142">
    <cfRule type="cellIs" dxfId="8317" priority="1056" stopIfTrue="1" operator="equal">
      <formula>"Napkin Hs"</formula>
    </cfRule>
  </conditionalFormatting>
  <conditionalFormatting sqref="B142:C142">
    <cfRule type="cellIs" dxfId="8316" priority="1055" stopIfTrue="1" operator="equal">
      <formula>"Towel"</formula>
    </cfRule>
  </conditionalFormatting>
  <conditionalFormatting sqref="C142">
    <cfRule type="cellIs" dxfId="8315" priority="1053" stopIfTrue="1" operator="equal">
      <formula>"Towel"</formula>
    </cfRule>
    <cfRule type="cellIs" dxfId="8314" priority="1054" stopIfTrue="1" operator="equal">
      <formula>"Napkin Hs"</formula>
    </cfRule>
  </conditionalFormatting>
  <conditionalFormatting sqref="C142">
    <cfRule type="cellIs" dxfId="8313" priority="1057" stopIfTrue="1" operator="equal">
      <formula>"Towel"</formula>
    </cfRule>
    <cfRule type="cellIs" dxfId="8312" priority="1058" stopIfTrue="1" operator="equal">
      <formula>"Napkin Hs"</formula>
    </cfRule>
  </conditionalFormatting>
  <conditionalFormatting sqref="B142">
    <cfRule type="cellIs" dxfId="8311" priority="949" stopIfTrue="1" operator="equal">
      <formula>"Towel"</formula>
    </cfRule>
    <cfRule type="cellIs" dxfId="8310" priority="950" stopIfTrue="1" operator="equal">
      <formula>"Napkin Hs"</formula>
    </cfRule>
  </conditionalFormatting>
  <conditionalFormatting sqref="B142:C142">
    <cfRule type="cellIs" dxfId="8309" priority="1009" stopIfTrue="1" operator="equal">
      <formula>"Towel"</formula>
    </cfRule>
    <cfRule type="cellIs" dxfId="8308" priority="1010" stopIfTrue="1" operator="equal">
      <formula>"Napkin Hs"</formula>
    </cfRule>
    <cfRule type="cellIs" dxfId="8307" priority="1015" stopIfTrue="1" operator="equal">
      <formula>"Towel"</formula>
    </cfRule>
    <cfRule type="cellIs" dxfId="8306" priority="1016" stopIfTrue="1" operator="equal">
      <formula>"Napkin Hs"</formula>
    </cfRule>
    <cfRule type="cellIs" dxfId="8305" priority="1021" stopIfTrue="1" operator="equal">
      <formula>"Towel"</formula>
    </cfRule>
    <cfRule type="cellIs" dxfId="8304" priority="1022" stopIfTrue="1" operator="equal">
      <formula>"Napkin Hs"</formula>
    </cfRule>
    <cfRule type="cellIs" dxfId="8303" priority="1027" stopIfTrue="1" operator="equal">
      <formula>"Towel"</formula>
    </cfRule>
    <cfRule type="cellIs" dxfId="8302" priority="1028" stopIfTrue="1" operator="equal">
      <formula>"Napkin Hs"</formula>
    </cfRule>
    <cfRule type="cellIs" dxfId="8301" priority="1033" stopIfTrue="1" operator="equal">
      <formula>"Towel"</formula>
    </cfRule>
    <cfRule type="cellIs" dxfId="8300" priority="1034" stopIfTrue="1" operator="equal">
      <formula>"Napkin Hs"</formula>
    </cfRule>
    <cfRule type="cellIs" dxfId="8299" priority="1039" stopIfTrue="1" operator="equal">
      <formula>"Towel"</formula>
    </cfRule>
    <cfRule type="cellIs" dxfId="8298" priority="1040" stopIfTrue="1" operator="equal">
      <formula>"Napkin Hs"</formula>
    </cfRule>
    <cfRule type="cellIs" dxfId="8297" priority="1045" stopIfTrue="1" operator="equal">
      <formula>"Towel"</formula>
    </cfRule>
    <cfRule type="cellIs" dxfId="8296" priority="1046" stopIfTrue="1" operator="equal">
      <formula>"Napkin Hs"</formula>
    </cfRule>
    <cfRule type="cellIs" dxfId="8295" priority="1051" stopIfTrue="1" operator="equal">
      <formula>"Towel"</formula>
    </cfRule>
    <cfRule type="cellIs" dxfId="8294" priority="1052" stopIfTrue="1" operator="equal">
      <formula>"Napkin Hs"</formula>
    </cfRule>
  </conditionalFormatting>
  <conditionalFormatting sqref="B142:C142">
    <cfRule type="cellIs" dxfId="8293" priority="951" stopIfTrue="1" operator="equal">
      <formula>"Towel"</formula>
    </cfRule>
    <cfRule type="cellIs" dxfId="8292" priority="952" stopIfTrue="1" operator="equal">
      <formula>"Napkin Hs"</formula>
    </cfRule>
    <cfRule type="cellIs" dxfId="8291" priority="967" stopIfTrue="1" operator="equal">
      <formula>"Towel"</formula>
    </cfRule>
    <cfRule type="cellIs" dxfId="8290" priority="968" stopIfTrue="1" operator="equal">
      <formula>"Napkin Hs"</formula>
    </cfRule>
    <cfRule type="cellIs" dxfId="8289" priority="973" stopIfTrue="1" operator="equal">
      <formula>"Towel"</formula>
    </cfRule>
    <cfRule type="cellIs" dxfId="8288" priority="974" stopIfTrue="1" operator="equal">
      <formula>"Napkin Hs"</formula>
    </cfRule>
    <cfRule type="cellIs" dxfId="8287" priority="979" stopIfTrue="1" operator="equal">
      <formula>"Towel"</formula>
    </cfRule>
    <cfRule type="cellIs" dxfId="8286" priority="980" stopIfTrue="1" operator="equal">
      <formula>"Napkin Hs"</formula>
    </cfRule>
    <cfRule type="cellIs" dxfId="8285" priority="985" stopIfTrue="1" operator="equal">
      <formula>"Towel"</formula>
    </cfRule>
    <cfRule type="cellIs" dxfId="8284" priority="986" stopIfTrue="1" operator="equal">
      <formula>"Napkin Hs"</formula>
    </cfRule>
    <cfRule type="cellIs" dxfId="8283" priority="991" stopIfTrue="1" operator="equal">
      <formula>"Towel"</formula>
    </cfRule>
    <cfRule type="cellIs" dxfId="8282" priority="992" stopIfTrue="1" operator="equal">
      <formula>"Napkin Hs"</formula>
    </cfRule>
    <cfRule type="cellIs" dxfId="8281" priority="997" stopIfTrue="1" operator="equal">
      <formula>"Towel"</formula>
    </cfRule>
    <cfRule type="cellIs" dxfId="8280" priority="998" stopIfTrue="1" operator="equal">
      <formula>"Napkin Hs"</formula>
    </cfRule>
    <cfRule type="cellIs" dxfId="8279" priority="1003" stopIfTrue="1" operator="equal">
      <formula>"Towel"</formula>
    </cfRule>
    <cfRule type="cellIs" dxfId="8278" priority="1004" stopIfTrue="1" operator="equal">
      <formula>"Napkin Hs"</formula>
    </cfRule>
  </conditionalFormatting>
  <conditionalFormatting sqref="C142">
    <cfRule type="cellIs" dxfId="8277" priority="1005" stopIfTrue="1" operator="equal">
      <formula>"Towel"</formula>
    </cfRule>
    <cfRule type="cellIs" dxfId="8276" priority="1006" stopIfTrue="1" operator="equal">
      <formula>"Napkin Hs"</formula>
    </cfRule>
    <cfRule type="cellIs" dxfId="8275" priority="1007" stopIfTrue="1" operator="equal">
      <formula>"Towel"</formula>
    </cfRule>
    <cfRule type="cellIs" dxfId="8274" priority="1008" stopIfTrue="1" operator="equal">
      <formula>"Napkin Hs"</formula>
    </cfRule>
    <cfRule type="cellIs" dxfId="8273" priority="1011" stopIfTrue="1" operator="equal">
      <formula>"Towel"</formula>
    </cfRule>
    <cfRule type="cellIs" dxfId="8272" priority="1012" stopIfTrue="1" operator="equal">
      <formula>"Napkin Hs"</formula>
    </cfRule>
    <cfRule type="cellIs" dxfId="8271" priority="1013" stopIfTrue="1" operator="equal">
      <formula>"Towel"</formula>
    </cfRule>
    <cfRule type="cellIs" dxfId="8270" priority="1014" stopIfTrue="1" operator="equal">
      <formula>"Napkin Hs"</formula>
    </cfRule>
    <cfRule type="cellIs" dxfId="8269" priority="1017" stopIfTrue="1" operator="equal">
      <formula>"Towel"</formula>
    </cfRule>
    <cfRule type="cellIs" dxfId="8268" priority="1018" stopIfTrue="1" operator="equal">
      <formula>"Napkin Hs"</formula>
    </cfRule>
    <cfRule type="cellIs" dxfId="8267" priority="1019" stopIfTrue="1" operator="equal">
      <formula>"Towel"</formula>
    </cfRule>
    <cfRule type="cellIs" dxfId="8266" priority="1020" stopIfTrue="1" operator="equal">
      <formula>"Napkin Hs"</formula>
    </cfRule>
    <cfRule type="cellIs" dxfId="8265" priority="1023" stopIfTrue="1" operator="equal">
      <formula>"Towel"</formula>
    </cfRule>
    <cfRule type="cellIs" dxfId="8264" priority="1024" stopIfTrue="1" operator="equal">
      <formula>"Napkin Hs"</formula>
    </cfRule>
    <cfRule type="cellIs" dxfId="8263" priority="1025" stopIfTrue="1" operator="equal">
      <formula>"Towel"</formula>
    </cfRule>
    <cfRule type="cellIs" dxfId="8262" priority="1026" stopIfTrue="1" operator="equal">
      <formula>"Napkin Hs"</formula>
    </cfRule>
    <cfRule type="cellIs" dxfId="8261" priority="1029" stopIfTrue="1" operator="equal">
      <formula>"Towel"</formula>
    </cfRule>
    <cfRule type="cellIs" dxfId="8260" priority="1030" stopIfTrue="1" operator="equal">
      <formula>"Napkin Hs"</formula>
    </cfRule>
    <cfRule type="cellIs" dxfId="8259" priority="1031" stopIfTrue="1" operator="equal">
      <formula>"Towel"</formula>
    </cfRule>
    <cfRule type="cellIs" dxfId="8258" priority="1032" stopIfTrue="1" operator="equal">
      <formula>"Napkin Hs"</formula>
    </cfRule>
    <cfRule type="cellIs" dxfId="8257" priority="1035" stopIfTrue="1" operator="equal">
      <formula>"Towel"</formula>
    </cfRule>
    <cfRule type="cellIs" dxfId="8256" priority="1036" stopIfTrue="1" operator="equal">
      <formula>"Napkin Hs"</formula>
    </cfRule>
    <cfRule type="cellIs" dxfId="8255" priority="1037" stopIfTrue="1" operator="equal">
      <formula>"Towel"</formula>
    </cfRule>
    <cfRule type="cellIs" dxfId="8254" priority="1038" stopIfTrue="1" operator="equal">
      <formula>"Napkin Hs"</formula>
    </cfRule>
    <cfRule type="cellIs" dxfId="8253" priority="1041" stopIfTrue="1" operator="equal">
      <formula>"Towel"</formula>
    </cfRule>
    <cfRule type="cellIs" dxfId="8252" priority="1042" stopIfTrue="1" operator="equal">
      <formula>"Napkin Hs"</formula>
    </cfRule>
    <cfRule type="cellIs" dxfId="8251" priority="1043" stopIfTrue="1" operator="equal">
      <formula>"Towel"</formula>
    </cfRule>
    <cfRule type="cellIs" dxfId="8250" priority="1044" stopIfTrue="1" operator="equal">
      <formula>"Napkin Hs"</formula>
    </cfRule>
    <cfRule type="cellIs" dxfId="8249" priority="1047" stopIfTrue="1" operator="equal">
      <formula>"Towel"</formula>
    </cfRule>
    <cfRule type="cellIs" dxfId="8248" priority="1048" stopIfTrue="1" operator="equal">
      <formula>"Napkin Hs"</formula>
    </cfRule>
  </conditionalFormatting>
  <conditionalFormatting sqref="C142">
    <cfRule type="cellIs" dxfId="8247" priority="953" stopIfTrue="1" operator="equal">
      <formula>"Towel"</formula>
    </cfRule>
    <cfRule type="cellIs" dxfId="8246" priority="954" stopIfTrue="1" operator="equal">
      <formula>"Napkin Hs"</formula>
    </cfRule>
    <cfRule type="cellIs" dxfId="8245" priority="955" stopIfTrue="1" operator="equal">
      <formula>"Towel"</formula>
    </cfRule>
    <cfRule type="cellIs" dxfId="8244" priority="956" stopIfTrue="1" operator="equal">
      <formula>"Napkin Hs"</formula>
    </cfRule>
    <cfRule type="cellIs" dxfId="8243" priority="957" stopIfTrue="1" operator="equal">
      <formula>"Towel"</formula>
    </cfRule>
    <cfRule type="cellIs" dxfId="8242" priority="958" stopIfTrue="1" operator="equal">
      <formula>"Napkin Hs"</formula>
    </cfRule>
    <cfRule type="cellIs" dxfId="8241" priority="959" stopIfTrue="1" operator="equal">
      <formula>"Towel"</formula>
    </cfRule>
    <cfRule type="cellIs" dxfId="8240" priority="960" stopIfTrue="1" operator="equal">
      <formula>"Napkin Hs"</formula>
    </cfRule>
    <cfRule type="cellIs" dxfId="8239" priority="961" stopIfTrue="1" operator="equal">
      <formula>"Towel"</formula>
    </cfRule>
    <cfRule type="cellIs" dxfId="8238" priority="962" stopIfTrue="1" operator="equal">
      <formula>"Napkin Hs"</formula>
    </cfRule>
    <cfRule type="cellIs" dxfId="8237" priority="963" stopIfTrue="1" operator="equal">
      <formula>"Towel"</formula>
    </cfRule>
    <cfRule type="cellIs" dxfId="8236" priority="964" stopIfTrue="1" operator="equal">
      <formula>"Napkin Hs"</formula>
    </cfRule>
    <cfRule type="cellIs" dxfId="8235" priority="965" stopIfTrue="1" operator="equal">
      <formula>"Towel"</formula>
    </cfRule>
    <cfRule type="cellIs" dxfId="8234" priority="966" stopIfTrue="1" operator="equal">
      <formula>"Napkin Hs"</formula>
    </cfRule>
    <cfRule type="cellIs" dxfId="8233" priority="969" stopIfTrue="1" operator="equal">
      <formula>"Towel"</formula>
    </cfRule>
    <cfRule type="cellIs" dxfId="8232" priority="970" stopIfTrue="1" operator="equal">
      <formula>"Napkin Hs"</formula>
    </cfRule>
    <cfRule type="cellIs" dxfId="8231" priority="971" stopIfTrue="1" operator="equal">
      <formula>"Towel"</formula>
    </cfRule>
    <cfRule type="cellIs" dxfId="8230" priority="972" stopIfTrue="1" operator="equal">
      <formula>"Napkin Hs"</formula>
    </cfRule>
    <cfRule type="cellIs" dxfId="8229" priority="975" stopIfTrue="1" operator="equal">
      <formula>"Towel"</formula>
    </cfRule>
    <cfRule type="cellIs" dxfId="8228" priority="976" stopIfTrue="1" operator="equal">
      <formula>"Napkin Hs"</formula>
    </cfRule>
    <cfRule type="cellIs" dxfId="8227" priority="977" stopIfTrue="1" operator="equal">
      <formula>"Towel"</formula>
    </cfRule>
    <cfRule type="cellIs" dxfId="8226" priority="978" stopIfTrue="1" operator="equal">
      <formula>"Napkin Hs"</formula>
    </cfRule>
    <cfRule type="cellIs" dxfId="8225" priority="981" stopIfTrue="1" operator="equal">
      <formula>"Towel"</formula>
    </cfRule>
    <cfRule type="cellIs" dxfId="8224" priority="982" stopIfTrue="1" operator="equal">
      <formula>"Napkin Hs"</formula>
    </cfRule>
    <cfRule type="cellIs" dxfId="8223" priority="983" stopIfTrue="1" operator="equal">
      <formula>"Towel"</formula>
    </cfRule>
    <cfRule type="cellIs" dxfId="8222" priority="984" stopIfTrue="1" operator="equal">
      <formula>"Napkin Hs"</formula>
    </cfRule>
    <cfRule type="cellIs" dxfId="8221" priority="987" stopIfTrue="1" operator="equal">
      <formula>"Towel"</formula>
    </cfRule>
    <cfRule type="cellIs" dxfId="8220" priority="988" stopIfTrue="1" operator="equal">
      <formula>"Napkin Hs"</formula>
    </cfRule>
    <cfRule type="cellIs" dxfId="8219" priority="989" stopIfTrue="1" operator="equal">
      <formula>"Towel"</formula>
    </cfRule>
    <cfRule type="cellIs" dxfId="8218" priority="990" stopIfTrue="1" operator="equal">
      <formula>"Napkin Hs"</formula>
    </cfRule>
    <cfRule type="cellIs" dxfId="8217" priority="993" stopIfTrue="1" operator="equal">
      <formula>"Towel"</formula>
    </cfRule>
    <cfRule type="cellIs" dxfId="8216" priority="994" stopIfTrue="1" operator="equal">
      <formula>"Napkin Hs"</formula>
    </cfRule>
    <cfRule type="cellIs" dxfId="8215" priority="995" stopIfTrue="1" operator="equal">
      <formula>"Towel"</formula>
    </cfRule>
    <cfRule type="cellIs" dxfId="8214" priority="996" stopIfTrue="1" operator="equal">
      <formula>"Napkin Hs"</formula>
    </cfRule>
    <cfRule type="cellIs" dxfId="8213" priority="999" stopIfTrue="1" operator="equal">
      <formula>"Towel"</formula>
    </cfRule>
    <cfRule type="cellIs" dxfId="8212" priority="1000" stopIfTrue="1" operator="equal">
      <formula>"Napkin Hs"</formula>
    </cfRule>
    <cfRule type="cellIs" dxfId="8211" priority="1001" stopIfTrue="1" operator="equal">
      <formula>"Towel"</formula>
    </cfRule>
    <cfRule type="cellIs" dxfId="8210" priority="1002" stopIfTrue="1" operator="equal">
      <formula>"Napkin Hs"</formula>
    </cfRule>
    <cfRule type="cellIs" dxfId="8209" priority="1049" stopIfTrue="1" operator="equal">
      <formula>"Towel"</formula>
    </cfRule>
    <cfRule type="cellIs" dxfId="8208" priority="1050" stopIfTrue="1" operator="equal">
      <formula>"Napkin Hs"</formula>
    </cfRule>
  </conditionalFormatting>
  <conditionalFormatting sqref="B141:C141">
    <cfRule type="cellIs" dxfId="8207" priority="717" stopIfTrue="1" operator="equal">
      <formula>"Towel"</formula>
    </cfRule>
    <cfRule type="cellIs" dxfId="8206" priority="718" stopIfTrue="1" operator="equal">
      <formula>"Napkin Hs"</formula>
    </cfRule>
    <cfRule type="cellIs" dxfId="8205" priority="723" stopIfTrue="1" operator="equal">
      <formula>"Towel"</formula>
    </cfRule>
    <cfRule type="cellIs" dxfId="8204" priority="724" stopIfTrue="1" operator="equal">
      <formula>"Napkin Hs"</formula>
    </cfRule>
    <cfRule type="cellIs" dxfId="8203" priority="729" stopIfTrue="1" operator="equal">
      <formula>"Towel"</formula>
    </cfRule>
    <cfRule type="cellIs" dxfId="8202" priority="730" stopIfTrue="1" operator="equal">
      <formula>"Napkin Hs"</formula>
    </cfRule>
    <cfRule type="cellIs" dxfId="8201" priority="735" stopIfTrue="1" operator="equal">
      <formula>"Towel"</formula>
    </cfRule>
    <cfRule type="cellIs" dxfId="8200" priority="736" stopIfTrue="1" operator="equal">
      <formula>"Napkin Hs"</formula>
    </cfRule>
    <cfRule type="cellIs" dxfId="8199" priority="741" stopIfTrue="1" operator="equal">
      <formula>"Towel"</formula>
    </cfRule>
    <cfRule type="cellIs" dxfId="8198" priority="742" stopIfTrue="1" operator="equal">
      <formula>"Napkin Hs"</formula>
    </cfRule>
    <cfRule type="cellIs" dxfId="8197" priority="747" stopIfTrue="1" operator="equal">
      <formula>"Towel"</formula>
    </cfRule>
    <cfRule type="cellIs" dxfId="8196" priority="748" stopIfTrue="1" operator="equal">
      <formula>"Napkin Hs"</formula>
    </cfRule>
    <cfRule type="cellIs" dxfId="8195" priority="751" stopIfTrue="1" operator="equal">
      <formula>"Towel"</formula>
    </cfRule>
    <cfRule type="cellIs" dxfId="8194" priority="752" stopIfTrue="1" operator="equal">
      <formula>"Napkin Hs"</formula>
    </cfRule>
    <cfRule type="cellIs" dxfId="8193" priority="757" stopIfTrue="1" operator="equal">
      <formula>"Towel"</formula>
    </cfRule>
    <cfRule type="cellIs" dxfId="8192" priority="758" stopIfTrue="1" operator="equal">
      <formula>"Napkin Hs"</formula>
    </cfRule>
    <cfRule type="cellIs" dxfId="8191" priority="763" stopIfTrue="1" operator="equal">
      <formula>"Towel"</formula>
    </cfRule>
    <cfRule type="cellIs" dxfId="8190" priority="764" stopIfTrue="1" operator="equal">
      <formula>"Napkin Hs"</formula>
    </cfRule>
    <cfRule type="cellIs" dxfId="8189" priority="769" stopIfTrue="1" operator="equal">
      <formula>"Towel"</formula>
    </cfRule>
    <cfRule type="cellIs" dxfId="8188" priority="770" stopIfTrue="1" operator="equal">
      <formula>"Napkin Hs"</formula>
    </cfRule>
    <cfRule type="cellIs" dxfId="8187" priority="775" stopIfTrue="1" operator="equal">
      <formula>"Towel"</formula>
    </cfRule>
    <cfRule type="cellIs" dxfId="8186" priority="776" stopIfTrue="1" operator="equal">
      <formula>"Napkin Hs"</formula>
    </cfRule>
    <cfRule type="cellIs" dxfId="8185" priority="781" stopIfTrue="1" operator="equal">
      <formula>"Towel"</formula>
    </cfRule>
    <cfRule type="cellIs" dxfId="8184" priority="782" stopIfTrue="1" operator="equal">
      <formula>"Napkin Hs"</formula>
    </cfRule>
    <cfRule type="cellIs" dxfId="8183" priority="787" stopIfTrue="1" operator="equal">
      <formula>"Towel"</formula>
    </cfRule>
    <cfRule type="cellIs" dxfId="8182" priority="788" stopIfTrue="1" operator="equal">
      <formula>"Napkin Hs"</formula>
    </cfRule>
    <cfRule type="cellIs" dxfId="8181" priority="792" stopIfTrue="1" operator="equal">
      <formula>"Napkin Hs"</formula>
    </cfRule>
  </conditionalFormatting>
  <conditionalFormatting sqref="B141:C141">
    <cfRule type="cellIs" dxfId="8180" priority="791" stopIfTrue="1" operator="equal">
      <formula>"Towel"</formula>
    </cfRule>
  </conditionalFormatting>
  <conditionalFormatting sqref="C141">
    <cfRule type="cellIs" dxfId="8179" priority="713" stopIfTrue="1" operator="equal">
      <formula>"Towel"</formula>
    </cfRule>
    <cfRule type="cellIs" dxfId="8178" priority="714" stopIfTrue="1" operator="equal">
      <formula>"Napkin Hs"</formula>
    </cfRule>
  </conditionalFormatting>
  <conditionalFormatting sqref="C141">
    <cfRule type="cellIs" dxfId="8177" priority="753" stopIfTrue="1" operator="equal">
      <formula>"Towel"</formula>
    </cfRule>
    <cfRule type="cellIs" dxfId="8176" priority="754" stopIfTrue="1" operator="equal">
      <formula>"Napkin Hs"</formula>
    </cfRule>
    <cfRule type="cellIs" dxfId="8175" priority="793" stopIfTrue="1" operator="equal">
      <formula>"Towel"</formula>
    </cfRule>
    <cfRule type="cellIs" dxfId="8174" priority="794" stopIfTrue="1" operator="equal">
      <formula>"Napkin Hs"</formula>
    </cfRule>
  </conditionalFormatting>
  <conditionalFormatting sqref="C141">
    <cfRule type="cellIs" dxfId="8173" priority="715" stopIfTrue="1" operator="equal">
      <formula>"Towel"</formula>
    </cfRule>
    <cfRule type="cellIs" dxfId="8172" priority="716" stopIfTrue="1" operator="equal">
      <formula>"Napkin Hs"</formula>
    </cfRule>
    <cfRule type="cellIs" dxfId="8171" priority="719" stopIfTrue="1" operator="equal">
      <formula>"Towel"</formula>
    </cfRule>
    <cfRule type="cellIs" dxfId="8170" priority="720" stopIfTrue="1" operator="equal">
      <formula>"Napkin Hs"</formula>
    </cfRule>
    <cfRule type="cellIs" dxfId="8169" priority="721" stopIfTrue="1" operator="equal">
      <formula>"Towel"</formula>
    </cfRule>
    <cfRule type="cellIs" dxfId="8168" priority="722" stopIfTrue="1" operator="equal">
      <formula>"Napkin Hs"</formula>
    </cfRule>
    <cfRule type="cellIs" dxfId="8167" priority="725" stopIfTrue="1" operator="equal">
      <formula>"Towel"</formula>
    </cfRule>
    <cfRule type="cellIs" dxfId="8166" priority="726" stopIfTrue="1" operator="equal">
      <formula>"Napkin Hs"</formula>
    </cfRule>
    <cfRule type="cellIs" dxfId="8165" priority="727" stopIfTrue="1" operator="equal">
      <formula>"Towel"</formula>
    </cfRule>
    <cfRule type="cellIs" dxfId="8164" priority="728" stopIfTrue="1" operator="equal">
      <formula>"Napkin Hs"</formula>
    </cfRule>
    <cfRule type="cellIs" dxfId="8163" priority="731" stopIfTrue="1" operator="equal">
      <formula>"Towel"</formula>
    </cfRule>
    <cfRule type="cellIs" dxfId="8162" priority="732" stopIfTrue="1" operator="equal">
      <formula>"Napkin Hs"</formula>
    </cfRule>
    <cfRule type="cellIs" dxfId="8161" priority="733" stopIfTrue="1" operator="equal">
      <formula>"Towel"</formula>
    </cfRule>
    <cfRule type="cellIs" dxfId="8160" priority="734" stopIfTrue="1" operator="equal">
      <formula>"Napkin Hs"</formula>
    </cfRule>
    <cfRule type="cellIs" dxfId="8159" priority="737" stopIfTrue="1" operator="equal">
      <formula>"Towel"</formula>
    </cfRule>
    <cfRule type="cellIs" dxfId="8158" priority="738" stopIfTrue="1" operator="equal">
      <formula>"Napkin Hs"</formula>
    </cfRule>
    <cfRule type="cellIs" dxfId="8157" priority="739" stopIfTrue="1" operator="equal">
      <formula>"Towel"</formula>
    </cfRule>
    <cfRule type="cellIs" dxfId="8156" priority="740" stopIfTrue="1" operator="equal">
      <formula>"Napkin Hs"</formula>
    </cfRule>
    <cfRule type="cellIs" dxfId="8155" priority="743" stopIfTrue="1" operator="equal">
      <formula>"Towel"</formula>
    </cfRule>
    <cfRule type="cellIs" dxfId="8154" priority="744" stopIfTrue="1" operator="equal">
      <formula>"Napkin Hs"</formula>
    </cfRule>
    <cfRule type="cellIs" dxfId="8153" priority="745" stopIfTrue="1" operator="equal">
      <formula>"Towel"</formula>
    </cfRule>
    <cfRule type="cellIs" dxfId="8152" priority="746" stopIfTrue="1" operator="equal">
      <formula>"Napkin Hs"</formula>
    </cfRule>
    <cfRule type="cellIs" dxfId="8151" priority="749" stopIfTrue="1" operator="equal">
      <formula>"Towel"</formula>
    </cfRule>
    <cfRule type="cellIs" dxfId="8150" priority="750" stopIfTrue="1" operator="equal">
      <formula>"Napkin Hs"</formula>
    </cfRule>
    <cfRule type="cellIs" dxfId="8149" priority="755" stopIfTrue="1" operator="equal">
      <formula>"Towel"</formula>
    </cfRule>
    <cfRule type="cellIs" dxfId="8148" priority="756" stopIfTrue="1" operator="equal">
      <formula>"Napkin Hs"</formula>
    </cfRule>
    <cfRule type="cellIs" dxfId="8147" priority="759" stopIfTrue="1" operator="equal">
      <formula>"Towel"</formula>
    </cfRule>
    <cfRule type="cellIs" dxfId="8146" priority="760" stopIfTrue="1" operator="equal">
      <formula>"Napkin Hs"</formula>
    </cfRule>
    <cfRule type="cellIs" dxfId="8145" priority="761" stopIfTrue="1" operator="equal">
      <formula>"Towel"</formula>
    </cfRule>
    <cfRule type="cellIs" dxfId="8144" priority="762" stopIfTrue="1" operator="equal">
      <formula>"Napkin Hs"</formula>
    </cfRule>
    <cfRule type="cellIs" dxfId="8143" priority="765" stopIfTrue="1" operator="equal">
      <formula>"Towel"</formula>
    </cfRule>
    <cfRule type="cellIs" dxfId="8142" priority="766" stopIfTrue="1" operator="equal">
      <formula>"Napkin Hs"</formula>
    </cfRule>
    <cfRule type="cellIs" dxfId="8141" priority="767" stopIfTrue="1" operator="equal">
      <formula>"Towel"</formula>
    </cfRule>
    <cfRule type="cellIs" dxfId="8140" priority="768" stopIfTrue="1" operator="equal">
      <formula>"Napkin Hs"</formula>
    </cfRule>
    <cfRule type="cellIs" dxfId="8139" priority="771" stopIfTrue="1" operator="equal">
      <formula>"Towel"</formula>
    </cfRule>
    <cfRule type="cellIs" dxfId="8138" priority="772" stopIfTrue="1" operator="equal">
      <formula>"Napkin Hs"</formula>
    </cfRule>
    <cfRule type="cellIs" dxfId="8137" priority="773" stopIfTrue="1" operator="equal">
      <formula>"Towel"</formula>
    </cfRule>
    <cfRule type="cellIs" dxfId="8136" priority="774" stopIfTrue="1" operator="equal">
      <formula>"Napkin Hs"</formula>
    </cfRule>
    <cfRule type="cellIs" dxfId="8135" priority="777" stopIfTrue="1" operator="equal">
      <formula>"Towel"</formula>
    </cfRule>
    <cfRule type="cellIs" dxfId="8134" priority="778" stopIfTrue="1" operator="equal">
      <formula>"Napkin Hs"</formula>
    </cfRule>
    <cfRule type="cellIs" dxfId="8133" priority="779" stopIfTrue="1" operator="equal">
      <formula>"Towel"</formula>
    </cfRule>
    <cfRule type="cellIs" dxfId="8132" priority="780" stopIfTrue="1" operator="equal">
      <formula>"Napkin Hs"</formula>
    </cfRule>
    <cfRule type="cellIs" dxfId="8131" priority="783" stopIfTrue="1" operator="equal">
      <formula>"Towel"</formula>
    </cfRule>
    <cfRule type="cellIs" dxfId="8130" priority="784" stopIfTrue="1" operator="equal">
      <formula>"Napkin Hs"</formula>
    </cfRule>
    <cfRule type="cellIs" dxfId="8129" priority="785" stopIfTrue="1" operator="equal">
      <formula>"Towel"</formula>
    </cfRule>
    <cfRule type="cellIs" dxfId="8128" priority="786" stopIfTrue="1" operator="equal">
      <formula>"Napkin Hs"</formula>
    </cfRule>
  </conditionalFormatting>
  <conditionalFormatting sqref="C141">
    <cfRule type="cellIs" dxfId="8127" priority="789" stopIfTrue="1" operator="equal">
      <formula>"Towel"</formula>
    </cfRule>
    <cfRule type="cellIs" dxfId="8126" priority="790" stopIfTrue="1" operator="equal">
      <formula>"Napkin Hs"</formula>
    </cfRule>
  </conditionalFormatting>
  <conditionalFormatting sqref="B140:C140">
    <cfRule type="cellIs" dxfId="8125" priority="635" stopIfTrue="1" operator="equal">
      <formula>"Towel"</formula>
    </cfRule>
    <cfRule type="cellIs" dxfId="8124" priority="636" stopIfTrue="1" operator="equal">
      <formula>"Napkin Hs"</formula>
    </cfRule>
    <cfRule type="cellIs" dxfId="8123" priority="641" stopIfTrue="1" operator="equal">
      <formula>"Towel"</formula>
    </cfRule>
    <cfRule type="cellIs" dxfId="8122" priority="642" stopIfTrue="1" operator="equal">
      <formula>"Napkin Hs"</formula>
    </cfRule>
    <cfRule type="cellIs" dxfId="8121" priority="647" stopIfTrue="1" operator="equal">
      <formula>"Towel"</formula>
    </cfRule>
    <cfRule type="cellIs" dxfId="8120" priority="648" stopIfTrue="1" operator="equal">
      <formula>"Napkin Hs"</formula>
    </cfRule>
    <cfRule type="cellIs" dxfId="8119" priority="653" stopIfTrue="1" operator="equal">
      <formula>"Towel"</formula>
    </cfRule>
    <cfRule type="cellIs" dxfId="8118" priority="654" stopIfTrue="1" operator="equal">
      <formula>"Napkin Hs"</formula>
    </cfRule>
    <cfRule type="cellIs" dxfId="8117" priority="659" stopIfTrue="1" operator="equal">
      <formula>"Towel"</formula>
    </cfRule>
    <cfRule type="cellIs" dxfId="8116" priority="660" stopIfTrue="1" operator="equal">
      <formula>"Napkin Hs"</formula>
    </cfRule>
    <cfRule type="cellIs" dxfId="8115" priority="665" stopIfTrue="1" operator="equal">
      <formula>"Towel"</formula>
    </cfRule>
    <cfRule type="cellIs" dxfId="8114" priority="666" stopIfTrue="1" operator="equal">
      <formula>"Napkin Hs"</formula>
    </cfRule>
    <cfRule type="cellIs" dxfId="8113" priority="669" stopIfTrue="1" operator="equal">
      <formula>"Towel"</formula>
    </cfRule>
    <cfRule type="cellIs" dxfId="8112" priority="670" stopIfTrue="1" operator="equal">
      <formula>"Napkin Hs"</formula>
    </cfRule>
    <cfRule type="cellIs" dxfId="8111" priority="675" stopIfTrue="1" operator="equal">
      <formula>"Towel"</formula>
    </cfRule>
    <cfRule type="cellIs" dxfId="8110" priority="676" stopIfTrue="1" operator="equal">
      <formula>"Napkin Hs"</formula>
    </cfRule>
    <cfRule type="cellIs" dxfId="8109" priority="681" stopIfTrue="1" operator="equal">
      <formula>"Towel"</formula>
    </cfRule>
    <cfRule type="cellIs" dxfId="8108" priority="682" stopIfTrue="1" operator="equal">
      <formula>"Napkin Hs"</formula>
    </cfRule>
    <cfRule type="cellIs" dxfId="8107" priority="687" stopIfTrue="1" operator="equal">
      <formula>"Towel"</formula>
    </cfRule>
    <cfRule type="cellIs" dxfId="8106" priority="688" stopIfTrue="1" operator="equal">
      <formula>"Napkin Hs"</formula>
    </cfRule>
    <cfRule type="cellIs" dxfId="8105" priority="693" stopIfTrue="1" operator="equal">
      <formula>"Towel"</formula>
    </cfRule>
    <cfRule type="cellIs" dxfId="8104" priority="694" stopIfTrue="1" operator="equal">
      <formula>"Napkin Hs"</formula>
    </cfRule>
    <cfRule type="cellIs" dxfId="8103" priority="699" stopIfTrue="1" operator="equal">
      <formula>"Towel"</formula>
    </cfRule>
    <cfRule type="cellIs" dxfId="8102" priority="700" stopIfTrue="1" operator="equal">
      <formula>"Napkin Hs"</formula>
    </cfRule>
    <cfRule type="cellIs" dxfId="8101" priority="705" stopIfTrue="1" operator="equal">
      <formula>"Towel"</formula>
    </cfRule>
    <cfRule type="cellIs" dxfId="8100" priority="706" stopIfTrue="1" operator="equal">
      <formula>"Napkin Hs"</formula>
    </cfRule>
    <cfRule type="cellIs" dxfId="8099" priority="710" stopIfTrue="1" operator="equal">
      <formula>"Napkin Hs"</formula>
    </cfRule>
  </conditionalFormatting>
  <conditionalFormatting sqref="B140:C140">
    <cfRule type="cellIs" dxfId="8098" priority="709" stopIfTrue="1" operator="equal">
      <formula>"Towel"</formula>
    </cfRule>
  </conditionalFormatting>
  <conditionalFormatting sqref="C140">
    <cfRule type="cellIs" dxfId="8097" priority="631" stopIfTrue="1" operator="equal">
      <formula>"Towel"</formula>
    </cfRule>
    <cfRule type="cellIs" dxfId="8096" priority="632" stopIfTrue="1" operator="equal">
      <formula>"Napkin Hs"</formula>
    </cfRule>
  </conditionalFormatting>
  <conditionalFormatting sqref="C140">
    <cfRule type="cellIs" dxfId="8095" priority="671" stopIfTrue="1" operator="equal">
      <formula>"Towel"</formula>
    </cfRule>
    <cfRule type="cellIs" dxfId="8094" priority="672" stopIfTrue="1" operator="equal">
      <formula>"Napkin Hs"</formula>
    </cfRule>
    <cfRule type="cellIs" dxfId="8093" priority="711" stopIfTrue="1" operator="equal">
      <formula>"Towel"</formula>
    </cfRule>
    <cfRule type="cellIs" dxfId="8092" priority="712" stopIfTrue="1" operator="equal">
      <formula>"Napkin Hs"</formula>
    </cfRule>
  </conditionalFormatting>
  <conditionalFormatting sqref="C140">
    <cfRule type="cellIs" dxfId="8091" priority="633" stopIfTrue="1" operator="equal">
      <formula>"Towel"</formula>
    </cfRule>
    <cfRule type="cellIs" dxfId="8090" priority="634" stopIfTrue="1" operator="equal">
      <formula>"Napkin Hs"</formula>
    </cfRule>
    <cfRule type="cellIs" dxfId="8089" priority="637" stopIfTrue="1" operator="equal">
      <formula>"Towel"</formula>
    </cfRule>
    <cfRule type="cellIs" dxfId="8088" priority="638" stopIfTrue="1" operator="equal">
      <formula>"Napkin Hs"</formula>
    </cfRule>
    <cfRule type="cellIs" dxfId="8087" priority="639" stopIfTrue="1" operator="equal">
      <formula>"Towel"</formula>
    </cfRule>
    <cfRule type="cellIs" dxfId="8086" priority="640" stopIfTrue="1" operator="equal">
      <formula>"Napkin Hs"</formula>
    </cfRule>
    <cfRule type="cellIs" dxfId="8085" priority="643" stopIfTrue="1" operator="equal">
      <formula>"Towel"</formula>
    </cfRule>
    <cfRule type="cellIs" dxfId="8084" priority="644" stopIfTrue="1" operator="equal">
      <formula>"Napkin Hs"</formula>
    </cfRule>
    <cfRule type="cellIs" dxfId="8083" priority="645" stopIfTrue="1" operator="equal">
      <formula>"Towel"</formula>
    </cfRule>
    <cfRule type="cellIs" dxfId="8082" priority="646" stopIfTrue="1" operator="equal">
      <formula>"Napkin Hs"</formula>
    </cfRule>
    <cfRule type="cellIs" dxfId="8081" priority="649" stopIfTrue="1" operator="equal">
      <formula>"Towel"</formula>
    </cfRule>
    <cfRule type="cellIs" dxfId="8080" priority="650" stopIfTrue="1" operator="equal">
      <formula>"Napkin Hs"</formula>
    </cfRule>
    <cfRule type="cellIs" dxfId="8079" priority="651" stopIfTrue="1" operator="equal">
      <formula>"Towel"</formula>
    </cfRule>
    <cfRule type="cellIs" dxfId="8078" priority="652" stopIfTrue="1" operator="equal">
      <formula>"Napkin Hs"</formula>
    </cfRule>
    <cfRule type="cellIs" dxfId="8077" priority="655" stopIfTrue="1" operator="equal">
      <formula>"Towel"</formula>
    </cfRule>
    <cfRule type="cellIs" dxfId="8076" priority="656" stopIfTrue="1" operator="equal">
      <formula>"Napkin Hs"</formula>
    </cfRule>
    <cfRule type="cellIs" dxfId="8075" priority="657" stopIfTrue="1" operator="equal">
      <formula>"Towel"</formula>
    </cfRule>
    <cfRule type="cellIs" dxfId="8074" priority="658" stopIfTrue="1" operator="equal">
      <formula>"Napkin Hs"</formula>
    </cfRule>
    <cfRule type="cellIs" dxfId="8073" priority="661" stopIfTrue="1" operator="equal">
      <formula>"Towel"</formula>
    </cfRule>
    <cfRule type="cellIs" dxfId="8072" priority="662" stopIfTrue="1" operator="equal">
      <formula>"Napkin Hs"</formula>
    </cfRule>
    <cfRule type="cellIs" dxfId="8071" priority="663" stopIfTrue="1" operator="equal">
      <formula>"Towel"</formula>
    </cfRule>
    <cfRule type="cellIs" dxfId="8070" priority="664" stopIfTrue="1" operator="equal">
      <formula>"Napkin Hs"</formula>
    </cfRule>
    <cfRule type="cellIs" dxfId="8069" priority="667" stopIfTrue="1" operator="equal">
      <formula>"Towel"</formula>
    </cfRule>
    <cfRule type="cellIs" dxfId="8068" priority="668" stopIfTrue="1" operator="equal">
      <formula>"Napkin Hs"</formula>
    </cfRule>
    <cfRule type="cellIs" dxfId="8067" priority="673" stopIfTrue="1" operator="equal">
      <formula>"Towel"</formula>
    </cfRule>
    <cfRule type="cellIs" dxfId="8066" priority="674" stopIfTrue="1" operator="equal">
      <formula>"Napkin Hs"</formula>
    </cfRule>
    <cfRule type="cellIs" dxfId="8065" priority="677" stopIfTrue="1" operator="equal">
      <formula>"Towel"</formula>
    </cfRule>
    <cfRule type="cellIs" dxfId="8064" priority="678" stopIfTrue="1" operator="equal">
      <formula>"Napkin Hs"</formula>
    </cfRule>
    <cfRule type="cellIs" dxfId="8063" priority="679" stopIfTrue="1" operator="equal">
      <formula>"Towel"</formula>
    </cfRule>
    <cfRule type="cellIs" dxfId="8062" priority="680" stopIfTrue="1" operator="equal">
      <formula>"Napkin Hs"</formula>
    </cfRule>
    <cfRule type="cellIs" dxfId="8061" priority="683" stopIfTrue="1" operator="equal">
      <formula>"Towel"</formula>
    </cfRule>
    <cfRule type="cellIs" dxfId="8060" priority="684" stopIfTrue="1" operator="equal">
      <formula>"Napkin Hs"</formula>
    </cfRule>
    <cfRule type="cellIs" dxfId="8059" priority="685" stopIfTrue="1" operator="equal">
      <formula>"Towel"</formula>
    </cfRule>
    <cfRule type="cellIs" dxfId="8058" priority="686" stopIfTrue="1" operator="equal">
      <formula>"Napkin Hs"</formula>
    </cfRule>
    <cfRule type="cellIs" dxfId="8057" priority="689" stopIfTrue="1" operator="equal">
      <formula>"Towel"</formula>
    </cfRule>
    <cfRule type="cellIs" dxfId="8056" priority="690" stopIfTrue="1" operator="equal">
      <formula>"Napkin Hs"</formula>
    </cfRule>
    <cfRule type="cellIs" dxfId="8055" priority="691" stopIfTrue="1" operator="equal">
      <formula>"Towel"</formula>
    </cfRule>
    <cfRule type="cellIs" dxfId="8054" priority="692" stopIfTrue="1" operator="equal">
      <formula>"Napkin Hs"</formula>
    </cfRule>
    <cfRule type="cellIs" dxfId="8053" priority="695" stopIfTrue="1" operator="equal">
      <formula>"Towel"</formula>
    </cfRule>
    <cfRule type="cellIs" dxfId="8052" priority="696" stopIfTrue="1" operator="equal">
      <formula>"Napkin Hs"</formula>
    </cfRule>
    <cfRule type="cellIs" dxfId="8051" priority="697" stopIfTrue="1" operator="equal">
      <formula>"Towel"</formula>
    </cfRule>
    <cfRule type="cellIs" dxfId="8050" priority="698" stopIfTrue="1" operator="equal">
      <formula>"Napkin Hs"</formula>
    </cfRule>
    <cfRule type="cellIs" dxfId="8049" priority="701" stopIfTrue="1" operator="equal">
      <formula>"Towel"</formula>
    </cfRule>
    <cfRule type="cellIs" dxfId="8048" priority="702" stopIfTrue="1" operator="equal">
      <formula>"Napkin Hs"</formula>
    </cfRule>
    <cfRule type="cellIs" dxfId="8047" priority="703" stopIfTrue="1" operator="equal">
      <formula>"Towel"</formula>
    </cfRule>
    <cfRule type="cellIs" dxfId="8046" priority="704" stopIfTrue="1" operator="equal">
      <formula>"Napkin Hs"</formula>
    </cfRule>
  </conditionalFormatting>
  <conditionalFormatting sqref="C140">
    <cfRule type="cellIs" dxfId="8045" priority="707" stopIfTrue="1" operator="equal">
      <formula>"Towel"</formula>
    </cfRule>
    <cfRule type="cellIs" dxfId="8044" priority="708" stopIfTrue="1" operator="equal">
      <formula>"Napkin Hs"</formula>
    </cfRule>
  </conditionalFormatting>
  <conditionalFormatting sqref="B146:C146">
    <cfRule type="cellIs" dxfId="8043" priority="628" stopIfTrue="1" operator="equal">
      <formula>"Napkin Hs"</formula>
    </cfRule>
  </conditionalFormatting>
  <conditionalFormatting sqref="B146:C146">
    <cfRule type="cellIs" dxfId="8042" priority="627" stopIfTrue="1" operator="equal">
      <formula>"Towel"</formula>
    </cfRule>
  </conditionalFormatting>
  <conditionalFormatting sqref="C146">
    <cfRule type="cellIs" dxfId="8041" priority="625" stopIfTrue="1" operator="equal">
      <formula>"Towel"</formula>
    </cfRule>
    <cfRule type="cellIs" dxfId="8040" priority="626" stopIfTrue="1" operator="equal">
      <formula>"Napkin Hs"</formula>
    </cfRule>
  </conditionalFormatting>
  <conditionalFormatting sqref="C146">
    <cfRule type="cellIs" dxfId="8039" priority="629" stopIfTrue="1" operator="equal">
      <formula>"Towel"</formula>
    </cfRule>
    <cfRule type="cellIs" dxfId="8038" priority="630" stopIfTrue="1" operator="equal">
      <formula>"Napkin Hs"</formula>
    </cfRule>
  </conditionalFormatting>
  <conditionalFormatting sqref="B146">
    <cfRule type="cellIs" dxfId="8037" priority="521" stopIfTrue="1" operator="equal">
      <formula>"Towel"</formula>
    </cfRule>
    <cfRule type="cellIs" dxfId="8036" priority="522" stopIfTrue="1" operator="equal">
      <formula>"Napkin Hs"</formula>
    </cfRule>
  </conditionalFormatting>
  <conditionalFormatting sqref="B146:C146">
    <cfRule type="cellIs" dxfId="8035" priority="581" stopIfTrue="1" operator="equal">
      <formula>"Towel"</formula>
    </cfRule>
    <cfRule type="cellIs" dxfId="8034" priority="582" stopIfTrue="1" operator="equal">
      <formula>"Napkin Hs"</formula>
    </cfRule>
    <cfRule type="cellIs" dxfId="8033" priority="587" stopIfTrue="1" operator="equal">
      <formula>"Towel"</formula>
    </cfRule>
    <cfRule type="cellIs" dxfId="8032" priority="588" stopIfTrue="1" operator="equal">
      <formula>"Napkin Hs"</formula>
    </cfRule>
    <cfRule type="cellIs" dxfId="8031" priority="593" stopIfTrue="1" operator="equal">
      <formula>"Towel"</formula>
    </cfRule>
    <cfRule type="cellIs" dxfId="8030" priority="594" stopIfTrue="1" operator="equal">
      <formula>"Napkin Hs"</formula>
    </cfRule>
    <cfRule type="cellIs" dxfId="8029" priority="599" stopIfTrue="1" operator="equal">
      <formula>"Towel"</formula>
    </cfRule>
    <cfRule type="cellIs" dxfId="8028" priority="600" stopIfTrue="1" operator="equal">
      <formula>"Napkin Hs"</formula>
    </cfRule>
    <cfRule type="cellIs" dxfId="8027" priority="605" stopIfTrue="1" operator="equal">
      <formula>"Towel"</formula>
    </cfRule>
    <cfRule type="cellIs" dxfId="8026" priority="606" stopIfTrue="1" operator="equal">
      <formula>"Napkin Hs"</formula>
    </cfRule>
    <cfRule type="cellIs" dxfId="8025" priority="611" stopIfTrue="1" operator="equal">
      <formula>"Towel"</formula>
    </cfRule>
    <cfRule type="cellIs" dxfId="8024" priority="612" stopIfTrue="1" operator="equal">
      <formula>"Napkin Hs"</formula>
    </cfRule>
    <cfRule type="cellIs" dxfId="8023" priority="617" stopIfTrue="1" operator="equal">
      <formula>"Towel"</formula>
    </cfRule>
    <cfRule type="cellIs" dxfId="8022" priority="618" stopIfTrue="1" operator="equal">
      <formula>"Napkin Hs"</formula>
    </cfRule>
    <cfRule type="cellIs" dxfId="8021" priority="623" stopIfTrue="1" operator="equal">
      <formula>"Towel"</formula>
    </cfRule>
    <cfRule type="cellIs" dxfId="8020" priority="624" stopIfTrue="1" operator="equal">
      <formula>"Napkin Hs"</formula>
    </cfRule>
  </conditionalFormatting>
  <conditionalFormatting sqref="B146:C146">
    <cfRule type="cellIs" dxfId="8019" priority="523" stopIfTrue="1" operator="equal">
      <formula>"Towel"</formula>
    </cfRule>
    <cfRule type="cellIs" dxfId="8018" priority="524" stopIfTrue="1" operator="equal">
      <formula>"Napkin Hs"</formula>
    </cfRule>
    <cfRule type="cellIs" dxfId="8017" priority="539" stopIfTrue="1" operator="equal">
      <formula>"Towel"</formula>
    </cfRule>
    <cfRule type="cellIs" dxfId="8016" priority="540" stopIfTrue="1" operator="equal">
      <formula>"Napkin Hs"</formula>
    </cfRule>
    <cfRule type="cellIs" dxfId="8015" priority="545" stopIfTrue="1" operator="equal">
      <formula>"Towel"</formula>
    </cfRule>
    <cfRule type="cellIs" dxfId="8014" priority="546" stopIfTrue="1" operator="equal">
      <formula>"Napkin Hs"</formula>
    </cfRule>
    <cfRule type="cellIs" dxfId="8013" priority="551" stopIfTrue="1" operator="equal">
      <formula>"Towel"</formula>
    </cfRule>
    <cfRule type="cellIs" dxfId="8012" priority="552" stopIfTrue="1" operator="equal">
      <formula>"Napkin Hs"</formula>
    </cfRule>
    <cfRule type="cellIs" dxfId="8011" priority="557" stopIfTrue="1" operator="equal">
      <formula>"Towel"</formula>
    </cfRule>
    <cfRule type="cellIs" dxfId="8010" priority="558" stopIfTrue="1" operator="equal">
      <formula>"Napkin Hs"</formula>
    </cfRule>
    <cfRule type="cellIs" dxfId="8009" priority="563" stopIfTrue="1" operator="equal">
      <formula>"Towel"</formula>
    </cfRule>
    <cfRule type="cellIs" dxfId="8008" priority="564" stopIfTrue="1" operator="equal">
      <formula>"Napkin Hs"</formula>
    </cfRule>
    <cfRule type="cellIs" dxfId="8007" priority="569" stopIfTrue="1" operator="equal">
      <formula>"Towel"</formula>
    </cfRule>
    <cfRule type="cellIs" dxfId="8006" priority="570" stopIfTrue="1" operator="equal">
      <formula>"Napkin Hs"</formula>
    </cfRule>
    <cfRule type="cellIs" dxfId="8005" priority="575" stopIfTrue="1" operator="equal">
      <formula>"Towel"</formula>
    </cfRule>
    <cfRule type="cellIs" dxfId="8004" priority="576" stopIfTrue="1" operator="equal">
      <formula>"Napkin Hs"</formula>
    </cfRule>
  </conditionalFormatting>
  <conditionalFormatting sqref="C146">
    <cfRule type="cellIs" dxfId="8003" priority="577" stopIfTrue="1" operator="equal">
      <formula>"Towel"</formula>
    </cfRule>
    <cfRule type="cellIs" dxfId="8002" priority="578" stopIfTrue="1" operator="equal">
      <formula>"Napkin Hs"</formula>
    </cfRule>
    <cfRule type="cellIs" dxfId="8001" priority="579" stopIfTrue="1" operator="equal">
      <formula>"Towel"</formula>
    </cfRule>
    <cfRule type="cellIs" dxfId="8000" priority="580" stopIfTrue="1" operator="equal">
      <formula>"Napkin Hs"</formula>
    </cfRule>
    <cfRule type="cellIs" dxfId="7999" priority="583" stopIfTrue="1" operator="equal">
      <formula>"Towel"</formula>
    </cfRule>
    <cfRule type="cellIs" dxfId="7998" priority="584" stopIfTrue="1" operator="equal">
      <formula>"Napkin Hs"</formula>
    </cfRule>
    <cfRule type="cellIs" dxfId="7997" priority="585" stopIfTrue="1" operator="equal">
      <formula>"Towel"</formula>
    </cfRule>
    <cfRule type="cellIs" dxfId="7996" priority="586" stopIfTrue="1" operator="equal">
      <formula>"Napkin Hs"</formula>
    </cfRule>
    <cfRule type="cellIs" dxfId="7995" priority="589" stopIfTrue="1" operator="equal">
      <formula>"Towel"</formula>
    </cfRule>
    <cfRule type="cellIs" dxfId="7994" priority="590" stopIfTrue="1" operator="equal">
      <formula>"Napkin Hs"</formula>
    </cfRule>
    <cfRule type="cellIs" dxfId="7993" priority="591" stopIfTrue="1" operator="equal">
      <formula>"Towel"</formula>
    </cfRule>
    <cfRule type="cellIs" dxfId="7992" priority="592" stopIfTrue="1" operator="equal">
      <formula>"Napkin Hs"</formula>
    </cfRule>
    <cfRule type="cellIs" dxfId="7991" priority="595" stopIfTrue="1" operator="equal">
      <formula>"Towel"</formula>
    </cfRule>
    <cfRule type="cellIs" dxfId="7990" priority="596" stopIfTrue="1" operator="equal">
      <formula>"Napkin Hs"</formula>
    </cfRule>
    <cfRule type="cellIs" dxfId="7989" priority="597" stopIfTrue="1" operator="equal">
      <formula>"Towel"</formula>
    </cfRule>
    <cfRule type="cellIs" dxfId="7988" priority="598" stopIfTrue="1" operator="equal">
      <formula>"Napkin Hs"</formula>
    </cfRule>
    <cfRule type="cellIs" dxfId="7987" priority="601" stopIfTrue="1" operator="equal">
      <formula>"Towel"</formula>
    </cfRule>
    <cfRule type="cellIs" dxfId="7986" priority="602" stopIfTrue="1" operator="equal">
      <formula>"Napkin Hs"</formula>
    </cfRule>
    <cfRule type="cellIs" dxfId="7985" priority="603" stopIfTrue="1" operator="equal">
      <formula>"Towel"</formula>
    </cfRule>
    <cfRule type="cellIs" dxfId="7984" priority="604" stopIfTrue="1" operator="equal">
      <formula>"Napkin Hs"</formula>
    </cfRule>
    <cfRule type="cellIs" dxfId="7983" priority="607" stopIfTrue="1" operator="equal">
      <formula>"Towel"</formula>
    </cfRule>
    <cfRule type="cellIs" dxfId="7982" priority="608" stopIfTrue="1" operator="equal">
      <formula>"Napkin Hs"</formula>
    </cfRule>
    <cfRule type="cellIs" dxfId="7981" priority="609" stopIfTrue="1" operator="equal">
      <formula>"Towel"</formula>
    </cfRule>
    <cfRule type="cellIs" dxfId="7980" priority="610" stopIfTrue="1" operator="equal">
      <formula>"Napkin Hs"</formula>
    </cfRule>
    <cfRule type="cellIs" dxfId="7979" priority="613" stopIfTrue="1" operator="equal">
      <formula>"Towel"</formula>
    </cfRule>
    <cfRule type="cellIs" dxfId="7978" priority="614" stopIfTrue="1" operator="equal">
      <formula>"Napkin Hs"</formula>
    </cfRule>
    <cfRule type="cellIs" dxfId="7977" priority="615" stopIfTrue="1" operator="equal">
      <formula>"Towel"</formula>
    </cfRule>
    <cfRule type="cellIs" dxfId="7976" priority="616" stopIfTrue="1" operator="equal">
      <formula>"Napkin Hs"</formula>
    </cfRule>
    <cfRule type="cellIs" dxfId="7975" priority="619" stopIfTrue="1" operator="equal">
      <formula>"Towel"</formula>
    </cfRule>
    <cfRule type="cellIs" dxfId="7974" priority="620" stopIfTrue="1" operator="equal">
      <formula>"Napkin Hs"</formula>
    </cfRule>
  </conditionalFormatting>
  <conditionalFormatting sqref="C146">
    <cfRule type="cellIs" dxfId="7973" priority="525" stopIfTrue="1" operator="equal">
      <formula>"Towel"</formula>
    </cfRule>
    <cfRule type="cellIs" dxfId="7972" priority="526" stopIfTrue="1" operator="equal">
      <formula>"Napkin Hs"</formula>
    </cfRule>
    <cfRule type="cellIs" dxfId="7971" priority="527" stopIfTrue="1" operator="equal">
      <formula>"Towel"</formula>
    </cfRule>
    <cfRule type="cellIs" dxfId="7970" priority="528" stopIfTrue="1" operator="equal">
      <formula>"Napkin Hs"</formula>
    </cfRule>
    <cfRule type="cellIs" dxfId="7969" priority="529" stopIfTrue="1" operator="equal">
      <formula>"Towel"</formula>
    </cfRule>
    <cfRule type="cellIs" dxfId="7968" priority="530" stopIfTrue="1" operator="equal">
      <formula>"Napkin Hs"</formula>
    </cfRule>
    <cfRule type="cellIs" dxfId="7967" priority="531" stopIfTrue="1" operator="equal">
      <formula>"Towel"</formula>
    </cfRule>
    <cfRule type="cellIs" dxfId="7966" priority="532" stopIfTrue="1" operator="equal">
      <formula>"Napkin Hs"</formula>
    </cfRule>
    <cfRule type="cellIs" dxfId="7965" priority="533" stopIfTrue="1" operator="equal">
      <formula>"Towel"</formula>
    </cfRule>
    <cfRule type="cellIs" dxfId="7964" priority="534" stopIfTrue="1" operator="equal">
      <formula>"Napkin Hs"</formula>
    </cfRule>
    <cfRule type="cellIs" dxfId="7963" priority="535" stopIfTrue="1" operator="equal">
      <formula>"Towel"</formula>
    </cfRule>
    <cfRule type="cellIs" dxfId="7962" priority="536" stopIfTrue="1" operator="equal">
      <formula>"Napkin Hs"</formula>
    </cfRule>
    <cfRule type="cellIs" dxfId="7961" priority="537" stopIfTrue="1" operator="equal">
      <formula>"Towel"</formula>
    </cfRule>
    <cfRule type="cellIs" dxfId="7960" priority="538" stopIfTrue="1" operator="equal">
      <formula>"Napkin Hs"</formula>
    </cfRule>
    <cfRule type="cellIs" dxfId="7959" priority="541" stopIfTrue="1" operator="equal">
      <formula>"Towel"</formula>
    </cfRule>
    <cfRule type="cellIs" dxfId="7958" priority="542" stopIfTrue="1" operator="equal">
      <formula>"Napkin Hs"</formula>
    </cfRule>
    <cfRule type="cellIs" dxfId="7957" priority="543" stopIfTrue="1" operator="equal">
      <formula>"Towel"</formula>
    </cfRule>
    <cfRule type="cellIs" dxfId="7956" priority="544" stopIfTrue="1" operator="equal">
      <formula>"Napkin Hs"</formula>
    </cfRule>
    <cfRule type="cellIs" dxfId="7955" priority="547" stopIfTrue="1" operator="equal">
      <formula>"Towel"</formula>
    </cfRule>
    <cfRule type="cellIs" dxfId="7954" priority="548" stopIfTrue="1" operator="equal">
      <formula>"Napkin Hs"</formula>
    </cfRule>
    <cfRule type="cellIs" dxfId="7953" priority="549" stopIfTrue="1" operator="equal">
      <formula>"Towel"</formula>
    </cfRule>
    <cfRule type="cellIs" dxfId="7952" priority="550" stopIfTrue="1" operator="equal">
      <formula>"Napkin Hs"</formula>
    </cfRule>
    <cfRule type="cellIs" dxfId="7951" priority="553" stopIfTrue="1" operator="equal">
      <formula>"Towel"</formula>
    </cfRule>
    <cfRule type="cellIs" dxfId="7950" priority="554" stopIfTrue="1" operator="equal">
      <formula>"Napkin Hs"</formula>
    </cfRule>
    <cfRule type="cellIs" dxfId="7949" priority="555" stopIfTrue="1" operator="equal">
      <formula>"Towel"</formula>
    </cfRule>
    <cfRule type="cellIs" dxfId="7948" priority="556" stopIfTrue="1" operator="equal">
      <formula>"Napkin Hs"</formula>
    </cfRule>
    <cfRule type="cellIs" dxfId="7947" priority="559" stopIfTrue="1" operator="equal">
      <formula>"Towel"</formula>
    </cfRule>
    <cfRule type="cellIs" dxfId="7946" priority="560" stopIfTrue="1" operator="equal">
      <formula>"Napkin Hs"</formula>
    </cfRule>
    <cfRule type="cellIs" dxfId="7945" priority="561" stopIfTrue="1" operator="equal">
      <formula>"Towel"</formula>
    </cfRule>
    <cfRule type="cellIs" dxfId="7944" priority="562" stopIfTrue="1" operator="equal">
      <formula>"Napkin Hs"</formula>
    </cfRule>
    <cfRule type="cellIs" dxfId="7943" priority="565" stopIfTrue="1" operator="equal">
      <formula>"Towel"</formula>
    </cfRule>
    <cfRule type="cellIs" dxfId="7942" priority="566" stopIfTrue="1" operator="equal">
      <formula>"Napkin Hs"</formula>
    </cfRule>
    <cfRule type="cellIs" dxfId="7941" priority="567" stopIfTrue="1" operator="equal">
      <formula>"Towel"</formula>
    </cfRule>
    <cfRule type="cellIs" dxfId="7940" priority="568" stopIfTrue="1" operator="equal">
      <formula>"Napkin Hs"</formula>
    </cfRule>
    <cfRule type="cellIs" dxfId="7939" priority="571" stopIfTrue="1" operator="equal">
      <formula>"Towel"</formula>
    </cfRule>
    <cfRule type="cellIs" dxfId="7938" priority="572" stopIfTrue="1" operator="equal">
      <formula>"Napkin Hs"</formula>
    </cfRule>
    <cfRule type="cellIs" dxfId="7937" priority="573" stopIfTrue="1" operator="equal">
      <formula>"Towel"</formula>
    </cfRule>
    <cfRule type="cellIs" dxfId="7936" priority="574" stopIfTrue="1" operator="equal">
      <formula>"Napkin Hs"</formula>
    </cfRule>
    <cfRule type="cellIs" dxfId="7935" priority="621" stopIfTrue="1" operator="equal">
      <formula>"Towel"</formula>
    </cfRule>
    <cfRule type="cellIs" dxfId="7934" priority="622" stopIfTrue="1" operator="equal">
      <formula>"Napkin Hs"</formula>
    </cfRule>
  </conditionalFormatting>
  <conditionalFormatting sqref="B145:C145">
    <cfRule type="cellIs" dxfId="7933" priority="443" stopIfTrue="1" operator="equal">
      <formula>"Towel"</formula>
    </cfRule>
    <cfRule type="cellIs" dxfId="7932" priority="444" stopIfTrue="1" operator="equal">
      <formula>"Napkin Hs"</formula>
    </cfRule>
    <cfRule type="cellIs" dxfId="7931" priority="449" stopIfTrue="1" operator="equal">
      <formula>"Towel"</formula>
    </cfRule>
    <cfRule type="cellIs" dxfId="7930" priority="450" stopIfTrue="1" operator="equal">
      <formula>"Napkin Hs"</formula>
    </cfRule>
    <cfRule type="cellIs" dxfId="7929" priority="455" stopIfTrue="1" operator="equal">
      <formula>"Towel"</formula>
    </cfRule>
    <cfRule type="cellIs" dxfId="7928" priority="456" stopIfTrue="1" operator="equal">
      <formula>"Napkin Hs"</formula>
    </cfRule>
    <cfRule type="cellIs" dxfId="7927" priority="461" stopIfTrue="1" operator="equal">
      <formula>"Towel"</formula>
    </cfRule>
    <cfRule type="cellIs" dxfId="7926" priority="462" stopIfTrue="1" operator="equal">
      <formula>"Napkin Hs"</formula>
    </cfRule>
    <cfRule type="cellIs" dxfId="7925" priority="467" stopIfTrue="1" operator="equal">
      <formula>"Towel"</formula>
    </cfRule>
    <cfRule type="cellIs" dxfId="7924" priority="468" stopIfTrue="1" operator="equal">
      <formula>"Napkin Hs"</formula>
    </cfRule>
    <cfRule type="cellIs" dxfId="7923" priority="473" stopIfTrue="1" operator="equal">
      <formula>"Towel"</formula>
    </cfRule>
    <cfRule type="cellIs" dxfId="7922" priority="474" stopIfTrue="1" operator="equal">
      <formula>"Napkin Hs"</formula>
    </cfRule>
    <cfRule type="cellIs" dxfId="7921" priority="477" stopIfTrue="1" operator="equal">
      <formula>"Towel"</formula>
    </cfRule>
    <cfRule type="cellIs" dxfId="7920" priority="478" stopIfTrue="1" operator="equal">
      <formula>"Napkin Hs"</formula>
    </cfRule>
    <cfRule type="cellIs" dxfId="7919" priority="483" stopIfTrue="1" operator="equal">
      <formula>"Towel"</formula>
    </cfRule>
    <cfRule type="cellIs" dxfId="7918" priority="484" stopIfTrue="1" operator="equal">
      <formula>"Napkin Hs"</formula>
    </cfRule>
    <cfRule type="cellIs" dxfId="7917" priority="489" stopIfTrue="1" operator="equal">
      <formula>"Towel"</formula>
    </cfRule>
    <cfRule type="cellIs" dxfId="7916" priority="490" stopIfTrue="1" operator="equal">
      <formula>"Napkin Hs"</formula>
    </cfRule>
    <cfRule type="cellIs" dxfId="7915" priority="495" stopIfTrue="1" operator="equal">
      <formula>"Towel"</formula>
    </cfRule>
    <cfRule type="cellIs" dxfId="7914" priority="496" stopIfTrue="1" operator="equal">
      <formula>"Napkin Hs"</formula>
    </cfRule>
    <cfRule type="cellIs" dxfId="7913" priority="501" stopIfTrue="1" operator="equal">
      <formula>"Towel"</formula>
    </cfRule>
    <cfRule type="cellIs" dxfId="7912" priority="502" stopIfTrue="1" operator="equal">
      <formula>"Napkin Hs"</formula>
    </cfRule>
    <cfRule type="cellIs" dxfId="7911" priority="507" stopIfTrue="1" operator="equal">
      <formula>"Towel"</formula>
    </cfRule>
    <cfRule type="cellIs" dxfId="7910" priority="508" stopIfTrue="1" operator="equal">
      <formula>"Napkin Hs"</formula>
    </cfRule>
    <cfRule type="cellIs" dxfId="7909" priority="513" stopIfTrue="1" operator="equal">
      <formula>"Towel"</formula>
    </cfRule>
    <cfRule type="cellIs" dxfId="7908" priority="514" stopIfTrue="1" operator="equal">
      <formula>"Napkin Hs"</formula>
    </cfRule>
    <cfRule type="cellIs" dxfId="7907" priority="518" stopIfTrue="1" operator="equal">
      <formula>"Napkin Hs"</formula>
    </cfRule>
  </conditionalFormatting>
  <conditionalFormatting sqref="B145:C145">
    <cfRule type="cellIs" dxfId="7906" priority="517" stopIfTrue="1" operator="equal">
      <formula>"Towel"</formula>
    </cfRule>
  </conditionalFormatting>
  <conditionalFormatting sqref="C145">
    <cfRule type="cellIs" dxfId="7905" priority="439" stopIfTrue="1" operator="equal">
      <formula>"Towel"</formula>
    </cfRule>
    <cfRule type="cellIs" dxfId="7904" priority="440" stopIfTrue="1" operator="equal">
      <formula>"Napkin Hs"</formula>
    </cfRule>
  </conditionalFormatting>
  <conditionalFormatting sqref="C145">
    <cfRule type="cellIs" dxfId="7903" priority="479" stopIfTrue="1" operator="equal">
      <formula>"Towel"</formula>
    </cfRule>
    <cfRule type="cellIs" dxfId="7902" priority="480" stopIfTrue="1" operator="equal">
      <formula>"Napkin Hs"</formula>
    </cfRule>
    <cfRule type="cellIs" dxfId="7901" priority="519" stopIfTrue="1" operator="equal">
      <formula>"Towel"</formula>
    </cfRule>
    <cfRule type="cellIs" dxfId="7900" priority="520" stopIfTrue="1" operator="equal">
      <formula>"Napkin Hs"</formula>
    </cfRule>
  </conditionalFormatting>
  <conditionalFormatting sqref="C145">
    <cfRule type="cellIs" dxfId="7899" priority="441" stopIfTrue="1" operator="equal">
      <formula>"Towel"</formula>
    </cfRule>
    <cfRule type="cellIs" dxfId="7898" priority="442" stopIfTrue="1" operator="equal">
      <formula>"Napkin Hs"</formula>
    </cfRule>
    <cfRule type="cellIs" dxfId="7897" priority="445" stopIfTrue="1" operator="equal">
      <formula>"Towel"</formula>
    </cfRule>
    <cfRule type="cellIs" dxfId="7896" priority="446" stopIfTrue="1" operator="equal">
      <formula>"Napkin Hs"</formula>
    </cfRule>
    <cfRule type="cellIs" dxfId="7895" priority="447" stopIfTrue="1" operator="equal">
      <formula>"Towel"</formula>
    </cfRule>
    <cfRule type="cellIs" dxfId="7894" priority="448" stopIfTrue="1" operator="equal">
      <formula>"Napkin Hs"</formula>
    </cfRule>
    <cfRule type="cellIs" dxfId="7893" priority="451" stopIfTrue="1" operator="equal">
      <formula>"Towel"</formula>
    </cfRule>
    <cfRule type="cellIs" dxfId="7892" priority="452" stopIfTrue="1" operator="equal">
      <formula>"Napkin Hs"</formula>
    </cfRule>
    <cfRule type="cellIs" dxfId="7891" priority="453" stopIfTrue="1" operator="equal">
      <formula>"Towel"</formula>
    </cfRule>
    <cfRule type="cellIs" dxfId="7890" priority="454" stopIfTrue="1" operator="equal">
      <formula>"Napkin Hs"</formula>
    </cfRule>
    <cfRule type="cellIs" dxfId="7889" priority="457" stopIfTrue="1" operator="equal">
      <formula>"Towel"</formula>
    </cfRule>
    <cfRule type="cellIs" dxfId="7888" priority="458" stopIfTrue="1" operator="equal">
      <formula>"Napkin Hs"</formula>
    </cfRule>
    <cfRule type="cellIs" dxfId="7887" priority="459" stopIfTrue="1" operator="equal">
      <formula>"Towel"</formula>
    </cfRule>
    <cfRule type="cellIs" dxfId="7886" priority="460" stopIfTrue="1" operator="equal">
      <formula>"Napkin Hs"</formula>
    </cfRule>
    <cfRule type="cellIs" dxfId="7885" priority="463" stopIfTrue="1" operator="equal">
      <formula>"Towel"</formula>
    </cfRule>
    <cfRule type="cellIs" dxfId="7884" priority="464" stopIfTrue="1" operator="equal">
      <formula>"Napkin Hs"</formula>
    </cfRule>
    <cfRule type="cellIs" dxfId="7883" priority="465" stopIfTrue="1" operator="equal">
      <formula>"Towel"</formula>
    </cfRule>
    <cfRule type="cellIs" dxfId="7882" priority="466" stopIfTrue="1" operator="equal">
      <formula>"Napkin Hs"</formula>
    </cfRule>
    <cfRule type="cellIs" dxfId="7881" priority="469" stopIfTrue="1" operator="equal">
      <formula>"Towel"</formula>
    </cfRule>
    <cfRule type="cellIs" dxfId="7880" priority="470" stopIfTrue="1" operator="equal">
      <formula>"Napkin Hs"</formula>
    </cfRule>
    <cfRule type="cellIs" dxfId="7879" priority="471" stopIfTrue="1" operator="equal">
      <formula>"Towel"</formula>
    </cfRule>
    <cfRule type="cellIs" dxfId="7878" priority="472" stopIfTrue="1" operator="equal">
      <formula>"Napkin Hs"</formula>
    </cfRule>
    <cfRule type="cellIs" dxfId="7877" priority="475" stopIfTrue="1" operator="equal">
      <formula>"Towel"</formula>
    </cfRule>
    <cfRule type="cellIs" dxfId="7876" priority="476" stopIfTrue="1" operator="equal">
      <formula>"Napkin Hs"</formula>
    </cfRule>
    <cfRule type="cellIs" dxfId="7875" priority="481" stopIfTrue="1" operator="equal">
      <formula>"Towel"</formula>
    </cfRule>
    <cfRule type="cellIs" dxfId="7874" priority="482" stopIfTrue="1" operator="equal">
      <formula>"Napkin Hs"</formula>
    </cfRule>
    <cfRule type="cellIs" dxfId="7873" priority="485" stopIfTrue="1" operator="equal">
      <formula>"Towel"</formula>
    </cfRule>
    <cfRule type="cellIs" dxfId="7872" priority="486" stopIfTrue="1" operator="equal">
      <formula>"Napkin Hs"</formula>
    </cfRule>
    <cfRule type="cellIs" dxfId="7871" priority="487" stopIfTrue="1" operator="equal">
      <formula>"Towel"</formula>
    </cfRule>
    <cfRule type="cellIs" dxfId="7870" priority="488" stopIfTrue="1" operator="equal">
      <formula>"Napkin Hs"</formula>
    </cfRule>
    <cfRule type="cellIs" dxfId="7869" priority="491" stopIfTrue="1" operator="equal">
      <formula>"Towel"</formula>
    </cfRule>
    <cfRule type="cellIs" dxfId="7868" priority="492" stopIfTrue="1" operator="equal">
      <formula>"Napkin Hs"</formula>
    </cfRule>
    <cfRule type="cellIs" dxfId="7867" priority="493" stopIfTrue="1" operator="equal">
      <formula>"Towel"</formula>
    </cfRule>
    <cfRule type="cellIs" dxfId="7866" priority="494" stopIfTrue="1" operator="equal">
      <formula>"Napkin Hs"</formula>
    </cfRule>
    <cfRule type="cellIs" dxfId="7865" priority="497" stopIfTrue="1" operator="equal">
      <formula>"Towel"</formula>
    </cfRule>
    <cfRule type="cellIs" dxfId="7864" priority="498" stopIfTrue="1" operator="equal">
      <formula>"Napkin Hs"</formula>
    </cfRule>
    <cfRule type="cellIs" dxfId="7863" priority="499" stopIfTrue="1" operator="equal">
      <formula>"Towel"</formula>
    </cfRule>
    <cfRule type="cellIs" dxfId="7862" priority="500" stopIfTrue="1" operator="equal">
      <formula>"Napkin Hs"</formula>
    </cfRule>
    <cfRule type="cellIs" dxfId="7861" priority="503" stopIfTrue="1" operator="equal">
      <formula>"Towel"</formula>
    </cfRule>
    <cfRule type="cellIs" dxfId="7860" priority="504" stopIfTrue="1" operator="equal">
      <formula>"Napkin Hs"</formula>
    </cfRule>
    <cfRule type="cellIs" dxfId="7859" priority="505" stopIfTrue="1" operator="equal">
      <formula>"Towel"</formula>
    </cfRule>
    <cfRule type="cellIs" dxfId="7858" priority="506" stopIfTrue="1" operator="equal">
      <formula>"Napkin Hs"</formula>
    </cfRule>
    <cfRule type="cellIs" dxfId="7857" priority="509" stopIfTrue="1" operator="equal">
      <formula>"Towel"</formula>
    </cfRule>
    <cfRule type="cellIs" dxfId="7856" priority="510" stopIfTrue="1" operator="equal">
      <formula>"Napkin Hs"</formula>
    </cfRule>
    <cfRule type="cellIs" dxfId="7855" priority="511" stopIfTrue="1" operator="equal">
      <formula>"Towel"</formula>
    </cfRule>
    <cfRule type="cellIs" dxfId="7854" priority="512" stopIfTrue="1" operator="equal">
      <formula>"Napkin Hs"</formula>
    </cfRule>
  </conditionalFormatting>
  <conditionalFormatting sqref="C145">
    <cfRule type="cellIs" dxfId="7853" priority="515" stopIfTrue="1" operator="equal">
      <formula>"Towel"</formula>
    </cfRule>
    <cfRule type="cellIs" dxfId="7852" priority="516" stopIfTrue="1" operator="equal">
      <formula>"Napkin Hs"</formula>
    </cfRule>
  </conditionalFormatting>
  <conditionalFormatting sqref="B144:C144">
    <cfRule type="cellIs" dxfId="7851" priority="361" stopIfTrue="1" operator="equal">
      <formula>"Towel"</formula>
    </cfRule>
    <cfRule type="cellIs" dxfId="7850" priority="362" stopIfTrue="1" operator="equal">
      <formula>"Napkin Hs"</formula>
    </cfRule>
    <cfRule type="cellIs" dxfId="7849" priority="367" stopIfTrue="1" operator="equal">
      <formula>"Towel"</formula>
    </cfRule>
    <cfRule type="cellIs" dxfId="7848" priority="368" stopIfTrue="1" operator="equal">
      <formula>"Napkin Hs"</formula>
    </cfRule>
    <cfRule type="cellIs" dxfId="7847" priority="373" stopIfTrue="1" operator="equal">
      <formula>"Towel"</formula>
    </cfRule>
    <cfRule type="cellIs" dxfId="7846" priority="374" stopIfTrue="1" operator="equal">
      <formula>"Napkin Hs"</formula>
    </cfRule>
    <cfRule type="cellIs" dxfId="7845" priority="379" stopIfTrue="1" operator="equal">
      <formula>"Towel"</formula>
    </cfRule>
    <cfRule type="cellIs" dxfId="7844" priority="380" stopIfTrue="1" operator="equal">
      <formula>"Napkin Hs"</formula>
    </cfRule>
    <cfRule type="cellIs" dxfId="7843" priority="385" stopIfTrue="1" operator="equal">
      <formula>"Towel"</formula>
    </cfRule>
    <cfRule type="cellIs" dxfId="7842" priority="386" stopIfTrue="1" operator="equal">
      <formula>"Napkin Hs"</formula>
    </cfRule>
    <cfRule type="cellIs" dxfId="7841" priority="391" stopIfTrue="1" operator="equal">
      <formula>"Towel"</formula>
    </cfRule>
    <cfRule type="cellIs" dxfId="7840" priority="392" stopIfTrue="1" operator="equal">
      <formula>"Napkin Hs"</formula>
    </cfRule>
    <cfRule type="cellIs" dxfId="7839" priority="395" stopIfTrue="1" operator="equal">
      <formula>"Towel"</formula>
    </cfRule>
    <cfRule type="cellIs" dxfId="7838" priority="396" stopIfTrue="1" operator="equal">
      <formula>"Napkin Hs"</formula>
    </cfRule>
    <cfRule type="cellIs" dxfId="7837" priority="401" stopIfTrue="1" operator="equal">
      <formula>"Towel"</formula>
    </cfRule>
    <cfRule type="cellIs" dxfId="7836" priority="402" stopIfTrue="1" operator="equal">
      <formula>"Napkin Hs"</formula>
    </cfRule>
    <cfRule type="cellIs" dxfId="7835" priority="407" stopIfTrue="1" operator="equal">
      <formula>"Towel"</formula>
    </cfRule>
    <cfRule type="cellIs" dxfId="7834" priority="408" stopIfTrue="1" operator="equal">
      <formula>"Napkin Hs"</formula>
    </cfRule>
    <cfRule type="cellIs" dxfId="7833" priority="413" stopIfTrue="1" operator="equal">
      <formula>"Towel"</formula>
    </cfRule>
    <cfRule type="cellIs" dxfId="7832" priority="414" stopIfTrue="1" operator="equal">
      <formula>"Napkin Hs"</formula>
    </cfRule>
    <cfRule type="cellIs" dxfId="7831" priority="419" stopIfTrue="1" operator="equal">
      <formula>"Towel"</formula>
    </cfRule>
    <cfRule type="cellIs" dxfId="7830" priority="420" stopIfTrue="1" operator="equal">
      <formula>"Napkin Hs"</formula>
    </cfRule>
    <cfRule type="cellIs" dxfId="7829" priority="425" stopIfTrue="1" operator="equal">
      <formula>"Towel"</formula>
    </cfRule>
    <cfRule type="cellIs" dxfId="7828" priority="426" stopIfTrue="1" operator="equal">
      <formula>"Napkin Hs"</formula>
    </cfRule>
    <cfRule type="cellIs" dxfId="7827" priority="431" stopIfTrue="1" operator="equal">
      <formula>"Towel"</formula>
    </cfRule>
    <cfRule type="cellIs" dxfId="7826" priority="432" stopIfTrue="1" operator="equal">
      <formula>"Napkin Hs"</formula>
    </cfRule>
    <cfRule type="cellIs" dxfId="7825" priority="436" stopIfTrue="1" operator="equal">
      <formula>"Napkin Hs"</formula>
    </cfRule>
  </conditionalFormatting>
  <conditionalFormatting sqref="B144:C144">
    <cfRule type="cellIs" dxfId="7824" priority="435" stopIfTrue="1" operator="equal">
      <formula>"Towel"</formula>
    </cfRule>
  </conditionalFormatting>
  <conditionalFormatting sqref="C144">
    <cfRule type="cellIs" dxfId="7823" priority="357" stopIfTrue="1" operator="equal">
      <formula>"Towel"</formula>
    </cfRule>
    <cfRule type="cellIs" dxfId="7822" priority="358" stopIfTrue="1" operator="equal">
      <formula>"Napkin Hs"</formula>
    </cfRule>
  </conditionalFormatting>
  <conditionalFormatting sqref="C144">
    <cfRule type="cellIs" dxfId="7821" priority="397" stopIfTrue="1" operator="equal">
      <formula>"Towel"</formula>
    </cfRule>
    <cfRule type="cellIs" dxfId="7820" priority="398" stopIfTrue="1" operator="equal">
      <formula>"Napkin Hs"</formula>
    </cfRule>
    <cfRule type="cellIs" dxfId="7819" priority="437" stopIfTrue="1" operator="equal">
      <formula>"Towel"</formula>
    </cfRule>
    <cfRule type="cellIs" dxfId="7818" priority="438" stopIfTrue="1" operator="equal">
      <formula>"Napkin Hs"</formula>
    </cfRule>
  </conditionalFormatting>
  <conditionalFormatting sqref="C144">
    <cfRule type="cellIs" dxfId="7817" priority="359" stopIfTrue="1" operator="equal">
      <formula>"Towel"</formula>
    </cfRule>
    <cfRule type="cellIs" dxfId="7816" priority="360" stopIfTrue="1" operator="equal">
      <formula>"Napkin Hs"</formula>
    </cfRule>
    <cfRule type="cellIs" dxfId="7815" priority="363" stopIfTrue="1" operator="equal">
      <formula>"Towel"</formula>
    </cfRule>
    <cfRule type="cellIs" dxfId="7814" priority="364" stopIfTrue="1" operator="equal">
      <formula>"Napkin Hs"</formula>
    </cfRule>
    <cfRule type="cellIs" dxfId="7813" priority="365" stopIfTrue="1" operator="equal">
      <formula>"Towel"</formula>
    </cfRule>
    <cfRule type="cellIs" dxfId="7812" priority="366" stopIfTrue="1" operator="equal">
      <formula>"Napkin Hs"</formula>
    </cfRule>
    <cfRule type="cellIs" dxfId="7811" priority="369" stopIfTrue="1" operator="equal">
      <formula>"Towel"</formula>
    </cfRule>
    <cfRule type="cellIs" dxfId="7810" priority="370" stopIfTrue="1" operator="equal">
      <formula>"Napkin Hs"</formula>
    </cfRule>
    <cfRule type="cellIs" dxfId="7809" priority="371" stopIfTrue="1" operator="equal">
      <formula>"Towel"</formula>
    </cfRule>
    <cfRule type="cellIs" dxfId="7808" priority="372" stopIfTrue="1" operator="equal">
      <formula>"Napkin Hs"</formula>
    </cfRule>
    <cfRule type="cellIs" dxfId="7807" priority="375" stopIfTrue="1" operator="equal">
      <formula>"Towel"</formula>
    </cfRule>
    <cfRule type="cellIs" dxfId="7806" priority="376" stopIfTrue="1" operator="equal">
      <formula>"Napkin Hs"</formula>
    </cfRule>
    <cfRule type="cellIs" dxfId="7805" priority="377" stopIfTrue="1" operator="equal">
      <formula>"Towel"</formula>
    </cfRule>
    <cfRule type="cellIs" dxfId="7804" priority="378" stopIfTrue="1" operator="equal">
      <formula>"Napkin Hs"</formula>
    </cfRule>
    <cfRule type="cellIs" dxfId="7803" priority="381" stopIfTrue="1" operator="equal">
      <formula>"Towel"</formula>
    </cfRule>
    <cfRule type="cellIs" dxfId="7802" priority="382" stopIfTrue="1" operator="equal">
      <formula>"Napkin Hs"</formula>
    </cfRule>
    <cfRule type="cellIs" dxfId="7801" priority="383" stopIfTrue="1" operator="equal">
      <formula>"Towel"</formula>
    </cfRule>
    <cfRule type="cellIs" dxfId="7800" priority="384" stopIfTrue="1" operator="equal">
      <formula>"Napkin Hs"</formula>
    </cfRule>
    <cfRule type="cellIs" dxfId="7799" priority="387" stopIfTrue="1" operator="equal">
      <formula>"Towel"</formula>
    </cfRule>
    <cfRule type="cellIs" dxfId="7798" priority="388" stopIfTrue="1" operator="equal">
      <formula>"Napkin Hs"</formula>
    </cfRule>
    <cfRule type="cellIs" dxfId="7797" priority="389" stopIfTrue="1" operator="equal">
      <formula>"Towel"</formula>
    </cfRule>
    <cfRule type="cellIs" dxfId="7796" priority="390" stopIfTrue="1" operator="equal">
      <formula>"Napkin Hs"</formula>
    </cfRule>
    <cfRule type="cellIs" dxfId="7795" priority="393" stopIfTrue="1" operator="equal">
      <formula>"Towel"</formula>
    </cfRule>
    <cfRule type="cellIs" dxfId="7794" priority="394" stopIfTrue="1" operator="equal">
      <formula>"Napkin Hs"</formula>
    </cfRule>
    <cfRule type="cellIs" dxfId="7793" priority="399" stopIfTrue="1" operator="equal">
      <formula>"Towel"</formula>
    </cfRule>
    <cfRule type="cellIs" dxfId="7792" priority="400" stopIfTrue="1" operator="equal">
      <formula>"Napkin Hs"</formula>
    </cfRule>
    <cfRule type="cellIs" dxfId="7791" priority="403" stopIfTrue="1" operator="equal">
      <formula>"Towel"</formula>
    </cfRule>
    <cfRule type="cellIs" dxfId="7790" priority="404" stopIfTrue="1" operator="equal">
      <formula>"Napkin Hs"</formula>
    </cfRule>
    <cfRule type="cellIs" dxfId="7789" priority="405" stopIfTrue="1" operator="equal">
      <formula>"Towel"</formula>
    </cfRule>
    <cfRule type="cellIs" dxfId="7788" priority="406" stopIfTrue="1" operator="equal">
      <formula>"Napkin Hs"</formula>
    </cfRule>
    <cfRule type="cellIs" dxfId="7787" priority="409" stopIfTrue="1" operator="equal">
      <formula>"Towel"</formula>
    </cfRule>
    <cfRule type="cellIs" dxfId="7786" priority="410" stopIfTrue="1" operator="equal">
      <formula>"Napkin Hs"</formula>
    </cfRule>
    <cfRule type="cellIs" dxfId="7785" priority="411" stopIfTrue="1" operator="equal">
      <formula>"Towel"</formula>
    </cfRule>
    <cfRule type="cellIs" dxfId="7784" priority="412" stopIfTrue="1" operator="equal">
      <formula>"Napkin Hs"</formula>
    </cfRule>
    <cfRule type="cellIs" dxfId="7783" priority="415" stopIfTrue="1" operator="equal">
      <formula>"Towel"</formula>
    </cfRule>
    <cfRule type="cellIs" dxfId="7782" priority="416" stopIfTrue="1" operator="equal">
      <formula>"Napkin Hs"</formula>
    </cfRule>
    <cfRule type="cellIs" dxfId="7781" priority="417" stopIfTrue="1" operator="equal">
      <formula>"Towel"</formula>
    </cfRule>
    <cfRule type="cellIs" dxfId="7780" priority="418" stopIfTrue="1" operator="equal">
      <formula>"Napkin Hs"</formula>
    </cfRule>
    <cfRule type="cellIs" dxfId="7779" priority="421" stopIfTrue="1" operator="equal">
      <formula>"Towel"</formula>
    </cfRule>
    <cfRule type="cellIs" dxfId="7778" priority="422" stopIfTrue="1" operator="equal">
      <formula>"Napkin Hs"</formula>
    </cfRule>
    <cfRule type="cellIs" dxfId="7777" priority="423" stopIfTrue="1" operator="equal">
      <formula>"Towel"</formula>
    </cfRule>
    <cfRule type="cellIs" dxfId="7776" priority="424" stopIfTrue="1" operator="equal">
      <formula>"Napkin Hs"</formula>
    </cfRule>
    <cfRule type="cellIs" dxfId="7775" priority="427" stopIfTrue="1" operator="equal">
      <formula>"Towel"</formula>
    </cfRule>
    <cfRule type="cellIs" dxfId="7774" priority="428" stopIfTrue="1" operator="equal">
      <formula>"Napkin Hs"</formula>
    </cfRule>
    <cfRule type="cellIs" dxfId="7773" priority="429" stopIfTrue="1" operator="equal">
      <formula>"Towel"</formula>
    </cfRule>
    <cfRule type="cellIs" dxfId="7772" priority="430" stopIfTrue="1" operator="equal">
      <formula>"Napkin Hs"</formula>
    </cfRule>
  </conditionalFormatting>
  <conditionalFormatting sqref="C144">
    <cfRule type="cellIs" dxfId="7771" priority="433" stopIfTrue="1" operator="equal">
      <formula>"Towel"</formula>
    </cfRule>
    <cfRule type="cellIs" dxfId="7770" priority="434" stopIfTrue="1" operator="equal">
      <formula>"Napkin Hs"</formula>
    </cfRule>
  </conditionalFormatting>
  <conditionalFormatting sqref="B150:C150">
    <cfRule type="cellIs" dxfId="7769" priority="354" stopIfTrue="1" operator="equal">
      <formula>"Napkin Hs"</formula>
    </cfRule>
  </conditionalFormatting>
  <conditionalFormatting sqref="B150:C150">
    <cfRule type="cellIs" dxfId="7768" priority="353" stopIfTrue="1" operator="equal">
      <formula>"Towel"</formula>
    </cfRule>
  </conditionalFormatting>
  <conditionalFormatting sqref="C150">
    <cfRule type="cellIs" dxfId="7767" priority="351" stopIfTrue="1" operator="equal">
      <formula>"Towel"</formula>
    </cfRule>
    <cfRule type="cellIs" dxfId="7766" priority="352" stopIfTrue="1" operator="equal">
      <formula>"Napkin Hs"</formula>
    </cfRule>
  </conditionalFormatting>
  <conditionalFormatting sqref="C150">
    <cfRule type="cellIs" dxfId="7765" priority="355" stopIfTrue="1" operator="equal">
      <formula>"Towel"</formula>
    </cfRule>
    <cfRule type="cellIs" dxfId="7764" priority="356" stopIfTrue="1" operator="equal">
      <formula>"Napkin Hs"</formula>
    </cfRule>
  </conditionalFormatting>
  <conditionalFormatting sqref="B150">
    <cfRule type="cellIs" dxfId="7763" priority="247" stopIfTrue="1" operator="equal">
      <formula>"Towel"</formula>
    </cfRule>
    <cfRule type="cellIs" dxfId="7762" priority="248" stopIfTrue="1" operator="equal">
      <formula>"Napkin Hs"</formula>
    </cfRule>
  </conditionalFormatting>
  <conditionalFormatting sqref="B150:C150">
    <cfRule type="cellIs" dxfId="7761" priority="307" stopIfTrue="1" operator="equal">
      <formula>"Towel"</formula>
    </cfRule>
    <cfRule type="cellIs" dxfId="7760" priority="308" stopIfTrue="1" operator="equal">
      <formula>"Napkin Hs"</formula>
    </cfRule>
    <cfRule type="cellIs" dxfId="7759" priority="313" stopIfTrue="1" operator="equal">
      <formula>"Towel"</formula>
    </cfRule>
    <cfRule type="cellIs" dxfId="7758" priority="314" stopIfTrue="1" operator="equal">
      <formula>"Napkin Hs"</formula>
    </cfRule>
    <cfRule type="cellIs" dxfId="7757" priority="319" stopIfTrue="1" operator="equal">
      <formula>"Towel"</formula>
    </cfRule>
    <cfRule type="cellIs" dxfId="7756" priority="320" stopIfTrue="1" operator="equal">
      <formula>"Napkin Hs"</formula>
    </cfRule>
    <cfRule type="cellIs" dxfId="7755" priority="325" stopIfTrue="1" operator="equal">
      <formula>"Towel"</formula>
    </cfRule>
    <cfRule type="cellIs" dxfId="7754" priority="326" stopIfTrue="1" operator="equal">
      <formula>"Napkin Hs"</formula>
    </cfRule>
    <cfRule type="cellIs" dxfId="7753" priority="331" stopIfTrue="1" operator="equal">
      <formula>"Towel"</formula>
    </cfRule>
    <cfRule type="cellIs" dxfId="7752" priority="332" stopIfTrue="1" operator="equal">
      <formula>"Napkin Hs"</formula>
    </cfRule>
    <cfRule type="cellIs" dxfId="7751" priority="337" stopIfTrue="1" operator="equal">
      <formula>"Towel"</formula>
    </cfRule>
    <cfRule type="cellIs" dxfId="7750" priority="338" stopIfTrue="1" operator="equal">
      <formula>"Napkin Hs"</formula>
    </cfRule>
    <cfRule type="cellIs" dxfId="7749" priority="343" stopIfTrue="1" operator="equal">
      <formula>"Towel"</formula>
    </cfRule>
    <cfRule type="cellIs" dxfId="7748" priority="344" stopIfTrue="1" operator="equal">
      <formula>"Napkin Hs"</formula>
    </cfRule>
    <cfRule type="cellIs" dxfId="7747" priority="349" stopIfTrue="1" operator="equal">
      <formula>"Towel"</formula>
    </cfRule>
    <cfRule type="cellIs" dxfId="7746" priority="350" stopIfTrue="1" operator="equal">
      <formula>"Napkin Hs"</formula>
    </cfRule>
  </conditionalFormatting>
  <conditionalFormatting sqref="B150:C150">
    <cfRule type="cellIs" dxfId="7745" priority="249" stopIfTrue="1" operator="equal">
      <formula>"Towel"</formula>
    </cfRule>
    <cfRule type="cellIs" dxfId="7744" priority="250" stopIfTrue="1" operator="equal">
      <formula>"Napkin Hs"</formula>
    </cfRule>
    <cfRule type="cellIs" dxfId="7743" priority="265" stopIfTrue="1" operator="equal">
      <formula>"Towel"</formula>
    </cfRule>
    <cfRule type="cellIs" dxfId="7742" priority="266" stopIfTrue="1" operator="equal">
      <formula>"Napkin Hs"</formula>
    </cfRule>
    <cfRule type="cellIs" dxfId="7741" priority="271" stopIfTrue="1" operator="equal">
      <formula>"Towel"</formula>
    </cfRule>
    <cfRule type="cellIs" dxfId="7740" priority="272" stopIfTrue="1" operator="equal">
      <formula>"Napkin Hs"</formula>
    </cfRule>
    <cfRule type="cellIs" dxfId="7739" priority="277" stopIfTrue="1" operator="equal">
      <formula>"Towel"</formula>
    </cfRule>
    <cfRule type="cellIs" dxfId="7738" priority="278" stopIfTrue="1" operator="equal">
      <formula>"Napkin Hs"</formula>
    </cfRule>
    <cfRule type="cellIs" dxfId="7737" priority="283" stopIfTrue="1" operator="equal">
      <formula>"Towel"</formula>
    </cfRule>
    <cfRule type="cellIs" dxfId="7736" priority="284" stopIfTrue="1" operator="equal">
      <formula>"Napkin Hs"</formula>
    </cfRule>
    <cfRule type="cellIs" dxfId="7735" priority="289" stopIfTrue="1" operator="equal">
      <formula>"Towel"</formula>
    </cfRule>
    <cfRule type="cellIs" dxfId="7734" priority="290" stopIfTrue="1" operator="equal">
      <formula>"Napkin Hs"</formula>
    </cfRule>
    <cfRule type="cellIs" dxfId="7733" priority="295" stopIfTrue="1" operator="equal">
      <formula>"Towel"</formula>
    </cfRule>
    <cfRule type="cellIs" dxfId="7732" priority="296" stopIfTrue="1" operator="equal">
      <formula>"Napkin Hs"</formula>
    </cfRule>
    <cfRule type="cellIs" dxfId="7731" priority="301" stopIfTrue="1" operator="equal">
      <formula>"Towel"</formula>
    </cfRule>
    <cfRule type="cellIs" dxfId="7730" priority="302" stopIfTrue="1" operator="equal">
      <formula>"Napkin Hs"</formula>
    </cfRule>
  </conditionalFormatting>
  <conditionalFormatting sqref="C150">
    <cfRule type="cellIs" dxfId="7729" priority="303" stopIfTrue="1" operator="equal">
      <formula>"Towel"</formula>
    </cfRule>
    <cfRule type="cellIs" dxfId="7728" priority="304" stopIfTrue="1" operator="equal">
      <formula>"Napkin Hs"</formula>
    </cfRule>
    <cfRule type="cellIs" dxfId="7727" priority="305" stopIfTrue="1" operator="equal">
      <formula>"Towel"</formula>
    </cfRule>
    <cfRule type="cellIs" dxfId="7726" priority="306" stopIfTrue="1" operator="equal">
      <formula>"Napkin Hs"</formula>
    </cfRule>
    <cfRule type="cellIs" dxfId="7725" priority="309" stopIfTrue="1" operator="equal">
      <formula>"Towel"</formula>
    </cfRule>
    <cfRule type="cellIs" dxfId="7724" priority="310" stopIfTrue="1" operator="equal">
      <formula>"Napkin Hs"</formula>
    </cfRule>
    <cfRule type="cellIs" dxfId="7723" priority="311" stopIfTrue="1" operator="equal">
      <formula>"Towel"</formula>
    </cfRule>
    <cfRule type="cellIs" dxfId="7722" priority="312" stopIfTrue="1" operator="equal">
      <formula>"Napkin Hs"</formula>
    </cfRule>
    <cfRule type="cellIs" dxfId="7721" priority="315" stopIfTrue="1" operator="equal">
      <formula>"Towel"</formula>
    </cfRule>
    <cfRule type="cellIs" dxfId="7720" priority="316" stopIfTrue="1" operator="equal">
      <formula>"Napkin Hs"</formula>
    </cfRule>
    <cfRule type="cellIs" dxfId="7719" priority="317" stopIfTrue="1" operator="equal">
      <formula>"Towel"</formula>
    </cfRule>
    <cfRule type="cellIs" dxfId="7718" priority="318" stopIfTrue="1" operator="equal">
      <formula>"Napkin Hs"</formula>
    </cfRule>
    <cfRule type="cellIs" dxfId="7717" priority="321" stopIfTrue="1" operator="equal">
      <formula>"Towel"</formula>
    </cfRule>
    <cfRule type="cellIs" dxfId="7716" priority="322" stopIfTrue="1" operator="equal">
      <formula>"Napkin Hs"</formula>
    </cfRule>
    <cfRule type="cellIs" dxfId="7715" priority="323" stopIfTrue="1" operator="equal">
      <formula>"Towel"</formula>
    </cfRule>
    <cfRule type="cellIs" dxfId="7714" priority="324" stopIfTrue="1" operator="equal">
      <formula>"Napkin Hs"</formula>
    </cfRule>
    <cfRule type="cellIs" dxfId="7713" priority="327" stopIfTrue="1" operator="equal">
      <formula>"Towel"</formula>
    </cfRule>
    <cfRule type="cellIs" dxfId="7712" priority="328" stopIfTrue="1" operator="equal">
      <formula>"Napkin Hs"</formula>
    </cfRule>
    <cfRule type="cellIs" dxfId="7711" priority="329" stopIfTrue="1" operator="equal">
      <formula>"Towel"</formula>
    </cfRule>
    <cfRule type="cellIs" dxfId="7710" priority="330" stopIfTrue="1" operator="equal">
      <formula>"Napkin Hs"</formula>
    </cfRule>
    <cfRule type="cellIs" dxfId="7709" priority="333" stopIfTrue="1" operator="equal">
      <formula>"Towel"</formula>
    </cfRule>
    <cfRule type="cellIs" dxfId="7708" priority="334" stopIfTrue="1" operator="equal">
      <formula>"Napkin Hs"</formula>
    </cfRule>
    <cfRule type="cellIs" dxfId="7707" priority="335" stopIfTrue="1" operator="equal">
      <formula>"Towel"</formula>
    </cfRule>
    <cfRule type="cellIs" dxfId="7706" priority="336" stopIfTrue="1" operator="equal">
      <formula>"Napkin Hs"</formula>
    </cfRule>
    <cfRule type="cellIs" dxfId="7705" priority="339" stopIfTrue="1" operator="equal">
      <formula>"Towel"</formula>
    </cfRule>
    <cfRule type="cellIs" dxfId="7704" priority="340" stopIfTrue="1" operator="equal">
      <formula>"Napkin Hs"</formula>
    </cfRule>
    <cfRule type="cellIs" dxfId="7703" priority="341" stopIfTrue="1" operator="equal">
      <formula>"Towel"</formula>
    </cfRule>
    <cfRule type="cellIs" dxfId="7702" priority="342" stopIfTrue="1" operator="equal">
      <formula>"Napkin Hs"</formula>
    </cfRule>
    <cfRule type="cellIs" dxfId="7701" priority="345" stopIfTrue="1" operator="equal">
      <formula>"Towel"</formula>
    </cfRule>
    <cfRule type="cellIs" dxfId="7700" priority="346" stopIfTrue="1" operator="equal">
      <formula>"Napkin Hs"</formula>
    </cfRule>
  </conditionalFormatting>
  <conditionalFormatting sqref="C150">
    <cfRule type="cellIs" dxfId="7699" priority="251" stopIfTrue="1" operator="equal">
      <formula>"Towel"</formula>
    </cfRule>
    <cfRule type="cellIs" dxfId="7698" priority="252" stopIfTrue="1" operator="equal">
      <formula>"Napkin Hs"</formula>
    </cfRule>
    <cfRule type="cellIs" dxfId="7697" priority="253" stopIfTrue="1" operator="equal">
      <formula>"Towel"</formula>
    </cfRule>
    <cfRule type="cellIs" dxfId="7696" priority="254" stopIfTrue="1" operator="equal">
      <formula>"Napkin Hs"</formula>
    </cfRule>
    <cfRule type="cellIs" dxfId="7695" priority="255" stopIfTrue="1" operator="equal">
      <formula>"Towel"</formula>
    </cfRule>
    <cfRule type="cellIs" dxfId="7694" priority="256" stopIfTrue="1" operator="equal">
      <formula>"Napkin Hs"</formula>
    </cfRule>
    <cfRule type="cellIs" dxfId="7693" priority="257" stopIfTrue="1" operator="equal">
      <formula>"Towel"</formula>
    </cfRule>
    <cfRule type="cellIs" dxfId="7692" priority="258" stopIfTrue="1" operator="equal">
      <formula>"Napkin Hs"</formula>
    </cfRule>
    <cfRule type="cellIs" dxfId="7691" priority="259" stopIfTrue="1" operator="equal">
      <formula>"Towel"</formula>
    </cfRule>
    <cfRule type="cellIs" dxfId="7690" priority="260" stopIfTrue="1" operator="equal">
      <formula>"Napkin Hs"</formula>
    </cfRule>
    <cfRule type="cellIs" dxfId="7689" priority="261" stopIfTrue="1" operator="equal">
      <formula>"Towel"</formula>
    </cfRule>
    <cfRule type="cellIs" dxfId="7688" priority="262" stopIfTrue="1" operator="equal">
      <formula>"Napkin Hs"</formula>
    </cfRule>
    <cfRule type="cellIs" dxfId="7687" priority="263" stopIfTrue="1" operator="equal">
      <formula>"Towel"</formula>
    </cfRule>
    <cfRule type="cellIs" dxfId="7686" priority="264" stopIfTrue="1" operator="equal">
      <formula>"Napkin Hs"</formula>
    </cfRule>
    <cfRule type="cellIs" dxfId="7685" priority="267" stopIfTrue="1" operator="equal">
      <formula>"Towel"</formula>
    </cfRule>
    <cfRule type="cellIs" dxfId="7684" priority="268" stopIfTrue="1" operator="equal">
      <formula>"Napkin Hs"</formula>
    </cfRule>
    <cfRule type="cellIs" dxfId="7683" priority="269" stopIfTrue="1" operator="equal">
      <formula>"Towel"</formula>
    </cfRule>
    <cfRule type="cellIs" dxfId="7682" priority="270" stopIfTrue="1" operator="equal">
      <formula>"Napkin Hs"</formula>
    </cfRule>
    <cfRule type="cellIs" dxfId="7681" priority="273" stopIfTrue="1" operator="equal">
      <formula>"Towel"</formula>
    </cfRule>
    <cfRule type="cellIs" dxfId="7680" priority="274" stopIfTrue="1" operator="equal">
      <formula>"Napkin Hs"</formula>
    </cfRule>
    <cfRule type="cellIs" dxfId="7679" priority="275" stopIfTrue="1" operator="equal">
      <formula>"Towel"</formula>
    </cfRule>
    <cfRule type="cellIs" dxfId="7678" priority="276" stopIfTrue="1" operator="equal">
      <formula>"Napkin Hs"</formula>
    </cfRule>
    <cfRule type="cellIs" dxfId="7677" priority="279" stopIfTrue="1" operator="equal">
      <formula>"Towel"</formula>
    </cfRule>
    <cfRule type="cellIs" dxfId="7676" priority="280" stopIfTrue="1" operator="equal">
      <formula>"Napkin Hs"</formula>
    </cfRule>
    <cfRule type="cellIs" dxfId="7675" priority="281" stopIfTrue="1" operator="equal">
      <formula>"Towel"</formula>
    </cfRule>
    <cfRule type="cellIs" dxfId="7674" priority="282" stopIfTrue="1" operator="equal">
      <formula>"Napkin Hs"</formula>
    </cfRule>
    <cfRule type="cellIs" dxfId="7673" priority="285" stopIfTrue="1" operator="equal">
      <formula>"Towel"</formula>
    </cfRule>
    <cfRule type="cellIs" dxfId="7672" priority="286" stopIfTrue="1" operator="equal">
      <formula>"Napkin Hs"</formula>
    </cfRule>
    <cfRule type="cellIs" dxfId="7671" priority="287" stopIfTrue="1" operator="equal">
      <formula>"Towel"</formula>
    </cfRule>
    <cfRule type="cellIs" dxfId="7670" priority="288" stopIfTrue="1" operator="equal">
      <formula>"Napkin Hs"</formula>
    </cfRule>
    <cfRule type="cellIs" dxfId="7669" priority="291" stopIfTrue="1" operator="equal">
      <formula>"Towel"</formula>
    </cfRule>
    <cfRule type="cellIs" dxfId="7668" priority="292" stopIfTrue="1" operator="equal">
      <formula>"Napkin Hs"</formula>
    </cfRule>
    <cfRule type="cellIs" dxfId="7667" priority="293" stopIfTrue="1" operator="equal">
      <formula>"Towel"</formula>
    </cfRule>
    <cfRule type="cellIs" dxfId="7666" priority="294" stopIfTrue="1" operator="equal">
      <formula>"Napkin Hs"</formula>
    </cfRule>
    <cfRule type="cellIs" dxfId="7665" priority="297" stopIfTrue="1" operator="equal">
      <formula>"Towel"</formula>
    </cfRule>
    <cfRule type="cellIs" dxfId="7664" priority="298" stopIfTrue="1" operator="equal">
      <formula>"Napkin Hs"</formula>
    </cfRule>
    <cfRule type="cellIs" dxfId="7663" priority="299" stopIfTrue="1" operator="equal">
      <formula>"Towel"</formula>
    </cfRule>
    <cfRule type="cellIs" dxfId="7662" priority="300" stopIfTrue="1" operator="equal">
      <formula>"Napkin Hs"</formula>
    </cfRule>
    <cfRule type="cellIs" dxfId="7661" priority="347" stopIfTrue="1" operator="equal">
      <formula>"Towel"</formula>
    </cfRule>
    <cfRule type="cellIs" dxfId="7660" priority="348" stopIfTrue="1" operator="equal">
      <formula>"Napkin Hs"</formula>
    </cfRule>
  </conditionalFormatting>
  <conditionalFormatting sqref="B148:C148">
    <cfRule type="cellIs" dxfId="7659" priority="87" stopIfTrue="1" operator="equal">
      <formula>"Towel"</formula>
    </cfRule>
    <cfRule type="cellIs" dxfId="7658" priority="88" stopIfTrue="1" operator="equal">
      <formula>"Napkin Hs"</formula>
    </cfRule>
    <cfRule type="cellIs" dxfId="7657" priority="93" stopIfTrue="1" operator="equal">
      <formula>"Towel"</formula>
    </cfRule>
    <cfRule type="cellIs" dxfId="7656" priority="94" stopIfTrue="1" operator="equal">
      <formula>"Napkin Hs"</formula>
    </cfRule>
    <cfRule type="cellIs" dxfId="7655" priority="99" stopIfTrue="1" operator="equal">
      <formula>"Towel"</formula>
    </cfRule>
    <cfRule type="cellIs" dxfId="7654" priority="100" stopIfTrue="1" operator="equal">
      <formula>"Napkin Hs"</formula>
    </cfRule>
    <cfRule type="cellIs" dxfId="7653" priority="105" stopIfTrue="1" operator="equal">
      <formula>"Towel"</formula>
    </cfRule>
    <cfRule type="cellIs" dxfId="7652" priority="106" stopIfTrue="1" operator="equal">
      <formula>"Napkin Hs"</formula>
    </cfRule>
    <cfRule type="cellIs" dxfId="7651" priority="111" stopIfTrue="1" operator="equal">
      <formula>"Towel"</formula>
    </cfRule>
    <cfRule type="cellIs" dxfId="7650" priority="112" stopIfTrue="1" operator="equal">
      <formula>"Napkin Hs"</formula>
    </cfRule>
    <cfRule type="cellIs" dxfId="7649" priority="117" stopIfTrue="1" operator="equal">
      <formula>"Towel"</formula>
    </cfRule>
    <cfRule type="cellIs" dxfId="7648" priority="118" stopIfTrue="1" operator="equal">
      <formula>"Napkin Hs"</formula>
    </cfRule>
    <cfRule type="cellIs" dxfId="7647" priority="121" stopIfTrue="1" operator="equal">
      <formula>"Towel"</formula>
    </cfRule>
    <cfRule type="cellIs" dxfId="7646" priority="122" stopIfTrue="1" operator="equal">
      <formula>"Napkin Hs"</formula>
    </cfRule>
    <cfRule type="cellIs" dxfId="7645" priority="127" stopIfTrue="1" operator="equal">
      <formula>"Towel"</formula>
    </cfRule>
    <cfRule type="cellIs" dxfId="7644" priority="128" stopIfTrue="1" operator="equal">
      <formula>"Napkin Hs"</formula>
    </cfRule>
    <cfRule type="cellIs" dxfId="7643" priority="133" stopIfTrue="1" operator="equal">
      <formula>"Towel"</formula>
    </cfRule>
    <cfRule type="cellIs" dxfId="7642" priority="134" stopIfTrue="1" operator="equal">
      <formula>"Napkin Hs"</formula>
    </cfRule>
    <cfRule type="cellIs" dxfId="7641" priority="139" stopIfTrue="1" operator="equal">
      <formula>"Towel"</formula>
    </cfRule>
    <cfRule type="cellIs" dxfId="7640" priority="140" stopIfTrue="1" operator="equal">
      <formula>"Napkin Hs"</formula>
    </cfRule>
    <cfRule type="cellIs" dxfId="7639" priority="145" stopIfTrue="1" operator="equal">
      <formula>"Towel"</formula>
    </cfRule>
    <cfRule type="cellIs" dxfId="7638" priority="146" stopIfTrue="1" operator="equal">
      <formula>"Napkin Hs"</formula>
    </cfRule>
    <cfRule type="cellIs" dxfId="7637" priority="151" stopIfTrue="1" operator="equal">
      <formula>"Towel"</formula>
    </cfRule>
    <cfRule type="cellIs" dxfId="7636" priority="152" stopIfTrue="1" operator="equal">
      <formula>"Napkin Hs"</formula>
    </cfRule>
    <cfRule type="cellIs" dxfId="7635" priority="157" stopIfTrue="1" operator="equal">
      <formula>"Towel"</formula>
    </cfRule>
    <cfRule type="cellIs" dxfId="7634" priority="158" stopIfTrue="1" operator="equal">
      <formula>"Napkin Hs"</formula>
    </cfRule>
    <cfRule type="cellIs" dxfId="7633" priority="162" stopIfTrue="1" operator="equal">
      <formula>"Napkin Hs"</formula>
    </cfRule>
  </conditionalFormatting>
  <conditionalFormatting sqref="B148:C148">
    <cfRule type="cellIs" dxfId="7632" priority="161" stopIfTrue="1" operator="equal">
      <formula>"Towel"</formula>
    </cfRule>
  </conditionalFormatting>
  <conditionalFormatting sqref="C148">
    <cfRule type="cellIs" dxfId="7631" priority="83" stopIfTrue="1" operator="equal">
      <formula>"Towel"</formula>
    </cfRule>
    <cfRule type="cellIs" dxfId="7630" priority="84" stopIfTrue="1" operator="equal">
      <formula>"Napkin Hs"</formula>
    </cfRule>
  </conditionalFormatting>
  <conditionalFormatting sqref="C148">
    <cfRule type="cellIs" dxfId="7629" priority="123" stopIfTrue="1" operator="equal">
      <formula>"Towel"</formula>
    </cfRule>
    <cfRule type="cellIs" dxfId="7628" priority="124" stopIfTrue="1" operator="equal">
      <formula>"Napkin Hs"</formula>
    </cfRule>
    <cfRule type="cellIs" dxfId="7627" priority="163" stopIfTrue="1" operator="equal">
      <formula>"Towel"</formula>
    </cfRule>
    <cfRule type="cellIs" dxfId="7626" priority="164" stopIfTrue="1" operator="equal">
      <formula>"Napkin Hs"</formula>
    </cfRule>
  </conditionalFormatting>
  <conditionalFormatting sqref="C148">
    <cfRule type="cellIs" dxfId="7625" priority="85" stopIfTrue="1" operator="equal">
      <formula>"Towel"</formula>
    </cfRule>
    <cfRule type="cellIs" dxfId="7624" priority="86" stopIfTrue="1" operator="equal">
      <formula>"Napkin Hs"</formula>
    </cfRule>
    <cfRule type="cellIs" dxfId="7623" priority="89" stopIfTrue="1" operator="equal">
      <formula>"Towel"</formula>
    </cfRule>
    <cfRule type="cellIs" dxfId="7622" priority="90" stopIfTrue="1" operator="equal">
      <formula>"Napkin Hs"</formula>
    </cfRule>
    <cfRule type="cellIs" dxfId="7621" priority="91" stopIfTrue="1" operator="equal">
      <formula>"Towel"</formula>
    </cfRule>
    <cfRule type="cellIs" dxfId="7620" priority="92" stopIfTrue="1" operator="equal">
      <formula>"Napkin Hs"</formula>
    </cfRule>
    <cfRule type="cellIs" dxfId="7619" priority="95" stopIfTrue="1" operator="equal">
      <formula>"Towel"</formula>
    </cfRule>
    <cfRule type="cellIs" dxfId="7618" priority="96" stopIfTrue="1" operator="equal">
      <formula>"Napkin Hs"</formula>
    </cfRule>
    <cfRule type="cellIs" dxfId="7617" priority="97" stopIfTrue="1" operator="equal">
      <formula>"Towel"</formula>
    </cfRule>
    <cfRule type="cellIs" dxfId="7616" priority="98" stopIfTrue="1" operator="equal">
      <formula>"Napkin Hs"</formula>
    </cfRule>
    <cfRule type="cellIs" dxfId="7615" priority="101" stopIfTrue="1" operator="equal">
      <formula>"Towel"</formula>
    </cfRule>
    <cfRule type="cellIs" dxfId="7614" priority="102" stopIfTrue="1" operator="equal">
      <formula>"Napkin Hs"</formula>
    </cfRule>
    <cfRule type="cellIs" dxfId="7613" priority="103" stopIfTrue="1" operator="equal">
      <formula>"Towel"</formula>
    </cfRule>
    <cfRule type="cellIs" dxfId="7612" priority="104" stopIfTrue="1" operator="equal">
      <formula>"Napkin Hs"</formula>
    </cfRule>
    <cfRule type="cellIs" dxfId="7611" priority="107" stopIfTrue="1" operator="equal">
      <formula>"Towel"</formula>
    </cfRule>
    <cfRule type="cellIs" dxfId="7610" priority="108" stopIfTrue="1" operator="equal">
      <formula>"Napkin Hs"</formula>
    </cfRule>
    <cfRule type="cellIs" dxfId="7609" priority="109" stopIfTrue="1" operator="equal">
      <formula>"Towel"</formula>
    </cfRule>
    <cfRule type="cellIs" dxfId="7608" priority="110" stopIfTrue="1" operator="equal">
      <formula>"Napkin Hs"</formula>
    </cfRule>
    <cfRule type="cellIs" dxfId="7607" priority="113" stopIfTrue="1" operator="equal">
      <formula>"Towel"</formula>
    </cfRule>
    <cfRule type="cellIs" dxfId="7606" priority="114" stopIfTrue="1" operator="equal">
      <formula>"Napkin Hs"</formula>
    </cfRule>
    <cfRule type="cellIs" dxfId="7605" priority="115" stopIfTrue="1" operator="equal">
      <formula>"Towel"</formula>
    </cfRule>
    <cfRule type="cellIs" dxfId="7604" priority="116" stopIfTrue="1" operator="equal">
      <formula>"Napkin Hs"</formula>
    </cfRule>
    <cfRule type="cellIs" dxfId="7603" priority="119" stopIfTrue="1" operator="equal">
      <formula>"Towel"</formula>
    </cfRule>
    <cfRule type="cellIs" dxfId="7602" priority="120" stopIfTrue="1" operator="equal">
      <formula>"Napkin Hs"</formula>
    </cfRule>
    <cfRule type="cellIs" dxfId="7601" priority="125" stopIfTrue="1" operator="equal">
      <formula>"Towel"</formula>
    </cfRule>
    <cfRule type="cellIs" dxfId="7600" priority="126" stopIfTrue="1" operator="equal">
      <formula>"Napkin Hs"</formula>
    </cfRule>
    <cfRule type="cellIs" dxfId="7599" priority="129" stopIfTrue="1" operator="equal">
      <formula>"Towel"</formula>
    </cfRule>
    <cfRule type="cellIs" dxfId="7598" priority="130" stopIfTrue="1" operator="equal">
      <formula>"Napkin Hs"</formula>
    </cfRule>
    <cfRule type="cellIs" dxfId="7597" priority="131" stopIfTrue="1" operator="equal">
      <formula>"Towel"</formula>
    </cfRule>
    <cfRule type="cellIs" dxfId="7596" priority="132" stopIfTrue="1" operator="equal">
      <formula>"Napkin Hs"</formula>
    </cfRule>
    <cfRule type="cellIs" dxfId="7595" priority="135" stopIfTrue="1" operator="equal">
      <formula>"Towel"</formula>
    </cfRule>
    <cfRule type="cellIs" dxfId="7594" priority="136" stopIfTrue="1" operator="equal">
      <formula>"Napkin Hs"</formula>
    </cfRule>
    <cfRule type="cellIs" dxfId="7593" priority="137" stopIfTrue="1" operator="equal">
      <formula>"Towel"</formula>
    </cfRule>
    <cfRule type="cellIs" dxfId="7592" priority="138" stopIfTrue="1" operator="equal">
      <formula>"Napkin Hs"</formula>
    </cfRule>
    <cfRule type="cellIs" dxfId="7591" priority="141" stopIfTrue="1" operator="equal">
      <formula>"Towel"</formula>
    </cfRule>
    <cfRule type="cellIs" dxfId="7590" priority="142" stopIfTrue="1" operator="equal">
      <formula>"Napkin Hs"</formula>
    </cfRule>
    <cfRule type="cellIs" dxfId="7589" priority="143" stopIfTrue="1" operator="equal">
      <formula>"Towel"</formula>
    </cfRule>
    <cfRule type="cellIs" dxfId="7588" priority="144" stopIfTrue="1" operator="equal">
      <formula>"Napkin Hs"</formula>
    </cfRule>
    <cfRule type="cellIs" dxfId="7587" priority="147" stopIfTrue="1" operator="equal">
      <formula>"Towel"</formula>
    </cfRule>
    <cfRule type="cellIs" dxfId="7586" priority="148" stopIfTrue="1" operator="equal">
      <formula>"Napkin Hs"</formula>
    </cfRule>
    <cfRule type="cellIs" dxfId="7585" priority="149" stopIfTrue="1" operator="equal">
      <formula>"Towel"</formula>
    </cfRule>
    <cfRule type="cellIs" dxfId="7584" priority="150" stopIfTrue="1" operator="equal">
      <formula>"Napkin Hs"</formula>
    </cfRule>
    <cfRule type="cellIs" dxfId="7583" priority="153" stopIfTrue="1" operator="equal">
      <formula>"Towel"</formula>
    </cfRule>
    <cfRule type="cellIs" dxfId="7582" priority="154" stopIfTrue="1" operator="equal">
      <formula>"Napkin Hs"</formula>
    </cfRule>
    <cfRule type="cellIs" dxfId="7581" priority="155" stopIfTrue="1" operator="equal">
      <formula>"Towel"</formula>
    </cfRule>
    <cfRule type="cellIs" dxfId="7580" priority="156" stopIfTrue="1" operator="equal">
      <formula>"Napkin Hs"</formula>
    </cfRule>
  </conditionalFormatting>
  <conditionalFormatting sqref="C148">
    <cfRule type="cellIs" dxfId="7579" priority="159" stopIfTrue="1" operator="equal">
      <formula>"Towel"</formula>
    </cfRule>
    <cfRule type="cellIs" dxfId="7578" priority="160" stopIfTrue="1" operator="equal">
      <formula>"Napkin Hs"</formula>
    </cfRule>
  </conditionalFormatting>
  <conditionalFormatting sqref="B149:C149">
    <cfRule type="cellIs" dxfId="7577" priority="5" stopIfTrue="1" operator="equal">
      <formula>"Towel"</formula>
    </cfRule>
    <cfRule type="cellIs" dxfId="7576" priority="6" stopIfTrue="1" operator="equal">
      <formula>"Napkin Hs"</formula>
    </cfRule>
    <cfRule type="cellIs" dxfId="7575" priority="11" stopIfTrue="1" operator="equal">
      <formula>"Towel"</formula>
    </cfRule>
    <cfRule type="cellIs" dxfId="7574" priority="12" stopIfTrue="1" operator="equal">
      <formula>"Napkin Hs"</formula>
    </cfRule>
    <cfRule type="cellIs" dxfId="7573" priority="17" stopIfTrue="1" operator="equal">
      <formula>"Towel"</formula>
    </cfRule>
    <cfRule type="cellIs" dxfId="7572" priority="18" stopIfTrue="1" operator="equal">
      <formula>"Napkin Hs"</formula>
    </cfRule>
    <cfRule type="cellIs" dxfId="7571" priority="23" stopIfTrue="1" operator="equal">
      <formula>"Towel"</formula>
    </cfRule>
    <cfRule type="cellIs" dxfId="7570" priority="24" stopIfTrue="1" operator="equal">
      <formula>"Napkin Hs"</formula>
    </cfRule>
    <cfRule type="cellIs" dxfId="7569" priority="29" stopIfTrue="1" operator="equal">
      <formula>"Towel"</formula>
    </cfRule>
    <cfRule type="cellIs" dxfId="7568" priority="30" stopIfTrue="1" operator="equal">
      <formula>"Napkin Hs"</formula>
    </cfRule>
    <cfRule type="cellIs" dxfId="7567" priority="35" stopIfTrue="1" operator="equal">
      <formula>"Towel"</formula>
    </cfRule>
    <cfRule type="cellIs" dxfId="7566" priority="36" stopIfTrue="1" operator="equal">
      <formula>"Napkin Hs"</formula>
    </cfRule>
    <cfRule type="cellIs" dxfId="7565" priority="39" stopIfTrue="1" operator="equal">
      <formula>"Towel"</formula>
    </cfRule>
    <cfRule type="cellIs" dxfId="7564" priority="40" stopIfTrue="1" operator="equal">
      <formula>"Napkin Hs"</formula>
    </cfRule>
    <cfRule type="cellIs" dxfId="7563" priority="45" stopIfTrue="1" operator="equal">
      <formula>"Towel"</formula>
    </cfRule>
    <cfRule type="cellIs" dxfId="7562" priority="46" stopIfTrue="1" operator="equal">
      <formula>"Napkin Hs"</formula>
    </cfRule>
    <cfRule type="cellIs" dxfId="7561" priority="51" stopIfTrue="1" operator="equal">
      <formula>"Towel"</formula>
    </cfRule>
    <cfRule type="cellIs" dxfId="7560" priority="52" stopIfTrue="1" operator="equal">
      <formula>"Napkin Hs"</formula>
    </cfRule>
    <cfRule type="cellIs" dxfId="7559" priority="57" stopIfTrue="1" operator="equal">
      <formula>"Towel"</formula>
    </cfRule>
    <cfRule type="cellIs" dxfId="7558" priority="58" stopIfTrue="1" operator="equal">
      <formula>"Napkin Hs"</formula>
    </cfRule>
    <cfRule type="cellIs" dxfId="7557" priority="63" stopIfTrue="1" operator="equal">
      <formula>"Towel"</formula>
    </cfRule>
    <cfRule type="cellIs" dxfId="7556" priority="64" stopIfTrue="1" operator="equal">
      <formula>"Napkin Hs"</formula>
    </cfRule>
    <cfRule type="cellIs" dxfId="7555" priority="69" stopIfTrue="1" operator="equal">
      <formula>"Towel"</formula>
    </cfRule>
    <cfRule type="cellIs" dxfId="7554" priority="70" stopIfTrue="1" operator="equal">
      <formula>"Napkin Hs"</formula>
    </cfRule>
    <cfRule type="cellIs" dxfId="7553" priority="75" stopIfTrue="1" operator="equal">
      <formula>"Towel"</formula>
    </cfRule>
    <cfRule type="cellIs" dxfId="7552" priority="76" stopIfTrue="1" operator="equal">
      <formula>"Napkin Hs"</formula>
    </cfRule>
    <cfRule type="cellIs" dxfId="7551" priority="80" stopIfTrue="1" operator="equal">
      <formula>"Napkin Hs"</formula>
    </cfRule>
  </conditionalFormatting>
  <conditionalFormatting sqref="B149:C149">
    <cfRule type="cellIs" dxfId="7550" priority="79" stopIfTrue="1" operator="equal">
      <formula>"Towel"</formula>
    </cfRule>
  </conditionalFormatting>
  <conditionalFormatting sqref="C149">
    <cfRule type="cellIs" dxfId="7549" priority="1" stopIfTrue="1" operator="equal">
      <formula>"Towel"</formula>
    </cfRule>
    <cfRule type="cellIs" dxfId="7548" priority="2" stopIfTrue="1" operator="equal">
      <formula>"Napkin Hs"</formula>
    </cfRule>
  </conditionalFormatting>
  <conditionalFormatting sqref="C149">
    <cfRule type="cellIs" dxfId="7547" priority="41" stopIfTrue="1" operator="equal">
      <formula>"Towel"</formula>
    </cfRule>
    <cfRule type="cellIs" dxfId="7546" priority="42" stopIfTrue="1" operator="equal">
      <formula>"Napkin Hs"</formula>
    </cfRule>
    <cfRule type="cellIs" dxfId="7545" priority="81" stopIfTrue="1" operator="equal">
      <formula>"Towel"</formula>
    </cfRule>
    <cfRule type="cellIs" dxfId="7544" priority="82" stopIfTrue="1" operator="equal">
      <formula>"Napkin Hs"</formula>
    </cfRule>
  </conditionalFormatting>
  <conditionalFormatting sqref="C149">
    <cfRule type="cellIs" dxfId="7543" priority="3" stopIfTrue="1" operator="equal">
      <formula>"Towel"</formula>
    </cfRule>
    <cfRule type="cellIs" dxfId="7542" priority="4" stopIfTrue="1" operator="equal">
      <formula>"Napkin Hs"</formula>
    </cfRule>
    <cfRule type="cellIs" dxfId="7541" priority="7" stopIfTrue="1" operator="equal">
      <formula>"Towel"</formula>
    </cfRule>
    <cfRule type="cellIs" dxfId="7540" priority="8" stopIfTrue="1" operator="equal">
      <formula>"Napkin Hs"</formula>
    </cfRule>
    <cfRule type="cellIs" dxfId="7539" priority="9" stopIfTrue="1" operator="equal">
      <formula>"Towel"</formula>
    </cfRule>
    <cfRule type="cellIs" dxfId="7538" priority="10" stopIfTrue="1" operator="equal">
      <formula>"Napkin Hs"</formula>
    </cfRule>
    <cfRule type="cellIs" dxfId="7537" priority="13" stopIfTrue="1" operator="equal">
      <formula>"Towel"</formula>
    </cfRule>
    <cfRule type="cellIs" dxfId="7536" priority="14" stopIfTrue="1" operator="equal">
      <formula>"Napkin Hs"</formula>
    </cfRule>
    <cfRule type="cellIs" dxfId="7535" priority="15" stopIfTrue="1" operator="equal">
      <formula>"Towel"</formula>
    </cfRule>
    <cfRule type="cellIs" dxfId="7534" priority="16" stopIfTrue="1" operator="equal">
      <formula>"Napkin Hs"</formula>
    </cfRule>
    <cfRule type="cellIs" dxfId="7533" priority="19" stopIfTrue="1" operator="equal">
      <formula>"Towel"</formula>
    </cfRule>
    <cfRule type="cellIs" dxfId="7532" priority="20" stopIfTrue="1" operator="equal">
      <formula>"Napkin Hs"</formula>
    </cfRule>
    <cfRule type="cellIs" dxfId="7531" priority="21" stopIfTrue="1" operator="equal">
      <formula>"Towel"</formula>
    </cfRule>
    <cfRule type="cellIs" dxfId="7530" priority="22" stopIfTrue="1" operator="equal">
      <formula>"Napkin Hs"</formula>
    </cfRule>
    <cfRule type="cellIs" dxfId="7529" priority="25" stopIfTrue="1" operator="equal">
      <formula>"Towel"</formula>
    </cfRule>
    <cfRule type="cellIs" dxfId="7528" priority="26" stopIfTrue="1" operator="equal">
      <formula>"Napkin Hs"</formula>
    </cfRule>
    <cfRule type="cellIs" dxfId="7527" priority="27" stopIfTrue="1" operator="equal">
      <formula>"Towel"</formula>
    </cfRule>
    <cfRule type="cellIs" dxfId="7526" priority="28" stopIfTrue="1" operator="equal">
      <formula>"Napkin Hs"</formula>
    </cfRule>
    <cfRule type="cellIs" dxfId="7525" priority="31" stopIfTrue="1" operator="equal">
      <formula>"Towel"</formula>
    </cfRule>
    <cfRule type="cellIs" dxfId="7524" priority="32" stopIfTrue="1" operator="equal">
      <formula>"Napkin Hs"</formula>
    </cfRule>
    <cfRule type="cellIs" dxfId="7523" priority="33" stopIfTrue="1" operator="equal">
      <formula>"Towel"</formula>
    </cfRule>
    <cfRule type="cellIs" dxfId="7522" priority="34" stopIfTrue="1" operator="equal">
      <formula>"Napkin Hs"</formula>
    </cfRule>
    <cfRule type="cellIs" dxfId="7521" priority="37" stopIfTrue="1" operator="equal">
      <formula>"Towel"</formula>
    </cfRule>
    <cfRule type="cellIs" dxfId="7520" priority="38" stopIfTrue="1" operator="equal">
      <formula>"Napkin Hs"</formula>
    </cfRule>
    <cfRule type="cellIs" dxfId="7519" priority="43" stopIfTrue="1" operator="equal">
      <formula>"Towel"</formula>
    </cfRule>
    <cfRule type="cellIs" dxfId="7518" priority="44" stopIfTrue="1" operator="equal">
      <formula>"Napkin Hs"</formula>
    </cfRule>
    <cfRule type="cellIs" dxfId="7517" priority="47" stopIfTrue="1" operator="equal">
      <formula>"Towel"</formula>
    </cfRule>
    <cfRule type="cellIs" dxfId="7516" priority="48" stopIfTrue="1" operator="equal">
      <formula>"Napkin Hs"</formula>
    </cfRule>
    <cfRule type="cellIs" dxfId="7515" priority="49" stopIfTrue="1" operator="equal">
      <formula>"Towel"</formula>
    </cfRule>
    <cfRule type="cellIs" dxfId="7514" priority="50" stopIfTrue="1" operator="equal">
      <formula>"Napkin Hs"</formula>
    </cfRule>
    <cfRule type="cellIs" dxfId="7513" priority="53" stopIfTrue="1" operator="equal">
      <formula>"Towel"</formula>
    </cfRule>
    <cfRule type="cellIs" dxfId="7512" priority="54" stopIfTrue="1" operator="equal">
      <formula>"Napkin Hs"</formula>
    </cfRule>
    <cfRule type="cellIs" dxfId="7511" priority="55" stopIfTrue="1" operator="equal">
      <formula>"Towel"</formula>
    </cfRule>
    <cfRule type="cellIs" dxfId="7510" priority="56" stopIfTrue="1" operator="equal">
      <formula>"Napkin Hs"</formula>
    </cfRule>
    <cfRule type="cellIs" dxfId="7509" priority="59" stopIfTrue="1" operator="equal">
      <formula>"Towel"</formula>
    </cfRule>
    <cfRule type="cellIs" dxfId="7508" priority="60" stopIfTrue="1" operator="equal">
      <formula>"Napkin Hs"</formula>
    </cfRule>
    <cfRule type="cellIs" dxfId="7507" priority="61" stopIfTrue="1" operator="equal">
      <formula>"Towel"</formula>
    </cfRule>
    <cfRule type="cellIs" dxfId="7506" priority="62" stopIfTrue="1" operator="equal">
      <formula>"Napkin Hs"</formula>
    </cfRule>
    <cfRule type="cellIs" dxfId="7505" priority="65" stopIfTrue="1" operator="equal">
      <formula>"Towel"</formula>
    </cfRule>
    <cfRule type="cellIs" dxfId="7504" priority="66" stopIfTrue="1" operator="equal">
      <formula>"Napkin Hs"</formula>
    </cfRule>
    <cfRule type="cellIs" dxfId="7503" priority="67" stopIfTrue="1" operator="equal">
      <formula>"Towel"</formula>
    </cfRule>
    <cfRule type="cellIs" dxfId="7502" priority="68" stopIfTrue="1" operator="equal">
      <formula>"Napkin Hs"</formula>
    </cfRule>
    <cfRule type="cellIs" dxfId="7501" priority="71" stopIfTrue="1" operator="equal">
      <formula>"Towel"</formula>
    </cfRule>
    <cfRule type="cellIs" dxfId="7500" priority="72" stopIfTrue="1" operator="equal">
      <formula>"Napkin Hs"</formula>
    </cfRule>
    <cfRule type="cellIs" dxfId="7499" priority="73" stopIfTrue="1" operator="equal">
      <formula>"Towel"</formula>
    </cfRule>
    <cfRule type="cellIs" dxfId="7498" priority="74" stopIfTrue="1" operator="equal">
      <formula>"Napkin Hs"</formula>
    </cfRule>
  </conditionalFormatting>
  <conditionalFormatting sqref="C149">
    <cfRule type="cellIs" dxfId="7497" priority="77" stopIfTrue="1" operator="equal">
      <formula>"Towel"</formula>
    </cfRule>
    <cfRule type="cellIs" dxfId="7496" priority="78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6"/>
  <sheetViews>
    <sheetView zoomScale="90" zoomScaleNormal="90" workbookViewId="0">
      <pane xSplit="6" ySplit="6" topLeftCell="Q137" activePane="bottomRight" state="frozen"/>
      <selection pane="topRight" activeCell="F1" sqref="F1"/>
      <selection pane="bottomLeft" activeCell="A7" sqref="A7"/>
      <selection pane="bottomRight" activeCell="W152" sqref="W152"/>
    </sheetView>
  </sheetViews>
  <sheetFormatPr defaultColWidth="10.28515625" defaultRowHeight="12"/>
  <cols>
    <col min="1" max="1" width="12.28515625" style="31" customWidth="1"/>
    <col min="2" max="3" width="14.140625" style="31" customWidth="1"/>
    <col min="4" max="4" width="10.28515625" style="31" customWidth="1"/>
    <col min="5" max="5" width="7.5703125" style="31" bestFit="1" customWidth="1"/>
    <col min="6" max="6" width="7" style="60" customWidth="1"/>
    <col min="7" max="9" width="10.28515625" style="31" customWidth="1"/>
    <col min="10" max="11" width="10.28515625" style="89" customWidth="1"/>
    <col min="12" max="13" width="12.7109375" style="61" customWidth="1"/>
    <col min="14" max="15" width="10.28515625" style="31" customWidth="1"/>
    <col min="16" max="16" width="16.85546875" style="31" bestFit="1" customWidth="1"/>
    <col min="17" max="17" width="12.7109375" style="349" customWidth="1"/>
    <col min="18" max="19" width="10.28515625" style="31" customWidth="1"/>
    <col min="20" max="20" width="10.7109375" style="31" customWidth="1"/>
    <col min="21" max="21" width="10.28515625" style="31" customWidth="1"/>
    <col min="22" max="22" width="12.28515625" style="31" customWidth="1"/>
    <col min="23" max="23" width="13" style="31" customWidth="1"/>
    <col min="24" max="24" width="10.28515625" style="31" customWidth="1"/>
    <col min="25" max="25" width="10.140625" style="31" customWidth="1"/>
    <col min="26" max="28" width="10.28515625" style="31" customWidth="1"/>
    <col min="29" max="29" width="12" style="31" customWidth="1"/>
    <col min="30" max="30" width="11.42578125" style="31" bestFit="1" customWidth="1"/>
    <col min="31" max="31" width="41.42578125" style="31" customWidth="1"/>
    <col min="32" max="38" width="10.28515625" style="31" customWidth="1"/>
    <col min="39" max="39" width="11.7109375" style="31" customWidth="1"/>
    <col min="40" max="41" width="10.28515625" style="31" customWidth="1"/>
    <col min="42" max="43" width="12.42578125" style="31" customWidth="1"/>
    <col min="44" max="44" width="29.7109375" style="31" bestFit="1" customWidth="1"/>
    <col min="45" max="16384" width="10.28515625" style="31"/>
  </cols>
  <sheetData>
    <row r="1" spans="1:58" s="24" customFormat="1" ht="15.75">
      <c r="A1" s="23" t="s">
        <v>422</v>
      </c>
      <c r="G1" s="25"/>
      <c r="H1" s="25"/>
      <c r="I1" s="25"/>
      <c r="J1" s="86"/>
      <c r="K1" s="86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0"/>
      <c r="G2" s="25"/>
      <c r="H2" s="25"/>
      <c r="I2" s="25"/>
      <c r="J2" s="86"/>
      <c r="K2" s="86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78" t="s">
        <v>7</v>
      </c>
      <c r="B3" s="878" t="s">
        <v>8</v>
      </c>
      <c r="C3" s="878" t="s">
        <v>201</v>
      </c>
      <c r="D3" s="878" t="s">
        <v>91</v>
      </c>
      <c r="E3" s="878" t="s">
        <v>92</v>
      </c>
      <c r="F3" s="878" t="s">
        <v>93</v>
      </c>
      <c r="G3" s="909" t="s">
        <v>94</v>
      </c>
      <c r="H3" s="910"/>
      <c r="I3" s="910"/>
      <c r="J3" s="910"/>
      <c r="K3" s="911"/>
      <c r="L3" s="915" t="s">
        <v>95</v>
      </c>
      <c r="M3" s="916"/>
      <c r="N3" s="917"/>
      <c r="O3" s="921" t="s">
        <v>96</v>
      </c>
      <c r="P3" s="895" t="s">
        <v>108</v>
      </c>
      <c r="Q3" s="921" t="s">
        <v>97</v>
      </c>
      <c r="R3" s="890" t="s">
        <v>98</v>
      </c>
      <c r="S3" s="890" t="s">
        <v>99</v>
      </c>
      <c r="T3" s="878" t="s">
        <v>158</v>
      </c>
      <c r="U3" s="878" t="s">
        <v>157</v>
      </c>
      <c r="V3" s="878" t="s">
        <v>159</v>
      </c>
      <c r="W3" s="890" t="s">
        <v>143</v>
      </c>
      <c r="X3" s="926" t="s">
        <v>101</v>
      </c>
      <c r="Y3" s="926" t="s">
        <v>328</v>
      </c>
      <c r="Z3" s="890" t="s">
        <v>102</v>
      </c>
      <c r="AA3" s="878" t="s">
        <v>160</v>
      </c>
      <c r="AB3" s="878" t="s">
        <v>171</v>
      </c>
      <c r="AC3" s="878" t="s">
        <v>169</v>
      </c>
      <c r="AD3" s="878" t="s">
        <v>126</v>
      </c>
      <c r="AE3" s="902" t="s">
        <v>127</v>
      </c>
      <c r="AF3" s="904" t="s">
        <v>128</v>
      </c>
      <c r="AG3" s="904"/>
      <c r="AH3" s="904"/>
      <c r="AI3" s="904"/>
      <c r="AJ3" s="904"/>
      <c r="AK3" s="904"/>
      <c r="AL3" s="904"/>
      <c r="AM3" s="905" t="s">
        <v>129</v>
      </c>
      <c r="AN3" s="908" t="s">
        <v>103</v>
      </c>
      <c r="AO3" s="908"/>
      <c r="AP3" s="908"/>
      <c r="AQ3" s="908"/>
      <c r="AR3" s="908"/>
      <c r="AS3" s="900" t="s">
        <v>104</v>
      </c>
      <c r="AT3" s="896" t="s">
        <v>248</v>
      </c>
      <c r="AU3" s="897"/>
      <c r="AV3" s="882" t="s">
        <v>130</v>
      </c>
      <c r="AW3" s="883"/>
      <c r="AX3" s="884" t="s">
        <v>130</v>
      </c>
      <c r="AY3" s="885"/>
      <c r="AZ3" s="886" t="s">
        <v>332</v>
      </c>
      <c r="BA3" s="889" t="s">
        <v>105</v>
      </c>
      <c r="BB3" s="881" t="s">
        <v>106</v>
      </c>
      <c r="BC3" s="881" t="s">
        <v>107</v>
      </c>
      <c r="BD3" s="872" t="s">
        <v>408</v>
      </c>
      <c r="BE3" s="875" t="s">
        <v>409</v>
      </c>
      <c r="BF3" s="878" t="s">
        <v>410</v>
      </c>
    </row>
    <row r="4" spans="1:58" ht="12" customHeight="1">
      <c r="A4" s="879"/>
      <c r="B4" s="879"/>
      <c r="C4" s="879"/>
      <c r="D4" s="879"/>
      <c r="E4" s="879"/>
      <c r="F4" s="879"/>
      <c r="G4" s="912"/>
      <c r="H4" s="913"/>
      <c r="I4" s="913"/>
      <c r="J4" s="913"/>
      <c r="K4" s="914"/>
      <c r="L4" s="918"/>
      <c r="M4" s="919"/>
      <c r="N4" s="920"/>
      <c r="O4" s="922"/>
      <c r="P4" s="923"/>
      <c r="Q4" s="922"/>
      <c r="R4" s="925"/>
      <c r="S4" s="925"/>
      <c r="T4" s="879"/>
      <c r="U4" s="879"/>
      <c r="V4" s="879"/>
      <c r="W4" s="925"/>
      <c r="X4" s="927"/>
      <c r="Y4" s="927"/>
      <c r="Z4" s="925"/>
      <c r="AA4" s="879"/>
      <c r="AB4" s="879"/>
      <c r="AC4" s="879"/>
      <c r="AD4" s="879"/>
      <c r="AE4" s="903"/>
      <c r="AF4" s="891" t="s">
        <v>131</v>
      </c>
      <c r="AG4" s="892"/>
      <c r="AH4" s="893"/>
      <c r="AI4" s="923" t="s">
        <v>202</v>
      </c>
      <c r="AJ4" s="923" t="s">
        <v>14</v>
      </c>
      <c r="AK4" s="923" t="s">
        <v>132</v>
      </c>
      <c r="AL4" s="923" t="s">
        <v>17</v>
      </c>
      <c r="AM4" s="906"/>
      <c r="AN4" s="894" t="s">
        <v>109</v>
      </c>
      <c r="AO4" s="894" t="s">
        <v>14</v>
      </c>
      <c r="AP4" s="894" t="s">
        <v>110</v>
      </c>
      <c r="AQ4" s="894" t="s">
        <v>17</v>
      </c>
      <c r="AR4" s="889" t="s">
        <v>111</v>
      </c>
      <c r="AS4" s="900"/>
      <c r="AT4" s="898"/>
      <c r="AU4" s="899"/>
      <c r="AV4" s="521" t="s">
        <v>6</v>
      </c>
      <c r="AW4" s="521" t="s">
        <v>133</v>
      </c>
      <c r="AX4" s="522" t="s">
        <v>6</v>
      </c>
      <c r="AY4" s="523" t="s">
        <v>133</v>
      </c>
      <c r="AZ4" s="887"/>
      <c r="BA4" s="889"/>
      <c r="BB4" s="879"/>
      <c r="BC4" s="879"/>
      <c r="BD4" s="873"/>
      <c r="BE4" s="876"/>
      <c r="BF4" s="879"/>
    </row>
    <row r="5" spans="1:58" s="34" customFormat="1" ht="48">
      <c r="A5" s="879"/>
      <c r="B5" s="879"/>
      <c r="C5" s="880"/>
      <c r="D5" s="879"/>
      <c r="E5" s="879"/>
      <c r="F5" s="879"/>
      <c r="G5" s="539" t="s">
        <v>112</v>
      </c>
      <c r="H5" s="536" t="s">
        <v>113</v>
      </c>
      <c r="I5" s="32" t="s">
        <v>114</v>
      </c>
      <c r="J5" s="87" t="s">
        <v>115</v>
      </c>
      <c r="K5" s="87" t="s">
        <v>100</v>
      </c>
      <c r="L5" s="33" t="s">
        <v>116</v>
      </c>
      <c r="M5" s="33" t="s">
        <v>117</v>
      </c>
      <c r="N5" s="536" t="s">
        <v>118</v>
      </c>
      <c r="O5" s="922"/>
      <c r="P5" s="924"/>
      <c r="Q5" s="922"/>
      <c r="R5" s="925"/>
      <c r="S5" s="925"/>
      <c r="T5" s="879"/>
      <c r="U5" s="879"/>
      <c r="V5" s="879"/>
      <c r="W5" s="925"/>
      <c r="X5" s="927"/>
      <c r="Y5" s="928"/>
      <c r="Z5" s="925"/>
      <c r="AA5" s="879"/>
      <c r="AB5" s="880"/>
      <c r="AC5" s="879"/>
      <c r="AD5" s="880"/>
      <c r="AE5" s="903"/>
      <c r="AF5" s="454" t="s">
        <v>203</v>
      </c>
      <c r="AG5" s="538" t="s">
        <v>204</v>
      </c>
      <c r="AH5" s="538" t="s">
        <v>205</v>
      </c>
      <c r="AI5" s="924"/>
      <c r="AJ5" s="924"/>
      <c r="AK5" s="924"/>
      <c r="AL5" s="924"/>
      <c r="AM5" s="907"/>
      <c r="AN5" s="895"/>
      <c r="AO5" s="895"/>
      <c r="AP5" s="895"/>
      <c r="AQ5" s="895"/>
      <c r="AR5" s="890"/>
      <c r="AS5" s="901"/>
      <c r="AT5" s="537" t="s">
        <v>326</v>
      </c>
      <c r="AU5" s="537" t="s">
        <v>327</v>
      </c>
      <c r="AV5" s="524" t="s">
        <v>325</v>
      </c>
      <c r="AW5" s="524" t="s">
        <v>325</v>
      </c>
      <c r="AX5" s="522" t="s">
        <v>16</v>
      </c>
      <c r="AY5" s="522" t="s">
        <v>16</v>
      </c>
      <c r="AZ5" s="888"/>
      <c r="BA5" s="890"/>
      <c r="BB5" s="880"/>
      <c r="BC5" s="880"/>
      <c r="BD5" s="874"/>
      <c r="BE5" s="877"/>
      <c r="BF5" s="880"/>
    </row>
    <row r="6" spans="1:58" ht="12.95" customHeight="1">
      <c r="A6" s="343">
        <f>+Report1!A9</f>
        <v>45962</v>
      </c>
      <c r="B6" s="43" t="s">
        <v>231</v>
      </c>
      <c r="C6" s="447">
        <f>(M6*E6*O6*Q6)/100000000</f>
        <v>59.309192736000007</v>
      </c>
      <c r="D6" s="43" t="s">
        <v>442</v>
      </c>
      <c r="E6" s="44">
        <v>12</v>
      </c>
      <c r="F6" s="44">
        <v>1</v>
      </c>
      <c r="G6" s="459">
        <v>1270</v>
      </c>
      <c r="H6" s="46">
        <v>0</v>
      </c>
      <c r="I6" s="47">
        <v>0.88</v>
      </c>
      <c r="J6" s="88">
        <f>E6*G6*(1-H6)*1440/1000000*2.77</f>
        <v>60.789311999999995</v>
      </c>
      <c r="K6" s="88">
        <f>(IF(G6&lt;L6,L6,G6)*(1-IF(H6&lt;N6,H6,N6))*E6*O6*Q6)/100000000</f>
        <v>59.517504000000002</v>
      </c>
      <c r="L6" s="37">
        <v>1290</v>
      </c>
      <c r="M6" s="37">
        <f>+L6-L6*0.0035</f>
        <v>1285.4849999999999</v>
      </c>
      <c r="N6" s="48">
        <f>1-(M6/L6)</f>
        <v>3.5000000000000586E-3</v>
      </c>
      <c r="O6" s="49">
        <f>+'Trim Rwd'!H4</f>
        <v>267</v>
      </c>
      <c r="P6" s="50">
        <f>O6*(Q6-R6-S6)</f>
        <v>371931</v>
      </c>
      <c r="Q6" s="49">
        <v>1440</v>
      </c>
      <c r="R6" s="417">
        <v>0</v>
      </c>
      <c r="S6" s="417">
        <v>47</v>
      </c>
      <c r="T6" s="39">
        <f>E6*M6*O6*Q6/100000000</f>
        <v>59.309192736000007</v>
      </c>
      <c r="U6" s="39">
        <f>E6*M6*O6*(Q6-R6-S6)/100000000</f>
        <v>57.373406584199998</v>
      </c>
      <c r="V6" s="39">
        <f>E6*G6*(1-N6)*O6/100*(R6+S6)/1000000</f>
        <v>1.9057739633999999</v>
      </c>
      <c r="W6" s="39">
        <f>+'1'!K34/1000</f>
        <v>59.673000000000002</v>
      </c>
      <c r="X6" s="414">
        <f>SUM(W6:W9)/SUM(K6:K9)</f>
        <v>1.0026126095610461</v>
      </c>
      <c r="Y6" s="220">
        <v>0</v>
      </c>
      <c r="Z6" s="39">
        <f>+'1'!D34/1000</f>
        <v>0.86199999999999999</v>
      </c>
      <c r="AA6" s="51">
        <f>SUM(U6:U9)-SUM(W6:W9)-SUM(Z6:Z9)-SUM(Y6:Y9)</f>
        <v>-3.1615934158000041</v>
      </c>
      <c r="AB6" s="51">
        <f>(SUM(K6:K9)-SUM(W6:W9)-SUM(Y6:Y9)-SUM(Z6:Z9)-SUM(AC6:AC9)-SUM(V6:V9))-AA6</f>
        <v>3.0012188400009521E-2</v>
      </c>
      <c r="AC6" s="39">
        <f>K6-T6</f>
        <v>0.20831126399999533</v>
      </c>
      <c r="AD6" s="39">
        <f>+AM6+BA6</f>
        <v>20</v>
      </c>
      <c r="AE6" s="238" t="s">
        <v>439</v>
      </c>
      <c r="AF6" s="39">
        <v>20</v>
      </c>
      <c r="AG6" s="39"/>
      <c r="AH6" s="39"/>
      <c r="AI6" s="455"/>
      <c r="AJ6" s="39"/>
      <c r="AK6" s="39"/>
      <c r="AL6" s="39"/>
      <c r="AM6" s="39">
        <f>SUM(AF6:AL6)+AT6+AV6+AX6</f>
        <v>20</v>
      </c>
      <c r="AN6" s="39"/>
      <c r="AO6" s="39"/>
      <c r="AP6" s="39"/>
      <c r="AQ6" s="39"/>
      <c r="AR6" s="39">
        <f>SUM(AN6:AQ6)</f>
        <v>0</v>
      </c>
      <c r="AS6" s="39"/>
      <c r="AT6" s="39"/>
      <c r="AU6" s="39"/>
      <c r="AV6" s="39"/>
      <c r="AW6" s="39"/>
      <c r="AX6" s="39"/>
      <c r="AY6" s="39"/>
      <c r="AZ6" s="39"/>
      <c r="BA6" s="39">
        <f>+AR6+AS6+AU6+AW6+AY6+AZ6</f>
        <v>0</v>
      </c>
      <c r="BB6" s="35">
        <v>4</v>
      </c>
      <c r="BC6" s="53"/>
      <c r="BD6" s="53"/>
      <c r="BE6" s="35"/>
      <c r="BF6" s="53"/>
    </row>
    <row r="7" spans="1:58" ht="12.95" customHeight="1">
      <c r="A7" s="343"/>
      <c r="B7" s="43"/>
      <c r="C7" s="447"/>
      <c r="D7" s="43"/>
      <c r="E7" s="44"/>
      <c r="F7" s="44"/>
      <c r="G7" s="459"/>
      <c r="H7" s="46"/>
      <c r="I7" s="47"/>
      <c r="J7" s="88"/>
      <c r="K7" s="88"/>
      <c r="L7" s="37"/>
      <c r="M7" s="37"/>
      <c r="N7" s="48"/>
      <c r="O7" s="49"/>
      <c r="P7" s="50"/>
      <c r="Q7" s="49"/>
      <c r="R7" s="417"/>
      <c r="S7" s="417"/>
      <c r="T7" s="39"/>
      <c r="U7" s="39"/>
      <c r="V7" s="39"/>
      <c r="W7" s="39"/>
      <c r="X7" s="40"/>
      <c r="Y7" s="220"/>
      <c r="Z7" s="39"/>
      <c r="AA7" s="39"/>
      <c r="AB7" s="39"/>
      <c r="AC7" s="39"/>
      <c r="AD7" s="39">
        <f>+AM7+BA7</f>
        <v>3</v>
      </c>
      <c r="AE7" s="238" t="s">
        <v>433</v>
      </c>
      <c r="AF7" s="39"/>
      <c r="AG7" s="39">
        <v>3</v>
      </c>
      <c r="AH7" s="39"/>
      <c r="AI7" s="455"/>
      <c r="AJ7" s="39"/>
      <c r="AK7" s="39"/>
      <c r="AL7" s="39"/>
      <c r="AM7" s="39">
        <f>SUM(AF7:AL7)+AT7+AV7+AX7</f>
        <v>3</v>
      </c>
      <c r="AN7" s="89"/>
      <c r="AO7" s="39"/>
      <c r="AP7" s="39"/>
      <c r="AQ7" s="39"/>
      <c r="AR7" s="39">
        <f>SUM(AN7:AQ7)</f>
        <v>0</v>
      </c>
      <c r="AS7" s="39"/>
      <c r="AT7" s="39"/>
      <c r="AU7" s="39"/>
      <c r="AV7" s="39"/>
      <c r="AW7" s="39"/>
      <c r="AX7" s="39"/>
      <c r="AY7" s="39"/>
      <c r="AZ7" s="39"/>
      <c r="BA7" s="39">
        <f>+AR7+AS7+AU7+AW7+AY7+AZ7</f>
        <v>0</v>
      </c>
      <c r="BB7" s="52"/>
      <c r="BC7" s="53">
        <v>2</v>
      </c>
      <c r="BD7" s="53"/>
      <c r="BE7" s="52"/>
      <c r="BF7" s="53"/>
    </row>
    <row r="8" spans="1:58" ht="12.95" customHeight="1">
      <c r="A8" s="42"/>
      <c r="B8" s="43"/>
      <c r="C8" s="447"/>
      <c r="D8" s="43"/>
      <c r="E8" s="44"/>
      <c r="F8" s="44"/>
      <c r="G8" s="45"/>
      <c r="H8" s="46"/>
      <c r="I8" s="47"/>
      <c r="J8" s="88"/>
      <c r="K8" s="88"/>
      <c r="L8" s="37"/>
      <c r="M8" s="37"/>
      <c r="N8" s="48"/>
      <c r="O8" s="49"/>
      <c r="P8" s="50"/>
      <c r="Q8" s="49"/>
      <c r="R8" s="417"/>
      <c r="S8" s="417"/>
      <c r="T8" s="39"/>
      <c r="U8" s="39"/>
      <c r="V8" s="39"/>
      <c r="W8" s="39"/>
      <c r="X8" s="40"/>
      <c r="Y8" s="220"/>
      <c r="Z8" s="39"/>
      <c r="AA8" s="39"/>
      <c r="AB8" s="39"/>
      <c r="AC8" s="39"/>
      <c r="AD8" s="39">
        <f>+AM8+BA8</f>
        <v>24</v>
      </c>
      <c r="AE8" s="238" t="s">
        <v>444</v>
      </c>
      <c r="AF8" s="35"/>
      <c r="AG8" s="35"/>
      <c r="AH8" s="35">
        <v>24</v>
      </c>
      <c r="AJ8" s="39"/>
      <c r="AK8" s="39"/>
      <c r="AL8" s="39"/>
      <c r="AM8" s="39">
        <f>SUM(AF8:AL8)+AT8+AV8+AX8</f>
        <v>24</v>
      </c>
      <c r="AN8" s="39"/>
      <c r="AO8" s="39"/>
      <c r="AP8" s="39"/>
      <c r="AQ8" s="39"/>
      <c r="AR8" s="39">
        <f>SUM(AN8:AQ8)</f>
        <v>0</v>
      </c>
      <c r="AS8" s="39"/>
      <c r="AT8" s="39"/>
      <c r="AU8" s="39"/>
      <c r="AV8" s="39"/>
      <c r="AW8" s="39"/>
      <c r="AX8" s="39"/>
      <c r="AY8" s="39"/>
      <c r="AZ8" s="39"/>
      <c r="BA8" s="39">
        <f>+AR8+AS8+AU8+AW8+AY8+AZ8</f>
        <v>0</v>
      </c>
      <c r="BB8" s="35"/>
      <c r="BC8" s="55"/>
      <c r="BD8" s="55"/>
      <c r="BE8" s="35"/>
      <c r="BF8" s="55"/>
    </row>
    <row r="9" spans="1:58" ht="12.95" customHeight="1">
      <c r="A9" s="343"/>
      <c r="B9" s="43"/>
      <c r="C9" s="447"/>
      <c r="D9" s="43"/>
      <c r="E9" s="44"/>
      <c r="F9" s="44"/>
      <c r="G9" s="459"/>
      <c r="H9" s="46"/>
      <c r="I9" s="47"/>
      <c r="J9" s="88"/>
      <c r="K9" s="88"/>
      <c r="L9" s="37"/>
      <c r="M9" s="37"/>
      <c r="N9" s="48"/>
      <c r="O9" s="49"/>
      <c r="P9" s="50"/>
      <c r="Q9" s="49"/>
      <c r="R9" s="417"/>
      <c r="S9" s="417"/>
      <c r="T9" s="39"/>
      <c r="U9" s="39"/>
      <c r="V9" s="39"/>
      <c r="W9" s="39"/>
      <c r="X9" s="414"/>
      <c r="Y9" s="220"/>
      <c r="Z9" s="39"/>
      <c r="AA9" s="51"/>
      <c r="AB9" s="51"/>
      <c r="AC9" s="39"/>
      <c r="AD9" s="39"/>
      <c r="AE9" s="238"/>
      <c r="AF9" s="39"/>
      <c r="AG9" s="39"/>
      <c r="AH9" s="39"/>
      <c r="AI9" s="455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5"/>
      <c r="BC9" s="53"/>
      <c r="BD9" s="53"/>
      <c r="BE9" s="53"/>
      <c r="BF9" s="53"/>
    </row>
    <row r="10" spans="1:58" ht="12.95" customHeight="1">
      <c r="A10" s="343">
        <v>45963</v>
      </c>
      <c r="B10" s="43" t="s">
        <v>231</v>
      </c>
      <c r="C10" s="447">
        <f>(M10*E10*O10*Q10)/100000000</f>
        <v>42.588229831304339</v>
      </c>
      <c r="D10" s="43" t="s">
        <v>442</v>
      </c>
      <c r="E10" s="44">
        <v>14</v>
      </c>
      <c r="F10" s="44">
        <v>1</v>
      </c>
      <c r="G10" s="459">
        <v>1270</v>
      </c>
      <c r="H10" s="46">
        <v>0</v>
      </c>
      <c r="I10" s="47">
        <v>0.88</v>
      </c>
      <c r="J10" s="88">
        <f>E10*G10*(1-H10)*1440/1000000*2.77</f>
        <v>70.920864000000009</v>
      </c>
      <c r="K10" s="88">
        <f>(IF(G10&lt;L10,L10,G10)*(1-IF(H10&lt;N10,H10,N10))*E10*O10*Q10)/100000000</f>
        <v>42.737812173913042</v>
      </c>
      <c r="L10" s="37">
        <v>1290</v>
      </c>
      <c r="M10" s="37">
        <v>1285.4849999999999</v>
      </c>
      <c r="N10" s="48">
        <f>1-(M10/L10)</f>
        <v>3.5000000000000586E-3</v>
      </c>
      <c r="O10" s="49">
        <f>+'Trim Rwd'!H6</f>
        <v>268.91304347826087</v>
      </c>
      <c r="P10" s="50">
        <f>O10*(Q10-R10-S10)</f>
        <v>229382.82608695651</v>
      </c>
      <c r="Q10" s="49">
        <v>880</v>
      </c>
      <c r="R10" s="417">
        <v>0</v>
      </c>
      <c r="S10" s="417">
        <v>27</v>
      </c>
      <c r="T10" s="39">
        <f>E10*M10*O10*Q10/100000000</f>
        <v>42.588229831304339</v>
      </c>
      <c r="U10" s="39">
        <f>E10*M10*O10*(Q10-R10-S10)/100000000</f>
        <v>41.281545506934776</v>
      </c>
      <c r="V10" s="39">
        <f>E10*G10*(1-N10)*O10/100*(R10+S10)/1000000</f>
        <v>1.2864256526739131</v>
      </c>
      <c r="W10" s="39">
        <f>+'2'!K7/1000</f>
        <v>51.575000000000003</v>
      </c>
      <c r="X10" s="414">
        <f>SUM(W10:W13)/SUM(K10:K13)</f>
        <v>0.85910238670422456</v>
      </c>
      <c r="Y10" s="220">
        <v>0</v>
      </c>
      <c r="Z10" s="39">
        <f>+'2'!D34/1000</f>
        <v>0.96699999999999997</v>
      </c>
      <c r="AA10" s="51">
        <f>SUM(U10:U13)-SUM(W10:W13)-SUM(Z10:Z13)-SUM(Y10:Y13)</f>
        <v>5.6216186319347718</v>
      </c>
      <c r="AB10" s="51">
        <f>(SUM(K10:K13)-SUM(W10:W13)-SUM(Y10:Y13)-SUM(Z10:Z13)-SUM(AC10:AC13)-SUM(V10:V13))-AA10</f>
        <v>4.6736310706512185E-3</v>
      </c>
      <c r="AC10" s="39">
        <f>K10-T10</f>
        <v>0.14958234260870285</v>
      </c>
      <c r="AD10" s="39">
        <f>+AM10+BA10</f>
        <v>25</v>
      </c>
      <c r="AE10" s="238" t="s">
        <v>443</v>
      </c>
      <c r="AF10" s="39">
        <v>25</v>
      </c>
      <c r="AG10" s="39"/>
      <c r="AH10" s="39"/>
      <c r="AI10" s="455"/>
      <c r="AJ10" s="39"/>
      <c r="AK10" s="39"/>
      <c r="AL10" s="39"/>
      <c r="AM10" s="39">
        <f>SUM(AF10:AL10)+AT10+AV10+AX10</f>
        <v>25</v>
      </c>
      <c r="AN10" s="39"/>
      <c r="AO10" s="39"/>
      <c r="AP10" s="39"/>
      <c r="AQ10" s="39"/>
      <c r="AR10" s="39">
        <f>SUM(AN10:AQ10)</f>
        <v>0</v>
      </c>
      <c r="AS10" s="39"/>
      <c r="AT10" s="39"/>
      <c r="AU10" s="39"/>
      <c r="AV10" s="39"/>
      <c r="AW10" s="39"/>
      <c r="AX10" s="39"/>
      <c r="AY10" s="39"/>
      <c r="AZ10" s="39"/>
      <c r="BA10" s="39">
        <f>+AR10+AS10+AU10+AW10+AY10+AZ10</f>
        <v>0</v>
      </c>
      <c r="BB10" s="35">
        <v>5</v>
      </c>
      <c r="BC10" s="53"/>
      <c r="BD10" s="53"/>
      <c r="BE10" s="35"/>
      <c r="BF10" s="53"/>
    </row>
    <row r="11" spans="1:58" ht="12.95" customHeight="1">
      <c r="A11" s="343"/>
      <c r="B11" s="43" t="s">
        <v>231</v>
      </c>
      <c r="C11" s="447">
        <f>(M11*E11*O11*Q11)/100000000</f>
        <v>29.923278</v>
      </c>
      <c r="D11" s="43" t="s">
        <v>442</v>
      </c>
      <c r="E11" s="44">
        <v>16.5</v>
      </c>
      <c r="F11" s="44">
        <v>1</v>
      </c>
      <c r="G11" s="459">
        <v>1210</v>
      </c>
      <c r="H11" s="46">
        <v>0</v>
      </c>
      <c r="I11" s="47">
        <v>0.88</v>
      </c>
      <c r="J11" s="88">
        <f>E11*G11*(1-H11)*1440/1000000*2.77</f>
        <v>79.636392000000001</v>
      </c>
      <c r="K11" s="88">
        <f>(IF(G11&lt;L11,L11,G11)*(1-IF(H11&lt;N11,H11,N11))*E11*O11*Q11)/100000000</f>
        <v>30.298884000000001</v>
      </c>
      <c r="L11" s="37">
        <v>1200</v>
      </c>
      <c r="M11" s="37">
        <v>1195</v>
      </c>
      <c r="N11" s="48">
        <f>1-(M11/L11)</f>
        <v>4.1666666666666519E-3</v>
      </c>
      <c r="O11" s="49">
        <f>+'Trim Rwd'!H8</f>
        <v>271</v>
      </c>
      <c r="P11" s="50">
        <f>O11*(Q11-R11-S11)</f>
        <v>142275</v>
      </c>
      <c r="Q11" s="49">
        <v>560</v>
      </c>
      <c r="R11" s="417">
        <v>0</v>
      </c>
      <c r="S11" s="417">
        <v>35</v>
      </c>
      <c r="T11" s="39">
        <f>E11*M11*O11*Q11/100000000</f>
        <v>29.923278</v>
      </c>
      <c r="U11" s="39">
        <f>E11*M11*O11*(Q11-R11-S11)/100000000</f>
        <v>28.053073125000001</v>
      </c>
      <c r="V11" s="39">
        <f>E11*G11*(1-N11)*O11/100*(R11+S11)/1000000</f>
        <v>1.8857899156250002</v>
      </c>
      <c r="W11" s="39">
        <f>+'2'!K8/1000</f>
        <v>11.170999999999999</v>
      </c>
      <c r="X11" s="40"/>
      <c r="Y11" s="220"/>
      <c r="Z11" s="39"/>
      <c r="AA11" s="39"/>
      <c r="AB11" s="39"/>
      <c r="AC11" s="39">
        <f>K11-T11</f>
        <v>0.37560600000000122</v>
      </c>
      <c r="AD11" s="39">
        <f>+AM11+BA11</f>
        <v>2</v>
      </c>
      <c r="AE11" s="238" t="s">
        <v>433</v>
      </c>
      <c r="AF11" s="39"/>
      <c r="AG11" s="39">
        <v>2</v>
      </c>
      <c r="AH11" s="39"/>
      <c r="AI11" s="455"/>
      <c r="AJ11" s="39"/>
      <c r="AK11" s="39"/>
      <c r="AL11" s="39"/>
      <c r="AM11" s="39">
        <f>SUM(AF11:AL11)+AT11+AV11+AX11</f>
        <v>2</v>
      </c>
      <c r="AN11" s="89"/>
      <c r="AO11" s="39"/>
      <c r="AP11" s="39"/>
      <c r="AQ11" s="39"/>
      <c r="AR11" s="39">
        <f>SUM(AN11:AQ11)</f>
        <v>0</v>
      </c>
      <c r="AS11" s="39"/>
      <c r="AT11" s="39"/>
      <c r="AU11" s="39"/>
      <c r="AV11" s="39"/>
      <c r="AW11" s="39"/>
      <c r="AX11" s="39"/>
      <c r="AY11" s="39"/>
      <c r="AZ11" s="39"/>
      <c r="BA11" s="39">
        <f>+AR11+AS11+AU11+AW11+AY11+AZ11</f>
        <v>0</v>
      </c>
      <c r="BB11" s="52"/>
      <c r="BC11" s="53">
        <v>2</v>
      </c>
      <c r="BD11" s="53"/>
      <c r="BE11" s="52"/>
      <c r="BF11" s="53"/>
    </row>
    <row r="12" spans="1:58" ht="12.95" customHeight="1">
      <c r="A12" s="42"/>
      <c r="B12" s="43"/>
      <c r="C12" s="447"/>
      <c r="D12" s="43"/>
      <c r="E12" s="44"/>
      <c r="F12" s="44"/>
      <c r="G12" s="45"/>
      <c r="H12" s="46"/>
      <c r="I12" s="47"/>
      <c r="J12" s="88"/>
      <c r="K12" s="88"/>
      <c r="L12" s="37"/>
      <c r="M12" s="37"/>
      <c r="N12" s="48"/>
      <c r="O12" s="49"/>
      <c r="P12" s="50"/>
      <c r="Q12" s="49"/>
      <c r="R12" s="417"/>
      <c r="S12" s="417"/>
      <c r="T12" s="39"/>
      <c r="U12" s="39"/>
      <c r="V12" s="39"/>
      <c r="W12" s="39"/>
      <c r="X12" s="40"/>
      <c r="Y12" s="220"/>
      <c r="Z12" s="39"/>
      <c r="AA12" s="39"/>
      <c r="AB12" s="39"/>
      <c r="AC12" s="39"/>
      <c r="AD12" s="39">
        <f>+AM12+BA12</f>
        <v>25</v>
      </c>
      <c r="AE12" s="238" t="s">
        <v>444</v>
      </c>
      <c r="AF12" s="35"/>
      <c r="AG12" s="35"/>
      <c r="AH12" s="35">
        <v>25</v>
      </c>
      <c r="AJ12" s="39"/>
      <c r="AK12" s="39"/>
      <c r="AL12" s="39"/>
      <c r="AM12" s="39">
        <f>SUM(AF12:AL12)+AT12+AV12+AX12</f>
        <v>25</v>
      </c>
      <c r="AN12" s="39"/>
      <c r="AO12" s="39"/>
      <c r="AP12" s="39"/>
      <c r="AQ12" s="39"/>
      <c r="AR12" s="39">
        <f>SUM(AN12:AQ12)</f>
        <v>0</v>
      </c>
      <c r="AS12" s="39"/>
      <c r="AT12" s="39"/>
      <c r="AU12" s="39"/>
      <c r="AV12" s="39"/>
      <c r="AW12" s="39"/>
      <c r="AX12" s="39"/>
      <c r="AY12" s="39"/>
      <c r="AZ12" s="39"/>
      <c r="BA12" s="39">
        <f>+AR12+AS12+AU12+AW12+AY12+AZ12</f>
        <v>0</v>
      </c>
      <c r="BB12" s="35"/>
      <c r="BC12" s="55"/>
      <c r="BD12" s="55"/>
      <c r="BE12" s="35"/>
      <c r="BF12" s="55"/>
    </row>
    <row r="13" spans="1:58" ht="12.95" customHeight="1">
      <c r="A13" s="42"/>
      <c r="B13" s="43"/>
      <c r="C13" s="447"/>
      <c r="D13" s="43"/>
      <c r="E13" s="44"/>
      <c r="F13" s="44"/>
      <c r="G13" s="45"/>
      <c r="H13" s="46"/>
      <c r="I13" s="47"/>
      <c r="J13" s="88"/>
      <c r="K13" s="88"/>
      <c r="L13" s="37"/>
      <c r="M13" s="37"/>
      <c r="N13" s="48"/>
      <c r="O13" s="49"/>
      <c r="P13" s="50"/>
      <c r="Q13" s="36"/>
      <c r="R13" s="417"/>
      <c r="S13" s="417"/>
      <c r="T13" s="39"/>
      <c r="U13" s="39"/>
      <c r="V13" s="39"/>
      <c r="W13" s="39"/>
      <c r="X13" s="40"/>
      <c r="Y13" s="220"/>
      <c r="Z13" s="39"/>
      <c r="AA13" s="39"/>
      <c r="AB13" s="39"/>
      <c r="AC13" s="39"/>
      <c r="AD13" s="39">
        <f>+AM13+BA13</f>
        <v>10</v>
      </c>
      <c r="AE13" s="241" t="s">
        <v>415</v>
      </c>
      <c r="AF13" s="39"/>
      <c r="AG13" s="39"/>
      <c r="AH13" s="39"/>
      <c r="AI13" s="455">
        <v>10</v>
      </c>
      <c r="AJ13" s="39"/>
      <c r="AK13" s="39"/>
      <c r="AL13" s="39"/>
      <c r="AM13" s="39">
        <f>SUM(AF13:AL13)+AT13+AV13+AX13</f>
        <v>10</v>
      </c>
      <c r="AN13" s="39"/>
      <c r="AO13" s="39"/>
      <c r="AP13" s="39"/>
      <c r="AQ13" s="39"/>
      <c r="AR13" s="39">
        <f>SUM(AN13:AQ13)</f>
        <v>0</v>
      </c>
      <c r="AS13" s="39"/>
      <c r="AT13" s="39"/>
      <c r="AU13" s="39"/>
      <c r="AV13" s="39"/>
      <c r="AW13" s="39"/>
      <c r="AX13" s="39"/>
      <c r="AY13" s="39"/>
      <c r="AZ13" s="39"/>
      <c r="BA13" s="39">
        <f>+AR13+AS13+AU13+AW13+AY13+AZ13</f>
        <v>0</v>
      </c>
      <c r="BB13" s="35"/>
      <c r="BC13" s="55"/>
      <c r="BD13" s="55"/>
      <c r="BE13" s="35"/>
      <c r="BF13" s="55"/>
    </row>
    <row r="14" spans="1:58" ht="12.95" customHeight="1">
      <c r="A14" s="343"/>
      <c r="B14" s="43"/>
      <c r="C14" s="447"/>
      <c r="D14" s="43"/>
      <c r="E14" s="44"/>
      <c r="F14" s="44"/>
      <c r="G14" s="459"/>
      <c r="H14" s="46"/>
      <c r="I14" s="47"/>
      <c r="J14" s="88"/>
      <c r="K14" s="88"/>
      <c r="L14" s="37"/>
      <c r="M14" s="37"/>
      <c r="N14" s="48"/>
      <c r="O14" s="49"/>
      <c r="P14" s="50"/>
      <c r="Q14" s="49"/>
      <c r="R14" s="417"/>
      <c r="S14" s="417"/>
      <c r="T14" s="39"/>
      <c r="U14" s="39"/>
      <c r="V14" s="39"/>
      <c r="W14" s="39"/>
      <c r="X14" s="40"/>
      <c r="Y14" s="220"/>
      <c r="Z14" s="39"/>
      <c r="AA14" s="39"/>
      <c r="AB14" s="39"/>
      <c r="AC14" s="39"/>
      <c r="AD14" s="39"/>
      <c r="AE14" s="241"/>
      <c r="AF14" s="39"/>
      <c r="AG14" s="39"/>
      <c r="AH14" s="39"/>
      <c r="AI14" s="455"/>
      <c r="AJ14" s="39"/>
      <c r="AK14" s="39"/>
      <c r="AL14" s="39"/>
      <c r="AM14" s="39"/>
      <c r="AN14" s="8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52"/>
      <c r="BC14" s="53"/>
      <c r="BD14" s="53"/>
      <c r="BE14" s="53"/>
      <c r="BF14" s="53"/>
    </row>
    <row r="15" spans="1:58" ht="12.95" customHeight="1">
      <c r="A15" s="343">
        <v>45964</v>
      </c>
      <c r="B15" s="43" t="s">
        <v>231</v>
      </c>
      <c r="C15" s="447">
        <f>(M15*E15*O15*Q15)/100000000</f>
        <v>73.345842871910719</v>
      </c>
      <c r="D15" s="43" t="s">
        <v>442</v>
      </c>
      <c r="E15" s="44">
        <v>16.5</v>
      </c>
      <c r="F15" s="44">
        <v>1</v>
      </c>
      <c r="G15" s="459">
        <v>1210</v>
      </c>
      <c r="H15" s="46">
        <v>0</v>
      </c>
      <c r="I15" s="47">
        <v>0.88</v>
      </c>
      <c r="J15" s="88">
        <f>E15*G15*(1-H15)*1440/1000000*2.77</f>
        <v>79.636392000000001</v>
      </c>
      <c r="K15" s="88">
        <f>(IF(G15&lt;L15,L15,G15)*(1-IF(H15&lt;N15,H15,N15))*E15*O15*Q15)/100000000</f>
        <v>75.322240714285712</v>
      </c>
      <c r="L15" s="37">
        <v>1182.3888888888889</v>
      </c>
      <c r="M15" s="37">
        <v>1178.250527777778</v>
      </c>
      <c r="N15" s="48">
        <f>1-(M15/L15)</f>
        <v>3.4999999999998366E-3</v>
      </c>
      <c r="O15" s="49">
        <f>+'Trim Rwd'!H11</f>
        <v>261.99404761904759</v>
      </c>
      <c r="P15" s="50">
        <f>O15*(Q15-R15-S15)</f>
        <v>358669.85119047615</v>
      </c>
      <c r="Q15" s="49">
        <v>1440</v>
      </c>
      <c r="R15" s="417">
        <v>0</v>
      </c>
      <c r="S15" s="417">
        <v>71</v>
      </c>
      <c r="T15" s="39">
        <f>E15*M15*O15*Q15/100000000</f>
        <v>73.345842871910719</v>
      </c>
      <c r="U15" s="39">
        <f>E15*M15*O15*(Q15-R15-S15)/100000000</f>
        <v>69.72948534142067</v>
      </c>
      <c r="V15" s="39">
        <f>E15*G15*(1-N15)*O15/100*(R15+S15)/1000000</f>
        <v>3.7008066068727681</v>
      </c>
      <c r="W15" s="39">
        <f>+'3'!K8/1000</f>
        <v>63.192999999999998</v>
      </c>
      <c r="X15" s="414">
        <f>SUM(W15:W18)/SUM(K15:K18)</f>
        <v>0.87121677976786538</v>
      </c>
      <c r="Y15" s="220">
        <v>0</v>
      </c>
      <c r="Z15" s="39">
        <f>+'3'!D34/1000</f>
        <v>0.84799999999999998</v>
      </c>
      <c r="AA15" s="51">
        <f>SUM(U15:U18)-SUM(W15:W18)-SUM(Z15:Z18)-SUM(Y15:Y18)</f>
        <v>3.2594853414206701</v>
      </c>
      <c r="AB15" s="51">
        <f>(SUM(K15:K18)-SUM(W15:W18)-SUM(Y15:Y18)-SUM(Z15:Z18)-SUM(AC15:AC18)-SUM(V15:V18))-AA15</f>
        <v>-8.4449076382719923E-2</v>
      </c>
      <c r="AC15" s="39">
        <f>K15-T15</f>
        <v>1.9763978423749933</v>
      </c>
      <c r="AD15" s="39">
        <f>+AM15+BA15</f>
        <v>30</v>
      </c>
      <c r="AE15" s="238" t="s">
        <v>464</v>
      </c>
      <c r="AF15" s="39">
        <v>30</v>
      </c>
      <c r="AG15" s="39"/>
      <c r="AH15" s="39"/>
      <c r="AI15" s="455"/>
      <c r="AJ15" s="39"/>
      <c r="AK15" s="39"/>
      <c r="AL15" s="39"/>
      <c r="AM15" s="39">
        <f>SUM(AF15:AL15)+AT15+AV15+AX15</f>
        <v>30</v>
      </c>
      <c r="AN15" s="39"/>
      <c r="AO15" s="39"/>
      <c r="AP15" s="39"/>
      <c r="AQ15" s="39"/>
      <c r="AR15" s="39">
        <f>SUM(AN15:AQ15)</f>
        <v>0</v>
      </c>
      <c r="AS15" s="39"/>
      <c r="AT15" s="39"/>
      <c r="AU15" s="39"/>
      <c r="AV15" s="39"/>
      <c r="AW15" s="39"/>
      <c r="AX15" s="39"/>
      <c r="AY15" s="39"/>
      <c r="AZ15" s="39"/>
      <c r="BA15" s="39">
        <f>+AR15+AS15+AU15+AW15+AY15+AZ15</f>
        <v>0</v>
      </c>
      <c r="BB15" s="35">
        <v>6</v>
      </c>
      <c r="BC15" s="53"/>
      <c r="BD15" s="53"/>
      <c r="BE15" s="35"/>
      <c r="BF15" s="53"/>
    </row>
    <row r="16" spans="1:58" ht="12.95" customHeight="1">
      <c r="A16" s="343"/>
      <c r="B16" s="43" t="s">
        <v>231</v>
      </c>
      <c r="C16" s="447"/>
      <c r="D16" s="43"/>
      <c r="E16" s="44">
        <v>14</v>
      </c>
      <c r="F16" s="44"/>
      <c r="G16" s="459"/>
      <c r="H16" s="46"/>
      <c r="I16" s="47"/>
      <c r="J16" s="88"/>
      <c r="K16" s="88"/>
      <c r="L16" s="37"/>
      <c r="M16" s="37"/>
      <c r="N16" s="48"/>
      <c r="O16" s="49"/>
      <c r="P16" s="50"/>
      <c r="Q16" s="49"/>
      <c r="R16" s="417"/>
      <c r="S16" s="417"/>
      <c r="T16" s="39"/>
      <c r="U16" s="39"/>
      <c r="V16" s="39"/>
      <c r="W16" s="39">
        <f>+'3'!K7/1000</f>
        <v>2.4289999999999998</v>
      </c>
      <c r="X16" s="40"/>
      <c r="Y16" s="220"/>
      <c r="Z16" s="39"/>
      <c r="AA16" s="39"/>
      <c r="AB16" s="39"/>
      <c r="AC16" s="39"/>
      <c r="AD16" s="39">
        <f>+AM16+BA16</f>
        <v>0</v>
      </c>
      <c r="AE16" s="238" t="s">
        <v>427</v>
      </c>
      <c r="AF16" s="39"/>
      <c r="AG16" s="39">
        <v>0</v>
      </c>
      <c r="AH16" s="39"/>
      <c r="AI16" s="455"/>
      <c r="AJ16" s="39"/>
      <c r="AK16" s="39"/>
      <c r="AL16" s="39"/>
      <c r="AM16" s="39">
        <f>SUM(AF16:AL16)+AT16+AV16+AX16</f>
        <v>0</v>
      </c>
      <c r="AN16" s="89"/>
      <c r="AO16" s="39"/>
      <c r="AP16" s="39"/>
      <c r="AQ16" s="39"/>
      <c r="AR16" s="39">
        <f>SUM(AN16:AQ16)</f>
        <v>0</v>
      </c>
      <c r="AS16" s="39"/>
      <c r="AT16" s="39"/>
      <c r="AU16" s="39"/>
      <c r="AV16" s="39"/>
      <c r="AW16" s="39"/>
      <c r="AX16" s="39"/>
      <c r="AY16" s="39"/>
      <c r="AZ16" s="39"/>
      <c r="BA16" s="39">
        <f>+AR16+AS16+AU16+AW16+AY16+AZ16</f>
        <v>0</v>
      </c>
      <c r="BB16" s="52"/>
      <c r="BC16" s="53">
        <v>0</v>
      </c>
      <c r="BD16" s="53"/>
      <c r="BE16" s="52"/>
      <c r="BF16" s="53"/>
    </row>
    <row r="17" spans="1:58" ht="12.95" customHeight="1">
      <c r="A17" s="42"/>
      <c r="B17" s="43"/>
      <c r="C17" s="447"/>
      <c r="D17" s="43"/>
      <c r="E17" s="44"/>
      <c r="F17" s="44"/>
      <c r="G17" s="45"/>
      <c r="H17" s="46"/>
      <c r="I17" s="47"/>
      <c r="J17" s="88"/>
      <c r="K17" s="88"/>
      <c r="L17" s="37"/>
      <c r="M17" s="37"/>
      <c r="N17" s="48"/>
      <c r="O17" s="49"/>
      <c r="P17" s="50"/>
      <c r="Q17" s="49"/>
      <c r="R17" s="417"/>
      <c r="S17" s="417"/>
      <c r="T17" s="39"/>
      <c r="U17" s="39"/>
      <c r="V17" s="39"/>
      <c r="W17" s="39"/>
      <c r="X17" s="40"/>
      <c r="Y17" s="220"/>
      <c r="Z17" s="39"/>
      <c r="AA17" s="39"/>
      <c r="AB17" s="39"/>
      <c r="AC17" s="39"/>
      <c r="AD17" s="39">
        <f>+AM17+BA17</f>
        <v>31</v>
      </c>
      <c r="AE17" s="238" t="s">
        <v>466</v>
      </c>
      <c r="AF17" s="35"/>
      <c r="AG17" s="35"/>
      <c r="AH17" s="35">
        <v>31</v>
      </c>
      <c r="AJ17" s="39"/>
      <c r="AK17" s="39"/>
      <c r="AL17" s="39"/>
      <c r="AM17" s="39">
        <f>SUM(AF17:AL17)+AT17+AV17+AX17</f>
        <v>31</v>
      </c>
      <c r="AN17" s="39"/>
      <c r="AO17" s="39"/>
      <c r="AP17" s="39"/>
      <c r="AQ17" s="39"/>
      <c r="AR17" s="39">
        <f>SUM(AN17:AQ17)</f>
        <v>0</v>
      </c>
      <c r="AS17" s="39"/>
      <c r="AT17" s="39"/>
      <c r="AU17" s="39"/>
      <c r="AV17" s="39"/>
      <c r="AW17" s="39"/>
      <c r="AX17" s="39"/>
      <c r="AY17" s="39"/>
      <c r="AZ17" s="39"/>
      <c r="BA17" s="39">
        <f>+AR17+AS17+AU17+AW17+AY17+AZ17</f>
        <v>0</v>
      </c>
      <c r="BB17" s="35"/>
      <c r="BC17" s="55"/>
      <c r="BD17" s="55"/>
      <c r="BE17" s="35"/>
      <c r="BF17" s="55"/>
    </row>
    <row r="18" spans="1:58" ht="12.95" customHeight="1">
      <c r="A18" s="42"/>
      <c r="B18" s="43"/>
      <c r="C18" s="447"/>
      <c r="D18" s="43"/>
      <c r="E18" s="44"/>
      <c r="F18" s="44"/>
      <c r="G18" s="45"/>
      <c r="H18" s="46"/>
      <c r="I18" s="47"/>
      <c r="J18" s="88"/>
      <c r="K18" s="88"/>
      <c r="L18" s="37"/>
      <c r="M18" s="37"/>
      <c r="N18" s="48"/>
      <c r="O18" s="49"/>
      <c r="P18" s="50"/>
      <c r="Q18" s="36"/>
      <c r="R18" s="417"/>
      <c r="S18" s="417"/>
      <c r="T18" s="39"/>
      <c r="U18" s="39"/>
      <c r="V18" s="39"/>
      <c r="W18" s="39"/>
      <c r="X18" s="40"/>
      <c r="Y18" s="220"/>
      <c r="Z18" s="39"/>
      <c r="AA18" s="39"/>
      <c r="AB18" s="39"/>
      <c r="AC18" s="39"/>
      <c r="AD18" s="39">
        <f>+AM18+BA18</f>
        <v>10</v>
      </c>
      <c r="AE18" s="241" t="s">
        <v>415</v>
      </c>
      <c r="AF18" s="39"/>
      <c r="AG18" s="39"/>
      <c r="AH18" s="39"/>
      <c r="AI18" s="455">
        <v>10</v>
      </c>
      <c r="AJ18" s="39"/>
      <c r="AK18" s="39"/>
      <c r="AL18" s="39"/>
      <c r="AM18" s="39">
        <f>SUM(AF18:AL18)+AT18+AV18+AX18</f>
        <v>10</v>
      </c>
      <c r="AN18" s="39"/>
      <c r="AO18" s="39"/>
      <c r="AP18" s="39"/>
      <c r="AQ18" s="39"/>
      <c r="AR18" s="39">
        <f>SUM(AN18:AQ18)</f>
        <v>0</v>
      </c>
      <c r="AS18" s="39"/>
      <c r="AT18" s="39"/>
      <c r="AU18" s="39"/>
      <c r="AV18" s="39"/>
      <c r="AW18" s="39"/>
      <c r="AX18" s="39"/>
      <c r="AY18" s="39"/>
      <c r="AZ18" s="39"/>
      <c r="BA18" s="39">
        <f>+AR18+AS18+AU18+AW18+AY18+AZ18</f>
        <v>0</v>
      </c>
      <c r="BB18" s="35"/>
      <c r="BC18" s="55"/>
      <c r="BD18" s="55"/>
      <c r="BE18" s="35"/>
      <c r="BF18" s="55"/>
    </row>
    <row r="19" spans="1:58" ht="12.95" customHeight="1">
      <c r="A19" s="343"/>
      <c r="B19" s="43"/>
      <c r="C19" s="447"/>
      <c r="D19" s="43"/>
      <c r="E19" s="44"/>
      <c r="F19" s="44"/>
      <c r="G19" s="459"/>
      <c r="H19" s="46"/>
      <c r="I19" s="47"/>
      <c r="J19" s="88"/>
      <c r="K19" s="88"/>
      <c r="L19" s="37"/>
      <c r="M19" s="37"/>
      <c r="N19" s="48"/>
      <c r="O19" s="49"/>
      <c r="P19" s="50"/>
      <c r="Q19" s="49"/>
      <c r="R19" s="417"/>
      <c r="S19" s="417"/>
      <c r="T19" s="39"/>
      <c r="U19" s="39"/>
      <c r="V19" s="39"/>
      <c r="W19" s="39"/>
      <c r="X19" s="40"/>
      <c r="Y19" s="220"/>
      <c r="Z19" s="39"/>
      <c r="AA19" s="39"/>
      <c r="AB19" s="39"/>
      <c r="AC19" s="39"/>
      <c r="AD19" s="39"/>
      <c r="AE19" s="241"/>
      <c r="AF19" s="39"/>
      <c r="AG19" s="39"/>
      <c r="AH19" s="39"/>
      <c r="AI19" s="455"/>
      <c r="AJ19" s="39"/>
      <c r="AK19" s="39"/>
      <c r="AL19" s="39"/>
      <c r="AM19" s="39"/>
      <c r="AN19" s="8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52"/>
      <c r="BC19" s="53"/>
      <c r="BD19" s="53"/>
      <c r="BE19" s="53"/>
      <c r="BF19" s="53"/>
    </row>
    <row r="20" spans="1:58" ht="12.95" customHeight="1">
      <c r="A20" s="343">
        <v>45965</v>
      </c>
      <c r="B20" s="43" t="s">
        <v>231</v>
      </c>
      <c r="C20" s="447">
        <f>(M20*E20*O20*Q20)/100000000</f>
        <v>10.7028195615</v>
      </c>
      <c r="D20" s="43" t="s">
        <v>442</v>
      </c>
      <c r="E20" s="44">
        <v>16.5</v>
      </c>
      <c r="F20" s="44">
        <v>1</v>
      </c>
      <c r="G20" s="459">
        <v>1210</v>
      </c>
      <c r="H20" s="46">
        <v>0</v>
      </c>
      <c r="I20" s="47">
        <v>0.88</v>
      </c>
      <c r="J20" s="88">
        <f>E20*G20*(1-H20)*1440/1000000*2.77</f>
        <v>79.636392000000001</v>
      </c>
      <c r="K20" s="88">
        <f>(IF(G20&lt;L20,L20,G20)*(1-IF(H20&lt;N20,H20,N20))*E20*O20*Q20)/100000000</f>
        <v>11.203359750000001</v>
      </c>
      <c r="L20" s="37">
        <v>1160</v>
      </c>
      <c r="M20" s="37">
        <f>+L20-L20*0.0035</f>
        <v>1155.94</v>
      </c>
      <c r="N20" s="48">
        <f>1-(M20/L20)</f>
        <v>3.4999999999999476E-3</v>
      </c>
      <c r="O20" s="49">
        <f>+'Trim Rwd'!H16</f>
        <v>261</v>
      </c>
      <c r="P20" s="50">
        <f>O20*(Q20-R20-S20)</f>
        <v>52200</v>
      </c>
      <c r="Q20" s="49">
        <v>215</v>
      </c>
      <c r="R20" s="417">
        <v>0</v>
      </c>
      <c r="S20" s="417">
        <v>15</v>
      </c>
      <c r="T20" s="39">
        <f>E20*M20*O20*Q20/100000000</f>
        <v>10.7028195615</v>
      </c>
      <c r="U20" s="39">
        <f>E20*M20*O20*(Q20-R20-S20)/100000000</f>
        <v>9.9561112200000004</v>
      </c>
      <c r="V20" s="39">
        <f>E20*G20*(1-N20)*O20/100*(R20+S20)/1000000</f>
        <v>0.778894045875</v>
      </c>
      <c r="W20" s="39">
        <f>+'4'!K8/1000</f>
        <v>19.001000000000001</v>
      </c>
      <c r="X20" s="414">
        <f>SUM(W20:W25)/SUM(K20:K25)</f>
        <v>0.79021126921829099</v>
      </c>
      <c r="Y20" s="220">
        <v>0</v>
      </c>
      <c r="Z20" s="39">
        <v>0</v>
      </c>
      <c r="AA20" s="51">
        <f>SUM(U20:U25)-SUM(W20:W25)-SUM(Z20:Z25)-SUM(Y20:Y25)</f>
        <v>8.3693381360714234</v>
      </c>
      <c r="AB20" s="51">
        <f>(SUM(K20:K25)-SUM(W20:W25)-SUM(Y20:Y25)-SUM(Z20:Z25)-SUM(AC20:AC25)-SUM(V20:V25))-AA20</f>
        <v>-1.8707187732152519E-2</v>
      </c>
      <c r="AC20" s="39">
        <f>K20-T20</f>
        <v>0.50054018850000048</v>
      </c>
      <c r="AD20" s="39">
        <f>+AM20+BA20</f>
        <v>33</v>
      </c>
      <c r="AE20" s="238" t="s">
        <v>490</v>
      </c>
      <c r="AF20" s="39">
        <v>33</v>
      </c>
      <c r="AG20" s="39"/>
      <c r="AH20" s="39"/>
      <c r="AI20" s="455"/>
      <c r="AJ20" s="39"/>
      <c r="AK20" s="39"/>
      <c r="AL20" s="39"/>
      <c r="AM20" s="39">
        <f>SUM(AF20:AL20)+AT20+AV20+AX20</f>
        <v>33</v>
      </c>
      <c r="AN20" s="39"/>
      <c r="AO20" s="39"/>
      <c r="AP20" s="39"/>
      <c r="AQ20" s="39"/>
      <c r="AR20" s="39">
        <f>SUM(AN20:AQ20)</f>
        <v>0</v>
      </c>
      <c r="AS20" s="39"/>
      <c r="AT20" s="39"/>
      <c r="AU20" s="39"/>
      <c r="AV20" s="39"/>
      <c r="AW20" s="39"/>
      <c r="AX20" s="39"/>
      <c r="AY20" s="39"/>
      <c r="AZ20" s="39"/>
      <c r="BA20" s="39">
        <f>+AR20+AS20+AU20+AW20+AY20+AZ20</f>
        <v>0</v>
      </c>
      <c r="BB20" s="35">
        <v>7</v>
      </c>
      <c r="BC20" s="53"/>
      <c r="BD20" s="53"/>
      <c r="BE20" s="35"/>
      <c r="BF20" s="53"/>
    </row>
    <row r="21" spans="1:58" ht="12.95" customHeight="1">
      <c r="A21" s="343"/>
      <c r="B21" s="43" t="s">
        <v>231</v>
      </c>
      <c r="C21" s="447">
        <f>(M21*E21*O21*Q21)/100000000</f>
        <v>6.0724218749999999</v>
      </c>
      <c r="D21" s="43" t="s">
        <v>442</v>
      </c>
      <c r="E21" s="44">
        <v>30</v>
      </c>
      <c r="F21" s="44">
        <v>1</v>
      </c>
      <c r="G21" s="459">
        <v>690</v>
      </c>
      <c r="H21" s="46">
        <v>0</v>
      </c>
      <c r="I21" s="47">
        <v>0.88</v>
      </c>
      <c r="J21" s="88">
        <f>E21*G21*(1-H21)*1440/1000000*2.77</f>
        <v>82.568160000000006</v>
      </c>
      <c r="K21" s="88">
        <f>(IF(G21&lt;L21,L21,G21)*(1-IF(H21&lt;N21,H21,N21))*E21*O21*Q21)/100000000</f>
        <v>6.09375</v>
      </c>
      <c r="L21" s="37">
        <v>700</v>
      </c>
      <c r="M21" s="37">
        <f>+L21-L21*0.0035</f>
        <v>697.55</v>
      </c>
      <c r="N21" s="48">
        <f>1-(M21/L21)</f>
        <v>3.5000000000000586E-3</v>
      </c>
      <c r="O21" s="49">
        <f>+'Trim Rwd'!H17</f>
        <v>232.14285714285714</v>
      </c>
      <c r="P21" s="50">
        <f>O21*(Q21-R21-S21)</f>
        <v>25535.714285714286</v>
      </c>
      <c r="Q21" s="49">
        <v>125</v>
      </c>
      <c r="R21" s="417">
        <v>0</v>
      </c>
      <c r="S21" s="417">
        <v>15</v>
      </c>
      <c r="T21" s="39">
        <f>E21*M21*O21*Q21/100000000</f>
        <v>6.0724218749999999</v>
      </c>
      <c r="U21" s="39">
        <f>E21*M21*O21*(Q21-R21-S21)/100000000</f>
        <v>5.3437312500000003</v>
      </c>
      <c r="V21" s="39">
        <f>E21*G21*(1-N21)*O21/100*(R21+S21)/1000000</f>
        <v>0.71828075892857135</v>
      </c>
      <c r="W21" s="39">
        <f>+'4'!K9/1000</f>
        <v>4.1929999999999996</v>
      </c>
      <c r="X21" s="40"/>
      <c r="Y21" s="220"/>
      <c r="Z21" s="39">
        <f>+'4'!D18/1000</f>
        <v>0.998</v>
      </c>
      <c r="AA21" s="39"/>
      <c r="AB21" s="39"/>
      <c r="AC21" s="39">
        <f>K21-T21</f>
        <v>2.1328125000000142E-2</v>
      </c>
      <c r="AD21" s="39">
        <f>+AM21+BA21</f>
        <v>0</v>
      </c>
      <c r="AE21" s="238" t="s">
        <v>427</v>
      </c>
      <c r="AF21" s="39"/>
      <c r="AG21" s="39">
        <v>0</v>
      </c>
      <c r="AH21" s="39"/>
      <c r="AI21" s="455"/>
      <c r="AJ21" s="39"/>
      <c r="AK21" s="39"/>
      <c r="AL21" s="39"/>
      <c r="AM21" s="39">
        <f>SUM(AF21:AL21)+AT21+AV21+AX21</f>
        <v>0</v>
      </c>
      <c r="AN21" s="89"/>
      <c r="AO21" s="39"/>
      <c r="AP21" s="39"/>
      <c r="AQ21" s="39"/>
      <c r="AR21" s="39">
        <f>SUM(AN21:AQ21)</f>
        <v>0</v>
      </c>
      <c r="AS21" s="39"/>
      <c r="AT21" s="39"/>
      <c r="AU21" s="39"/>
      <c r="AV21" s="39"/>
      <c r="AW21" s="39"/>
      <c r="AX21" s="39"/>
      <c r="AY21" s="39"/>
      <c r="AZ21" s="39"/>
      <c r="BA21" s="39">
        <f>+AR21+AS21+AU21+AW21+AY21+AZ21</f>
        <v>0</v>
      </c>
      <c r="BB21" s="52"/>
      <c r="BC21" s="53">
        <v>0</v>
      </c>
      <c r="BD21" s="53"/>
      <c r="BE21" s="52"/>
      <c r="BF21" s="53"/>
    </row>
    <row r="22" spans="1:58" ht="12.95" customHeight="1">
      <c r="A22" s="42"/>
      <c r="B22" s="43" t="s">
        <v>231</v>
      </c>
      <c r="C22" s="447">
        <f>(M22*E22*O22*Q22)/100000000</f>
        <v>7.4917667200000002</v>
      </c>
      <c r="D22" s="43" t="s">
        <v>442</v>
      </c>
      <c r="E22" s="44">
        <v>17</v>
      </c>
      <c r="F22" s="44">
        <v>1</v>
      </c>
      <c r="G22" s="459">
        <v>1210</v>
      </c>
      <c r="H22" s="46">
        <v>0</v>
      </c>
      <c r="I22" s="47">
        <v>0.88</v>
      </c>
      <c r="J22" s="88">
        <f>E22*G22*(1-H22)*1440/1000000*2.77</f>
        <v>82.049616</v>
      </c>
      <c r="K22" s="88">
        <f>(IF(G22&lt;L22,L22,G22)*(1-IF(H22&lt;N22,H22,N22))*E22*O22*Q22)/100000000</f>
        <v>7.5807306666666676</v>
      </c>
      <c r="L22" s="37">
        <v>1200</v>
      </c>
      <c r="M22" s="37">
        <f>+L22-L22*0.0035</f>
        <v>1195.8</v>
      </c>
      <c r="N22" s="48">
        <f>1-(M22/L22)</f>
        <v>3.5000000000000586E-3</v>
      </c>
      <c r="O22" s="49">
        <f>+'Trim Rwd'!H19</f>
        <v>263.23809523809524</v>
      </c>
      <c r="P22" s="50">
        <f>O22*(Q22-R22-S22)</f>
        <v>32904.761904761908</v>
      </c>
      <c r="Q22" s="49">
        <v>140</v>
      </c>
      <c r="R22" s="417">
        <v>0</v>
      </c>
      <c r="S22" s="417">
        <v>15</v>
      </c>
      <c r="T22" s="39">
        <f>E22*M22*O22*Q22/100000000</f>
        <v>7.4917667200000002</v>
      </c>
      <c r="U22" s="39">
        <f>E22*M22*O22*(Q22-R22-S22)/100000000</f>
        <v>6.6890774285714283</v>
      </c>
      <c r="V22" s="39">
        <f>E22*G22*(1-N22)*O22/100*(R22+S22)/1000000</f>
        <v>0.80937836885714276</v>
      </c>
      <c r="W22" s="39">
        <f>+'4'!K10/1000</f>
        <v>18.114000000000001</v>
      </c>
      <c r="X22" s="40"/>
      <c r="Y22" s="220"/>
      <c r="Z22" s="39">
        <f>+('4'!D17/1000)</f>
        <v>0.72399999999999998</v>
      </c>
      <c r="AA22" s="39"/>
      <c r="AB22" s="39"/>
      <c r="AC22" s="39">
        <f>K22-T22</f>
        <v>8.8963946666667404E-2</v>
      </c>
      <c r="AD22" s="39">
        <f>+AM22+BA22</f>
        <v>29</v>
      </c>
      <c r="AE22" s="238" t="s">
        <v>466</v>
      </c>
      <c r="AF22" s="35"/>
      <c r="AG22" s="35"/>
      <c r="AH22" s="35">
        <v>29</v>
      </c>
      <c r="AJ22" s="39"/>
      <c r="AK22" s="39"/>
      <c r="AL22" s="39"/>
      <c r="AM22" s="39">
        <f>SUM(AF22:AL22)+AT22+AV22+AX22</f>
        <v>29</v>
      </c>
      <c r="AN22" s="39"/>
      <c r="AO22" s="39"/>
      <c r="AP22" s="39"/>
      <c r="AQ22" s="39"/>
      <c r="AR22" s="39">
        <f>SUM(AN22:AQ22)</f>
        <v>0</v>
      </c>
      <c r="AS22" s="39"/>
      <c r="AT22" s="39"/>
      <c r="AU22" s="39"/>
      <c r="AV22" s="39"/>
      <c r="AW22" s="39"/>
      <c r="AX22" s="39"/>
      <c r="AY22" s="39"/>
      <c r="AZ22" s="39"/>
      <c r="BA22" s="39">
        <f>+AR22+AS22+AU22+AW22+AY22+AZ22</f>
        <v>0</v>
      </c>
      <c r="BB22" s="35"/>
      <c r="BC22" s="55"/>
      <c r="BD22" s="55"/>
      <c r="BE22" s="35"/>
      <c r="BF22" s="55"/>
    </row>
    <row r="23" spans="1:58" ht="12.95" customHeight="1">
      <c r="A23" s="42"/>
      <c r="B23" s="43" t="s">
        <v>231</v>
      </c>
      <c r="C23" s="447">
        <f>(M23*E23*O23*Q23)/100000000</f>
        <v>30.561204095999997</v>
      </c>
      <c r="D23" s="43" t="s">
        <v>442</v>
      </c>
      <c r="E23" s="44">
        <v>18</v>
      </c>
      <c r="F23" s="44">
        <v>1</v>
      </c>
      <c r="G23" s="459">
        <v>1150</v>
      </c>
      <c r="H23" s="46">
        <v>0</v>
      </c>
      <c r="I23" s="47">
        <v>0.88</v>
      </c>
      <c r="J23" s="88">
        <f>E23*G23*(1-H23)*1440/1000000*2.77</f>
        <v>82.568160000000006</v>
      </c>
      <c r="K23" s="88">
        <f>(IF(G23&lt;L23,L23,G23)*(1-IF(H23&lt;N23,H23,N23))*E23*O23*Q23)/100000000</f>
        <v>30.668544000000001</v>
      </c>
      <c r="L23" s="37">
        <v>1160</v>
      </c>
      <c r="M23" s="37">
        <f>+L23-L23*0.0035</f>
        <v>1155.94</v>
      </c>
      <c r="N23" s="48">
        <f>1-(M23/L23)</f>
        <v>3.4999999999999476E-3</v>
      </c>
      <c r="O23" s="49">
        <f>+'Trim Rwd'!H21</f>
        <v>272</v>
      </c>
      <c r="P23" s="50">
        <f>O23*(Q23-R23-S23)</f>
        <v>141440</v>
      </c>
      <c r="Q23" s="49">
        <v>540</v>
      </c>
      <c r="R23" s="417">
        <v>0</v>
      </c>
      <c r="S23" s="417">
        <v>20</v>
      </c>
      <c r="T23" s="39">
        <f>E23*M23*O23*Q23/100000000</f>
        <v>30.561204095999997</v>
      </c>
      <c r="U23" s="39">
        <f>E23*M23*O23*(Q23-R23-S23)/100000000</f>
        <v>29.429307648000002</v>
      </c>
      <c r="V23" s="39">
        <f>E23*G23*(1-N23)*O23/100*(R23+S23)/1000000</f>
        <v>1.1221387199999999</v>
      </c>
      <c r="W23" s="39">
        <f>+'4'!K11/1000</f>
        <v>16.696000000000002</v>
      </c>
      <c r="X23" s="40"/>
      <c r="Y23" s="220"/>
      <c r="Z23" s="39">
        <f>+('4'!D19+'4'!D25)/1000</f>
        <v>0.56399999999999995</v>
      </c>
      <c r="AA23" s="39"/>
      <c r="AB23" s="39"/>
      <c r="AC23" s="39">
        <f>K23-T23</f>
        <v>0.10733990400000337</v>
      </c>
      <c r="AD23" s="39">
        <f>+AM23+BA23</f>
        <v>18</v>
      </c>
      <c r="AE23" s="241" t="s">
        <v>415</v>
      </c>
      <c r="AF23" s="39"/>
      <c r="AG23" s="39"/>
      <c r="AH23" s="39"/>
      <c r="AI23" s="455">
        <v>18</v>
      </c>
      <c r="AJ23" s="39"/>
      <c r="AK23" s="39"/>
      <c r="AL23" s="39"/>
      <c r="AM23" s="39">
        <f>SUM(AF23:AL23)+AT23+AV23+AX23</f>
        <v>18</v>
      </c>
      <c r="AN23" s="39"/>
      <c r="AO23" s="39"/>
      <c r="AP23" s="39"/>
      <c r="AQ23" s="39"/>
      <c r="AR23" s="39">
        <f>SUM(AN23:AQ23)</f>
        <v>0</v>
      </c>
      <c r="AS23" s="39"/>
      <c r="AT23" s="39"/>
      <c r="AU23" s="39"/>
      <c r="AV23" s="39"/>
      <c r="AW23" s="39"/>
      <c r="AX23" s="39"/>
      <c r="AY23" s="39"/>
      <c r="AZ23" s="39"/>
      <c r="BA23" s="39">
        <f>+AR23+AS23+AU23+AW23+AY23+AZ23</f>
        <v>0</v>
      </c>
      <c r="BB23" s="35"/>
      <c r="BC23" s="55"/>
      <c r="BD23" s="55"/>
      <c r="BE23" s="35"/>
      <c r="BF23" s="55"/>
    </row>
    <row r="24" spans="1:58" ht="12.95" customHeight="1">
      <c r="A24" s="343"/>
      <c r="B24" s="43" t="s">
        <v>231</v>
      </c>
      <c r="C24" s="447">
        <f>(M24*E24*O24*Q24)/100000000</f>
        <v>19.868707277999999</v>
      </c>
      <c r="D24" s="43" t="s">
        <v>489</v>
      </c>
      <c r="E24" s="44">
        <v>14</v>
      </c>
      <c r="F24" s="44">
        <v>1</v>
      </c>
      <c r="G24" s="459">
        <v>1270</v>
      </c>
      <c r="H24" s="46">
        <v>0</v>
      </c>
      <c r="I24" s="47">
        <v>0.88</v>
      </c>
      <c r="J24" s="88">
        <f>E24*G24*(1-H24)*1440/1000000*2.77</f>
        <v>70.920864000000009</v>
      </c>
      <c r="K24" s="88">
        <f>(IF(G24&lt;L24,L24,G24)*(1-IF(H24&lt;N24,H24,N24))*E24*O24*Q24)/100000000</f>
        <v>19.938492</v>
      </c>
      <c r="L24" s="37">
        <v>1270</v>
      </c>
      <c r="M24" s="37">
        <f>+L24-L24*0.0035</f>
        <v>1265.5550000000001</v>
      </c>
      <c r="N24" s="48">
        <f>1-(M24/L24)</f>
        <v>3.4999999999999476E-3</v>
      </c>
      <c r="O24" s="49">
        <f>+'Trim Rwd'!H22</f>
        <v>267</v>
      </c>
      <c r="P24" s="50">
        <f>O24*(Q24-R24-S24)</f>
        <v>108135</v>
      </c>
      <c r="Q24" s="49">
        <v>420</v>
      </c>
      <c r="R24" s="417">
        <v>0</v>
      </c>
      <c r="S24" s="417">
        <v>15</v>
      </c>
      <c r="T24" s="39">
        <f>E24*M24*O24*Q24/100000000</f>
        <v>19.868707277999999</v>
      </c>
      <c r="U24" s="39">
        <f>E24*M24*O24*(Q24-R24-S24)/100000000</f>
        <v>19.159110589499999</v>
      </c>
      <c r="V24" s="39">
        <f>E24*G24*(1-N24)*O24/100*(R24+S24)/1000000</f>
        <v>0.70959668849999991</v>
      </c>
      <c r="W24" s="39">
        <f>+'4'!K7/1000</f>
        <v>0.65800000000000003</v>
      </c>
      <c r="X24" s="414"/>
      <c r="Y24" s="220"/>
      <c r="Z24" s="39">
        <f>+'4'!D27/1000</f>
        <v>0.27300000000000002</v>
      </c>
      <c r="AA24" s="51"/>
      <c r="AB24" s="51"/>
      <c r="AC24" s="39">
        <f>K24-T24</f>
        <v>6.9784722000001409E-2</v>
      </c>
      <c r="AD24" s="39"/>
      <c r="AE24" s="238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52"/>
      <c r="BC24" s="53"/>
      <c r="BD24" s="53"/>
      <c r="BE24" s="53"/>
      <c r="BF24" s="53"/>
    </row>
    <row r="25" spans="1:58" ht="12.95" customHeight="1">
      <c r="A25" s="343"/>
      <c r="B25" s="43" t="s">
        <v>231</v>
      </c>
      <c r="C25" s="447"/>
      <c r="D25" s="43"/>
      <c r="E25" s="44">
        <v>21.5</v>
      </c>
      <c r="F25" s="44"/>
      <c r="G25" s="459"/>
      <c r="H25" s="46"/>
      <c r="I25" s="47"/>
      <c r="J25" s="88"/>
      <c r="K25" s="88"/>
      <c r="L25" s="37"/>
      <c r="M25" s="37"/>
      <c r="N25" s="48"/>
      <c r="O25" s="49"/>
      <c r="P25" s="50"/>
      <c r="Q25" s="49"/>
      <c r="R25" s="417"/>
      <c r="S25" s="417"/>
      <c r="T25" s="39"/>
      <c r="U25" s="39"/>
      <c r="V25" s="39"/>
      <c r="W25" s="39">
        <f>+'4'!K12/1000</f>
        <v>0.98699999999999999</v>
      </c>
      <c r="X25" s="414"/>
      <c r="Y25" s="220"/>
      <c r="Z25" s="39"/>
      <c r="AA25" s="51"/>
      <c r="AB25" s="51"/>
      <c r="AC25" s="39"/>
      <c r="AD25" s="39"/>
      <c r="AE25" s="238"/>
      <c r="AF25" s="39"/>
      <c r="AG25" s="39"/>
      <c r="AH25" s="39"/>
      <c r="AI25" s="455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5"/>
      <c r="BC25" s="53"/>
      <c r="BD25" s="53"/>
      <c r="BE25" s="35"/>
      <c r="BF25" s="53"/>
    </row>
    <row r="26" spans="1:58" ht="12.95" customHeight="1">
      <c r="A26" s="343"/>
      <c r="B26" s="43"/>
      <c r="C26" s="447"/>
      <c r="D26" s="43"/>
      <c r="E26" s="44"/>
      <c r="F26" s="44"/>
      <c r="G26" s="459"/>
      <c r="H26" s="46"/>
      <c r="I26" s="47"/>
      <c r="J26" s="88"/>
      <c r="K26" s="88"/>
      <c r="L26" s="37"/>
      <c r="M26" s="37"/>
      <c r="N26" s="48"/>
      <c r="O26" s="49"/>
      <c r="P26" s="50"/>
      <c r="Q26" s="49"/>
      <c r="R26" s="417"/>
      <c r="S26" s="417"/>
      <c r="T26" s="39"/>
      <c r="U26" s="39"/>
      <c r="V26" s="39"/>
      <c r="W26" s="39"/>
      <c r="X26" s="40"/>
      <c r="Y26" s="220"/>
      <c r="Z26" s="39"/>
      <c r="AA26" s="39"/>
      <c r="AB26" s="39"/>
      <c r="AC26" s="39"/>
      <c r="AD26" s="39"/>
      <c r="AE26" s="238"/>
      <c r="AF26" s="39"/>
      <c r="AG26" s="39"/>
      <c r="AH26" s="39"/>
      <c r="AI26" s="455"/>
      <c r="AJ26" s="39"/>
      <c r="AK26" s="39"/>
      <c r="AL26" s="39"/>
      <c r="AM26" s="39"/>
      <c r="AN26" s="8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52"/>
      <c r="BC26" s="53"/>
      <c r="BD26" s="53"/>
      <c r="BE26" s="52"/>
      <c r="BF26" s="53"/>
    </row>
    <row r="27" spans="1:58" ht="12.95" customHeight="1">
      <c r="A27" s="343">
        <v>45966</v>
      </c>
      <c r="B27" s="43" t="s">
        <v>231</v>
      </c>
      <c r="C27" s="447">
        <f>(M27*E27*O27*Q27)/100000000</f>
        <v>18.900228858000002</v>
      </c>
      <c r="D27" s="43" t="s">
        <v>489</v>
      </c>
      <c r="E27" s="44">
        <v>14</v>
      </c>
      <c r="F27" s="44">
        <v>1</v>
      </c>
      <c r="G27" s="459">
        <v>1270</v>
      </c>
      <c r="H27" s="46">
        <v>0</v>
      </c>
      <c r="I27" s="47">
        <v>0.88</v>
      </c>
      <c r="J27" s="88">
        <f>E27*G27*(1-H27)*1440/1000000*2.77</f>
        <v>70.920864000000009</v>
      </c>
      <c r="K27" s="88">
        <f>(IF(G27&lt;L27,L27,G27)*(1-IF(H27&lt;N27,H27,N27))*E27*O27*Q27)/100000000</f>
        <v>20.413218000000001</v>
      </c>
      <c r="L27" s="37">
        <v>1180</v>
      </c>
      <c r="M27" s="37">
        <f>+L27-L27*0.0035</f>
        <v>1175.8699999999999</v>
      </c>
      <c r="N27" s="48">
        <f>1-(M27/L27)</f>
        <v>3.5000000000000586E-3</v>
      </c>
      <c r="O27" s="49">
        <f>+'Trim Rwd'!H25</f>
        <v>267</v>
      </c>
      <c r="P27" s="50">
        <f>O27*(Q27-R27-S27)</f>
        <v>93717</v>
      </c>
      <c r="Q27" s="49">
        <v>430</v>
      </c>
      <c r="R27" s="417">
        <v>60</v>
      </c>
      <c r="S27" s="417">
        <v>19</v>
      </c>
      <c r="T27" s="39">
        <f>E27*M27*O27*Q27/100000000</f>
        <v>18.900228858000002</v>
      </c>
      <c r="U27" s="39">
        <f>E27*M27*O27*(Q27-R27-S27)/100000000</f>
        <v>15.427861230600001</v>
      </c>
      <c r="V27" s="39">
        <f>E27*G27*(1-N27)*O27/100*(R27+S27)/1000000</f>
        <v>3.7372092261000001</v>
      </c>
      <c r="W27" s="39">
        <f>+'5'!K7/1000</f>
        <v>29.161000000000001</v>
      </c>
      <c r="X27" s="414">
        <f>SUM(W27:W30)/SUM(K27:K30)</f>
        <v>0.90111446399423623</v>
      </c>
      <c r="Y27" s="220">
        <v>0</v>
      </c>
      <c r="Z27" s="39">
        <f>+'5'!D16/1000</f>
        <v>0.44400000000000001</v>
      </c>
      <c r="AA27" s="51">
        <f>SUM(U27:U30)-SUM(W27:W30)-SUM(Z27:Z30)-SUM(Y27:Y30)</f>
        <v>-9.9001868797448296</v>
      </c>
      <c r="AB27" s="51">
        <f>(SUM(K27:K30)-SUM(W27:W30)-SUM(Y27:Y30)-SUM(Z27:Z30)-SUM(AC27:AC30)-SUM(V27:V30))-AA27</f>
        <v>-0.81123329938965227</v>
      </c>
      <c r="AC27" s="39">
        <f>K27-T27</f>
        <v>1.5129891419999986</v>
      </c>
      <c r="AD27" s="39">
        <f>+AM27+BA27</f>
        <v>50</v>
      </c>
      <c r="AE27" s="238" t="s">
        <v>520</v>
      </c>
      <c r="AF27" s="39">
        <v>50</v>
      </c>
      <c r="AG27" s="39"/>
      <c r="AH27" s="39"/>
      <c r="AI27" s="455"/>
      <c r="AJ27" s="39"/>
      <c r="AK27" s="39"/>
      <c r="AL27" s="39"/>
      <c r="AM27" s="39">
        <f>SUM(AF27:AL27)+AT27+AV27+AX27</f>
        <v>50</v>
      </c>
      <c r="AN27" s="39"/>
      <c r="AO27" s="39"/>
      <c r="AP27" s="39"/>
      <c r="AQ27" s="39"/>
      <c r="AR27" s="39">
        <f>SUM(AN27:AQ27)</f>
        <v>0</v>
      </c>
      <c r="AS27" s="39"/>
      <c r="AT27" s="39"/>
      <c r="AU27" s="39"/>
      <c r="AV27" s="39"/>
      <c r="AW27" s="39"/>
      <c r="AX27" s="39"/>
      <c r="AY27" s="39"/>
      <c r="AZ27" s="39"/>
      <c r="BA27" s="39">
        <f>+AR27+AS27+AU27+AW27+AY27+AZ27</f>
        <v>0</v>
      </c>
      <c r="BB27" s="35">
        <v>10</v>
      </c>
      <c r="BC27" s="53"/>
      <c r="BD27" s="53"/>
      <c r="BE27" s="35"/>
      <c r="BF27" s="53"/>
    </row>
    <row r="28" spans="1:58" ht="12.95" customHeight="1">
      <c r="A28" s="343"/>
      <c r="B28" s="43" t="s">
        <v>517</v>
      </c>
      <c r="C28" s="447">
        <f>(M28*E28*O28*Q28)/100000000</f>
        <v>37.913123668965518</v>
      </c>
      <c r="D28" s="43" t="s">
        <v>489</v>
      </c>
      <c r="E28" s="44">
        <v>10.3</v>
      </c>
      <c r="F28" s="44">
        <v>1</v>
      </c>
      <c r="G28" s="459">
        <v>1730</v>
      </c>
      <c r="H28" s="46">
        <v>0.16</v>
      </c>
      <c r="I28" s="47">
        <v>0.88</v>
      </c>
      <c r="J28" s="88">
        <f>E28*G28*(1-H28)*1440/1000000*2.77</f>
        <v>59.704198847999997</v>
      </c>
      <c r="K28" s="88">
        <f>(IF(G28&lt;L28,L28,G28)*(1-IF(H28&lt;N28,H28,N28))*E28*O28*Q28)/100000000</f>
        <v>40.817626920000002</v>
      </c>
      <c r="L28" s="37">
        <v>1606.8965517241379</v>
      </c>
      <c r="M28" s="37">
        <v>1349.7931034482758</v>
      </c>
      <c r="N28" s="48">
        <f>1-(M28/L28)</f>
        <v>0.16000000000000003</v>
      </c>
      <c r="O28" s="49">
        <f>+'Trim Rwd'!H26</f>
        <v>270</v>
      </c>
      <c r="P28" s="50">
        <f>O28*(Q28-R28-S28)</f>
        <v>221400</v>
      </c>
      <c r="Q28" s="49">
        <v>1010</v>
      </c>
      <c r="R28" s="417">
        <v>140</v>
      </c>
      <c r="S28" s="417">
        <v>50</v>
      </c>
      <c r="T28" s="39">
        <f>E28*M28*O28*Q28/100000000</f>
        <v>37.913123668965518</v>
      </c>
      <c r="U28" s="39">
        <f>E28*M28*O28*(Q28-R28-S28)/100000000</f>
        <v>30.780951889655171</v>
      </c>
      <c r="V28" s="39">
        <f>E28*G28*(1-N28)*O28/100*(R28+S28)/1000000</f>
        <v>7.6785634799999993</v>
      </c>
      <c r="W28" s="39">
        <f>+'5'!K13/1000</f>
        <v>17.317</v>
      </c>
      <c r="X28" s="40"/>
      <c r="Y28" s="220"/>
      <c r="Z28" s="39">
        <v>0</v>
      </c>
      <c r="AA28" s="39"/>
      <c r="AB28" s="39"/>
      <c r="AC28" s="39">
        <f>K28-T28</f>
        <v>2.9045032510344839</v>
      </c>
      <c r="AD28" s="39">
        <f>+AM28+BA28</f>
        <v>0</v>
      </c>
      <c r="AE28" s="238" t="s">
        <v>427</v>
      </c>
      <c r="AF28" s="39"/>
      <c r="AG28" s="39">
        <v>0</v>
      </c>
      <c r="AH28" s="39"/>
      <c r="AI28" s="455"/>
      <c r="AJ28" s="39"/>
      <c r="AK28" s="39"/>
      <c r="AL28" s="39"/>
      <c r="AM28" s="39">
        <f>SUM(AF28:AL28)+AT28+AV28+AX28</f>
        <v>0</v>
      </c>
      <c r="AN28" s="89"/>
      <c r="AO28" s="39"/>
      <c r="AP28" s="39"/>
      <c r="AQ28" s="39"/>
      <c r="AR28" s="39">
        <f>SUM(AN28:AQ28)</f>
        <v>0</v>
      </c>
      <c r="AS28" s="39"/>
      <c r="AT28" s="39"/>
      <c r="AU28" s="39"/>
      <c r="AV28" s="39"/>
      <c r="AW28" s="39"/>
      <c r="AX28" s="39"/>
      <c r="AY28" s="39"/>
      <c r="AZ28" s="39"/>
      <c r="BA28" s="39">
        <f>+AR28+AS28+AU28+AW28+AY28+AZ28</f>
        <v>0</v>
      </c>
      <c r="BB28" s="52"/>
      <c r="BC28" s="53">
        <v>0</v>
      </c>
      <c r="BD28" s="53"/>
      <c r="BE28" s="52"/>
      <c r="BF28" s="53"/>
    </row>
    <row r="29" spans="1:58" ht="12.95" customHeight="1">
      <c r="A29" s="42"/>
      <c r="B29" s="43" t="s">
        <v>231</v>
      </c>
      <c r="C29" s="447"/>
      <c r="D29" s="43"/>
      <c r="E29" s="44">
        <v>18</v>
      </c>
      <c r="F29" s="44"/>
      <c r="G29" s="45"/>
      <c r="H29" s="46"/>
      <c r="I29" s="47"/>
      <c r="J29" s="88"/>
      <c r="K29" s="88"/>
      <c r="L29" s="37"/>
      <c r="M29" s="37"/>
      <c r="N29" s="48"/>
      <c r="O29" s="49"/>
      <c r="P29" s="50"/>
      <c r="Q29" s="49"/>
      <c r="R29" s="417"/>
      <c r="S29" s="417"/>
      <c r="T29" s="39"/>
      <c r="U29" s="39"/>
      <c r="V29" s="39"/>
      <c r="W29" s="39">
        <f>+'5'!K11/1000</f>
        <v>8.6980000000000004</v>
      </c>
      <c r="X29" s="40"/>
      <c r="Y29" s="220"/>
      <c r="Z29" s="39">
        <f>+'5'!D8/1000</f>
        <v>0.48899999999999999</v>
      </c>
      <c r="AA29" s="39"/>
      <c r="AB29" s="39"/>
      <c r="AC29" s="39"/>
      <c r="AD29" s="39">
        <f>+AM29+BA29</f>
        <v>19</v>
      </c>
      <c r="AE29" s="238" t="s">
        <v>521</v>
      </c>
      <c r="AF29" s="35"/>
      <c r="AG29" s="35"/>
      <c r="AH29" s="35">
        <v>19</v>
      </c>
      <c r="AI29" s="455"/>
      <c r="AJ29" s="39"/>
      <c r="AK29" s="39"/>
      <c r="AL29" s="39"/>
      <c r="AM29" s="39">
        <f>SUM(AF29:AL29)+AT29+AV29+AX29</f>
        <v>19</v>
      </c>
      <c r="AN29" s="39"/>
      <c r="AO29" s="39"/>
      <c r="AP29" s="39"/>
      <c r="AQ29" s="39"/>
      <c r="AR29" s="39">
        <f>SUM(AN29:AQ29)</f>
        <v>0</v>
      </c>
      <c r="AS29" s="39"/>
      <c r="AT29" s="39"/>
      <c r="AU29" s="39"/>
      <c r="AV29" s="39"/>
      <c r="AW29" s="39"/>
      <c r="AX29" s="39"/>
      <c r="AY29" s="39"/>
      <c r="AZ29" s="39"/>
      <c r="BA29" s="39">
        <f>+AR29+AS29+AU29+AW29+AY29+AZ29</f>
        <v>0</v>
      </c>
      <c r="BB29" s="35"/>
      <c r="BC29" s="55"/>
      <c r="BD29" s="55"/>
      <c r="BE29" s="35"/>
      <c r="BF29" s="55"/>
    </row>
    <row r="30" spans="1:58" ht="12.95" customHeight="1">
      <c r="A30" s="343"/>
      <c r="B30" s="43"/>
      <c r="C30" s="447"/>
      <c r="D30" s="43"/>
      <c r="E30" s="44"/>
      <c r="F30" s="44"/>
      <c r="G30" s="459"/>
      <c r="H30" s="46"/>
      <c r="I30" s="47"/>
      <c r="J30" s="88"/>
      <c r="K30" s="88"/>
      <c r="L30" s="37"/>
      <c r="M30" s="37"/>
      <c r="N30" s="48"/>
      <c r="O30" s="49"/>
      <c r="P30" s="50"/>
      <c r="Q30" s="49"/>
      <c r="R30" s="417"/>
      <c r="S30" s="417"/>
      <c r="T30" s="39"/>
      <c r="U30" s="39"/>
      <c r="V30" s="39"/>
      <c r="W30" s="39"/>
      <c r="X30" s="414"/>
      <c r="Y30" s="220"/>
      <c r="Z30" s="39"/>
      <c r="AA30" s="51"/>
      <c r="AB30" s="51"/>
      <c r="AC30" s="39"/>
      <c r="AD30" s="39">
        <f>+AM30+BA30</f>
        <v>60</v>
      </c>
      <c r="AE30" s="241" t="s">
        <v>525</v>
      </c>
      <c r="AF30" s="39"/>
      <c r="AG30" s="39"/>
      <c r="AH30" s="39"/>
      <c r="AI30" s="455"/>
      <c r="AJ30" s="39"/>
      <c r="AK30" s="39"/>
      <c r="AL30" s="39"/>
      <c r="AM30" s="39">
        <f t="shared" ref="AM30:AM31" si="0">SUM(AF30:AL30)+AT30+AV30+AX30</f>
        <v>0</v>
      </c>
      <c r="AN30" s="39"/>
      <c r="AO30" s="39"/>
      <c r="AP30" s="39">
        <v>60</v>
      </c>
      <c r="AQ30" s="39"/>
      <c r="AR30" s="39">
        <f t="shared" ref="AR30:AR31" si="1">SUM(AN30:AQ30)</f>
        <v>60</v>
      </c>
      <c r="AS30" s="39"/>
      <c r="AT30" s="39"/>
      <c r="AU30" s="39"/>
      <c r="AV30" s="39"/>
      <c r="AW30" s="39"/>
      <c r="AX30" s="39"/>
      <c r="AY30" s="39"/>
      <c r="AZ30" s="39"/>
      <c r="BA30" s="39">
        <f t="shared" ref="BA30:BA31" si="2">+AR30+AS30+AU30+AW30+AY30+AZ30</f>
        <v>60</v>
      </c>
      <c r="BB30" s="35"/>
      <c r="BC30" s="55"/>
      <c r="BD30" s="55"/>
      <c r="BE30" s="35"/>
      <c r="BF30" s="55"/>
    </row>
    <row r="31" spans="1:58" ht="12.95" customHeight="1">
      <c r="A31" s="343"/>
      <c r="B31" s="43"/>
      <c r="C31" s="447"/>
      <c r="D31" s="43"/>
      <c r="E31" s="44"/>
      <c r="F31" s="44"/>
      <c r="G31" s="459"/>
      <c r="H31" s="46"/>
      <c r="I31" s="47"/>
      <c r="J31" s="88"/>
      <c r="K31" s="88"/>
      <c r="L31" s="37"/>
      <c r="M31" s="37"/>
      <c r="N31" s="48"/>
      <c r="O31" s="49"/>
      <c r="P31" s="50"/>
      <c r="Q31" s="49"/>
      <c r="R31" s="417"/>
      <c r="S31" s="417"/>
      <c r="T31" s="39"/>
      <c r="U31" s="39"/>
      <c r="V31" s="39"/>
      <c r="W31" s="39"/>
      <c r="X31" s="414"/>
      <c r="Y31" s="220"/>
      <c r="Z31" s="39"/>
      <c r="AA31" s="51"/>
      <c r="AB31" s="51"/>
      <c r="AC31" s="39"/>
      <c r="AD31" s="39">
        <f>+AM31+BA31</f>
        <v>140</v>
      </c>
      <c r="AE31" s="241" t="s">
        <v>524</v>
      </c>
      <c r="AF31" s="39"/>
      <c r="AG31" s="39"/>
      <c r="AH31" s="39"/>
      <c r="AJ31" s="39"/>
      <c r="AK31" s="39"/>
      <c r="AL31" s="39"/>
      <c r="AM31" s="39">
        <f t="shared" si="0"/>
        <v>0</v>
      </c>
      <c r="AN31" s="39"/>
      <c r="AO31" s="39">
        <v>140</v>
      </c>
      <c r="AP31" s="39"/>
      <c r="AQ31" s="39"/>
      <c r="AR31" s="39">
        <f t="shared" si="1"/>
        <v>140</v>
      </c>
      <c r="AS31" s="39"/>
      <c r="AT31" s="39"/>
      <c r="AU31" s="39"/>
      <c r="AV31" s="39"/>
      <c r="AW31" s="39"/>
      <c r="AX31" s="39"/>
      <c r="AY31" s="39"/>
      <c r="AZ31" s="39"/>
      <c r="BA31" s="39">
        <f t="shared" si="2"/>
        <v>140</v>
      </c>
      <c r="BB31" s="35"/>
      <c r="BC31" s="55"/>
      <c r="BD31" s="55"/>
      <c r="BE31" s="35"/>
      <c r="BF31" s="55"/>
    </row>
    <row r="32" spans="1:58" ht="12.95" customHeight="1">
      <c r="A32" s="42"/>
      <c r="B32" s="43"/>
      <c r="C32" s="447"/>
      <c r="D32" s="43"/>
      <c r="E32" s="44"/>
      <c r="F32" s="44"/>
      <c r="G32" s="45"/>
      <c r="H32" s="46"/>
      <c r="I32" s="47"/>
      <c r="J32" s="88"/>
      <c r="K32" s="88"/>
      <c r="L32" s="37"/>
      <c r="M32" s="37"/>
      <c r="N32" s="48"/>
      <c r="O32" s="49"/>
      <c r="P32" s="50"/>
      <c r="Q32" s="49"/>
      <c r="R32" s="417"/>
      <c r="S32" s="417"/>
      <c r="T32" s="39"/>
      <c r="U32" s="39"/>
      <c r="V32" s="39"/>
      <c r="W32" s="39"/>
      <c r="X32" s="40"/>
      <c r="Y32" s="220"/>
      <c r="Z32" s="39"/>
      <c r="AA32" s="39"/>
      <c r="AB32" s="39"/>
      <c r="AC32" s="39"/>
      <c r="AD32" s="39"/>
      <c r="AE32" s="238"/>
      <c r="AF32" s="35"/>
      <c r="AG32" s="35"/>
      <c r="AH32" s="35"/>
      <c r="AI32" s="455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5"/>
      <c r="BC32" s="55"/>
      <c r="BD32" s="55"/>
      <c r="BE32" s="35"/>
      <c r="BF32" s="55"/>
    </row>
    <row r="33" spans="1:58" ht="12.95" customHeight="1">
      <c r="A33" s="343">
        <v>45936</v>
      </c>
      <c r="B33" s="43" t="s">
        <v>517</v>
      </c>
      <c r="C33" s="447">
        <f>(M33*E33*O33*Q33)/100000000</f>
        <v>54.590484535194349</v>
      </c>
      <c r="D33" s="43" t="s">
        <v>489</v>
      </c>
      <c r="E33" s="44">
        <v>12</v>
      </c>
      <c r="F33" s="44">
        <v>1</v>
      </c>
      <c r="G33" s="459">
        <v>1700</v>
      </c>
      <c r="H33" s="46">
        <v>0.24</v>
      </c>
      <c r="I33" s="47">
        <v>0.88</v>
      </c>
      <c r="J33" s="88">
        <f>E33*G33*(1-H33)*1440/1000000*2.77</f>
        <v>61.8423552</v>
      </c>
      <c r="K33" s="88">
        <f>(IF(G33&lt;L33,L33,G33)*(1-IF(H33&lt;N33,H33,N33))*E33*O33*Q33)/100000000</f>
        <v>59.192560519480516</v>
      </c>
      <c r="L33" s="37">
        <v>1567.829181494662</v>
      </c>
      <c r="M33" s="37">
        <v>1191.5501779359431</v>
      </c>
      <c r="N33" s="48">
        <f>1-(M33/L33)</f>
        <v>0.24</v>
      </c>
      <c r="O33" s="49">
        <f>+'Trim Rwd'!H30</f>
        <v>267.9220779220779</v>
      </c>
      <c r="P33" s="50">
        <f>O33*(Q33-R33-S33)</f>
        <v>346423.24675324676</v>
      </c>
      <c r="Q33" s="49">
        <v>1425</v>
      </c>
      <c r="R33" s="417">
        <v>20</v>
      </c>
      <c r="S33" s="417">
        <f>85+27</f>
        <v>112</v>
      </c>
      <c r="T33" s="39">
        <f>E33*M33*O33*Q33/100000000</f>
        <v>54.590484535194349</v>
      </c>
      <c r="U33" s="39">
        <f>E33*M33*O33*(Q33-R33-S33)/100000000</f>
        <v>49.5336817571974</v>
      </c>
      <c r="V33" s="39">
        <f>E33*G33*(1-N33)*O33/100*(R33+S33)/1000000</f>
        <v>5.483100342857143</v>
      </c>
      <c r="W33" s="39">
        <f>+'6'!K14/1000</f>
        <v>43.052</v>
      </c>
      <c r="X33" s="414">
        <f>SUM(W33:W36)/SUM(K33:K36)</f>
        <v>0.74072481548311198</v>
      </c>
      <c r="Y33" s="220">
        <v>0</v>
      </c>
      <c r="Z33" s="39">
        <v>0</v>
      </c>
      <c r="AA33" s="51">
        <f>SUM(U33:U36)-SUM(W33:W36)-SUM(Z33:Z36)-SUM(Y33:Y36)</f>
        <v>5.4756481571973996</v>
      </c>
      <c r="AB33" s="51">
        <f>(SUM(K33:K36)-SUM(W33:W36)-SUM(Y33:Y36)-SUM(Z33:Z36)-SUM(AC33:AC36)-SUM(V33:V36))-AA33</f>
        <v>-0.42629756486019854</v>
      </c>
      <c r="AC33" s="39">
        <f>K33-T33</f>
        <v>4.6020759842861665</v>
      </c>
      <c r="AD33" s="39">
        <f>+AM33+BA33</f>
        <v>85</v>
      </c>
      <c r="AE33" s="238" t="s">
        <v>547</v>
      </c>
      <c r="AF33" s="39">
        <v>85</v>
      </c>
      <c r="AG33" s="39"/>
      <c r="AH33" s="39"/>
      <c r="AI33" s="455"/>
      <c r="AJ33" s="39"/>
      <c r="AK33" s="39"/>
      <c r="AL33" s="39"/>
      <c r="AM33" s="39">
        <f>SUM(AF33:AL33)+AT33+AV33+AX33</f>
        <v>85</v>
      </c>
      <c r="AN33" s="39"/>
      <c r="AO33" s="39"/>
      <c r="AP33" s="39"/>
      <c r="AQ33" s="39"/>
      <c r="AR33" s="39">
        <f>SUM(AN33:AQ33)</f>
        <v>0</v>
      </c>
      <c r="AS33" s="39"/>
      <c r="AT33" s="39"/>
      <c r="AU33" s="39"/>
      <c r="AV33" s="39"/>
      <c r="AW33" s="39"/>
      <c r="AX33" s="39"/>
      <c r="AY33" s="39"/>
      <c r="AZ33" s="39"/>
      <c r="BA33" s="39">
        <f>+AR33+AS33+AU33+AW33+AY33+AZ33</f>
        <v>0</v>
      </c>
      <c r="BB33" s="35">
        <v>27</v>
      </c>
      <c r="BC33" s="53"/>
      <c r="BD33" s="53"/>
      <c r="BE33" s="35"/>
      <c r="BF33" s="53"/>
    </row>
    <row r="34" spans="1:58" ht="12.95" customHeight="1">
      <c r="A34" s="343"/>
      <c r="B34" s="43" t="s">
        <v>517</v>
      </c>
      <c r="C34" s="447">
        <f>(M34*E34*O34*Q34)/100000000</f>
        <v>0.64496640000000005</v>
      </c>
      <c r="D34" s="43" t="s">
        <v>489</v>
      </c>
      <c r="E34" s="44">
        <v>13</v>
      </c>
      <c r="F34" s="44">
        <v>1</v>
      </c>
      <c r="G34" s="459">
        <v>1700</v>
      </c>
      <c r="H34" s="46">
        <v>0.24</v>
      </c>
      <c r="I34" s="47">
        <v>0.88</v>
      </c>
      <c r="J34" s="88">
        <f>E34*G34*(1-H34)*1440/1000000*2.77</f>
        <v>66.995884799999999</v>
      </c>
      <c r="K34" s="88">
        <f>(IF(G34&lt;L34,L34,G34)*(1-IF(H34&lt;N34,H34,N34))*E34*O34*Q34)/100000000</f>
        <v>0.68527680000000002</v>
      </c>
      <c r="L34" s="37">
        <v>1600</v>
      </c>
      <c r="M34" s="37">
        <v>1216</v>
      </c>
      <c r="N34" s="48">
        <f>1-(M34/L34)</f>
        <v>0.24</v>
      </c>
      <c r="O34" s="49">
        <f>+'Trim Rwd'!H33</f>
        <v>272</v>
      </c>
      <c r="P34" s="50">
        <f>O34*(Q34-R34-S34)</f>
        <v>4080</v>
      </c>
      <c r="Q34" s="49">
        <v>15</v>
      </c>
      <c r="R34" s="417">
        <v>0</v>
      </c>
      <c r="S34" s="417">
        <v>0</v>
      </c>
      <c r="T34" s="39">
        <f>E34*M34*O34*Q34/100000000</f>
        <v>0.64496640000000005</v>
      </c>
      <c r="U34" s="39">
        <f>E34*M34*O34*(Q34-R34-S34)/100000000</f>
        <v>0.64496640000000005</v>
      </c>
      <c r="V34" s="39">
        <f>E34*G34*(1-N34)*O34/100*(R34+S34)/1000000</f>
        <v>0</v>
      </c>
      <c r="W34" s="39">
        <f>+'6'!K15/1000</f>
        <v>0</v>
      </c>
      <c r="X34" s="40"/>
      <c r="Y34" s="220"/>
      <c r="Z34" s="39">
        <v>0</v>
      </c>
      <c r="AA34" s="39"/>
      <c r="AB34" s="39"/>
      <c r="AC34" s="39">
        <f>K34-T34</f>
        <v>4.0310399999999968E-2</v>
      </c>
      <c r="AD34" s="39">
        <f>+AM34+BA34</f>
        <v>0</v>
      </c>
      <c r="AE34" s="238" t="s">
        <v>427</v>
      </c>
      <c r="AF34" s="39"/>
      <c r="AG34" s="39">
        <v>0</v>
      </c>
      <c r="AH34" s="39"/>
      <c r="AI34" s="455"/>
      <c r="AJ34" s="39"/>
      <c r="AK34" s="39"/>
      <c r="AL34" s="39"/>
      <c r="AM34" s="39">
        <f>SUM(AF34:AL34)+AT34+AV34+AX34</f>
        <v>0</v>
      </c>
      <c r="AN34" s="89"/>
      <c r="AO34" s="39"/>
      <c r="AP34" s="39"/>
      <c r="AQ34" s="39"/>
      <c r="AR34" s="39">
        <f>SUM(AN34:AQ34)</f>
        <v>0</v>
      </c>
      <c r="AS34" s="39"/>
      <c r="AT34" s="39"/>
      <c r="AU34" s="39"/>
      <c r="AV34" s="39"/>
      <c r="AW34" s="39"/>
      <c r="AX34" s="39"/>
      <c r="AY34" s="39"/>
      <c r="AZ34" s="39"/>
      <c r="BA34" s="39">
        <f>+AR34+AS34+AU34+AW34+AY34+AZ34</f>
        <v>0</v>
      </c>
      <c r="BB34" s="52"/>
      <c r="BC34" s="53">
        <v>0</v>
      </c>
      <c r="BD34" s="53"/>
      <c r="BE34" s="52"/>
      <c r="BF34" s="53"/>
    </row>
    <row r="35" spans="1:58" ht="12.95" customHeight="1">
      <c r="A35" s="42"/>
      <c r="B35" s="43" t="s">
        <v>517</v>
      </c>
      <c r="C35" s="447"/>
      <c r="D35" s="43"/>
      <c r="E35" s="44">
        <v>10.3</v>
      </c>
      <c r="F35" s="44"/>
      <c r="G35" s="45"/>
      <c r="H35" s="46"/>
      <c r="I35" s="47"/>
      <c r="J35" s="88"/>
      <c r="K35" s="88"/>
      <c r="L35" s="37"/>
      <c r="M35" s="37"/>
      <c r="N35" s="48"/>
      <c r="O35" s="49"/>
      <c r="P35" s="50"/>
      <c r="Q35" s="49"/>
      <c r="R35" s="417"/>
      <c r="S35" s="417"/>
      <c r="T35" s="39"/>
      <c r="U35" s="39"/>
      <c r="V35" s="39"/>
      <c r="W35" s="39">
        <f>+'6'!K13/1000</f>
        <v>1.3009999999999999</v>
      </c>
      <c r="X35" s="40"/>
      <c r="Y35" s="220"/>
      <c r="Z35" s="220">
        <f>+'6'!D8/1000</f>
        <v>0.35</v>
      </c>
      <c r="AA35" s="39"/>
      <c r="AB35" s="39"/>
      <c r="AC35" s="39"/>
      <c r="AD35" s="39">
        <f>+AM35+BA35</f>
        <v>27</v>
      </c>
      <c r="AE35" s="238" t="s">
        <v>548</v>
      </c>
      <c r="AF35" s="35"/>
      <c r="AG35" s="35"/>
      <c r="AH35" s="35">
        <v>27</v>
      </c>
      <c r="AI35" s="455"/>
      <c r="AJ35" s="39"/>
      <c r="AK35" s="39"/>
      <c r="AL35" s="39"/>
      <c r="AM35" s="39">
        <f>SUM(AF35:AL35)+AT35+AV35+AX35</f>
        <v>27</v>
      </c>
      <c r="AN35" s="39"/>
      <c r="AO35" s="39"/>
      <c r="AP35" s="39"/>
      <c r="AQ35" s="39"/>
      <c r="AR35" s="39">
        <f>SUM(AN35:AQ35)</f>
        <v>0</v>
      </c>
      <c r="AS35" s="39"/>
      <c r="AT35" s="39"/>
      <c r="AU35" s="39"/>
      <c r="AV35" s="39"/>
      <c r="AW35" s="39"/>
      <c r="AX35" s="39"/>
      <c r="AY35" s="39"/>
      <c r="AZ35" s="39"/>
      <c r="BA35" s="39">
        <f>+AR35+AS35+AU35+AW35+AY35+AZ35</f>
        <v>0</v>
      </c>
      <c r="BB35" s="35"/>
      <c r="BC35" s="55"/>
      <c r="BD35" s="55"/>
      <c r="BE35" s="35"/>
      <c r="BF35" s="55"/>
    </row>
    <row r="36" spans="1:58" ht="12.95" customHeight="1">
      <c r="A36" s="343"/>
      <c r="B36" s="43"/>
      <c r="C36" s="447"/>
      <c r="D36" s="43"/>
      <c r="E36" s="44"/>
      <c r="F36" s="44"/>
      <c r="G36" s="459"/>
      <c r="H36" s="46"/>
      <c r="I36" s="47"/>
      <c r="J36" s="88"/>
      <c r="K36" s="88"/>
      <c r="L36" s="37"/>
      <c r="M36" s="37"/>
      <c r="N36" s="48"/>
      <c r="O36" s="49"/>
      <c r="P36" s="50"/>
      <c r="Q36" s="49"/>
      <c r="R36" s="417"/>
      <c r="S36" s="417"/>
      <c r="T36" s="39"/>
      <c r="U36" s="39"/>
      <c r="V36" s="39"/>
      <c r="W36" s="39"/>
      <c r="X36" s="414"/>
      <c r="Y36" s="220"/>
      <c r="Z36" s="39"/>
      <c r="AA36" s="51"/>
      <c r="AB36" s="51"/>
      <c r="AC36" s="39"/>
      <c r="AD36" s="39">
        <f>+AM36+BA36</f>
        <v>20</v>
      </c>
      <c r="AE36" s="241" t="s">
        <v>532</v>
      </c>
      <c r="AF36" s="39"/>
      <c r="AG36" s="39"/>
      <c r="AH36" s="39"/>
      <c r="AI36" s="455"/>
      <c r="AJ36" s="39"/>
      <c r="AK36" s="39"/>
      <c r="AL36" s="39"/>
      <c r="AM36" s="39">
        <f t="shared" ref="AM36" si="3">SUM(AF36:AL36)+AT36+AV36+AX36</f>
        <v>0</v>
      </c>
      <c r="AN36" s="39"/>
      <c r="AO36" s="39"/>
      <c r="AP36" s="39">
        <v>20</v>
      </c>
      <c r="AQ36" s="39"/>
      <c r="AR36" s="39">
        <f t="shared" ref="AR36" si="4">SUM(AN36:AQ36)</f>
        <v>20</v>
      </c>
      <c r="AS36" s="39"/>
      <c r="AT36" s="39"/>
      <c r="AU36" s="39"/>
      <c r="AV36" s="39"/>
      <c r="AW36" s="39"/>
      <c r="AX36" s="39"/>
      <c r="AY36" s="39"/>
      <c r="AZ36" s="39"/>
      <c r="BA36" s="39">
        <f t="shared" ref="BA36" si="5">+AR36+AS36+AU36+AW36+AY36+AZ36</f>
        <v>20</v>
      </c>
      <c r="BB36" s="35"/>
      <c r="BC36" s="55"/>
      <c r="BD36" s="55"/>
      <c r="BE36" s="35"/>
      <c r="BF36" s="55"/>
    </row>
    <row r="37" spans="1:58" ht="12.95" customHeight="1">
      <c r="A37" s="42"/>
      <c r="B37" s="43"/>
      <c r="C37" s="447"/>
      <c r="D37" s="43"/>
      <c r="E37" s="44"/>
      <c r="F37" s="44"/>
      <c r="G37" s="45"/>
      <c r="H37" s="46"/>
      <c r="I37" s="47"/>
      <c r="J37" s="88"/>
      <c r="K37" s="88"/>
      <c r="L37" s="37"/>
      <c r="M37" s="37"/>
      <c r="N37" s="48"/>
      <c r="O37" s="49"/>
      <c r="P37" s="50"/>
      <c r="Q37" s="49"/>
      <c r="R37" s="417"/>
      <c r="S37" s="417"/>
      <c r="T37" s="39"/>
      <c r="U37" s="39"/>
      <c r="V37" s="39"/>
      <c r="W37" s="39"/>
      <c r="X37" s="40"/>
      <c r="Y37" s="220"/>
      <c r="Z37" s="39"/>
      <c r="AA37" s="39"/>
      <c r="AB37" s="39"/>
      <c r="AC37" s="39"/>
      <c r="AD37" s="39"/>
      <c r="AE37" s="238"/>
      <c r="AF37" s="35"/>
      <c r="AG37" s="35"/>
      <c r="AH37" s="35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5"/>
      <c r="BC37" s="55"/>
      <c r="BD37" s="53"/>
      <c r="BE37" s="53"/>
      <c r="BF37" s="53"/>
    </row>
    <row r="38" spans="1:58" ht="12.95" customHeight="1">
      <c r="A38" s="343">
        <v>45968</v>
      </c>
      <c r="B38" s="43" t="s">
        <v>517</v>
      </c>
      <c r="C38" s="447">
        <f>(M38*E38*O38*Q38)/100000000</f>
        <v>37.193062400000002</v>
      </c>
      <c r="D38" s="43" t="s">
        <v>489</v>
      </c>
      <c r="E38" s="44">
        <v>13</v>
      </c>
      <c r="F38" s="44">
        <v>1</v>
      </c>
      <c r="G38" s="459">
        <v>1700</v>
      </c>
      <c r="H38" s="46">
        <v>0.24</v>
      </c>
      <c r="I38" s="47">
        <v>0.88</v>
      </c>
      <c r="J38" s="88">
        <f>E38*G38*(1-H38)*1440/1000000*2.77</f>
        <v>66.995884799999999</v>
      </c>
      <c r="K38" s="88">
        <f>(IF(G38&lt;L38,L38,G38)*(1-IF(H38&lt;N38,H38,N38))*E38*O38*Q38)/100000000</f>
        <v>39.517628799999997</v>
      </c>
      <c r="L38" s="37">
        <v>1600</v>
      </c>
      <c r="M38" s="37">
        <v>1216</v>
      </c>
      <c r="N38" s="48">
        <f>1-(M38/L38)</f>
        <v>0.24</v>
      </c>
      <c r="O38" s="49">
        <f>+'Trim Rwd'!H35</f>
        <v>272</v>
      </c>
      <c r="P38" s="50">
        <f>O38*(Q38-R38-S38)</f>
        <v>210800</v>
      </c>
      <c r="Q38" s="49">
        <v>865</v>
      </c>
      <c r="R38" s="417">
        <v>0</v>
      </c>
      <c r="S38" s="417">
        <v>90</v>
      </c>
      <c r="T38" s="39">
        <f>E38*M38*O38*Q38/100000000</f>
        <v>37.193062400000002</v>
      </c>
      <c r="U38" s="39">
        <f>E38*M38*O38*(Q38-R38-S38)/100000000</f>
        <v>33.323264000000002</v>
      </c>
      <c r="V38" s="39">
        <f>E38*G38*(1-N38)*O38/100*(R38+S38)/1000000</f>
        <v>4.1116608000000001</v>
      </c>
      <c r="W38" s="39">
        <f>+'7'!K15/1000</f>
        <v>32.631</v>
      </c>
      <c r="X38" s="414">
        <f>SUM(W38:W41)/SUM(K38:K41)</f>
        <v>0.78018143522729932</v>
      </c>
      <c r="Y38" s="220">
        <v>0</v>
      </c>
      <c r="Z38" s="39">
        <v>0</v>
      </c>
      <c r="AA38" s="51">
        <f>SUM(U38:U41)-SUM(W38:W41)-SUM(Z38:Z41)-SUM(Y38:Y41)</f>
        <v>4.4809749128347889</v>
      </c>
      <c r="AB38" s="51">
        <f>(SUM(K38:K41)-SUM(W38:W41)-SUM(Y38:Y41)-SUM(Z38:Z41)-SUM(AC38:AC41)-SUM(V38:V41))-AA38</f>
        <v>-0.3503499032347861</v>
      </c>
      <c r="AC38" s="39">
        <f>K38-T38</f>
        <v>2.3245663999999948</v>
      </c>
      <c r="AD38" s="39">
        <f>+AM38+BA38</f>
        <v>90</v>
      </c>
      <c r="AE38" s="238" t="s">
        <v>573</v>
      </c>
      <c r="AF38" s="39">
        <v>90</v>
      </c>
      <c r="AG38" s="39"/>
      <c r="AH38" s="39"/>
      <c r="AI38" s="455"/>
      <c r="AJ38" s="39"/>
      <c r="AK38" s="39"/>
      <c r="AL38" s="39"/>
      <c r="AM38" s="39">
        <f>SUM(AF38:AL38)+AT38+AV38+AX38</f>
        <v>90</v>
      </c>
      <c r="AN38" s="39"/>
      <c r="AO38" s="39"/>
      <c r="AP38" s="39"/>
      <c r="AQ38" s="39"/>
      <c r="AR38" s="39">
        <f>SUM(AN38:AQ38)</f>
        <v>0</v>
      </c>
      <c r="AS38" s="39"/>
      <c r="AT38" s="39"/>
      <c r="AU38" s="39"/>
      <c r="AV38" s="39"/>
      <c r="AW38" s="39"/>
      <c r="AX38" s="39"/>
      <c r="AY38" s="39"/>
      <c r="AZ38" s="39"/>
      <c r="BA38" s="39">
        <f>+AR38+AS38+AU38+AW38+AY38+AZ38</f>
        <v>0</v>
      </c>
      <c r="BB38" s="35">
        <v>18</v>
      </c>
      <c r="BC38" s="53"/>
      <c r="BD38" s="53"/>
      <c r="BE38" s="35"/>
      <c r="BF38" s="53"/>
    </row>
    <row r="39" spans="1:58" ht="12.95" customHeight="1">
      <c r="A39" s="343"/>
      <c r="B39" s="43" t="s">
        <v>517</v>
      </c>
      <c r="C39" s="447">
        <f>(M39*E39*O39*Q39)/100000000</f>
        <v>21.293999580000001</v>
      </c>
      <c r="D39" s="43" t="s">
        <v>489</v>
      </c>
      <c r="E39" s="44">
        <v>10.3</v>
      </c>
      <c r="F39" s="44">
        <v>1</v>
      </c>
      <c r="G39" s="459">
        <v>1730</v>
      </c>
      <c r="H39" s="46">
        <v>0.24</v>
      </c>
      <c r="I39" s="47">
        <v>0.88</v>
      </c>
      <c r="J39" s="88">
        <f>E39*G39*(1-H39)*1440/1000000*2.77</f>
        <v>54.018084672000001</v>
      </c>
      <c r="K39" s="88">
        <f>(IF(G39&lt;L39,L39,G39)*(1-IF(H39&lt;N39,H39,N39))*E39*O39*Q39)/100000000</f>
        <v>22.893494820000001</v>
      </c>
      <c r="L39" s="37">
        <v>1609.1304347826087</v>
      </c>
      <c r="M39" s="37">
        <v>1351.6695652173912</v>
      </c>
      <c r="N39" s="48">
        <f>1-(M39/L39)</f>
        <v>0.16000000000000003</v>
      </c>
      <c r="O39" s="49">
        <f>+'Trim Rwd'!H36</f>
        <v>266</v>
      </c>
      <c r="P39" s="50">
        <f>O39*(Q39-R39-S39)</f>
        <v>142576</v>
      </c>
      <c r="Q39" s="49">
        <v>575</v>
      </c>
      <c r="R39" s="417">
        <v>0</v>
      </c>
      <c r="S39" s="417">
        <f>13+26</f>
        <v>39</v>
      </c>
      <c r="T39" s="39">
        <f>E39*M39*O39*Q39/100000000</f>
        <v>21.293999580000001</v>
      </c>
      <c r="U39" s="39">
        <f>E39*M39*O39*(Q39-R39-S39)/100000000</f>
        <v>19.849710912834784</v>
      </c>
      <c r="V39" s="39">
        <f>E39*G39*(1-N39)*O39/100*(R39+S39)/1000000</f>
        <v>1.5527761704</v>
      </c>
      <c r="W39" s="39">
        <f>+'7'!K13/1000</f>
        <v>11.616</v>
      </c>
      <c r="X39" s="40"/>
      <c r="Y39" s="220"/>
      <c r="Z39" s="39">
        <v>0</v>
      </c>
      <c r="AA39" s="39"/>
      <c r="AB39" s="39"/>
      <c r="AC39" s="39">
        <f>K39-T39</f>
        <v>1.5994952399999995</v>
      </c>
      <c r="AD39" s="39">
        <f>+AM39+BA39</f>
        <v>13</v>
      </c>
      <c r="AE39" s="238" t="s">
        <v>574</v>
      </c>
      <c r="AF39" s="39"/>
      <c r="AG39" s="39">
        <v>13</v>
      </c>
      <c r="AH39" s="39"/>
      <c r="AI39" s="455"/>
      <c r="AJ39" s="39"/>
      <c r="AK39" s="39"/>
      <c r="AL39" s="39"/>
      <c r="AM39" s="39">
        <f>SUM(AF39:AL39)+AT39+AV39+AX39</f>
        <v>13</v>
      </c>
      <c r="AN39" s="89"/>
      <c r="AO39" s="39"/>
      <c r="AP39" s="39"/>
      <c r="AQ39" s="39"/>
      <c r="AR39" s="39">
        <f>SUM(AN39:AQ39)</f>
        <v>0</v>
      </c>
      <c r="AS39" s="39"/>
      <c r="AT39" s="39"/>
      <c r="AU39" s="39"/>
      <c r="AV39" s="39"/>
      <c r="AW39" s="39"/>
      <c r="AX39" s="39"/>
      <c r="AY39" s="39"/>
      <c r="AZ39" s="39"/>
      <c r="BA39" s="39">
        <f>+AR39+AS39+AU39+AW39+AY39+AZ39</f>
        <v>0</v>
      </c>
      <c r="BB39" s="52"/>
      <c r="BC39" s="53">
        <v>7</v>
      </c>
      <c r="BD39" s="53"/>
      <c r="BE39" s="52"/>
      <c r="BF39" s="53"/>
    </row>
    <row r="40" spans="1:58" ht="12.95" customHeight="1">
      <c r="A40" s="42"/>
      <c r="B40" s="43" t="s">
        <v>517</v>
      </c>
      <c r="C40" s="447"/>
      <c r="D40" s="43"/>
      <c r="E40" s="44">
        <v>12</v>
      </c>
      <c r="F40" s="44"/>
      <c r="G40" s="45"/>
      <c r="H40" s="46"/>
      <c r="I40" s="47"/>
      <c r="J40" s="88"/>
      <c r="K40" s="88"/>
      <c r="L40" s="37"/>
      <c r="M40" s="37"/>
      <c r="N40" s="48"/>
      <c r="O40" s="49"/>
      <c r="P40" s="50"/>
      <c r="Q40" s="49"/>
      <c r="R40" s="417"/>
      <c r="S40" s="417"/>
      <c r="T40" s="39"/>
      <c r="U40" s="39"/>
      <c r="V40" s="39"/>
      <c r="W40" s="39">
        <f>+'7'!K14/1000</f>
        <v>4.4450000000000003</v>
      </c>
      <c r="X40" s="40"/>
      <c r="Y40" s="220"/>
      <c r="Z40" s="39"/>
      <c r="AA40" s="39"/>
      <c r="AB40" s="39"/>
      <c r="AC40" s="39"/>
      <c r="AD40" s="39">
        <f>+AM40+BA40</f>
        <v>26</v>
      </c>
      <c r="AE40" s="238" t="s">
        <v>466</v>
      </c>
      <c r="AF40" s="35"/>
      <c r="AG40" s="35"/>
      <c r="AH40" s="35">
        <v>26</v>
      </c>
      <c r="AI40" s="455"/>
      <c r="AJ40" s="39"/>
      <c r="AK40" s="39"/>
      <c r="AL40" s="39"/>
      <c r="AM40" s="39">
        <f>SUM(AF40:AL40)+AT40+AV40+AX40</f>
        <v>26</v>
      </c>
      <c r="AN40" s="39"/>
      <c r="AO40" s="39"/>
      <c r="AP40" s="39"/>
      <c r="AQ40" s="39"/>
      <c r="AR40" s="39">
        <f>SUM(AN40:AQ40)</f>
        <v>0</v>
      </c>
      <c r="AS40" s="39"/>
      <c r="AT40" s="39"/>
      <c r="AU40" s="39"/>
      <c r="AV40" s="39"/>
      <c r="AW40" s="39"/>
      <c r="AX40" s="39"/>
      <c r="AY40" s="39"/>
      <c r="AZ40" s="39"/>
      <c r="BA40" s="39">
        <f>+AR40+AS40+AU40+AW40+AY40+AZ40</f>
        <v>0</v>
      </c>
      <c r="BB40" s="35"/>
      <c r="BC40" s="55"/>
      <c r="BD40" s="55"/>
      <c r="BE40" s="35"/>
      <c r="BF40" s="55"/>
    </row>
    <row r="41" spans="1:58" ht="12.95" customHeight="1">
      <c r="A41" s="343"/>
      <c r="B41" s="43"/>
      <c r="C41" s="447"/>
      <c r="D41" s="43"/>
      <c r="E41" s="44"/>
      <c r="F41" s="44"/>
      <c r="G41" s="459"/>
      <c r="H41" s="46"/>
      <c r="I41" s="47"/>
      <c r="J41" s="88"/>
      <c r="K41" s="88"/>
      <c r="L41" s="37"/>
      <c r="M41" s="37"/>
      <c r="N41" s="48"/>
      <c r="O41" s="49"/>
      <c r="P41" s="50"/>
      <c r="Q41" s="49"/>
      <c r="R41" s="417"/>
      <c r="S41" s="417"/>
      <c r="T41" s="39"/>
      <c r="U41" s="39"/>
      <c r="V41" s="39"/>
      <c r="W41" s="39"/>
      <c r="X41" s="414"/>
      <c r="Y41" s="220"/>
      <c r="Z41" s="39"/>
      <c r="AA41" s="51"/>
      <c r="AB41" s="51"/>
      <c r="AC41" s="39"/>
      <c r="AD41" s="39"/>
      <c r="AE41" s="241"/>
      <c r="AF41" s="39"/>
      <c r="AG41" s="39"/>
      <c r="AH41" s="39"/>
      <c r="AI41" s="455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5"/>
      <c r="BC41" s="55"/>
      <c r="BD41" s="55"/>
      <c r="BE41" s="35"/>
      <c r="BF41" s="55"/>
    </row>
    <row r="42" spans="1:58" ht="12.95" customHeight="1">
      <c r="A42" s="343">
        <v>45969</v>
      </c>
      <c r="B42" s="43" t="s">
        <v>517</v>
      </c>
      <c r="C42" s="447">
        <f>(M42*E42*O42*Q42)/100000000</f>
        <v>51.478430976000006</v>
      </c>
      <c r="D42" s="43" t="s">
        <v>489</v>
      </c>
      <c r="E42" s="44">
        <v>10.3</v>
      </c>
      <c r="F42" s="44">
        <v>1</v>
      </c>
      <c r="G42" s="459">
        <v>1730</v>
      </c>
      <c r="H42" s="46">
        <v>0.16</v>
      </c>
      <c r="I42" s="47">
        <v>0.88</v>
      </c>
      <c r="J42" s="88">
        <f>E42*G42*(1-H42)*1440/1000000*2.77</f>
        <v>59.704198847999997</v>
      </c>
      <c r="K42" s="88">
        <f>(IF(G42&lt;L42,L42,G42)*(1-IF(H42&lt;N42,H42,N42))*E42*O42*Q42)/100000000</f>
        <v>57.333273984000009</v>
      </c>
      <c r="L42" s="37">
        <v>1553.3333333333333</v>
      </c>
      <c r="M42" s="37">
        <v>1304.8</v>
      </c>
      <c r="N42" s="48">
        <f>1-(M42/L42)</f>
        <v>0.16000000000000003</v>
      </c>
      <c r="O42" s="49">
        <f>+'Trim Rwd'!H39</f>
        <v>266</v>
      </c>
      <c r="P42" s="50">
        <f>O42*(Q42-R42-S42)</f>
        <v>364686</v>
      </c>
      <c r="Q42" s="49">
        <v>1440</v>
      </c>
      <c r="R42" s="417">
        <v>0</v>
      </c>
      <c r="S42" s="417">
        <v>69</v>
      </c>
      <c r="T42" s="39">
        <f>E42*M42*O42*Q42/100000000</f>
        <v>51.478430976000006</v>
      </c>
      <c r="U42" s="39">
        <f>E42*M42*O42*(Q42-R42-S42)/100000000</f>
        <v>49.011756158400004</v>
      </c>
      <c r="V42" s="39">
        <f>E42*G42*(1-N42)*O42/100*(R42+S42)/1000000</f>
        <v>2.7472193783999996</v>
      </c>
      <c r="W42" s="39">
        <f>+'8'!K34/1000</f>
        <v>47.743000000000002</v>
      </c>
      <c r="X42" s="414">
        <f>SUM(W42:W45)/SUM(K42:K45)</f>
        <v>0.83272760619467912</v>
      </c>
      <c r="Y42" s="220">
        <v>0</v>
      </c>
      <c r="Z42" s="39">
        <v>0</v>
      </c>
      <c r="AA42" s="51">
        <f>SUM(U42:U45)-SUM(W42:W45)-SUM(Z42:Z45)-SUM(Y42:Y45)</f>
        <v>1.2687561584000022</v>
      </c>
      <c r="AB42" s="51">
        <f>(SUM(K42:K45)-SUM(W42:W45)-SUM(Y42:Y45)-SUM(Z42:Z45)-SUM(AC42:AC45)-SUM(V42:V45))-AA42</f>
        <v>-0.28054456079999834</v>
      </c>
      <c r="AC42" s="39">
        <f>K42-T42</f>
        <v>5.8548430080000031</v>
      </c>
      <c r="AD42" s="39">
        <f>+AM42+BA42</f>
        <v>25</v>
      </c>
      <c r="AE42" s="238" t="s">
        <v>443</v>
      </c>
      <c r="AF42" s="39">
        <v>25</v>
      </c>
      <c r="AG42" s="39"/>
      <c r="AH42" s="39"/>
      <c r="AI42" s="455"/>
      <c r="AJ42" s="39"/>
      <c r="AK42" s="39"/>
      <c r="AL42" s="39"/>
      <c r="AM42" s="39">
        <f>SUM(AF42:AL42)+AT42+AV42+AX42</f>
        <v>25</v>
      </c>
      <c r="AN42" s="39"/>
      <c r="AO42" s="39"/>
      <c r="AP42" s="39"/>
      <c r="AQ42" s="39"/>
      <c r="AR42" s="39">
        <f>SUM(AN42:AQ42)</f>
        <v>0</v>
      </c>
      <c r="AS42" s="39"/>
      <c r="AT42" s="39"/>
      <c r="AU42" s="39"/>
      <c r="AV42" s="39"/>
      <c r="AW42" s="39"/>
      <c r="AX42" s="39"/>
      <c r="AY42" s="39"/>
      <c r="AZ42" s="39"/>
      <c r="BA42" s="39">
        <f>+AR42+AS42+AU42+AW42+AY42+AZ42</f>
        <v>0</v>
      </c>
      <c r="BB42" s="35">
        <v>5</v>
      </c>
      <c r="BC42" s="53"/>
      <c r="BD42" s="53"/>
      <c r="BE42" s="35"/>
      <c r="BF42" s="53"/>
    </row>
    <row r="43" spans="1:58" ht="12.95" customHeight="1">
      <c r="A43" s="343"/>
      <c r="B43" s="43"/>
      <c r="C43" s="447"/>
      <c r="D43" s="43"/>
      <c r="E43" s="44"/>
      <c r="F43" s="44"/>
      <c r="G43" s="459"/>
      <c r="H43" s="46"/>
      <c r="I43" s="47"/>
      <c r="J43" s="88"/>
      <c r="K43" s="88"/>
      <c r="L43" s="37"/>
      <c r="M43" s="37"/>
      <c r="N43" s="48"/>
      <c r="O43" s="49"/>
      <c r="P43" s="50"/>
      <c r="Q43" s="49"/>
      <c r="R43" s="417"/>
      <c r="S43" s="417"/>
      <c r="T43" s="39"/>
      <c r="U43" s="39"/>
      <c r="V43" s="39"/>
      <c r="W43" s="39"/>
      <c r="X43" s="40"/>
      <c r="Y43" s="220"/>
      <c r="Z43" s="39"/>
      <c r="AA43" s="39"/>
      <c r="AB43" s="39"/>
      <c r="AC43" s="39"/>
      <c r="AD43" s="39">
        <f>+AM43+BA43</f>
        <v>18</v>
      </c>
      <c r="AE43" s="238" t="s">
        <v>593</v>
      </c>
      <c r="AF43" s="39"/>
      <c r="AG43" s="39">
        <v>18</v>
      </c>
      <c r="AH43" s="39"/>
      <c r="AI43" s="455"/>
      <c r="AJ43" s="39"/>
      <c r="AK43" s="39"/>
      <c r="AL43" s="39"/>
      <c r="AM43" s="39">
        <f>SUM(AF43:AL43)+AT43+AV43+AX43</f>
        <v>18</v>
      </c>
      <c r="AN43" s="89"/>
      <c r="AO43" s="39"/>
      <c r="AP43" s="39"/>
      <c r="AQ43" s="39"/>
      <c r="AR43" s="39">
        <f>SUM(AN43:AQ43)</f>
        <v>0</v>
      </c>
      <c r="AS43" s="39"/>
      <c r="AT43" s="39"/>
      <c r="AU43" s="39"/>
      <c r="AV43" s="39"/>
      <c r="AW43" s="39"/>
      <c r="AX43" s="39"/>
      <c r="AY43" s="39"/>
      <c r="AZ43" s="39"/>
      <c r="BA43" s="39">
        <f>+AR43+AS43+AU43+AW43+AY43+AZ43</f>
        <v>0</v>
      </c>
      <c r="BB43" s="52"/>
      <c r="BC43" s="53">
        <v>10</v>
      </c>
      <c r="BD43" s="53"/>
      <c r="BE43" s="52"/>
      <c r="BF43" s="53"/>
    </row>
    <row r="44" spans="1:58" ht="12.95" customHeight="1">
      <c r="A44" s="42"/>
      <c r="B44" s="43"/>
      <c r="C44" s="447"/>
      <c r="D44" s="43"/>
      <c r="E44" s="44"/>
      <c r="F44" s="44"/>
      <c r="G44" s="45"/>
      <c r="H44" s="46"/>
      <c r="I44" s="47"/>
      <c r="J44" s="88"/>
      <c r="K44" s="88"/>
      <c r="L44" s="37"/>
      <c r="M44" s="37"/>
      <c r="N44" s="48"/>
      <c r="O44" s="49"/>
      <c r="P44" s="50"/>
      <c r="Q44" s="49"/>
      <c r="R44" s="417"/>
      <c r="S44" s="417"/>
      <c r="T44" s="39"/>
      <c r="U44" s="39"/>
      <c r="V44" s="39"/>
      <c r="W44" s="39"/>
      <c r="X44" s="40"/>
      <c r="Y44" s="220"/>
      <c r="Z44" s="39"/>
      <c r="AA44" s="39"/>
      <c r="AB44" s="39"/>
      <c r="AC44" s="39"/>
      <c r="AD44" s="39">
        <f>+AM44+BA44</f>
        <v>26</v>
      </c>
      <c r="AE44" s="238" t="s">
        <v>521</v>
      </c>
      <c r="AF44" s="35"/>
      <c r="AG44" s="35"/>
      <c r="AH44" s="35">
        <v>26</v>
      </c>
      <c r="AI44" s="455"/>
      <c r="AJ44" s="39"/>
      <c r="AK44" s="39"/>
      <c r="AL44" s="39"/>
      <c r="AM44" s="39">
        <f>SUM(AF44:AL44)+AT44+AV44+AX44</f>
        <v>26</v>
      </c>
      <c r="AN44" s="39"/>
      <c r="AO44" s="39"/>
      <c r="AP44" s="39"/>
      <c r="AQ44" s="39"/>
      <c r="AR44" s="39">
        <f>SUM(AN44:AQ44)</f>
        <v>0</v>
      </c>
      <c r="AS44" s="39"/>
      <c r="AT44" s="39"/>
      <c r="AU44" s="39"/>
      <c r="AV44" s="39"/>
      <c r="AW44" s="39"/>
      <c r="AX44" s="39"/>
      <c r="AY44" s="39"/>
      <c r="AZ44" s="39"/>
      <c r="BA44" s="39">
        <f>+AR44+AS44+AU44+AW44+AY44+AZ44</f>
        <v>0</v>
      </c>
      <c r="BB44" s="35"/>
      <c r="BC44" s="55"/>
      <c r="BD44" s="55"/>
      <c r="BE44" s="35"/>
      <c r="BF44" s="55"/>
    </row>
    <row r="45" spans="1:58" ht="12.95" customHeight="1">
      <c r="A45" s="343"/>
      <c r="B45" s="43"/>
      <c r="C45" s="447"/>
      <c r="D45" s="43"/>
      <c r="E45" s="44"/>
      <c r="F45" s="44"/>
      <c r="G45" s="459"/>
      <c r="H45" s="46"/>
      <c r="I45" s="47"/>
      <c r="J45" s="88"/>
      <c r="K45" s="88"/>
      <c r="L45" s="37"/>
      <c r="M45" s="37"/>
      <c r="N45" s="48"/>
      <c r="O45" s="49"/>
      <c r="P45" s="50"/>
      <c r="Q45" s="49"/>
      <c r="R45" s="417"/>
      <c r="S45" s="417"/>
      <c r="T45" s="39"/>
      <c r="U45" s="39"/>
      <c r="V45" s="39"/>
      <c r="W45" s="39"/>
      <c r="X45" s="414"/>
      <c r="Y45" s="220"/>
      <c r="Z45" s="39"/>
      <c r="AA45" s="51"/>
      <c r="AB45" s="51"/>
      <c r="AC45" s="39"/>
      <c r="AD45" s="39"/>
      <c r="AE45" s="241"/>
      <c r="AF45" s="39"/>
      <c r="AG45" s="39"/>
      <c r="AH45" s="39"/>
      <c r="AI45" s="455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5"/>
      <c r="BC45" s="55"/>
      <c r="BD45" s="55"/>
      <c r="BE45" s="35"/>
      <c r="BF45" s="55"/>
    </row>
    <row r="46" spans="1:58" ht="12.95" customHeight="1">
      <c r="A46" s="343">
        <v>45970</v>
      </c>
      <c r="B46" s="43" t="s">
        <v>517</v>
      </c>
      <c r="C46" s="447">
        <f>(M46*E46*O46*Q46)/100000000</f>
        <v>31.490033769600004</v>
      </c>
      <c r="D46" s="43" t="s">
        <v>489</v>
      </c>
      <c r="E46" s="44">
        <v>10.3</v>
      </c>
      <c r="F46" s="44">
        <v>1</v>
      </c>
      <c r="G46" s="459">
        <v>1730</v>
      </c>
      <c r="H46" s="46">
        <v>0.16</v>
      </c>
      <c r="I46" s="47">
        <v>0.88</v>
      </c>
      <c r="J46" s="88">
        <f>E46*G46*(1-H46)*1440/1000000*2.77</f>
        <v>59.704198847999997</v>
      </c>
      <c r="K46" s="88">
        <f>(IF(G46&lt;L46,L46,G46)*(1-IF(H46&lt;N46,H46,N46))*E46*O46*Q46)/100000000</f>
        <v>34.479593937600001</v>
      </c>
      <c r="L46" s="37">
        <v>1580</v>
      </c>
      <c r="M46" s="37">
        <f>+L46-L46*0.16</f>
        <v>1327.2</v>
      </c>
      <c r="N46" s="48">
        <f>1-(M46/L46)</f>
        <v>0.15999999999999992</v>
      </c>
      <c r="O46" s="49">
        <f>+'Trim Rwd'!H42</f>
        <v>266</v>
      </c>
      <c r="P46" s="50">
        <f>O46*(Q46-R46-S46)</f>
        <v>222642</v>
      </c>
      <c r="Q46" s="49">
        <v>866</v>
      </c>
      <c r="R46" s="417">
        <v>0</v>
      </c>
      <c r="S46" s="417">
        <v>29</v>
      </c>
      <c r="T46" s="39">
        <f>E46*M46*O46*Q46/100000000</f>
        <v>31.490033769600004</v>
      </c>
      <c r="U46" s="39">
        <f>E46*M46*O46*(Q46-R46-S46)/100000000</f>
        <v>30.435517627200003</v>
      </c>
      <c r="V46" s="39">
        <f>E46*G46*(1-N46)*O46/100*(R46+S46)/1000000</f>
        <v>1.1546284344</v>
      </c>
      <c r="W46" s="39">
        <f>+'9'!K13/1000</f>
        <v>37.960999999999999</v>
      </c>
      <c r="X46" s="414">
        <f>SUM(W46:W49)/SUM(K46:K49)</f>
        <v>0.89529501929382349</v>
      </c>
      <c r="Y46" s="220">
        <v>0</v>
      </c>
      <c r="Z46" s="39">
        <v>0</v>
      </c>
      <c r="AA46" s="51">
        <f>SUM(U46:U49)-SUM(W46:W49)-SUM(Z46:Z49)-SUM(Y46:Y49)</f>
        <v>-0.55747437279999312</v>
      </c>
      <c r="AB46" s="51">
        <f>(SUM(K46:K49)-SUM(W46:W49)-SUM(Y46:Y49)-SUM(Z46:Z49)-SUM(AC46:AC49)-SUM(V46:V49))-AA46</f>
        <v>-0.14288509199999977</v>
      </c>
      <c r="AC46" s="39">
        <f>K46-T46</f>
        <v>2.989560167999997</v>
      </c>
      <c r="AD46" s="39">
        <f>+AM46+BA46</f>
        <v>0</v>
      </c>
      <c r="AE46" s="238" t="s">
        <v>434</v>
      </c>
      <c r="AF46" s="39">
        <v>0</v>
      </c>
      <c r="AG46" s="39"/>
      <c r="AH46" s="39"/>
      <c r="AI46" s="455"/>
      <c r="AJ46" s="39"/>
      <c r="AK46" s="39"/>
      <c r="AL46" s="39"/>
      <c r="AM46" s="39">
        <f>SUM(AF46:AL46)+AT46+AV46+AX46</f>
        <v>0</v>
      </c>
      <c r="AN46" s="39"/>
      <c r="AO46" s="39"/>
      <c r="AP46" s="39"/>
      <c r="AQ46" s="39"/>
      <c r="AR46" s="39">
        <f>SUM(AN46:AQ46)</f>
        <v>0</v>
      </c>
      <c r="AS46" s="39"/>
      <c r="AT46" s="39"/>
      <c r="AU46" s="39"/>
      <c r="AV46" s="39"/>
      <c r="AW46" s="39"/>
      <c r="AX46" s="39"/>
      <c r="AY46" s="39"/>
      <c r="AZ46" s="39"/>
      <c r="BA46" s="39">
        <f>+AR46+AS46+AU46+AW46+AY46+AZ46</f>
        <v>0</v>
      </c>
      <c r="BB46" s="35">
        <v>0</v>
      </c>
      <c r="BC46" s="53"/>
      <c r="BD46" s="53"/>
      <c r="BE46" s="35"/>
      <c r="BF46" s="53"/>
    </row>
    <row r="47" spans="1:58" ht="12.95" customHeight="1">
      <c r="A47" s="343"/>
      <c r="B47" s="43" t="s">
        <v>517</v>
      </c>
      <c r="C47" s="447">
        <f>(M47*E47*O47*Q47)/100000000</f>
        <v>23.090183199999998</v>
      </c>
      <c r="D47" s="43" t="s">
        <v>489</v>
      </c>
      <c r="E47" s="44">
        <v>12.5</v>
      </c>
      <c r="F47" s="44">
        <v>1</v>
      </c>
      <c r="G47" s="459">
        <v>1700</v>
      </c>
      <c r="H47" s="46">
        <v>0.24</v>
      </c>
      <c r="I47" s="47">
        <v>0.88</v>
      </c>
      <c r="J47" s="88">
        <f>E47*G47*(1-H47)*1440/1000000*2.77</f>
        <v>64.419120000000007</v>
      </c>
      <c r="K47" s="88">
        <f>(IF(G47&lt;L47,L47,G47)*(1-IF(H47&lt;N47,H47,N47))*E47*O47*Q47)/100000000</f>
        <v>24.843868000000001</v>
      </c>
      <c r="L47" s="37">
        <v>1580</v>
      </c>
      <c r="M47" s="37">
        <f>+L47-L47*0.24</f>
        <v>1200.8</v>
      </c>
      <c r="N47" s="48">
        <f>1-(M47/L47)</f>
        <v>0.24</v>
      </c>
      <c r="O47" s="49">
        <f>+'Trim Rwd'!H43</f>
        <v>268</v>
      </c>
      <c r="P47" s="50">
        <f>O47*(Q47-R47-S47)</f>
        <v>150080</v>
      </c>
      <c r="Q47" s="49">
        <v>574</v>
      </c>
      <c r="R47" s="417">
        <v>0</v>
      </c>
      <c r="S47" s="417">
        <v>14</v>
      </c>
      <c r="T47" s="39">
        <f>E47*M47*O47*Q47/100000000</f>
        <v>23.090183199999998</v>
      </c>
      <c r="U47" s="39">
        <f>E47*M47*O47*(Q47-R47-S47)/100000000</f>
        <v>22.527007999999999</v>
      </c>
      <c r="V47" s="39">
        <f>E47*G47*(1-N47)*O47/100*(R47+S47)/1000000</f>
        <v>0.60594800000000004</v>
      </c>
      <c r="W47" s="39">
        <f>+'9'!K16/1000</f>
        <v>15.151</v>
      </c>
      <c r="X47" s="40"/>
      <c r="Y47" s="220"/>
      <c r="Z47" s="39">
        <f>+'9'!D34/1000</f>
        <v>0.40799999999999997</v>
      </c>
      <c r="AA47" s="39"/>
      <c r="AB47" s="39"/>
      <c r="AC47" s="39">
        <f>K47-T47</f>
        <v>1.753684800000002</v>
      </c>
      <c r="AD47" s="39">
        <f>+AM47+BA47</f>
        <v>14</v>
      </c>
      <c r="AE47" s="238" t="s">
        <v>592</v>
      </c>
      <c r="AF47" s="39"/>
      <c r="AG47" s="39">
        <v>14</v>
      </c>
      <c r="AH47" s="39"/>
      <c r="AI47" s="455"/>
      <c r="AJ47" s="39"/>
      <c r="AK47" s="39"/>
      <c r="AL47" s="39"/>
      <c r="AM47" s="39">
        <f>SUM(AF47:AL47)+AT47+AV47+AX47</f>
        <v>14</v>
      </c>
      <c r="AN47" s="89"/>
      <c r="AO47" s="39"/>
      <c r="AP47" s="39"/>
      <c r="AQ47" s="39"/>
      <c r="AR47" s="39">
        <f>SUM(AN47:AQ47)</f>
        <v>0</v>
      </c>
      <c r="AS47" s="39"/>
      <c r="AT47" s="39"/>
      <c r="AU47" s="39"/>
      <c r="AV47" s="39"/>
      <c r="AW47" s="39"/>
      <c r="AX47" s="39"/>
      <c r="AY47" s="39"/>
      <c r="AZ47" s="39"/>
      <c r="BA47" s="39">
        <f>+AR47+AS47+AU47+AW47+AY47+AZ47</f>
        <v>0</v>
      </c>
      <c r="BB47" s="52"/>
      <c r="BC47" s="53">
        <v>11</v>
      </c>
      <c r="BD47" s="53"/>
      <c r="BE47" s="52"/>
      <c r="BF47" s="53"/>
    </row>
    <row r="48" spans="1:58" ht="12.95" customHeight="1">
      <c r="A48" s="42"/>
      <c r="B48" s="43"/>
      <c r="C48" s="447"/>
      <c r="D48" s="43"/>
      <c r="E48" s="44"/>
      <c r="F48" s="44"/>
      <c r="G48" s="45"/>
      <c r="H48" s="46"/>
      <c r="I48" s="47"/>
      <c r="J48" s="88"/>
      <c r="K48" s="88"/>
      <c r="L48" s="37"/>
      <c r="M48" s="37"/>
      <c r="N48" s="48"/>
      <c r="O48" s="49"/>
      <c r="P48" s="50"/>
      <c r="Q48" s="49"/>
      <c r="R48" s="417"/>
      <c r="S48" s="417"/>
      <c r="T48" s="39"/>
      <c r="U48" s="39"/>
      <c r="V48" s="39"/>
      <c r="W48" s="39"/>
      <c r="X48" s="40"/>
      <c r="Y48" s="220"/>
      <c r="Z48" s="39"/>
      <c r="AA48" s="39"/>
      <c r="AB48" s="39"/>
      <c r="AC48" s="39"/>
      <c r="AD48" s="39">
        <f>+AM48+BA48</f>
        <v>29</v>
      </c>
      <c r="AE48" s="238" t="s">
        <v>548</v>
      </c>
      <c r="AF48" s="35"/>
      <c r="AG48" s="35"/>
      <c r="AH48" s="35">
        <v>29</v>
      </c>
      <c r="AI48" s="455"/>
      <c r="AJ48" s="39"/>
      <c r="AK48" s="39"/>
      <c r="AL48" s="39"/>
      <c r="AM48" s="39">
        <f>SUM(AF48:AL48)+AT48+AV48+AX48</f>
        <v>29</v>
      </c>
      <c r="AN48" s="39"/>
      <c r="AO48" s="39"/>
      <c r="AP48" s="39"/>
      <c r="AQ48" s="39"/>
      <c r="AR48" s="39">
        <f>SUM(AN48:AQ48)</f>
        <v>0</v>
      </c>
      <c r="AS48" s="39"/>
      <c r="AT48" s="39"/>
      <c r="AU48" s="39"/>
      <c r="AV48" s="39"/>
      <c r="AW48" s="39"/>
      <c r="AX48" s="39"/>
      <c r="AY48" s="39"/>
      <c r="AZ48" s="39"/>
      <c r="BA48" s="39">
        <f>+AR48+AS48+AU48+AW48+AY48+AZ48</f>
        <v>0</v>
      </c>
      <c r="BB48" s="35"/>
      <c r="BC48" s="55"/>
      <c r="BD48" s="55"/>
      <c r="BE48" s="35"/>
      <c r="BF48" s="55"/>
    </row>
    <row r="49" spans="1:58" ht="12.95" customHeight="1">
      <c r="A49" s="343"/>
      <c r="B49" s="43"/>
      <c r="C49" s="447"/>
      <c r="D49" s="43"/>
      <c r="E49" s="44"/>
      <c r="F49" s="44"/>
      <c r="G49" s="459"/>
      <c r="H49" s="46"/>
      <c r="I49" s="47"/>
      <c r="J49" s="88"/>
      <c r="K49" s="88"/>
      <c r="L49" s="37"/>
      <c r="M49" s="37"/>
      <c r="N49" s="48"/>
      <c r="O49" s="49"/>
      <c r="P49" s="50"/>
      <c r="Q49" s="49"/>
      <c r="R49" s="417"/>
      <c r="S49" s="417"/>
      <c r="T49" s="39"/>
      <c r="U49" s="39"/>
      <c r="V49" s="39"/>
      <c r="W49" s="39"/>
      <c r="X49" s="414"/>
      <c r="Y49" s="220"/>
      <c r="Z49" s="39"/>
      <c r="AA49" s="51"/>
      <c r="AB49" s="51"/>
      <c r="AC49" s="39"/>
      <c r="AD49" s="39"/>
      <c r="AE49" s="238"/>
      <c r="AF49" s="39"/>
      <c r="AG49" s="39"/>
      <c r="AH49" s="39"/>
      <c r="AI49" s="455"/>
      <c r="AJ49" s="39"/>
      <c r="AK49" s="39"/>
      <c r="AL49" s="39"/>
      <c r="AM49" s="39"/>
      <c r="AN49" s="8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52"/>
      <c r="BC49" s="53"/>
      <c r="BD49" s="53"/>
      <c r="BE49" s="53"/>
      <c r="BF49" s="53"/>
    </row>
    <row r="50" spans="1:58" ht="12.95" customHeight="1">
      <c r="A50" s="343">
        <v>45971</v>
      </c>
      <c r="B50" s="43" t="s">
        <v>517</v>
      </c>
      <c r="C50" s="447">
        <f>(M50*E50*O50*Q50)/100000000</f>
        <v>4.827216</v>
      </c>
      <c r="D50" s="43" t="s">
        <v>489</v>
      </c>
      <c r="E50" s="44">
        <v>12.5</v>
      </c>
      <c r="F50" s="44">
        <v>1</v>
      </c>
      <c r="G50" s="459">
        <v>1700</v>
      </c>
      <c r="H50" s="46">
        <v>0.24</v>
      </c>
      <c r="I50" s="47">
        <v>0.88</v>
      </c>
      <c r="J50" s="88">
        <f>E50*G50*(1-H50)*1440/1000000*2.77</f>
        <v>64.419120000000007</v>
      </c>
      <c r="K50" s="88">
        <f>(IF(G50&lt;L50,L50,G50)*(1-IF(H50&lt;N50,H50,N50))*E50*O50*Q50)/100000000</f>
        <v>5.1938399999999998</v>
      </c>
      <c r="L50" s="37">
        <v>1580</v>
      </c>
      <c r="M50" s="37">
        <f>+L50-L50*0.24</f>
        <v>1200.8</v>
      </c>
      <c r="N50" s="48">
        <f>1-(M50/L50)</f>
        <v>0.24</v>
      </c>
      <c r="O50" s="49">
        <f>+'Trim Rwd'!H45</f>
        <v>268</v>
      </c>
      <c r="P50" s="50">
        <f>O50*(Q50-R50-S50)</f>
        <v>28676</v>
      </c>
      <c r="Q50" s="49">
        <v>120</v>
      </c>
      <c r="R50" s="417">
        <v>0</v>
      </c>
      <c r="S50" s="417">
        <v>13</v>
      </c>
      <c r="T50" s="39">
        <f>E50*M50*O50*Q50/100000000</f>
        <v>4.827216</v>
      </c>
      <c r="U50" s="39">
        <f>E50*M50*O50*(Q50-R50-S50)/100000000</f>
        <v>4.3042676000000002</v>
      </c>
      <c r="V50" s="39">
        <f>E50*G50*(1-N50)*O50/100*(R50+S50)/1000000</f>
        <v>0.562666</v>
      </c>
      <c r="W50" s="39">
        <f>+'10'!K16/1000</f>
        <v>10.034000000000001</v>
      </c>
      <c r="X50" s="414">
        <f>SUM(W50:W53)/SUM(K50:K53)</f>
        <v>0.81277098610842591</v>
      </c>
      <c r="Y50" s="220">
        <v>0</v>
      </c>
      <c r="Z50" s="39">
        <f>+'10'!D7/1000</f>
        <v>0.88</v>
      </c>
      <c r="AA50" s="51">
        <f>SUM(U50:U53)-SUM(W50:W53)-SUM(Z50:Z53)-SUM(Y50:Y53)</f>
        <v>2.3899476000000037</v>
      </c>
      <c r="AB50" s="51">
        <f>(SUM(K50:K53)-SUM(W50:W53)-SUM(Y50:Y53)-SUM(Z50:Z53)-SUM(AC50:AC53)-SUM(V50:V53))-AA50</f>
        <v>-3.9717600000002129E-2</v>
      </c>
      <c r="AC50" s="39">
        <f>K50-T50</f>
        <v>0.36662399999999984</v>
      </c>
      <c r="AD50" s="39">
        <f>+AM50+BA50</f>
        <v>0</v>
      </c>
      <c r="AE50" s="238" t="s">
        <v>434</v>
      </c>
      <c r="AF50" s="39">
        <v>0</v>
      </c>
      <c r="AG50" s="39"/>
      <c r="AH50" s="39"/>
      <c r="AI50" s="455"/>
      <c r="AJ50" s="39"/>
      <c r="AK50" s="39"/>
      <c r="AL50" s="39"/>
      <c r="AM50" s="39">
        <f>SUM(AF50:AL50)+AT50+AV50+AX50</f>
        <v>0</v>
      </c>
      <c r="AN50" s="39"/>
      <c r="AO50" s="39"/>
      <c r="AP50" s="39"/>
      <c r="AQ50" s="39"/>
      <c r="AR50" s="39">
        <f>SUM(AN50:AQ50)</f>
        <v>0</v>
      </c>
      <c r="AS50" s="39"/>
      <c r="AT50" s="39"/>
      <c r="AU50" s="39"/>
      <c r="AV50" s="39"/>
      <c r="AW50" s="39"/>
      <c r="AX50" s="39"/>
      <c r="AY50" s="39"/>
      <c r="AZ50" s="39"/>
      <c r="BA50" s="39">
        <f>+AR50+AS50+AU50+AW50+AY50+AZ50</f>
        <v>0</v>
      </c>
      <c r="BB50" s="35">
        <v>0</v>
      </c>
      <c r="BC50" s="53"/>
      <c r="BD50" s="53"/>
      <c r="BE50" s="35"/>
      <c r="BF50" s="53"/>
    </row>
    <row r="51" spans="1:58" ht="12.95" customHeight="1">
      <c r="A51" s="343"/>
      <c r="B51" s="597" t="s">
        <v>604</v>
      </c>
      <c r="C51" s="447">
        <f>(M51*E51*O51*Q51)/100000000</f>
        <v>48.185279999999999</v>
      </c>
      <c r="D51" s="43" t="s">
        <v>489</v>
      </c>
      <c r="E51" s="44">
        <v>13</v>
      </c>
      <c r="F51" s="44">
        <v>1</v>
      </c>
      <c r="G51" s="459">
        <v>1350</v>
      </c>
      <c r="H51" s="46">
        <v>0.2</v>
      </c>
      <c r="I51" s="47">
        <v>0.88</v>
      </c>
      <c r="J51" s="88">
        <f>E51*G51*(1-H51)*1440/1000000*2.77</f>
        <v>56.002752000000001</v>
      </c>
      <c r="K51" s="88">
        <f>(IF(G51&lt;L51,L51,G51)*(1-IF(H51&lt;N51,H51,N51))*E51*O51*Q51)/100000000</f>
        <v>48.185279999999999</v>
      </c>
      <c r="L51" s="37">
        <v>1350</v>
      </c>
      <c r="M51" s="37">
        <f t="shared" ref="M51" si="6">+L51-L51*0.2</f>
        <v>1080</v>
      </c>
      <c r="N51" s="48">
        <f>1-(M51/L51)</f>
        <v>0.19999999999999996</v>
      </c>
      <c r="O51" s="49">
        <f>+'Trim Rwd'!H46</f>
        <v>260</v>
      </c>
      <c r="P51" s="50">
        <f>O51*(Q51-R51-S51)</f>
        <v>304200</v>
      </c>
      <c r="Q51" s="49">
        <v>1320</v>
      </c>
      <c r="R51" s="417">
        <v>0</v>
      </c>
      <c r="S51" s="417">
        <v>150</v>
      </c>
      <c r="T51" s="39">
        <f>E51*M51*O51*Q51/100000000</f>
        <v>48.185279999999999</v>
      </c>
      <c r="U51" s="39">
        <f>E51*M51*O51*(Q51-R51-S51)/100000000</f>
        <v>42.709679999999999</v>
      </c>
      <c r="V51" s="39">
        <f>E51*G51*(1-N51)*O51/100*(R51+S51)/1000000</f>
        <v>5.4756</v>
      </c>
      <c r="W51" s="39">
        <f>+'10'!K17/1000</f>
        <v>33.350999999999999</v>
      </c>
      <c r="X51" s="40"/>
      <c r="Y51" s="220"/>
      <c r="Z51" s="39">
        <f>+('10'!D8+'10'!D16+'10'!D25)/1000</f>
        <v>0.35899999999999999</v>
      </c>
      <c r="AA51" s="39"/>
      <c r="AB51" s="39"/>
      <c r="AC51" s="39">
        <f>K51-T51</f>
        <v>0</v>
      </c>
      <c r="AD51" s="39">
        <f>+AM51+BA51</f>
        <v>10</v>
      </c>
      <c r="AE51" s="238" t="s">
        <v>605</v>
      </c>
      <c r="AF51" s="39"/>
      <c r="AG51" s="39">
        <v>10</v>
      </c>
      <c r="AH51" s="39"/>
      <c r="AI51" s="455"/>
      <c r="AJ51" s="39"/>
      <c r="AK51" s="39"/>
      <c r="AL51" s="39"/>
      <c r="AM51" s="39">
        <f>SUM(AF51:AL51)+AT51+AV51+AX51</f>
        <v>10</v>
      </c>
      <c r="AN51" s="89"/>
      <c r="AO51" s="39"/>
      <c r="AP51" s="39"/>
      <c r="AQ51" s="39"/>
      <c r="AR51" s="39">
        <f>SUM(AN51:AQ51)</f>
        <v>0</v>
      </c>
      <c r="AS51" s="39"/>
      <c r="AT51" s="39"/>
      <c r="AU51" s="39"/>
      <c r="AV51" s="39"/>
      <c r="AW51" s="39"/>
      <c r="AX51" s="39"/>
      <c r="AY51" s="39"/>
      <c r="AZ51" s="39"/>
      <c r="BA51" s="39">
        <f>+AR51+AS51+AU51+AW51+AY51+AZ51</f>
        <v>0</v>
      </c>
      <c r="BB51" s="52"/>
      <c r="BC51" s="53">
        <v>9</v>
      </c>
      <c r="BD51" s="53"/>
      <c r="BE51" s="52"/>
      <c r="BF51" s="53"/>
    </row>
    <row r="52" spans="1:58" ht="12.95" customHeight="1">
      <c r="A52" s="42"/>
      <c r="B52" s="43"/>
      <c r="C52" s="447"/>
      <c r="D52" s="43"/>
      <c r="E52" s="44"/>
      <c r="F52" s="44"/>
      <c r="G52" s="45"/>
      <c r="H52" s="46"/>
      <c r="I52" s="47"/>
      <c r="J52" s="88"/>
      <c r="K52" s="88"/>
      <c r="L52" s="37"/>
      <c r="M52" s="37"/>
      <c r="N52" s="48"/>
      <c r="O52" s="49"/>
      <c r="P52" s="50"/>
      <c r="Q52" s="49"/>
      <c r="R52" s="417"/>
      <c r="S52" s="417"/>
      <c r="T52" s="39"/>
      <c r="U52" s="39"/>
      <c r="V52" s="39"/>
      <c r="W52" s="39"/>
      <c r="X52" s="40"/>
      <c r="Y52" s="220"/>
      <c r="Z52" s="39"/>
      <c r="AA52" s="39"/>
      <c r="AB52" s="39"/>
      <c r="AC52" s="39"/>
      <c r="AD52" s="39">
        <f>+AM52+BA52</f>
        <v>18</v>
      </c>
      <c r="AE52" s="238" t="s">
        <v>606</v>
      </c>
      <c r="AF52" s="35"/>
      <c r="AG52" s="35"/>
      <c r="AH52" s="35">
        <v>18</v>
      </c>
      <c r="AI52" s="455"/>
      <c r="AJ52" s="39"/>
      <c r="AK52" s="39"/>
      <c r="AL52" s="39"/>
      <c r="AM52" s="39">
        <f>SUM(AF52:AL52)+AT52+AV52+AX52</f>
        <v>18</v>
      </c>
      <c r="AN52" s="39"/>
      <c r="AO52" s="39"/>
      <c r="AP52" s="39"/>
      <c r="AQ52" s="39"/>
      <c r="AR52" s="39">
        <f>SUM(AN52:AQ52)</f>
        <v>0</v>
      </c>
      <c r="AS52" s="39"/>
      <c r="AT52" s="39"/>
      <c r="AU52" s="39"/>
      <c r="AV52" s="39"/>
      <c r="AW52" s="39"/>
      <c r="AX52" s="39"/>
      <c r="AY52" s="39"/>
      <c r="AZ52" s="39"/>
      <c r="BA52" s="39">
        <f>+AR52+AS52+AU52+AW52+AY52+AZ52</f>
        <v>0</v>
      </c>
      <c r="BB52" s="35"/>
      <c r="BC52" s="55"/>
      <c r="BD52" s="55"/>
      <c r="BE52" s="35"/>
      <c r="BF52" s="55"/>
    </row>
    <row r="53" spans="1:58" ht="12.95" customHeight="1">
      <c r="A53" s="343"/>
      <c r="B53" s="43"/>
      <c r="C53" s="447"/>
      <c r="D53" s="43"/>
      <c r="E53" s="44"/>
      <c r="F53" s="44"/>
      <c r="G53" s="459"/>
      <c r="H53" s="46"/>
      <c r="I53" s="47"/>
      <c r="J53" s="88"/>
      <c r="K53" s="88"/>
      <c r="L53" s="37"/>
      <c r="M53" s="37"/>
      <c r="N53" s="48"/>
      <c r="O53" s="49"/>
      <c r="P53" s="50"/>
      <c r="Q53" s="49"/>
      <c r="R53" s="417"/>
      <c r="S53" s="417"/>
      <c r="T53" s="39"/>
      <c r="U53" s="39"/>
      <c r="V53" s="39"/>
      <c r="W53" s="39"/>
      <c r="X53" s="414"/>
      <c r="Y53" s="220"/>
      <c r="Z53" s="39"/>
      <c r="AA53" s="51"/>
      <c r="AB53" s="51"/>
      <c r="AC53" s="39"/>
      <c r="AD53" s="39">
        <f>+AM53+BA53</f>
        <v>135</v>
      </c>
      <c r="AE53" s="241" t="s">
        <v>415</v>
      </c>
      <c r="AF53" s="39"/>
      <c r="AG53" s="39"/>
      <c r="AH53" s="35"/>
      <c r="AI53" s="455">
        <v>135</v>
      </c>
      <c r="AJ53" s="39"/>
      <c r="AK53" s="39"/>
      <c r="AL53" s="39"/>
      <c r="AM53" s="39">
        <f>SUM(AF53:AL53)+AT53+AV53+AX53</f>
        <v>135</v>
      </c>
      <c r="AN53" s="39"/>
      <c r="AO53" s="39"/>
      <c r="AP53" s="39"/>
      <c r="AQ53" s="39"/>
      <c r="AR53" s="39">
        <f>SUM(AN53:AQ53)</f>
        <v>0</v>
      </c>
      <c r="AS53" s="39"/>
      <c r="AT53" s="39"/>
      <c r="AU53" s="39"/>
      <c r="AV53" s="39"/>
      <c r="AW53" s="39"/>
      <c r="AX53" s="39"/>
      <c r="AY53" s="39"/>
      <c r="AZ53" s="39"/>
      <c r="BA53" s="39">
        <f>+AR53+AS53+AU53+AW53+AY53+AZ53</f>
        <v>0</v>
      </c>
      <c r="BB53" s="35"/>
      <c r="BC53" s="55"/>
      <c r="BD53" s="55"/>
      <c r="BE53" s="35"/>
      <c r="BF53" s="55"/>
    </row>
    <row r="54" spans="1:58" ht="12.95" customHeight="1">
      <c r="A54" s="42"/>
      <c r="B54" s="43"/>
      <c r="C54" s="447"/>
      <c r="D54" s="43"/>
      <c r="E54" s="44"/>
      <c r="F54" s="44"/>
      <c r="G54" s="45"/>
      <c r="H54" s="46"/>
      <c r="I54" s="47"/>
      <c r="J54" s="88"/>
      <c r="K54" s="88"/>
      <c r="L54" s="37"/>
      <c r="M54" s="37"/>
      <c r="N54" s="48"/>
      <c r="O54" s="49"/>
      <c r="P54" s="50"/>
      <c r="Q54" s="49"/>
      <c r="R54" s="417"/>
      <c r="S54" s="417"/>
      <c r="T54" s="39"/>
      <c r="U54" s="39"/>
      <c r="V54" s="39"/>
      <c r="W54" s="39"/>
      <c r="X54" s="40"/>
      <c r="Y54" s="220"/>
      <c r="Z54" s="39"/>
      <c r="AA54" s="39"/>
      <c r="AB54" s="39"/>
      <c r="AC54" s="39"/>
      <c r="AD54" s="39"/>
      <c r="AE54" s="238"/>
      <c r="AF54" s="35"/>
      <c r="AG54" s="35"/>
      <c r="AH54" s="35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5"/>
      <c r="BC54" s="55"/>
      <c r="BD54" s="53"/>
      <c r="BE54" s="53"/>
      <c r="BF54" s="53"/>
    </row>
    <row r="55" spans="1:58" ht="12.95" customHeight="1">
      <c r="A55" s="343">
        <v>45972</v>
      </c>
      <c r="B55" s="597" t="s">
        <v>604</v>
      </c>
      <c r="C55" s="447">
        <f>(M55*E55*O55*Q55)/100000000</f>
        <v>52.565759999999997</v>
      </c>
      <c r="D55" s="43" t="s">
        <v>489</v>
      </c>
      <c r="E55" s="44">
        <v>13</v>
      </c>
      <c r="F55" s="44">
        <v>1</v>
      </c>
      <c r="G55" s="459">
        <v>1350</v>
      </c>
      <c r="H55" s="46">
        <v>0.2</v>
      </c>
      <c r="I55" s="47">
        <v>0.88</v>
      </c>
      <c r="J55" s="88">
        <f>E55*G55*(1-H55)*1440/1000000*2.77</f>
        <v>56.002752000000001</v>
      </c>
      <c r="K55" s="88">
        <f>(IF(G55&lt;L55,L55,G55)*(1-IF(H55&lt;N55,H55,N55))*E55*O55*Q55)/100000000</f>
        <v>52.565759999999997</v>
      </c>
      <c r="L55" s="37">
        <v>1350</v>
      </c>
      <c r="M55" s="37">
        <f t="shared" ref="M55" si="7">+L55-L55*0.2</f>
        <v>1080</v>
      </c>
      <c r="N55" s="48">
        <f>1-(M55/L55)</f>
        <v>0.19999999999999996</v>
      </c>
      <c r="O55" s="49">
        <f>+'Trim Rwd'!H48</f>
        <v>260</v>
      </c>
      <c r="P55" s="50">
        <f>O55*(Q55-R55-S55)</f>
        <v>346320</v>
      </c>
      <c r="Q55" s="49">
        <v>1440</v>
      </c>
      <c r="R55" s="417">
        <v>75</v>
      </c>
      <c r="S55" s="417">
        <v>33</v>
      </c>
      <c r="T55" s="39">
        <f>E55*M55*O55*Q55/100000000</f>
        <v>52.565759999999997</v>
      </c>
      <c r="U55" s="39">
        <f>E55*M55*O55*(Q55-R55-S55)/100000000</f>
        <v>48.623328000000001</v>
      </c>
      <c r="V55" s="39">
        <f>E55*G55*(1-N55)*O55/100*(R55+S55)/1000000</f>
        <v>3.9424320000000002</v>
      </c>
      <c r="W55" s="39">
        <f>+'11'!K34/1000</f>
        <v>51.335000000000001</v>
      </c>
      <c r="X55" s="414">
        <f>SUM(W55:W58)/SUM(K55:K58)</f>
        <v>0.97658627973798917</v>
      </c>
      <c r="Y55" s="220">
        <v>0</v>
      </c>
      <c r="Z55" s="39">
        <f>+'11'!D34/1000</f>
        <v>0.46400000000000002</v>
      </c>
      <c r="AA55" s="51">
        <f>SUM(U55:U58)-SUM(W55:W58)-SUM(Z55:Z58)-SUM(Y55:Y58)</f>
        <v>-3.1756720000000001</v>
      </c>
      <c r="AB55" s="51">
        <f>(SUM(K55:K58)-SUM(W55:W58)-SUM(Y55:Y58)-SUM(Z55:Z58)-SUM(AC55:AC58)-SUM(V55:V58))-AA55</f>
        <v>-3.5527136788005009E-15</v>
      </c>
      <c r="AC55" s="39">
        <f>K55-T55</f>
        <v>0</v>
      </c>
      <c r="AD55" s="39">
        <f>+AM55+BA55</f>
        <v>5</v>
      </c>
      <c r="AE55" s="238" t="s">
        <v>438</v>
      </c>
      <c r="AF55" s="39">
        <v>5</v>
      </c>
      <c r="AG55" s="39"/>
      <c r="AH55" s="39"/>
      <c r="AI55" s="455"/>
      <c r="AJ55" s="39"/>
      <c r="AK55" s="39"/>
      <c r="AL55" s="39"/>
      <c r="AM55" s="39">
        <f>SUM(AF55:AL55)+AT55+AV55+AX55</f>
        <v>5</v>
      </c>
      <c r="AN55" s="39"/>
      <c r="AO55" s="39"/>
      <c r="AP55" s="39"/>
      <c r="AQ55" s="39"/>
      <c r="AR55" s="39">
        <f>SUM(AN55:AQ55)</f>
        <v>0</v>
      </c>
      <c r="AS55" s="39"/>
      <c r="AT55" s="39"/>
      <c r="AU55" s="39"/>
      <c r="AV55" s="39"/>
      <c r="AW55" s="39"/>
      <c r="AX55" s="39"/>
      <c r="AY55" s="39"/>
      <c r="AZ55" s="39"/>
      <c r="BA55" s="39">
        <f>+AR55+AS55+AU55+AW55+AY55+AZ55</f>
        <v>0</v>
      </c>
      <c r="BB55" s="35">
        <v>1</v>
      </c>
      <c r="BC55" s="53"/>
      <c r="BD55" s="53"/>
      <c r="BE55" s="35"/>
      <c r="BF55" s="53"/>
    </row>
    <row r="56" spans="1:58" ht="12.95" customHeight="1">
      <c r="A56" s="343"/>
      <c r="B56" s="43"/>
      <c r="C56" s="447"/>
      <c r="D56" s="43"/>
      <c r="E56" s="44"/>
      <c r="F56" s="44"/>
      <c r="G56" s="45"/>
      <c r="H56" s="46"/>
      <c r="I56" s="47"/>
      <c r="J56" s="88"/>
      <c r="K56" s="88"/>
      <c r="L56" s="37"/>
      <c r="M56" s="37"/>
      <c r="N56" s="48"/>
      <c r="O56" s="49"/>
      <c r="P56" s="50"/>
      <c r="Q56" s="49"/>
      <c r="R56" s="417"/>
      <c r="S56" s="417"/>
      <c r="T56" s="39"/>
      <c r="U56" s="39"/>
      <c r="V56" s="39"/>
      <c r="W56" s="39"/>
      <c r="X56" s="40"/>
      <c r="Y56" s="220"/>
      <c r="Z56" s="39"/>
      <c r="AA56" s="39"/>
      <c r="AB56" s="39"/>
      <c r="AC56" s="39"/>
      <c r="AD56" s="39">
        <f>+AM56+BA56</f>
        <v>9</v>
      </c>
      <c r="AE56" s="238" t="s">
        <v>605</v>
      </c>
      <c r="AF56" s="39"/>
      <c r="AG56" s="39">
        <v>9</v>
      </c>
      <c r="AH56" s="39"/>
      <c r="AI56" s="455"/>
      <c r="AJ56" s="39"/>
      <c r="AK56" s="39"/>
      <c r="AL56" s="39"/>
      <c r="AM56" s="39">
        <f>SUM(AF56:AL56)+AT56+AV56+AX56</f>
        <v>9</v>
      </c>
      <c r="AN56" s="89"/>
      <c r="AO56" s="39"/>
      <c r="AP56" s="39"/>
      <c r="AQ56" s="39"/>
      <c r="AR56" s="39">
        <f>SUM(AN56:AQ56)</f>
        <v>0</v>
      </c>
      <c r="AS56" s="39"/>
      <c r="AT56" s="39"/>
      <c r="AU56" s="39"/>
      <c r="AV56" s="39"/>
      <c r="AW56" s="39"/>
      <c r="AX56" s="39"/>
      <c r="AY56" s="39"/>
      <c r="AZ56" s="39"/>
      <c r="BA56" s="39">
        <f>+AR56+AS56+AU56+AW56+AY56+AZ56</f>
        <v>0</v>
      </c>
      <c r="BB56" s="52"/>
      <c r="BC56" s="53">
        <v>9</v>
      </c>
      <c r="BD56" s="53"/>
      <c r="BE56" s="52"/>
      <c r="BF56" s="53"/>
    </row>
    <row r="57" spans="1:58" ht="12.95" customHeight="1">
      <c r="A57" s="42"/>
      <c r="B57" s="43"/>
      <c r="C57" s="447"/>
      <c r="D57" s="43"/>
      <c r="E57" s="44"/>
      <c r="F57" s="44"/>
      <c r="G57" s="45"/>
      <c r="H57" s="46"/>
      <c r="I57" s="47"/>
      <c r="J57" s="88"/>
      <c r="K57" s="88"/>
      <c r="L57" s="37"/>
      <c r="M57" s="37"/>
      <c r="N57" s="48"/>
      <c r="O57" s="49"/>
      <c r="P57" s="50"/>
      <c r="Q57" s="49"/>
      <c r="R57" s="417"/>
      <c r="S57" s="417"/>
      <c r="T57" s="39"/>
      <c r="U57" s="39"/>
      <c r="V57" s="39"/>
      <c r="W57" s="39"/>
      <c r="X57" s="40"/>
      <c r="Y57" s="220"/>
      <c r="Z57" s="39"/>
      <c r="AA57" s="39"/>
      <c r="AB57" s="39"/>
      <c r="AC57" s="39"/>
      <c r="AD57" s="39">
        <f>+AM57+BA57</f>
        <v>19</v>
      </c>
      <c r="AE57" s="238" t="s">
        <v>619</v>
      </c>
      <c r="AF57" s="35"/>
      <c r="AG57" s="35"/>
      <c r="AH57" s="35">
        <v>19</v>
      </c>
      <c r="AI57" s="455"/>
      <c r="AJ57" s="39"/>
      <c r="AK57" s="39"/>
      <c r="AL57" s="39"/>
      <c r="AM57" s="39">
        <f>SUM(AF57:AL57)+AT57+AV57+AX57</f>
        <v>19</v>
      </c>
      <c r="AN57" s="39"/>
      <c r="AO57" s="39"/>
      <c r="AP57" s="39"/>
      <c r="AQ57" s="39"/>
      <c r="AR57" s="39">
        <f>SUM(AN57:AQ57)</f>
        <v>0</v>
      </c>
      <c r="AS57" s="39"/>
      <c r="AT57" s="39"/>
      <c r="AU57" s="39"/>
      <c r="AV57" s="39"/>
      <c r="AW57" s="39"/>
      <c r="AX57" s="39"/>
      <c r="AY57" s="39"/>
      <c r="AZ57" s="39"/>
      <c r="BA57" s="39">
        <f>+AR57+AS57+AU57+AW57+AY57+AZ57</f>
        <v>0</v>
      </c>
      <c r="BB57" s="35"/>
      <c r="BC57" s="55"/>
      <c r="BD57" s="55"/>
      <c r="BE57" s="35"/>
      <c r="BF57" s="55"/>
    </row>
    <row r="58" spans="1:58" ht="12.95" customHeight="1">
      <c r="A58" s="343"/>
      <c r="B58" s="43"/>
      <c r="C58" s="447"/>
      <c r="D58" s="43"/>
      <c r="E58" s="44"/>
      <c r="F58" s="44"/>
      <c r="G58" s="459"/>
      <c r="H58" s="46"/>
      <c r="I58" s="47"/>
      <c r="J58" s="88"/>
      <c r="K58" s="88"/>
      <c r="L58" s="37"/>
      <c r="M58" s="37"/>
      <c r="N58" s="48"/>
      <c r="O58" s="49"/>
      <c r="P58" s="50"/>
      <c r="Q58" s="49"/>
      <c r="R58" s="417"/>
      <c r="S58" s="417"/>
      <c r="T58" s="39"/>
      <c r="U58" s="39"/>
      <c r="V58" s="39"/>
      <c r="W58" s="39"/>
      <c r="X58" s="414"/>
      <c r="Y58" s="220"/>
      <c r="Z58" s="39"/>
      <c r="AA58" s="51"/>
      <c r="AB58" s="51"/>
      <c r="AC58" s="39"/>
      <c r="AD58" s="39">
        <f>+AM58+BA58</f>
        <v>75</v>
      </c>
      <c r="AE58" s="241" t="s">
        <v>613</v>
      </c>
      <c r="AF58" s="39"/>
      <c r="AG58" s="39"/>
      <c r="AH58" s="35"/>
      <c r="AI58" s="455"/>
      <c r="AJ58" s="39"/>
      <c r="AK58" s="39"/>
      <c r="AL58" s="39"/>
      <c r="AM58" s="39">
        <f>SUM(AF58:AL58)+AT58+AV58+AX58</f>
        <v>0</v>
      </c>
      <c r="AN58" s="39"/>
      <c r="AO58" s="39"/>
      <c r="AP58" s="39"/>
      <c r="AQ58" s="39"/>
      <c r="AR58" s="39">
        <f>SUM(AN58:AQ58)</f>
        <v>0</v>
      </c>
      <c r="AS58" s="39"/>
      <c r="AT58" s="39"/>
      <c r="AU58" s="39"/>
      <c r="AV58" s="39"/>
      <c r="AW58" s="39"/>
      <c r="AX58" s="39"/>
      <c r="AY58" s="39">
        <v>75</v>
      </c>
      <c r="AZ58" s="39"/>
      <c r="BA58" s="39">
        <f>+AR58+AS58+AU58+AW58+AY58+AZ58</f>
        <v>75</v>
      </c>
      <c r="BB58" s="35"/>
      <c r="BC58" s="55"/>
      <c r="BD58" s="55"/>
      <c r="BE58" s="35">
        <v>1</v>
      </c>
      <c r="BF58" s="55"/>
    </row>
    <row r="59" spans="1:58" ht="12.95" customHeight="1">
      <c r="A59" s="42"/>
      <c r="B59" s="43"/>
      <c r="C59" s="447"/>
      <c r="D59" s="43"/>
      <c r="E59" s="44"/>
      <c r="F59" s="44"/>
      <c r="G59" s="45"/>
      <c r="H59" s="46"/>
      <c r="I59" s="47"/>
      <c r="J59" s="88"/>
      <c r="K59" s="88"/>
      <c r="L59" s="37"/>
      <c r="M59" s="37"/>
      <c r="N59" s="48"/>
      <c r="O59" s="49"/>
      <c r="P59" s="50"/>
      <c r="Q59" s="49"/>
      <c r="R59" s="417"/>
      <c r="S59" s="417"/>
      <c r="T59" s="39"/>
      <c r="U59" s="39"/>
      <c r="V59" s="39"/>
      <c r="W59" s="39"/>
      <c r="X59" s="40"/>
      <c r="Y59" s="220"/>
      <c r="Z59" s="39"/>
      <c r="AA59" s="39"/>
      <c r="AB59" s="39"/>
      <c r="AC59" s="39"/>
      <c r="AD59" s="39"/>
      <c r="AE59" s="238"/>
      <c r="AF59" s="35"/>
      <c r="AG59" s="35"/>
      <c r="AH59" s="35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5"/>
      <c r="BC59" s="55"/>
      <c r="BD59" s="53"/>
      <c r="BE59" s="53"/>
      <c r="BF59" s="53"/>
    </row>
    <row r="60" spans="1:58" ht="12.95" customHeight="1">
      <c r="A60" s="343">
        <v>45973</v>
      </c>
      <c r="B60" s="597" t="s">
        <v>604</v>
      </c>
      <c r="C60" s="447">
        <f>(M60*E60*O60*Q60)/100000000</f>
        <v>17.354484837209302</v>
      </c>
      <c r="D60" s="43" t="s">
        <v>489</v>
      </c>
      <c r="E60" s="44">
        <v>13</v>
      </c>
      <c r="F60" s="44">
        <v>1</v>
      </c>
      <c r="G60" s="459">
        <v>1350</v>
      </c>
      <c r="H60" s="46">
        <v>0.2</v>
      </c>
      <c r="I60" s="47">
        <v>0.88</v>
      </c>
      <c r="J60" s="88">
        <f>E60*G60*(1-H60)*1440/1000000*2.77</f>
        <v>56.002752000000001</v>
      </c>
      <c r="K60" s="88">
        <f>(IF(G60&lt;L60,L60,G60)*(1-IF(H60&lt;N60,H60,N60))*E60*O60*Q60)/100000000</f>
        <v>17.354484837209302</v>
      </c>
      <c r="L60" s="37">
        <v>1350</v>
      </c>
      <c r="M60" s="37">
        <v>1080</v>
      </c>
      <c r="N60" s="48">
        <f>1-(M60/L60)</f>
        <v>0.19999999999999996</v>
      </c>
      <c r="O60" s="49">
        <f>+'Trim Rwd'!H50</f>
        <v>266.39534883720933</v>
      </c>
      <c r="P60" s="50">
        <f>O60*(Q60-R60-S60)</f>
        <v>121209.88372093024</v>
      </c>
      <c r="Q60" s="49">
        <v>464</v>
      </c>
      <c r="R60" s="417">
        <v>0</v>
      </c>
      <c r="S60" s="417">
        <v>9</v>
      </c>
      <c r="T60" s="39">
        <f>E60*M60*O60*Q60/100000000</f>
        <v>17.354484837209302</v>
      </c>
      <c r="U60" s="39">
        <f>E60*M60*O60*(Q60-R60-S60)/100000000</f>
        <v>17.017867674418603</v>
      </c>
      <c r="V60" s="39">
        <f>E60*G60*(1-N60)*O60/100*(R60+S60)/1000000</f>
        <v>0.3366171627906977</v>
      </c>
      <c r="W60" s="39">
        <f>+'12'!K17/1000</f>
        <v>27.731000000000002</v>
      </c>
      <c r="X60" s="414">
        <f>SUM(W60:W63)/SUM(K60:K63)</f>
        <v>0.84842955816779531</v>
      </c>
      <c r="Y60" s="220">
        <v>0</v>
      </c>
      <c r="Z60" s="39">
        <f>+('12'!D7+'12'!D16+'12'!D25)/1000</f>
        <v>0.505</v>
      </c>
      <c r="AA60" s="51">
        <f>SUM(U60:U63)-SUM(W60:W63)-SUM(Z60:Z63)-SUM(Y60:Y63)</f>
        <v>3.6036072606254992</v>
      </c>
      <c r="AB60" s="51">
        <f>(SUM(K60:K63)-SUM(W60:W63)-SUM(Y60:Y63)-SUM(Z60:Z63)-SUM(AC60:AC63)-SUM(V60:V63))-AA60</f>
        <v>-3.4427586206888794E-2</v>
      </c>
      <c r="AC60" s="39">
        <f>K60-T60</f>
        <v>0</v>
      </c>
      <c r="AD60" s="39">
        <f>+AM60+BA60</f>
        <v>0</v>
      </c>
      <c r="AE60" s="238" t="s">
        <v>434</v>
      </c>
      <c r="AF60" s="39">
        <v>0</v>
      </c>
      <c r="AG60" s="39"/>
      <c r="AH60" s="39"/>
      <c r="AI60" s="455"/>
      <c r="AJ60" s="39"/>
      <c r="AK60" s="39"/>
      <c r="AL60" s="39"/>
      <c r="AM60" s="39">
        <f>SUM(AF60:AL60)+AT60+AV60+AX60</f>
        <v>0</v>
      </c>
      <c r="AN60" s="39"/>
      <c r="AO60" s="39"/>
      <c r="AP60" s="39"/>
      <c r="AQ60" s="39"/>
      <c r="AR60" s="39">
        <f>SUM(AN60:AQ60)</f>
        <v>0</v>
      </c>
      <c r="AS60" s="39"/>
      <c r="AT60" s="39"/>
      <c r="AU60" s="39"/>
      <c r="AV60" s="39"/>
      <c r="AW60" s="39"/>
      <c r="AX60" s="39"/>
      <c r="AY60" s="39"/>
      <c r="AZ60" s="39"/>
      <c r="BA60" s="39">
        <f>+AR60+AS60+AU60+AW60+AY60+AZ60</f>
        <v>0</v>
      </c>
      <c r="BB60" s="35">
        <v>0</v>
      </c>
      <c r="BC60" s="53"/>
      <c r="BD60" s="53"/>
      <c r="BE60" s="35"/>
      <c r="BF60" s="53"/>
    </row>
    <row r="61" spans="1:58" ht="12.95" customHeight="1">
      <c r="A61" s="343"/>
      <c r="B61" s="597" t="s">
        <v>604</v>
      </c>
      <c r="C61" s="447">
        <f t="shared" ref="C61:C62" si="8">(M61*E61*O61*Q61)/100000000</f>
        <v>15.829632000000002</v>
      </c>
      <c r="D61" s="43" t="s">
        <v>489</v>
      </c>
      <c r="E61" s="44">
        <v>14</v>
      </c>
      <c r="F61" s="44">
        <v>1</v>
      </c>
      <c r="G61" s="459">
        <v>1350</v>
      </c>
      <c r="H61" s="46">
        <v>0.2</v>
      </c>
      <c r="I61" s="47">
        <v>0.88</v>
      </c>
      <c r="J61" s="88">
        <f t="shared" ref="J61:J62" si="9">E61*G61*(1-H61)*1440/1000000*2.77</f>
        <v>60.310656000000002</v>
      </c>
      <c r="K61" s="88">
        <f t="shared" ref="K61:K62" si="10">(IF(G61&lt;L61,L61,G61)*(1-IF(H61&lt;N61,H61,N61))*E61*O61*Q61)/100000000</f>
        <v>15.960672000000004</v>
      </c>
      <c r="L61" s="37">
        <v>1338.9162561576354</v>
      </c>
      <c r="M61" s="37">
        <v>1071.1330049261085</v>
      </c>
      <c r="N61" s="48">
        <f t="shared" ref="N61:N62" si="11">1-(M61/L61)</f>
        <v>0.19999999999999984</v>
      </c>
      <c r="O61" s="49">
        <f>+'Trim Rwd'!H52</f>
        <v>260</v>
      </c>
      <c r="P61" s="50">
        <f t="shared" ref="P61:P62" si="12">O61*(Q61-R61-S61)</f>
        <v>102960</v>
      </c>
      <c r="Q61" s="49">
        <v>406</v>
      </c>
      <c r="R61" s="417">
        <v>0</v>
      </c>
      <c r="S61" s="417">
        <v>10</v>
      </c>
      <c r="T61" s="39">
        <f t="shared" ref="T61:T62" si="13">E61*M61*O61*Q61/100000000</f>
        <v>15.829632000000002</v>
      </c>
      <c r="U61" s="39">
        <f t="shared" ref="U61:U62" si="14">E61*M61*O61*(Q61-R61-S61)/100000000</f>
        <v>15.439739586206899</v>
      </c>
      <c r="V61" s="39">
        <f t="shared" ref="V61:V62" si="15">E61*G61*(1-N61)*O61/100*(R61+S61)/1000000</f>
        <v>0.39312000000000008</v>
      </c>
      <c r="W61" s="39">
        <f>+'12'!K18/1000</f>
        <v>15.617000000000001</v>
      </c>
      <c r="X61" s="40"/>
      <c r="Y61" s="220"/>
      <c r="Z61" s="39">
        <f>+('12'!D17+'12'!D26)/1000</f>
        <v>1.554</v>
      </c>
      <c r="AA61" s="39"/>
      <c r="AB61" s="39"/>
      <c r="AC61" s="39">
        <f>K61-T61</f>
        <v>0.13104000000000227</v>
      </c>
      <c r="AD61" s="39">
        <f>+AM61+BA61</f>
        <v>9</v>
      </c>
      <c r="AE61" s="238" t="s">
        <v>634</v>
      </c>
      <c r="AF61" s="39"/>
      <c r="AG61" s="39">
        <v>9</v>
      </c>
      <c r="AH61" s="39"/>
      <c r="AI61" s="455"/>
      <c r="AJ61" s="39"/>
      <c r="AK61" s="39"/>
      <c r="AL61" s="39"/>
      <c r="AM61" s="39">
        <f>SUM(AF61:AL61)+AT61+AV61+AX61</f>
        <v>9</v>
      </c>
      <c r="AN61" s="89"/>
      <c r="AO61" s="39"/>
      <c r="AP61" s="39"/>
      <c r="AQ61" s="39"/>
      <c r="AR61" s="39">
        <f>SUM(AN61:AQ61)</f>
        <v>0</v>
      </c>
      <c r="AS61" s="39"/>
      <c r="AT61" s="39"/>
      <c r="AU61" s="39"/>
      <c r="AV61" s="39"/>
      <c r="AW61" s="39"/>
      <c r="AX61" s="39"/>
      <c r="AY61" s="39"/>
      <c r="AZ61" s="39"/>
      <c r="BA61" s="39">
        <f>+AR61+AS61+AU61+AW61+AY61+AZ61</f>
        <v>0</v>
      </c>
      <c r="BB61" s="52"/>
      <c r="BC61" s="53">
        <v>8</v>
      </c>
      <c r="BD61" s="53"/>
      <c r="BE61" s="52"/>
      <c r="BF61" s="53"/>
    </row>
    <row r="62" spans="1:58" ht="12.95" customHeight="1">
      <c r="A62" s="42"/>
      <c r="B62" s="597" t="s">
        <v>604</v>
      </c>
      <c r="C62" s="447">
        <f t="shared" si="8"/>
        <v>22.23</v>
      </c>
      <c r="D62" s="43" t="s">
        <v>489</v>
      </c>
      <c r="E62" s="44">
        <v>15</v>
      </c>
      <c r="F62" s="44">
        <v>1</v>
      </c>
      <c r="G62" s="459">
        <v>1350</v>
      </c>
      <c r="H62" s="46">
        <v>0.2</v>
      </c>
      <c r="I62" s="47">
        <v>0.88</v>
      </c>
      <c r="J62" s="88">
        <f t="shared" si="9"/>
        <v>64.618560000000002</v>
      </c>
      <c r="K62" s="88">
        <f t="shared" si="10"/>
        <v>24.008400000000002</v>
      </c>
      <c r="L62" s="37">
        <v>1250</v>
      </c>
      <c r="M62" s="37">
        <f t="shared" ref="M62" si="16">+L62-L62*0.2</f>
        <v>1000</v>
      </c>
      <c r="N62" s="48">
        <f t="shared" si="11"/>
        <v>0.19999999999999996</v>
      </c>
      <c r="O62" s="49">
        <f>+'Trim Rwd'!H53</f>
        <v>260</v>
      </c>
      <c r="P62" s="50">
        <f t="shared" si="12"/>
        <v>145600</v>
      </c>
      <c r="Q62" s="49">
        <v>570</v>
      </c>
      <c r="R62" s="417">
        <v>0</v>
      </c>
      <c r="S62" s="417">
        <v>10</v>
      </c>
      <c r="T62" s="39">
        <f t="shared" si="13"/>
        <v>22.23</v>
      </c>
      <c r="U62" s="39">
        <f t="shared" si="14"/>
        <v>21.84</v>
      </c>
      <c r="V62" s="39">
        <f t="shared" si="15"/>
        <v>0.42120000000000002</v>
      </c>
      <c r="W62" s="39">
        <f>+'12'!K19/1000</f>
        <v>5.2869999999999999</v>
      </c>
      <c r="X62" s="40"/>
      <c r="Y62" s="220"/>
      <c r="Z62" s="39"/>
      <c r="AA62" s="39"/>
      <c r="AB62" s="39"/>
      <c r="AC62" s="39">
        <f>K62-T62</f>
        <v>1.7784000000000013</v>
      </c>
      <c r="AD62" s="39">
        <f>+AM62+BA62</f>
        <v>20</v>
      </c>
      <c r="AE62" s="238" t="s">
        <v>606</v>
      </c>
      <c r="AF62" s="35"/>
      <c r="AG62" s="35"/>
      <c r="AH62" s="35">
        <v>20</v>
      </c>
      <c r="AI62" s="455"/>
      <c r="AJ62" s="39"/>
      <c r="AK62" s="39"/>
      <c r="AL62" s="39"/>
      <c r="AM62" s="39">
        <f>SUM(AF62:AL62)+AT62+AV62+AX62</f>
        <v>20</v>
      </c>
      <c r="AN62" s="39"/>
      <c r="AO62" s="39"/>
      <c r="AP62" s="39"/>
      <c r="AQ62" s="39"/>
      <c r="AR62" s="39">
        <f>SUM(AN62:AQ62)</f>
        <v>0</v>
      </c>
      <c r="AS62" s="39"/>
      <c r="AT62" s="39"/>
      <c r="AU62" s="39"/>
      <c r="AV62" s="39"/>
      <c r="AW62" s="39"/>
      <c r="AX62" s="39"/>
      <c r="AY62" s="39"/>
      <c r="AZ62" s="39"/>
      <c r="BA62" s="39">
        <f>+AR62+AS62+AU62+AW62+AY62+AZ62</f>
        <v>0</v>
      </c>
      <c r="BB62" s="35"/>
      <c r="BC62" s="55"/>
      <c r="BD62" s="55"/>
      <c r="BE62" s="35"/>
      <c r="BF62" s="55"/>
    </row>
    <row r="63" spans="1:58" ht="12.95" customHeight="1">
      <c r="A63" s="343"/>
      <c r="B63" s="43"/>
      <c r="C63" s="447"/>
      <c r="D63" s="43"/>
      <c r="E63" s="44"/>
      <c r="F63" s="44"/>
      <c r="G63" s="459"/>
      <c r="H63" s="46"/>
      <c r="I63" s="47"/>
      <c r="J63" s="88"/>
      <c r="K63" s="88"/>
      <c r="L63" s="37"/>
      <c r="M63" s="37"/>
      <c r="N63" s="48"/>
      <c r="O63" s="49"/>
      <c r="P63" s="50"/>
      <c r="Q63" s="49"/>
      <c r="R63" s="417"/>
      <c r="S63" s="417"/>
      <c r="T63" s="39"/>
      <c r="U63" s="39"/>
      <c r="V63" s="39"/>
      <c r="W63" s="39"/>
      <c r="X63" s="414"/>
      <c r="Y63" s="220"/>
      <c r="Z63" s="39"/>
      <c r="AA63" s="51"/>
      <c r="AB63" s="51"/>
      <c r="AC63" s="39"/>
      <c r="AD63" s="39"/>
      <c r="AE63" s="238"/>
      <c r="AF63" s="39"/>
      <c r="AG63" s="39"/>
      <c r="AH63" s="39"/>
      <c r="AI63" s="455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5"/>
      <c r="BC63" s="53"/>
      <c r="BD63" s="53"/>
      <c r="BE63" s="53"/>
      <c r="BF63" s="53"/>
    </row>
    <row r="64" spans="1:58" ht="12.95" customHeight="1">
      <c r="A64" s="343">
        <v>45974</v>
      </c>
      <c r="B64" s="597" t="s">
        <v>604</v>
      </c>
      <c r="C64" s="447">
        <f t="shared" ref="C64" si="17">(M64*E64*O64*Q64)/100000000</f>
        <v>9.6557661290322585</v>
      </c>
      <c r="D64" s="43" t="s">
        <v>489</v>
      </c>
      <c r="E64" s="44">
        <v>15</v>
      </c>
      <c r="F64" s="44">
        <v>1</v>
      </c>
      <c r="G64" s="459">
        <v>1350</v>
      </c>
      <c r="H64" s="46">
        <v>0.2</v>
      </c>
      <c r="I64" s="47">
        <v>0.88</v>
      </c>
      <c r="J64" s="88">
        <f t="shared" ref="J64" si="18">E64*G64*(1-H64)*1440/1000000*2.77</f>
        <v>64.618560000000002</v>
      </c>
      <c r="K64" s="88">
        <f t="shared" ref="K64" si="19">(IF(G64&lt;L64,L64,G64)*(1-IF(H64&lt;N64,H64,N64))*E64*O64*Q64)/100000000</f>
        <v>10.428227419354839</v>
      </c>
      <c r="L64" s="37">
        <v>1250</v>
      </c>
      <c r="M64" s="37">
        <f>+L64-L64*0.2</f>
        <v>1000</v>
      </c>
      <c r="N64" s="48">
        <f t="shared" ref="N64" si="20">1-(M64/L64)</f>
        <v>0.19999999999999996</v>
      </c>
      <c r="O64" s="49">
        <f>+'Trim Rwd'!H55</f>
        <v>262.74193548387098</v>
      </c>
      <c r="P64" s="50">
        <f t="shared" ref="P64" si="21">O64*(Q64-R64-S64)</f>
        <v>56489.516129032258</v>
      </c>
      <c r="Q64" s="49">
        <v>245</v>
      </c>
      <c r="R64" s="417">
        <v>0</v>
      </c>
      <c r="S64" s="417">
        <v>30</v>
      </c>
      <c r="T64" s="39">
        <f t="shared" ref="T64" si="22">E64*M64*O64*Q64/100000000</f>
        <v>9.6557661290322585</v>
      </c>
      <c r="U64" s="39">
        <f t="shared" ref="U64" si="23">E64*M64*O64*(Q64-R64-S64)/100000000</f>
        <v>8.473427419354838</v>
      </c>
      <c r="V64" s="39">
        <f t="shared" ref="V64" si="24">E64*G64*(1-N64)*O64/100*(R64+S64)/1000000</f>
        <v>1.2769258064516127</v>
      </c>
      <c r="W64" s="39">
        <f>+'13'!K19/1000</f>
        <v>22.652999999999999</v>
      </c>
      <c r="X64" s="414">
        <f>SUM(W64:W68)/SUM(K64:K68)</f>
        <v>0.67228889269173642</v>
      </c>
      <c r="Y64" s="220">
        <v>0</v>
      </c>
      <c r="Z64" s="39">
        <f>+('13'!D7+'13'!D18)/1000</f>
        <v>0.86499999999999999</v>
      </c>
      <c r="AA64" s="51">
        <f>SUM(U64:U68)-SUM(W64:W68)-SUM(Z64:Z68)-SUM(Y64:Y68)</f>
        <v>-8.54636765264517</v>
      </c>
      <c r="AB64" s="51">
        <f>(SUM(K64:K68)-SUM(W64:W68)-SUM(Y64:Y68)-SUM(Z64:Z68)-SUM(AC64:AC68)-SUM(V64:V68))-AA64</f>
        <v>-2.1921714684105442</v>
      </c>
      <c r="AC64" s="39">
        <f>K64-T64</f>
        <v>0.77246129032258004</v>
      </c>
      <c r="AD64" s="39">
        <f>+AM64+BA64</f>
        <v>30</v>
      </c>
      <c r="AE64" s="238" t="s">
        <v>464</v>
      </c>
      <c r="AF64" s="39">
        <v>30</v>
      </c>
      <c r="AG64" s="39"/>
      <c r="AH64" s="39"/>
      <c r="AI64" s="455"/>
      <c r="AJ64" s="39"/>
      <c r="AK64" s="39"/>
      <c r="AL64" s="39"/>
      <c r="AM64" s="39">
        <f>SUM(AF64:AL64)+AT64+AV64+AX64</f>
        <v>30</v>
      </c>
      <c r="AN64" s="89"/>
      <c r="AO64" s="39"/>
      <c r="AP64" s="39"/>
      <c r="AQ64" s="39"/>
      <c r="AR64" s="39">
        <f>SUM(AN64:AQ64)</f>
        <v>0</v>
      </c>
      <c r="AS64" s="39"/>
      <c r="AT64" s="39"/>
      <c r="AU64" s="39"/>
      <c r="AV64" s="39"/>
      <c r="AW64" s="39"/>
      <c r="AX64" s="39"/>
      <c r="AY64" s="39"/>
      <c r="AZ64" s="39"/>
      <c r="BA64" s="39">
        <f>+AR64+AS64+AU64+AW64+AY64+AZ64</f>
        <v>0</v>
      </c>
      <c r="BB64" s="52">
        <v>6</v>
      </c>
      <c r="BC64" s="53"/>
      <c r="BD64" s="53"/>
      <c r="BE64" s="53"/>
      <c r="BF64" s="53"/>
    </row>
    <row r="65" spans="1:58" ht="12.95" customHeight="1">
      <c r="A65" s="42"/>
      <c r="B65" s="43" t="s">
        <v>517</v>
      </c>
      <c r="C65" s="447">
        <f>(M65*E65*O65*Q65)/100000000</f>
        <v>20.74136</v>
      </c>
      <c r="D65" s="43" t="s">
        <v>489</v>
      </c>
      <c r="E65" s="44">
        <v>12.5</v>
      </c>
      <c r="F65" s="44">
        <v>1</v>
      </c>
      <c r="G65" s="45">
        <v>1700</v>
      </c>
      <c r="H65" s="46">
        <v>0.24</v>
      </c>
      <c r="I65" s="47">
        <v>0.88</v>
      </c>
      <c r="J65" s="88">
        <f>E65*G65*(1-H65)*1440/1000000*2.77</f>
        <v>64.419120000000007</v>
      </c>
      <c r="K65" s="88">
        <f>(IF(G65&lt;L65,L65,G65)*(1-IF(H65&lt;N65,H65,N65))*E65*O65*Q65)/100000000</f>
        <v>23.351199999999999</v>
      </c>
      <c r="L65" s="37">
        <v>1510</v>
      </c>
      <c r="M65" s="37">
        <f>+L65-L65*0.2</f>
        <v>1208</v>
      </c>
      <c r="N65" s="48">
        <f>1-(M65/L65)</f>
        <v>0.19999999999999996</v>
      </c>
      <c r="O65" s="49">
        <f>+'Trim Rwd'!H60</f>
        <v>272</v>
      </c>
      <c r="P65" s="50">
        <f>O65*(Q65-R65-S65)</f>
        <v>39440</v>
      </c>
      <c r="Q65" s="49">
        <f>155+350</f>
        <v>505</v>
      </c>
      <c r="R65" s="417">
        <v>350</v>
      </c>
      <c r="S65" s="417">
        <v>10</v>
      </c>
      <c r="T65" s="39">
        <f>E65*M65*O65*Q65/100000000</f>
        <v>20.74136</v>
      </c>
      <c r="U65" s="39">
        <f>E65*M65*O65*(Q65-R65-S65)/100000000</f>
        <v>5.9554400000000003</v>
      </c>
      <c r="V65" s="39">
        <f>E65*G65*(1-N65)*O65/100*(R65+S65)/1000000</f>
        <v>16.6464</v>
      </c>
      <c r="W65" s="39">
        <f>+'13'!K16/1000</f>
        <v>3.234</v>
      </c>
      <c r="X65" s="40"/>
      <c r="Y65" s="220"/>
      <c r="Z65" s="39">
        <v>0</v>
      </c>
      <c r="AA65" s="39"/>
      <c r="AB65" s="39"/>
      <c r="AC65" s="39">
        <f>K65-T65</f>
        <v>2.6098399999999984</v>
      </c>
      <c r="AD65" s="39">
        <f>+AM65+BA65</f>
        <v>10</v>
      </c>
      <c r="AE65" s="238" t="s">
        <v>634</v>
      </c>
      <c r="AF65" s="35"/>
      <c r="AG65" s="35">
        <v>10</v>
      </c>
      <c r="AH65" s="35"/>
      <c r="AJ65" s="39"/>
      <c r="AK65" s="39"/>
      <c r="AL65" s="39"/>
      <c r="AM65" s="39">
        <f>SUM(AF65:AL65)+AT65+AV65+AX65</f>
        <v>10</v>
      </c>
      <c r="AN65" s="39"/>
      <c r="AO65" s="39"/>
      <c r="AP65" s="39"/>
      <c r="AQ65" s="39"/>
      <c r="AR65" s="39">
        <f>SUM(AN65:AQ65)</f>
        <v>0</v>
      </c>
      <c r="AS65" s="39"/>
      <c r="AT65" s="39"/>
      <c r="AU65" s="39"/>
      <c r="AV65" s="39"/>
      <c r="AW65" s="39"/>
      <c r="AX65" s="39"/>
      <c r="AY65" s="39"/>
      <c r="AZ65" s="39"/>
      <c r="BA65" s="39">
        <f>+AR65+AS65+AU65+AW65+AY65+AZ65</f>
        <v>0</v>
      </c>
      <c r="BB65" s="35"/>
      <c r="BC65" s="55">
        <v>8</v>
      </c>
      <c r="BD65" s="53"/>
      <c r="BE65" s="53"/>
      <c r="BF65" s="53"/>
    </row>
    <row r="66" spans="1:58" ht="12.95" customHeight="1">
      <c r="A66" s="343"/>
      <c r="B66" s="43" t="s">
        <v>517</v>
      </c>
      <c r="C66" s="447">
        <f>(M66*E66*O66*Q66)/100000000</f>
        <v>22.44426756</v>
      </c>
      <c r="D66" s="43" t="s">
        <v>489</v>
      </c>
      <c r="E66" s="44">
        <v>13</v>
      </c>
      <c r="F66" s="44">
        <v>1</v>
      </c>
      <c r="G66" s="459">
        <v>1700</v>
      </c>
      <c r="H66" s="46">
        <v>0.24</v>
      </c>
      <c r="I66" s="47">
        <v>0.88</v>
      </c>
      <c r="J66" s="88">
        <f>E66*G66*(1-H66)*1440/1000000*2.77</f>
        <v>66.995884799999999</v>
      </c>
      <c r="K66" s="88">
        <f>(IF(G66&lt;L66,L66,G66)*(1-IF(H66&lt;N66,H66,N66))*E66*O66*Q66)/100000000</f>
        <v>31.533268472727265</v>
      </c>
      <c r="L66" s="37">
        <v>1210</v>
      </c>
      <c r="M66" s="37">
        <f>+L66-L66*0.24</f>
        <v>919.6</v>
      </c>
      <c r="N66" s="48">
        <f>1-(M66/L66)</f>
        <v>0.24</v>
      </c>
      <c r="O66" s="49">
        <f>+'Trim Rwd'!H61</f>
        <v>272.09090909090907</v>
      </c>
      <c r="P66" s="50">
        <f>O66*(Q66-R66-S66)</f>
        <v>182845.09090909088</v>
      </c>
      <c r="Q66" s="49">
        <v>690</v>
      </c>
      <c r="R66" s="417">
        <v>0</v>
      </c>
      <c r="S66" s="417">
        <v>18</v>
      </c>
      <c r="T66" s="39">
        <f>E66*M66*O66*Q66/100000000</f>
        <v>22.44426756</v>
      </c>
      <c r="U66" s="39">
        <f>E66*M66*O66*(Q66-R66-S66)/100000000</f>
        <v>21.858764927999996</v>
      </c>
      <c r="V66" s="39">
        <f>E66*G66*(1-N66)*O66/100*(R66+S66)/1000000</f>
        <v>0.82260700363636352</v>
      </c>
      <c r="W66" s="39">
        <f>+'13'!K15/1000</f>
        <v>16.794</v>
      </c>
      <c r="X66" s="40"/>
      <c r="Y66" s="220"/>
      <c r="Z66" s="39">
        <v>0</v>
      </c>
      <c r="AA66" s="51"/>
      <c r="AB66" s="51"/>
      <c r="AC66" s="39">
        <f>K66-T66</f>
        <v>9.0890009127272648</v>
      </c>
      <c r="AD66" s="39">
        <f>+AM66+BA66</f>
        <v>18</v>
      </c>
      <c r="AE66" s="238" t="s">
        <v>651</v>
      </c>
      <c r="AF66" s="39"/>
      <c r="AG66" s="39"/>
      <c r="AH66" s="39">
        <v>18</v>
      </c>
      <c r="AI66" s="39"/>
      <c r="AJ66" s="39"/>
      <c r="AK66" s="39"/>
      <c r="AL66" s="39"/>
      <c r="AM66" s="39">
        <f>SUM(AF66:AL66)+AT66+AV66+AX66</f>
        <v>18</v>
      </c>
      <c r="AN66" s="39"/>
      <c r="AO66" s="39"/>
      <c r="AP66" s="39"/>
      <c r="AQ66" s="39"/>
      <c r="AR66" s="39">
        <f>SUM(AN66:AQ66)</f>
        <v>0</v>
      </c>
      <c r="AS66" s="39"/>
      <c r="AT66" s="39"/>
      <c r="AU66" s="39"/>
      <c r="AV66" s="39"/>
      <c r="AW66" s="39"/>
      <c r="AX66" s="39"/>
      <c r="AY66" s="39"/>
      <c r="AZ66" s="39"/>
      <c r="BA66" s="39">
        <f>+AR66+AS66+AU66+AW66+AY66+AZ66</f>
        <v>0</v>
      </c>
      <c r="BB66" s="35"/>
      <c r="BC66" s="53"/>
      <c r="BD66" s="53"/>
      <c r="BE66" s="53"/>
      <c r="BF66" s="53"/>
    </row>
    <row r="67" spans="1:58" ht="12.95" customHeight="1">
      <c r="A67" s="343"/>
      <c r="B67" s="597" t="s">
        <v>604</v>
      </c>
      <c r="C67" s="447"/>
      <c r="D67" s="43"/>
      <c r="E67" s="44">
        <v>13</v>
      </c>
      <c r="F67" s="44"/>
      <c r="G67" s="459"/>
      <c r="H67" s="46"/>
      <c r="I67" s="47"/>
      <c r="J67" s="88"/>
      <c r="K67" s="88"/>
      <c r="L67" s="37"/>
      <c r="M67" s="37"/>
      <c r="N67" s="48"/>
      <c r="O67" s="49"/>
      <c r="P67" s="50"/>
      <c r="Q67" s="49"/>
      <c r="R67" s="417"/>
      <c r="S67" s="417"/>
      <c r="T67" s="39"/>
      <c r="U67" s="39"/>
      <c r="V67" s="39"/>
      <c r="W67" s="39">
        <f>+'13'!K17/1000</f>
        <v>0.39100000000000001</v>
      </c>
      <c r="X67" s="414"/>
      <c r="Y67" s="220"/>
      <c r="Z67" s="39">
        <f>+'13'!D16/1000</f>
        <v>0.06</v>
      </c>
      <c r="AA67" s="51"/>
      <c r="AB67" s="51"/>
      <c r="AC67" s="39"/>
      <c r="AD67" s="39">
        <f>+AM67+BA67</f>
        <v>350</v>
      </c>
      <c r="AE67" s="238" t="s">
        <v>652</v>
      </c>
      <c r="AF67" s="39"/>
      <c r="AG67" s="39"/>
      <c r="AH67" s="39"/>
      <c r="AI67" s="455"/>
      <c r="AJ67" s="39"/>
      <c r="AK67" s="39"/>
      <c r="AL67" s="39"/>
      <c r="AM67" s="39">
        <f>SUM(AF67:AL67)+AT67+AV67+AX67</f>
        <v>0</v>
      </c>
      <c r="AN67" s="39">
        <v>350</v>
      </c>
      <c r="AO67" s="39"/>
      <c r="AP67" s="39"/>
      <c r="AQ67" s="39"/>
      <c r="AR67" s="39">
        <f>SUM(AN67:AQ67)</f>
        <v>350</v>
      </c>
      <c r="AS67" s="39"/>
      <c r="AT67" s="39"/>
      <c r="AU67" s="39"/>
      <c r="AV67" s="39"/>
      <c r="AW67" s="39"/>
      <c r="AX67" s="39"/>
      <c r="AY67" s="39"/>
      <c r="AZ67" s="39"/>
      <c r="BA67" s="39">
        <f>+AR67+AS67+AU67+AW67+AY67+AZ67</f>
        <v>350</v>
      </c>
      <c r="BB67" s="35"/>
      <c r="BC67" s="53"/>
      <c r="BD67" s="53"/>
      <c r="BE67" s="53"/>
      <c r="BF67" s="53"/>
    </row>
    <row r="68" spans="1:58" ht="12.95" customHeight="1">
      <c r="A68" s="343"/>
      <c r="B68" s="597" t="s">
        <v>604</v>
      </c>
      <c r="C68" s="447"/>
      <c r="D68" s="43"/>
      <c r="E68" s="44">
        <v>14</v>
      </c>
      <c r="F68" s="44"/>
      <c r="G68" s="459"/>
      <c r="H68" s="46"/>
      <c r="I68" s="47"/>
      <c r="J68" s="88"/>
      <c r="K68" s="88"/>
      <c r="L68" s="37"/>
      <c r="M68" s="37"/>
      <c r="N68" s="48"/>
      <c r="O68" s="49"/>
      <c r="P68" s="50"/>
      <c r="Q68" s="49"/>
      <c r="R68" s="417"/>
      <c r="S68" s="417"/>
      <c r="T68" s="39"/>
      <c r="U68" s="39"/>
      <c r="V68" s="39"/>
      <c r="W68" s="39">
        <f>+'13'!K18/1000</f>
        <v>0.83699999999999997</v>
      </c>
      <c r="X68" s="414"/>
      <c r="Y68" s="220"/>
      <c r="Z68" s="39"/>
      <c r="AA68" s="51"/>
      <c r="AB68" s="51"/>
      <c r="AC68" s="39"/>
      <c r="AD68" s="39"/>
      <c r="AE68" s="238"/>
      <c r="AF68" s="39"/>
      <c r="AG68" s="39"/>
      <c r="AH68" s="39"/>
      <c r="AI68" s="455"/>
      <c r="AJ68" s="39"/>
      <c r="AK68" s="39"/>
      <c r="AL68" s="39"/>
      <c r="AM68" s="39"/>
      <c r="AN68" s="8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52"/>
      <c r="BC68" s="53"/>
      <c r="BD68" s="53"/>
      <c r="BE68" s="53"/>
      <c r="BF68" s="53"/>
    </row>
    <row r="69" spans="1:58" ht="12.95" customHeight="1">
      <c r="A69" s="42"/>
      <c r="B69" s="43"/>
      <c r="C69" s="447"/>
      <c r="D69" s="43"/>
      <c r="E69" s="44"/>
      <c r="F69" s="44"/>
      <c r="G69" s="45"/>
      <c r="H69" s="46"/>
      <c r="I69" s="47"/>
      <c r="J69" s="88"/>
      <c r="K69" s="88"/>
      <c r="L69" s="37"/>
      <c r="M69" s="37"/>
      <c r="N69" s="48"/>
      <c r="O69" s="49"/>
      <c r="P69" s="50"/>
      <c r="Q69" s="49"/>
      <c r="R69" s="417"/>
      <c r="S69" s="417"/>
      <c r="T69" s="39"/>
      <c r="U69" s="39"/>
      <c r="V69" s="39"/>
      <c r="W69" s="39"/>
      <c r="X69" s="40"/>
      <c r="Y69" s="220"/>
      <c r="Z69" s="39"/>
      <c r="AA69" s="39"/>
      <c r="AB69" s="39"/>
      <c r="AC69" s="39"/>
      <c r="AD69" s="39"/>
      <c r="AE69" s="238"/>
      <c r="AF69" s="35"/>
      <c r="AG69" s="35"/>
      <c r="AH69" s="35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5"/>
      <c r="BC69" s="55"/>
      <c r="BD69" s="53"/>
      <c r="BE69" s="53"/>
      <c r="BF69" s="53"/>
    </row>
    <row r="70" spans="1:58" ht="12.95" customHeight="1">
      <c r="A70" s="42">
        <v>45975</v>
      </c>
      <c r="B70" s="43" t="s">
        <v>517</v>
      </c>
      <c r="C70" s="447">
        <f>(M70*E70*O70*Q70)/100000000</f>
        <v>7.4065765800000003</v>
      </c>
      <c r="D70" s="43" t="s">
        <v>489</v>
      </c>
      <c r="E70" s="44">
        <v>13</v>
      </c>
      <c r="F70" s="44">
        <v>1</v>
      </c>
      <c r="G70" s="459">
        <v>1700</v>
      </c>
      <c r="H70" s="46">
        <v>0.24</v>
      </c>
      <c r="I70" s="47">
        <v>0.88</v>
      </c>
      <c r="J70" s="88">
        <f>E70*G70*(1-H70)*1440/1000000*2.77</f>
        <v>66.995884799999999</v>
      </c>
      <c r="K70" s="88">
        <f>(IF(G70&lt;L70,L70,G70)*(1-IF(H70&lt;N70,H70,N70))*E70*O70*Q70)/100000000</f>
        <v>9.6855232200000003</v>
      </c>
      <c r="L70" s="37">
        <v>1300</v>
      </c>
      <c r="M70" s="37">
        <v>988</v>
      </c>
      <c r="N70" s="48">
        <f>1-(M70/L70)</f>
        <v>0.24</v>
      </c>
      <c r="O70" s="49">
        <f>+'Trim Rwd'!H64</f>
        <v>270.73076923076923</v>
      </c>
      <c r="P70" s="50">
        <f>O70*(Q70-R70-S70)</f>
        <v>50897.384615384617</v>
      </c>
      <c r="Q70" s="49">
        <v>213</v>
      </c>
      <c r="R70" s="417">
        <v>0</v>
      </c>
      <c r="S70" s="417">
        <v>25</v>
      </c>
      <c r="T70" s="39">
        <f>E70*M70*O70*Q70/100000000</f>
        <v>7.4065765800000003</v>
      </c>
      <c r="U70" s="39">
        <f>E70*M70*O70*(Q70-R70-S70)/100000000</f>
        <v>6.5372600800000003</v>
      </c>
      <c r="V70" s="39">
        <f>E70*G70*(1-N70)*O70/100*(R70+S70)/1000000</f>
        <v>1.1367985</v>
      </c>
      <c r="W70" s="39">
        <f>+'14'!K15/1000</f>
        <v>13.164999999999999</v>
      </c>
      <c r="X70" s="414">
        <f>SUM(W70:W73)/SUM(K70:K73)</f>
        <v>0.76772461676314663</v>
      </c>
      <c r="Y70" s="220">
        <v>0</v>
      </c>
      <c r="Z70" s="39">
        <v>0</v>
      </c>
      <c r="AA70" s="51">
        <f>SUM(U70:U73)-SUM(W70:W73)-SUM(Z70:Z73)-SUM(Y70:Y73)</f>
        <v>2.335157982847484</v>
      </c>
      <c r="AB70" s="51">
        <f>(SUM(K70:K73)-SUM(W70:W73)-SUM(Y70:Y73)-SUM(Z70:Z73)-SUM(AC70:AC73)-SUM(V70:V73))-AA70</f>
        <v>-0.53548545977055984</v>
      </c>
      <c r="AC70" s="39">
        <f>K70-T70</f>
        <v>2.27894664</v>
      </c>
      <c r="AD70" s="39">
        <f>+AM70+BA70</f>
        <v>0</v>
      </c>
      <c r="AE70" s="238" t="s">
        <v>434</v>
      </c>
      <c r="AF70" s="39">
        <v>0</v>
      </c>
      <c r="AG70" s="39"/>
      <c r="AH70" s="39"/>
      <c r="AI70" s="455"/>
      <c r="AJ70" s="39"/>
      <c r="AK70" s="39"/>
      <c r="AL70" s="39"/>
      <c r="AM70" s="39">
        <f>SUM(AF70:AL70)+AT70+AV70+AX70</f>
        <v>0</v>
      </c>
      <c r="AN70" s="39"/>
      <c r="AO70" s="39"/>
      <c r="AP70" s="39"/>
      <c r="AQ70" s="39"/>
      <c r="AR70" s="39">
        <f>SUM(AN70:AQ70)</f>
        <v>0</v>
      </c>
      <c r="AS70" s="39"/>
      <c r="AT70" s="39"/>
      <c r="AU70" s="39"/>
      <c r="AV70" s="39"/>
      <c r="AW70" s="39"/>
      <c r="AX70" s="39"/>
      <c r="AY70" s="39"/>
      <c r="AZ70" s="39"/>
      <c r="BA70" s="39">
        <f>+AR70+AS70+AU70+AW70+AY70+AZ70</f>
        <v>0</v>
      </c>
      <c r="BB70" s="35">
        <v>0</v>
      </c>
      <c r="BC70" s="53"/>
      <c r="BD70" s="53"/>
      <c r="BE70" s="35"/>
      <c r="BF70" s="53"/>
    </row>
    <row r="71" spans="1:58" ht="12.95" customHeight="1">
      <c r="A71" s="343"/>
      <c r="B71" s="43" t="s">
        <v>517</v>
      </c>
      <c r="C71" s="447">
        <f>(M71*E71*O71*Q71)/100000000</f>
        <v>45.21411736615385</v>
      </c>
      <c r="D71" s="43" t="s">
        <v>489</v>
      </c>
      <c r="E71" s="44">
        <v>12.5</v>
      </c>
      <c r="F71" s="44">
        <v>1</v>
      </c>
      <c r="G71" s="459">
        <v>1700</v>
      </c>
      <c r="H71" s="46">
        <v>0.24</v>
      </c>
      <c r="I71" s="47">
        <v>0.88</v>
      </c>
      <c r="J71" s="88">
        <f>E71*G71*(1-H71)*1440/1000000*2.77</f>
        <v>64.419120000000007</v>
      </c>
      <c r="K71" s="88">
        <f>(IF(G71&lt;L71,L71,G71)*(1-IF(H71&lt;N71,H71,N71))*E71*O71*Q71)/100000000</f>
        <v>52.521678369230777</v>
      </c>
      <c r="L71" s="37">
        <v>1463.4718826405867</v>
      </c>
      <c r="M71" s="37">
        <v>1112.238630806846</v>
      </c>
      <c r="N71" s="48">
        <f>1-(M71/L71)</f>
        <v>0.24</v>
      </c>
      <c r="O71" s="49">
        <f>+'Trim Rwd'!H66</f>
        <v>265.04615384615386</v>
      </c>
      <c r="P71" s="50">
        <f>O71*(Q71-R71-S71)</f>
        <v>313284.55384615384</v>
      </c>
      <c r="Q71" s="49">
        <v>1227</v>
      </c>
      <c r="R71" s="417">
        <v>0</v>
      </c>
      <c r="S71" s="417">
        <v>45</v>
      </c>
      <c r="T71" s="39">
        <f>E71*M71*O71*Q71/100000000</f>
        <v>45.21411736615385</v>
      </c>
      <c r="U71" s="39">
        <f>E71*M71*O71*(Q71-R71-S71)/100000000</f>
        <v>43.555897902847484</v>
      </c>
      <c r="V71" s="39">
        <f>E71*G71*(1-N71)*O71/100*(R71+S71)/1000000</f>
        <v>1.926222923076923</v>
      </c>
      <c r="W71" s="39">
        <f>+'14'!K16/1000</f>
        <v>34.593000000000004</v>
      </c>
      <c r="X71" s="40"/>
      <c r="Y71" s="220"/>
      <c r="Z71" s="39">
        <f>+'9'!D58/1000</f>
        <v>0</v>
      </c>
      <c r="AA71" s="39"/>
      <c r="AB71" s="39"/>
      <c r="AC71" s="39">
        <f>K71-T71</f>
        <v>7.3075610030769269</v>
      </c>
      <c r="AD71" s="39">
        <f>+AM71+BA71</f>
        <v>19</v>
      </c>
      <c r="AE71" s="238" t="s">
        <v>592</v>
      </c>
      <c r="AF71" s="39"/>
      <c r="AG71" s="39">
        <v>19</v>
      </c>
      <c r="AH71" s="39"/>
      <c r="AI71" s="455"/>
      <c r="AJ71" s="39"/>
      <c r="AK71" s="39"/>
      <c r="AL71" s="39"/>
      <c r="AM71" s="39">
        <f>SUM(AF71:AL71)+AT71+AV71+AX71</f>
        <v>19</v>
      </c>
      <c r="AN71" s="89"/>
      <c r="AO71" s="39"/>
      <c r="AP71" s="39"/>
      <c r="AQ71" s="39"/>
      <c r="AR71" s="39">
        <f>SUM(AN71:AQ71)</f>
        <v>0</v>
      </c>
      <c r="AS71" s="39"/>
      <c r="AT71" s="39"/>
      <c r="AU71" s="39"/>
      <c r="AV71" s="39"/>
      <c r="AW71" s="39"/>
      <c r="AX71" s="39"/>
      <c r="AY71" s="39"/>
      <c r="AZ71" s="39"/>
      <c r="BA71" s="39">
        <f>+AR71+AS71+AU71+AW71+AY71+AZ71</f>
        <v>0</v>
      </c>
      <c r="BB71" s="52"/>
      <c r="BC71" s="53">
        <v>11</v>
      </c>
      <c r="BD71" s="53"/>
      <c r="BE71" s="52"/>
      <c r="BF71" s="53"/>
    </row>
    <row r="72" spans="1:58" ht="12.95" customHeight="1">
      <c r="A72" s="42"/>
      <c r="B72" s="43"/>
      <c r="C72" s="447"/>
      <c r="D72" s="43"/>
      <c r="E72" s="44"/>
      <c r="F72" s="44"/>
      <c r="G72" s="45"/>
      <c r="H72" s="46"/>
      <c r="I72" s="47"/>
      <c r="J72" s="88"/>
      <c r="K72" s="88"/>
      <c r="L72" s="37"/>
      <c r="M72" s="37"/>
      <c r="N72" s="48"/>
      <c r="O72" s="49"/>
      <c r="P72" s="50"/>
      <c r="Q72" s="49"/>
      <c r="R72" s="417"/>
      <c r="S72" s="417"/>
      <c r="T72" s="39"/>
      <c r="U72" s="39"/>
      <c r="V72" s="39"/>
      <c r="W72" s="39"/>
      <c r="X72" s="40"/>
      <c r="Y72" s="220"/>
      <c r="Z72" s="39"/>
      <c r="AA72" s="39"/>
      <c r="AB72" s="39"/>
      <c r="AC72" s="39"/>
      <c r="AD72" s="39">
        <f>+AM72+BA72</f>
        <v>38</v>
      </c>
      <c r="AE72" s="238" t="s">
        <v>466</v>
      </c>
      <c r="AF72" s="35"/>
      <c r="AG72" s="35"/>
      <c r="AH72" s="35">
        <v>38</v>
      </c>
      <c r="AI72" s="455"/>
      <c r="AJ72" s="39"/>
      <c r="AK72" s="39"/>
      <c r="AL72" s="39"/>
      <c r="AM72" s="39">
        <f>SUM(AF72:AL72)+AT72+AV72+AX72</f>
        <v>38</v>
      </c>
      <c r="AN72" s="39"/>
      <c r="AO72" s="39"/>
      <c r="AP72" s="39"/>
      <c r="AQ72" s="39"/>
      <c r="AR72" s="39">
        <f>SUM(AN72:AQ72)</f>
        <v>0</v>
      </c>
      <c r="AS72" s="39"/>
      <c r="AT72" s="39"/>
      <c r="AU72" s="39"/>
      <c r="AV72" s="39"/>
      <c r="AW72" s="39"/>
      <c r="AX72" s="39"/>
      <c r="AY72" s="39"/>
      <c r="AZ72" s="39"/>
      <c r="BA72" s="39">
        <f>+AR72+AS72+AU72+AW72+AY72+AZ72</f>
        <v>0</v>
      </c>
      <c r="BB72" s="35"/>
      <c r="BC72" s="55"/>
      <c r="BD72" s="55"/>
      <c r="BE72" s="35"/>
      <c r="BF72" s="55"/>
    </row>
    <row r="73" spans="1:58" ht="12.95" customHeight="1">
      <c r="A73" s="42"/>
      <c r="B73" s="43"/>
      <c r="C73" s="447"/>
      <c r="D73" s="43"/>
      <c r="E73" s="44"/>
      <c r="F73" s="44"/>
      <c r="G73" s="45"/>
      <c r="H73" s="46"/>
      <c r="I73" s="47"/>
      <c r="J73" s="88"/>
      <c r="K73" s="88"/>
      <c r="L73" s="37"/>
      <c r="M73" s="37"/>
      <c r="N73" s="48"/>
      <c r="O73" s="49"/>
      <c r="P73" s="50"/>
      <c r="Q73" s="49"/>
      <c r="R73" s="417"/>
      <c r="S73" s="417"/>
      <c r="T73" s="39"/>
      <c r="U73" s="39"/>
      <c r="V73" s="39"/>
      <c r="W73" s="39"/>
      <c r="X73" s="40"/>
      <c r="Y73" s="220"/>
      <c r="Z73" s="39"/>
      <c r="AA73" s="39"/>
      <c r="AB73" s="39"/>
      <c r="AC73" s="39"/>
      <c r="AD73" s="39">
        <f>+AM73+BA73</f>
        <v>13</v>
      </c>
      <c r="AE73" s="238" t="s">
        <v>664</v>
      </c>
      <c r="AF73" s="35"/>
      <c r="AG73" s="35"/>
      <c r="AH73" s="35"/>
      <c r="AI73" s="455"/>
      <c r="AJ73" s="39">
        <v>13</v>
      </c>
      <c r="AK73" s="39"/>
      <c r="AL73" s="39"/>
      <c r="AM73" s="39">
        <f>SUM(AF73:AL73)+AT73+AV73+AX73</f>
        <v>13</v>
      </c>
      <c r="AN73" s="39"/>
      <c r="AO73" s="39"/>
      <c r="AP73" s="39"/>
      <c r="AQ73" s="39"/>
      <c r="AR73" s="39">
        <f>SUM(AN73:AQ73)</f>
        <v>0</v>
      </c>
      <c r="AS73" s="39"/>
      <c r="AT73" s="39"/>
      <c r="AU73" s="39"/>
      <c r="AV73" s="39"/>
      <c r="AW73" s="39"/>
      <c r="AX73" s="39"/>
      <c r="AY73" s="39"/>
      <c r="AZ73" s="39"/>
      <c r="BA73" s="39">
        <f>+AR73+AS73+AU73+AW73+AY73+AZ73</f>
        <v>0</v>
      </c>
      <c r="BB73" s="35"/>
      <c r="BC73" s="55"/>
      <c r="BD73" s="55"/>
      <c r="BE73" s="35"/>
      <c r="BF73" s="55"/>
    </row>
    <row r="74" spans="1:58" ht="12.95" customHeight="1">
      <c r="A74" s="42"/>
      <c r="B74" s="43"/>
      <c r="C74" s="447"/>
      <c r="D74" s="43"/>
      <c r="E74" s="44"/>
      <c r="F74" s="44"/>
      <c r="G74" s="45"/>
      <c r="H74" s="46"/>
      <c r="I74" s="47"/>
      <c r="J74" s="88"/>
      <c r="K74" s="88"/>
      <c r="L74" s="37"/>
      <c r="M74" s="37"/>
      <c r="N74" s="48"/>
      <c r="O74" s="49"/>
      <c r="P74" s="50"/>
      <c r="Q74" s="49"/>
      <c r="R74" s="417"/>
      <c r="S74" s="417"/>
      <c r="T74" s="39"/>
      <c r="U74" s="39"/>
      <c r="V74" s="39"/>
      <c r="W74" s="39"/>
      <c r="X74" s="40"/>
      <c r="Y74" s="220"/>
      <c r="Z74" s="39"/>
      <c r="AA74" s="39"/>
      <c r="AB74" s="39"/>
      <c r="AC74" s="39"/>
      <c r="AD74" s="39"/>
      <c r="AE74" s="238"/>
      <c r="AF74" s="35"/>
      <c r="AG74" s="35"/>
      <c r="AH74" s="35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5"/>
      <c r="BC74" s="55"/>
      <c r="BD74" s="53"/>
      <c r="BE74" s="53"/>
      <c r="BF74" s="53"/>
    </row>
    <row r="75" spans="1:58" ht="12.95" customHeight="1">
      <c r="A75" s="42">
        <v>45976</v>
      </c>
      <c r="B75" s="43" t="s">
        <v>517</v>
      </c>
      <c r="C75" s="447">
        <f>(M75*E75*O75*Q75)/100000000</f>
        <v>29.666182000000006</v>
      </c>
      <c r="D75" s="43" t="s">
        <v>489</v>
      </c>
      <c r="E75" s="44">
        <v>12.5</v>
      </c>
      <c r="F75" s="44">
        <v>1</v>
      </c>
      <c r="G75" s="459">
        <v>1700</v>
      </c>
      <c r="H75" s="46">
        <v>0.24</v>
      </c>
      <c r="I75" s="47">
        <v>0.88</v>
      </c>
      <c r="J75" s="88">
        <f>E75*G75*(1-H75)*1440/1000000*2.77</f>
        <v>64.419120000000007</v>
      </c>
      <c r="K75" s="88">
        <f>(IF(G75&lt;L75,L75,G75)*(1-IF(H75&lt;N75,H75,N75))*E75*O75*Q75)/100000000</f>
        <v>32.752200000000002</v>
      </c>
      <c r="L75" s="37">
        <v>1539.8205128205129</v>
      </c>
      <c r="M75" s="37">
        <v>1170.2635897435898</v>
      </c>
      <c r="N75" s="48">
        <f>1-(M75/L75)</f>
        <v>0.24</v>
      </c>
      <c r="O75" s="49">
        <f>+'Trim Rwd'!H69</f>
        <v>260</v>
      </c>
      <c r="P75" s="50">
        <f>O75*(Q75-R75-S75)</f>
        <v>193440</v>
      </c>
      <c r="Q75" s="49">
        <v>780</v>
      </c>
      <c r="R75" s="417">
        <v>0</v>
      </c>
      <c r="S75" s="417">
        <v>36</v>
      </c>
      <c r="T75" s="39">
        <f>E75*M75*O75*Q75/100000000</f>
        <v>29.666182000000006</v>
      </c>
      <c r="U75" s="39">
        <f>E75*M75*O75*(Q75-R75-S75)/100000000</f>
        <v>28.296973600000001</v>
      </c>
      <c r="V75" s="39">
        <f>E75*G75*(1-N75)*O75/100*(R75+S75)/1000000</f>
        <v>1.5116400000000001</v>
      </c>
      <c r="W75" s="39">
        <f>+'15'!K16/1000</f>
        <v>28.22</v>
      </c>
      <c r="X75" s="414">
        <f>SUM(W75:W78)/SUM(K75:K78)</f>
        <v>0.78342130090007389</v>
      </c>
      <c r="Y75" s="220">
        <v>0</v>
      </c>
      <c r="Z75" s="39">
        <f>+'15'!D7/1000</f>
        <v>0.28999999999999998</v>
      </c>
      <c r="AA75" s="51">
        <f>SUM(U75:U78)-SUM(W75:W78)-SUM(Z75:Z78)-SUM(Y75:Y78)</f>
        <v>4.9043108000000082</v>
      </c>
      <c r="AB75" s="51">
        <f>(SUM(K75:K78)-SUM(W75:W78)-SUM(Y75:Y78)-SUM(Z75:Z78)-SUM(AC75:AC78)-SUM(V75:V78))-AA75</f>
        <v>-0.19222679999999226</v>
      </c>
      <c r="AC75" s="39">
        <f>K75-T75</f>
        <v>3.0860179999999957</v>
      </c>
      <c r="AD75" s="39">
        <f>+AM75+BA75</f>
        <v>0</v>
      </c>
      <c r="AE75" s="238" t="s">
        <v>434</v>
      </c>
      <c r="AF75" s="39">
        <v>0</v>
      </c>
      <c r="AG75" s="39"/>
      <c r="AH75" s="39"/>
      <c r="AI75" s="455"/>
      <c r="AJ75" s="39"/>
      <c r="AK75" s="39"/>
      <c r="AL75" s="39"/>
      <c r="AM75" s="39">
        <f>SUM(AF75:AL75)+AT75+AV75+AX75</f>
        <v>0</v>
      </c>
      <c r="AN75" s="39"/>
      <c r="AO75" s="39"/>
      <c r="AP75" s="39"/>
      <c r="AQ75" s="39"/>
      <c r="AR75" s="39">
        <f>SUM(AN75:AQ75)</f>
        <v>0</v>
      </c>
      <c r="AS75" s="39"/>
      <c r="AT75" s="39"/>
      <c r="AU75" s="39"/>
      <c r="AV75" s="39"/>
      <c r="AW75" s="39"/>
      <c r="AX75" s="39"/>
      <c r="AY75" s="39"/>
      <c r="AZ75" s="39"/>
      <c r="BA75" s="39">
        <f>+AR75+AS75+AU75+AW75+AY75+AZ75</f>
        <v>0</v>
      </c>
      <c r="BB75" s="35">
        <v>0</v>
      </c>
      <c r="BC75" s="53"/>
      <c r="BD75" s="53"/>
      <c r="BE75" s="35"/>
      <c r="BF75" s="53"/>
    </row>
    <row r="76" spans="1:58" ht="12.95" customHeight="1">
      <c r="A76" s="343"/>
      <c r="B76" s="43" t="s">
        <v>517</v>
      </c>
      <c r="C76" s="447">
        <f>(M76*E76*O76*Q76)/100000000</f>
        <v>24.332616000000005</v>
      </c>
      <c r="D76" s="43" t="s">
        <v>489</v>
      </c>
      <c r="E76" s="44">
        <v>12</v>
      </c>
      <c r="F76" s="44">
        <v>1</v>
      </c>
      <c r="G76" s="459">
        <v>1700</v>
      </c>
      <c r="H76" s="46">
        <v>0.24</v>
      </c>
      <c r="I76" s="47">
        <v>0.88</v>
      </c>
      <c r="J76" s="88">
        <f>E76*G76*(1-H76)*1440/1000000*2.77</f>
        <v>61.8423552</v>
      </c>
      <c r="K76" s="88">
        <f>(IF(G76&lt;L76,L76,G76)*(1-IF(H76&lt;N76,H76,N76))*E76*O76*Q76)/100000000</f>
        <v>26.860679999999999</v>
      </c>
      <c r="L76" s="37">
        <v>1540</v>
      </c>
      <c r="M76" s="37">
        <f t="shared" ref="M76" si="25">+L76-L76*0.24</f>
        <v>1170.4000000000001</v>
      </c>
      <c r="N76" s="48">
        <f>1-(M76/L76)</f>
        <v>0.24</v>
      </c>
      <c r="O76" s="49">
        <f>+'Trim Rwd'!H70</f>
        <v>262.5</v>
      </c>
      <c r="P76" s="50">
        <f>O76*(Q76-R76-S76)</f>
        <v>169837.5</v>
      </c>
      <c r="Q76" s="49">
        <v>660</v>
      </c>
      <c r="R76" s="417">
        <v>0</v>
      </c>
      <c r="S76" s="417">
        <v>13</v>
      </c>
      <c r="T76" s="39">
        <f>E76*M76*O76*Q76/100000000</f>
        <v>24.332616000000005</v>
      </c>
      <c r="U76" s="39">
        <f>E76*M76*O76*(Q76-R76-S76)/100000000</f>
        <v>23.853337200000006</v>
      </c>
      <c r="V76" s="39">
        <f>E76*G76*(1-N76)*O76/100*(R76+S76)/1000000</f>
        <v>0.52907400000000004</v>
      </c>
      <c r="W76" s="39">
        <f>+'15'!K14/1000</f>
        <v>18.481999999999999</v>
      </c>
      <c r="X76" s="40"/>
      <c r="Y76" s="220"/>
      <c r="Z76" s="39">
        <f>+'15'!D17/1000</f>
        <v>0.254</v>
      </c>
      <c r="AA76" s="39"/>
      <c r="AB76" s="39"/>
      <c r="AC76" s="39">
        <f>K76-T76</f>
        <v>2.5280639999999934</v>
      </c>
      <c r="AD76" s="39">
        <f>+AM76+BA76</f>
        <v>13</v>
      </c>
      <c r="AE76" s="238" t="s">
        <v>700</v>
      </c>
      <c r="AF76" s="39"/>
      <c r="AG76" s="39">
        <v>13</v>
      </c>
      <c r="AH76" s="39"/>
      <c r="AI76" s="455"/>
      <c r="AJ76" s="39"/>
      <c r="AK76" s="39"/>
      <c r="AL76" s="39"/>
      <c r="AM76" s="39">
        <f>SUM(AF76:AL76)+AT76+AV76+AX76</f>
        <v>13</v>
      </c>
      <c r="AN76" s="89"/>
      <c r="AO76" s="39"/>
      <c r="AP76" s="39"/>
      <c r="AQ76" s="39"/>
      <c r="AR76" s="39">
        <f>SUM(AN76:AQ76)</f>
        <v>0</v>
      </c>
      <c r="AS76" s="39"/>
      <c r="AT76" s="39"/>
      <c r="AU76" s="39"/>
      <c r="AV76" s="39"/>
      <c r="AW76" s="39"/>
      <c r="AX76" s="39"/>
      <c r="AY76" s="39"/>
      <c r="AZ76" s="39"/>
      <c r="BA76" s="39">
        <f>+AR76+AS76+AU76+AW76+AY76+AZ76</f>
        <v>0</v>
      </c>
      <c r="BB76" s="52"/>
      <c r="BC76" s="53">
        <v>12</v>
      </c>
      <c r="BD76" s="53"/>
      <c r="BE76" s="52"/>
      <c r="BF76" s="53"/>
    </row>
    <row r="77" spans="1:58" ht="12.95" customHeight="1">
      <c r="A77" s="42"/>
      <c r="B77" s="43"/>
      <c r="C77" s="447"/>
      <c r="D77" s="43"/>
      <c r="E77" s="44"/>
      <c r="F77" s="44"/>
      <c r="G77" s="45"/>
      <c r="H77" s="46"/>
      <c r="I77" s="47"/>
      <c r="J77" s="88"/>
      <c r="K77" s="88"/>
      <c r="L77" s="37"/>
      <c r="M77" s="37"/>
      <c r="N77" s="48"/>
      <c r="O77" s="49"/>
      <c r="P77" s="50"/>
      <c r="Q77" s="49"/>
      <c r="R77" s="417"/>
      <c r="S77" s="417"/>
      <c r="T77" s="39"/>
      <c r="U77" s="39"/>
      <c r="V77" s="39"/>
      <c r="W77" s="39"/>
      <c r="X77" s="40"/>
      <c r="Y77" s="220"/>
      <c r="Z77" s="39"/>
      <c r="AA77" s="39"/>
      <c r="AB77" s="39"/>
      <c r="AC77" s="39"/>
      <c r="AD77" s="39">
        <f>+AM77+BA77</f>
        <v>36</v>
      </c>
      <c r="AE77" s="238" t="s">
        <v>651</v>
      </c>
      <c r="AF77" s="35"/>
      <c r="AG77" s="35"/>
      <c r="AH77" s="35">
        <v>36</v>
      </c>
      <c r="AI77" s="455"/>
      <c r="AJ77" s="39"/>
      <c r="AK77" s="39"/>
      <c r="AL77" s="39"/>
      <c r="AM77" s="39">
        <f>SUM(AF77:AL77)+AT77+AV77+AX77</f>
        <v>36</v>
      </c>
      <c r="AN77" s="39"/>
      <c r="AO77" s="39"/>
      <c r="AP77" s="39"/>
      <c r="AQ77" s="39"/>
      <c r="AR77" s="39">
        <f>SUM(AN77:AQ77)</f>
        <v>0</v>
      </c>
      <c r="AS77" s="39"/>
      <c r="AT77" s="39"/>
      <c r="AU77" s="39"/>
      <c r="AV77" s="39"/>
      <c r="AW77" s="39"/>
      <c r="AX77" s="39"/>
      <c r="AY77" s="39"/>
      <c r="AZ77" s="39"/>
      <c r="BA77" s="39">
        <f>+AR77+AS77+AU77+AW77+AY77+AZ77</f>
        <v>0</v>
      </c>
      <c r="BB77" s="35"/>
      <c r="BC77" s="55"/>
      <c r="BD77" s="55"/>
      <c r="BE77" s="35"/>
      <c r="BF77" s="55"/>
    </row>
    <row r="78" spans="1:58" ht="12.95" customHeight="1">
      <c r="A78" s="42"/>
      <c r="B78" s="43"/>
      <c r="C78" s="447"/>
      <c r="D78" s="43"/>
      <c r="E78" s="44"/>
      <c r="F78" s="44"/>
      <c r="G78" s="45"/>
      <c r="H78" s="46"/>
      <c r="I78" s="47"/>
      <c r="J78" s="88"/>
      <c r="K78" s="88"/>
      <c r="L78" s="37"/>
      <c r="M78" s="37"/>
      <c r="N78" s="48"/>
      <c r="O78" s="49"/>
      <c r="P78" s="50"/>
      <c r="Q78" s="49"/>
      <c r="R78" s="417"/>
      <c r="S78" s="417"/>
      <c r="T78" s="39"/>
      <c r="U78" s="39"/>
      <c r="V78" s="39"/>
      <c r="W78" s="39"/>
      <c r="X78" s="40"/>
      <c r="Y78" s="220"/>
      <c r="Z78" s="39"/>
      <c r="AA78" s="39"/>
      <c r="AB78" s="39"/>
      <c r="AC78" s="39"/>
      <c r="AD78" s="39"/>
      <c r="AE78" s="238"/>
      <c r="AF78" s="35"/>
      <c r="AG78" s="35"/>
      <c r="AH78" s="35"/>
      <c r="AI78" s="455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5"/>
      <c r="BC78" s="55"/>
      <c r="BD78" s="55"/>
      <c r="BE78" s="35"/>
      <c r="BF78" s="55"/>
    </row>
    <row r="79" spans="1:58" ht="12.95" customHeight="1">
      <c r="A79" s="42">
        <v>45977</v>
      </c>
      <c r="B79" s="43" t="s">
        <v>517</v>
      </c>
      <c r="C79" s="447">
        <f>(M79*E79*O79*Q79)/100000000</f>
        <v>6.0831540000000013</v>
      </c>
      <c r="D79" s="43" t="s">
        <v>489</v>
      </c>
      <c r="E79" s="44">
        <v>12</v>
      </c>
      <c r="F79" s="44">
        <v>1</v>
      </c>
      <c r="G79" s="459">
        <v>1700</v>
      </c>
      <c r="H79" s="46">
        <v>0.24</v>
      </c>
      <c r="I79" s="47">
        <v>0.88</v>
      </c>
      <c r="J79" s="88">
        <f>E79*G79*(1-H79)*1440/1000000*2.77</f>
        <v>61.8423552</v>
      </c>
      <c r="K79" s="88">
        <f>(IF(G79&lt;L79,L79,G79)*(1-IF(H79&lt;N79,H79,N79))*E79*O79*Q79)/100000000</f>
        <v>6.7151699999999996</v>
      </c>
      <c r="L79" s="37">
        <v>1540</v>
      </c>
      <c r="M79" s="37">
        <f t="shared" ref="M79:M80" si="26">+L79-L79*0.24</f>
        <v>1170.4000000000001</v>
      </c>
      <c r="N79" s="48">
        <f>1-(M79/L79)</f>
        <v>0.24</v>
      </c>
      <c r="O79" s="49">
        <f>+'Trim Rwd'!H72</f>
        <v>262.5</v>
      </c>
      <c r="P79" s="50">
        <f>O79*(Q79-R79-S79)</f>
        <v>42525</v>
      </c>
      <c r="Q79" s="49">
        <v>165</v>
      </c>
      <c r="R79" s="417">
        <v>0</v>
      </c>
      <c r="S79" s="417">
        <v>3</v>
      </c>
      <c r="T79" s="39">
        <f>E79*M79*O79*Q79/100000000</f>
        <v>6.0831540000000013</v>
      </c>
      <c r="U79" s="39">
        <f>E79*M79*O79*(Q79-R79-S79)/100000000</f>
        <v>5.9725512000000016</v>
      </c>
      <c r="V79" s="39">
        <f>E79*G79*(1-N79)*O79/100*(R79+S79)/1000000</f>
        <v>0.12209399999999999</v>
      </c>
      <c r="W79" s="39">
        <f>+'16'!K14/1000</f>
        <v>10.789</v>
      </c>
      <c r="X79" s="414">
        <f>SUM(W79:W82)/SUM(K79:K82)</f>
        <v>0.85703249220818689</v>
      </c>
      <c r="Y79" s="220">
        <v>0</v>
      </c>
      <c r="Z79" s="39">
        <f>+'16'!D7/1000</f>
        <v>0.27</v>
      </c>
      <c r="AA79" s="51">
        <f>SUM(U79:U82)-SUM(W79:W82)-SUM(Z79:Z82)-SUM(Y79:Y82)</f>
        <v>2.0269671999999974</v>
      </c>
      <c r="AB79" s="51">
        <f>(SUM(K79:K82)-SUM(W79:W82)-SUM(Y79:Y82)-SUM(Z79:Z82)-SUM(AC79:AC82)-SUM(V79:V82))-AA79</f>
        <v>-0.11361088000000419</v>
      </c>
      <c r="AC79" s="39">
        <f>K79-T79</f>
        <v>0.63201599999999836</v>
      </c>
      <c r="AD79" s="39">
        <f>+AM79+BA79</f>
        <v>0</v>
      </c>
      <c r="AE79" s="238" t="s">
        <v>434</v>
      </c>
      <c r="AF79" s="39">
        <v>0</v>
      </c>
      <c r="AG79" s="39"/>
      <c r="AH79" s="39"/>
      <c r="AI79" s="455"/>
      <c r="AJ79" s="39"/>
      <c r="AK79" s="39"/>
      <c r="AL79" s="39"/>
      <c r="AM79" s="39">
        <f>SUM(AF79:AL79)+AT79+AV79+AX79</f>
        <v>0</v>
      </c>
      <c r="AN79" s="39"/>
      <c r="AO79" s="39"/>
      <c r="AP79" s="39"/>
      <c r="AQ79" s="39"/>
      <c r="AR79" s="39">
        <f>SUM(AN79:AQ79)</f>
        <v>0</v>
      </c>
      <c r="AS79" s="39"/>
      <c r="AT79" s="39"/>
      <c r="AU79" s="39"/>
      <c r="AV79" s="39"/>
      <c r="AW79" s="39"/>
      <c r="AX79" s="39"/>
      <c r="AY79" s="39"/>
      <c r="AZ79" s="39"/>
      <c r="BA79" s="39">
        <f>+AR79+AS79+AU79+AW79+AY79+AZ79</f>
        <v>0</v>
      </c>
      <c r="BB79" s="35">
        <v>0</v>
      </c>
      <c r="BC79" s="53"/>
      <c r="BD79" s="53"/>
      <c r="BE79" s="35"/>
      <c r="BF79" s="53"/>
    </row>
    <row r="80" spans="1:58" ht="12.95" customHeight="1">
      <c r="A80" s="343"/>
      <c r="B80" s="43" t="s">
        <v>517</v>
      </c>
      <c r="C80" s="447">
        <f>(M80*E80*O80*Q80)/100000000</f>
        <v>53.04042432</v>
      </c>
      <c r="D80" s="43" t="s">
        <v>489</v>
      </c>
      <c r="E80" s="44">
        <v>13</v>
      </c>
      <c r="F80" s="44">
        <v>1</v>
      </c>
      <c r="G80" s="459">
        <v>1700</v>
      </c>
      <c r="H80" s="46">
        <v>0.24</v>
      </c>
      <c r="I80" s="47">
        <v>0.88</v>
      </c>
      <c r="J80" s="88">
        <f>E80*G80*(1-H80)*1440/1000000*2.77</f>
        <v>66.995884799999999</v>
      </c>
      <c r="K80" s="88">
        <f>(IF(G80&lt;L80,L80,G80)*(1-IF(H80&lt;N80,H80,N80))*E80*O80*Q80)/100000000</f>
        <v>58.248528</v>
      </c>
      <c r="L80" s="37">
        <v>1548</v>
      </c>
      <c r="M80" s="37">
        <f t="shared" si="26"/>
        <v>1176.48</v>
      </c>
      <c r="N80" s="48">
        <f>1-(M80/L80)</f>
        <v>0.24</v>
      </c>
      <c r="O80" s="49">
        <f>+'Trim Rwd'!H73</f>
        <v>272</v>
      </c>
      <c r="P80" s="50">
        <f>O80*(Q80-R80-S80)</f>
        <v>340000</v>
      </c>
      <c r="Q80" s="49">
        <v>1275</v>
      </c>
      <c r="R80" s="417">
        <v>0</v>
      </c>
      <c r="S80" s="417">
        <v>25</v>
      </c>
      <c r="T80" s="39">
        <f>E80*M80*O80*Q80/100000000</f>
        <v>53.04042432</v>
      </c>
      <c r="U80" s="39">
        <f>E80*M80*O80*(Q80-R80-S80)/100000000</f>
        <v>52.000416000000001</v>
      </c>
      <c r="V80" s="39">
        <f>E80*G80*(1-N80)*O80/100*(R80+S80)/1000000</f>
        <v>1.142128</v>
      </c>
      <c r="W80" s="39">
        <f>+'16'!K15/1000</f>
        <v>44.887</v>
      </c>
      <c r="X80" s="40"/>
      <c r="Y80" s="220"/>
      <c r="Z80" s="39">
        <v>0</v>
      </c>
      <c r="AA80" s="39"/>
      <c r="AB80" s="39"/>
      <c r="AC80" s="39">
        <f>K80-T80</f>
        <v>5.2081036800000007</v>
      </c>
      <c r="AD80" s="39">
        <f>+AM80+BA80</f>
        <v>13</v>
      </c>
      <c r="AE80" s="238" t="s">
        <v>701</v>
      </c>
      <c r="AF80" s="39"/>
      <c r="AG80" s="39">
        <v>13</v>
      </c>
      <c r="AH80" s="39"/>
      <c r="AI80" s="455"/>
      <c r="AJ80" s="39"/>
      <c r="AK80" s="39"/>
      <c r="AL80" s="39"/>
      <c r="AM80" s="39">
        <f>SUM(AF80:AL80)+AT80+AV80+AX80</f>
        <v>13</v>
      </c>
      <c r="AN80" s="89"/>
      <c r="AO80" s="39"/>
      <c r="AP80" s="39"/>
      <c r="AQ80" s="39"/>
      <c r="AR80" s="39">
        <f>SUM(AN80:AQ80)</f>
        <v>0</v>
      </c>
      <c r="AS80" s="39"/>
      <c r="AT80" s="39"/>
      <c r="AU80" s="39"/>
      <c r="AV80" s="39"/>
      <c r="AW80" s="39"/>
      <c r="AX80" s="39"/>
      <c r="AY80" s="39"/>
      <c r="AZ80" s="39"/>
      <c r="BA80" s="39">
        <f>+AR80+AS80+AU80+AW80+AY80+AZ80</f>
        <v>0</v>
      </c>
      <c r="BB80" s="52"/>
      <c r="BC80" s="53">
        <v>14</v>
      </c>
      <c r="BD80" s="53"/>
      <c r="BE80" s="52"/>
      <c r="BF80" s="53"/>
    </row>
    <row r="81" spans="1:58" ht="12.95" customHeight="1">
      <c r="A81" s="42"/>
      <c r="B81" s="43"/>
      <c r="C81" s="447"/>
      <c r="D81" s="43"/>
      <c r="E81" s="44"/>
      <c r="F81" s="44"/>
      <c r="G81" s="45"/>
      <c r="H81" s="46"/>
      <c r="I81" s="47"/>
      <c r="J81" s="88"/>
      <c r="K81" s="88"/>
      <c r="L81" s="37"/>
      <c r="M81" s="37"/>
      <c r="N81" s="48"/>
      <c r="O81" s="49"/>
      <c r="P81" s="50"/>
      <c r="Q81" s="49"/>
      <c r="R81" s="417"/>
      <c r="S81" s="417"/>
      <c r="T81" s="39"/>
      <c r="U81" s="39"/>
      <c r="V81" s="39"/>
      <c r="W81" s="39"/>
      <c r="X81" s="40"/>
      <c r="Y81" s="220"/>
      <c r="Z81" s="39"/>
      <c r="AA81" s="39"/>
      <c r="AB81" s="39"/>
      <c r="AC81" s="39"/>
      <c r="AD81" s="39">
        <f>+AM81+BA81</f>
        <v>15</v>
      </c>
      <c r="AE81" s="238" t="s">
        <v>444</v>
      </c>
      <c r="AF81" s="35"/>
      <c r="AG81" s="35"/>
      <c r="AH81" s="35">
        <v>15</v>
      </c>
      <c r="AI81" s="455"/>
      <c r="AJ81" s="39"/>
      <c r="AK81" s="39"/>
      <c r="AL81" s="39"/>
      <c r="AM81" s="39">
        <f>SUM(AF81:AL81)+AT81+AV81+AX81</f>
        <v>15</v>
      </c>
      <c r="AN81" s="39"/>
      <c r="AO81" s="39"/>
      <c r="AP81" s="39"/>
      <c r="AQ81" s="39"/>
      <c r="AR81" s="39">
        <f>SUM(AN81:AQ81)</f>
        <v>0</v>
      </c>
      <c r="AS81" s="39"/>
      <c r="AT81" s="39"/>
      <c r="AU81" s="39"/>
      <c r="AV81" s="39"/>
      <c r="AW81" s="39"/>
      <c r="AX81" s="39"/>
      <c r="AY81" s="39"/>
      <c r="AZ81" s="39"/>
      <c r="BA81" s="39">
        <f>+AR81+AS81+AU81+AW81+AY81+AZ81</f>
        <v>0</v>
      </c>
      <c r="BB81" s="35"/>
      <c r="BC81" s="55"/>
      <c r="BD81" s="55"/>
      <c r="BE81" s="35"/>
      <c r="BF81" s="55"/>
    </row>
    <row r="82" spans="1:58" ht="12.95" customHeight="1">
      <c r="A82" s="42"/>
      <c r="B82" s="43"/>
      <c r="C82" s="447"/>
      <c r="D82" s="43"/>
      <c r="E82" s="44"/>
      <c r="F82" s="44"/>
      <c r="G82" s="459"/>
      <c r="H82" s="46"/>
      <c r="I82" s="47"/>
      <c r="J82" s="88"/>
      <c r="K82" s="88"/>
      <c r="L82" s="37"/>
      <c r="M82" s="37"/>
      <c r="N82" s="48"/>
      <c r="O82" s="49"/>
      <c r="P82" s="50"/>
      <c r="Q82" s="49"/>
      <c r="R82" s="417"/>
      <c r="S82" s="417"/>
      <c r="T82" s="39"/>
      <c r="U82" s="39"/>
      <c r="V82" s="39"/>
      <c r="W82" s="39"/>
      <c r="X82" s="40"/>
      <c r="Y82" s="220"/>
      <c r="Z82" s="39"/>
      <c r="AA82" s="39"/>
      <c r="AB82" s="39"/>
      <c r="AC82" s="39"/>
      <c r="AD82" s="39"/>
      <c r="AE82" s="238"/>
      <c r="AF82" s="35"/>
      <c r="AG82" s="35"/>
      <c r="AH82" s="35"/>
      <c r="AI82" s="455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5"/>
      <c r="BC82" s="55"/>
      <c r="BD82" s="55"/>
      <c r="BE82" s="35"/>
      <c r="BF82" s="55"/>
    </row>
    <row r="83" spans="1:58" ht="12.95" customHeight="1">
      <c r="A83" s="42">
        <v>45978</v>
      </c>
      <c r="B83" s="43" t="s">
        <v>517</v>
      </c>
      <c r="C83" s="447">
        <f>(M83*E83*O83*Q83)/100000000</f>
        <v>27.908233599999999</v>
      </c>
      <c r="D83" s="43" t="s">
        <v>489</v>
      </c>
      <c r="E83" s="44">
        <v>13</v>
      </c>
      <c r="F83" s="44">
        <v>1</v>
      </c>
      <c r="G83" s="459">
        <v>1700</v>
      </c>
      <c r="H83" s="46">
        <v>0.24</v>
      </c>
      <c r="I83" s="47">
        <v>0.88</v>
      </c>
      <c r="J83" s="88">
        <f>E83*G83*(1-H83)*1440/1000000*2.77</f>
        <v>66.995884799999999</v>
      </c>
      <c r="K83" s="88">
        <f>(IF(G83&lt;L83,L83,G83)*(1-IF(H83&lt;N83,H83,N83))*E83*O83*Q83)/100000000</f>
        <v>30.609030400000002</v>
      </c>
      <c r="L83" s="37">
        <v>1550</v>
      </c>
      <c r="M83" s="37">
        <v>1178</v>
      </c>
      <c r="N83" s="48">
        <f>1-(M83/L83)</f>
        <v>0.24</v>
      </c>
      <c r="O83" s="49">
        <f>+'Trim Rwd'!H75</f>
        <v>272</v>
      </c>
      <c r="P83" s="50">
        <f>O83*(Q83-R83-S83)</f>
        <v>119680</v>
      </c>
      <c r="Q83" s="49">
        <f>471+199</f>
        <v>670</v>
      </c>
      <c r="R83" s="417">
        <v>199</v>
      </c>
      <c r="S83" s="417">
        <v>31</v>
      </c>
      <c r="T83" s="39">
        <f>E83*M83*O83*Q83/100000000</f>
        <v>27.908233599999999</v>
      </c>
      <c r="U83" s="39">
        <f>E83*M83*O83*(Q83-R83-S83)/100000000</f>
        <v>18.327795200000001</v>
      </c>
      <c r="V83" s="39">
        <f>E83*G83*(1-N83)*O83/100*(R83+S83)/1000000</f>
        <v>10.507577600000001</v>
      </c>
      <c r="W83" s="39">
        <f>+'17'!K15/1000</f>
        <v>21.670999999999999</v>
      </c>
      <c r="X83" s="414">
        <f>SUM(W83:W86)/SUM(K83:K86)</f>
        <v>0.7280433272742024</v>
      </c>
      <c r="Y83" s="220">
        <v>0</v>
      </c>
      <c r="Z83" s="39">
        <f>+'17'!D7/1000</f>
        <v>0.8</v>
      </c>
      <c r="AA83" s="51">
        <f>SUM(U83:U86)-SUM(W83:W86)-SUM(Z83:Z86)-SUM(Y83:Y86)</f>
        <v>-0.28510800853754192</v>
      </c>
      <c r="AB83" s="51">
        <f>(SUM(K83:K86)-SUM(W83:W86)-SUM(Y83:Y86)-SUM(Z83:Z86)-SUM(AC83:AC86)-SUM(V83:V86))-AA83</f>
        <v>-1.030612196679852</v>
      </c>
      <c r="AC83" s="39">
        <f>K83-T83</f>
        <v>2.7007968000000027</v>
      </c>
      <c r="AD83" s="39">
        <f>+AM83+BA83</f>
        <v>15</v>
      </c>
      <c r="AE83" s="238" t="s">
        <v>721</v>
      </c>
      <c r="AF83" s="39">
        <v>15</v>
      </c>
      <c r="AG83" s="39"/>
      <c r="AH83" s="39"/>
      <c r="AI83" s="455"/>
      <c r="AJ83" s="39"/>
      <c r="AK83" s="39"/>
      <c r="AL83" s="39"/>
      <c r="AM83" s="39">
        <f>SUM(AF83:AL83)+AT83+AV83+AX83</f>
        <v>15</v>
      </c>
      <c r="AN83" s="39"/>
      <c r="AO83" s="39"/>
      <c r="AP83" s="39"/>
      <c r="AQ83" s="39"/>
      <c r="AR83" s="39">
        <f>SUM(AN83:AQ83)</f>
        <v>0</v>
      </c>
      <c r="AS83" s="39"/>
      <c r="AT83" s="39"/>
      <c r="AU83" s="39"/>
      <c r="AV83" s="39"/>
      <c r="AW83" s="39"/>
      <c r="AX83" s="39"/>
      <c r="AY83" s="39"/>
      <c r="AZ83" s="39"/>
      <c r="BA83" s="39">
        <f>+AR83+AS83+AU83+AW83+AY83+AZ83</f>
        <v>0</v>
      </c>
      <c r="BB83" s="35">
        <v>3</v>
      </c>
      <c r="BC83" s="53"/>
      <c r="BD83" s="53"/>
      <c r="BE83" s="35"/>
      <c r="BF83" s="53"/>
    </row>
    <row r="84" spans="1:58" ht="12.95" customHeight="1">
      <c r="A84" s="343"/>
      <c r="B84" s="43" t="s">
        <v>517</v>
      </c>
      <c r="C84" s="447">
        <f>(M84*E84*O84*Q84)/100000000</f>
        <v>29.289434733913044</v>
      </c>
      <c r="D84" s="43" t="s">
        <v>489</v>
      </c>
      <c r="E84" s="44">
        <v>12</v>
      </c>
      <c r="F84" s="44">
        <v>1</v>
      </c>
      <c r="G84" s="459">
        <v>1700</v>
      </c>
      <c r="H84" s="46">
        <v>0.24</v>
      </c>
      <c r="I84" s="47">
        <v>0.88</v>
      </c>
      <c r="J84" s="88">
        <f>E84*G84*(1-H84)*1440/1000000*2.77</f>
        <v>61.8423552</v>
      </c>
      <c r="K84" s="88">
        <f>(IF(G84&lt;L84,L84,G84)*(1-IF(H84&lt;N84,H84,N84))*E84*O84*Q84)/100000000</f>
        <v>31.565840660869565</v>
      </c>
      <c r="L84" s="37">
        <v>1577.4025974025974</v>
      </c>
      <c r="M84" s="37">
        <v>1198.8259740259741</v>
      </c>
      <c r="N84" s="48">
        <f>1-(M84/L84)</f>
        <v>0.24</v>
      </c>
      <c r="O84" s="49">
        <f>+'Trim Rwd'!H76</f>
        <v>264.41304347826087</v>
      </c>
      <c r="P84" s="50">
        <f>O84*(Q84-R84-S84)</f>
        <v>194343.58695652173</v>
      </c>
      <c r="Q84" s="49">
        <v>770</v>
      </c>
      <c r="R84" s="417">
        <v>0</v>
      </c>
      <c r="S84" s="417">
        <v>35</v>
      </c>
      <c r="T84" s="39">
        <f>E84*M84*O84*Q84/100000000</f>
        <v>29.289434733913044</v>
      </c>
      <c r="U84" s="39">
        <f>E84*M84*O84*(Q84-R84-S84)/100000000</f>
        <v>27.958096791462456</v>
      </c>
      <c r="V84" s="39">
        <f>E84*G84*(1-N84)*O84/100*(R84+S84)/1000000</f>
        <v>1.4348109391304347</v>
      </c>
      <c r="W84" s="39">
        <f>+'17'!K14/1000</f>
        <v>23.594999999999999</v>
      </c>
      <c r="X84" s="40"/>
      <c r="Y84" s="220"/>
      <c r="Z84" s="39">
        <f>+('17'!D17+'17'!D25)/1000</f>
        <v>0.505</v>
      </c>
      <c r="AA84" s="39"/>
      <c r="AB84" s="39"/>
      <c r="AC84" s="39">
        <f>K84-T84</f>
        <v>2.2764059269565209</v>
      </c>
      <c r="AD84" s="39">
        <f>+AM84+BA84</f>
        <v>16</v>
      </c>
      <c r="AE84" s="238" t="s">
        <v>592</v>
      </c>
      <c r="AF84" s="39"/>
      <c r="AG84" s="39">
        <v>16</v>
      </c>
      <c r="AH84" s="39"/>
      <c r="AI84" s="455"/>
      <c r="AJ84" s="39"/>
      <c r="AK84" s="39"/>
      <c r="AL84" s="39"/>
      <c r="AM84" s="39">
        <f>SUM(AF84:AL84)+AT84+AV84+AX84</f>
        <v>16</v>
      </c>
      <c r="AN84" s="89"/>
      <c r="AO84" s="39"/>
      <c r="AP84" s="39"/>
      <c r="AQ84" s="39"/>
      <c r="AR84" s="39">
        <f>SUM(AN84:AQ84)</f>
        <v>0</v>
      </c>
      <c r="AS84" s="39"/>
      <c r="AT84" s="39"/>
      <c r="AU84" s="39"/>
      <c r="AV84" s="39"/>
      <c r="AW84" s="39"/>
      <c r="AX84" s="39"/>
      <c r="AY84" s="39"/>
      <c r="AZ84" s="39"/>
      <c r="BA84" s="39">
        <f>+AR84+AS84+AU84+AW84+AY84+AZ84</f>
        <v>0</v>
      </c>
      <c r="BB84" s="52"/>
      <c r="BC84" s="53">
        <v>11</v>
      </c>
      <c r="BD84" s="53"/>
      <c r="BE84" s="52"/>
      <c r="BF84" s="53"/>
    </row>
    <row r="85" spans="1:58" ht="12.95" customHeight="1">
      <c r="A85" s="42"/>
      <c r="B85" s="43"/>
      <c r="C85" s="447"/>
      <c r="D85" s="43"/>
      <c r="E85" s="44"/>
      <c r="F85" s="44"/>
      <c r="G85" s="45"/>
      <c r="H85" s="46"/>
      <c r="I85" s="47"/>
      <c r="J85" s="88"/>
      <c r="K85" s="88"/>
      <c r="L85" s="37"/>
      <c r="M85" s="37"/>
      <c r="N85" s="48"/>
      <c r="O85" s="49"/>
      <c r="P85" s="50"/>
      <c r="Q85" s="49"/>
      <c r="R85" s="417"/>
      <c r="S85" s="417"/>
      <c r="T85" s="39"/>
      <c r="U85" s="39"/>
      <c r="V85" s="39"/>
      <c r="W85" s="39"/>
      <c r="X85" s="40"/>
      <c r="Y85" s="220"/>
      <c r="Z85" s="39"/>
      <c r="AA85" s="39"/>
      <c r="AB85" s="39"/>
      <c r="AC85" s="39"/>
      <c r="AD85" s="39">
        <f>+AM85+BA85</f>
        <v>30</v>
      </c>
      <c r="AE85" s="238" t="s">
        <v>722</v>
      </c>
      <c r="AF85" s="35"/>
      <c r="AG85" s="35"/>
      <c r="AH85" s="35">
        <v>30</v>
      </c>
      <c r="AI85" s="455"/>
      <c r="AJ85" s="39"/>
      <c r="AK85" s="39"/>
      <c r="AL85" s="39"/>
      <c r="AM85" s="39">
        <f>SUM(AF85:AL85)+AT85+AV85+AX85</f>
        <v>30</v>
      </c>
      <c r="AN85" s="39"/>
      <c r="AO85" s="39"/>
      <c r="AP85" s="39"/>
      <c r="AQ85" s="39"/>
      <c r="AR85" s="39">
        <f>SUM(AN85:AQ85)</f>
        <v>0</v>
      </c>
      <c r="AS85" s="39"/>
      <c r="AT85" s="39"/>
      <c r="AU85" s="39"/>
      <c r="AV85" s="39"/>
      <c r="AW85" s="39"/>
      <c r="AX85" s="39"/>
      <c r="AY85" s="39"/>
      <c r="AZ85" s="39"/>
      <c r="BA85" s="39">
        <f>+AR85+AS85+AU85+AW85+AY85+AZ85</f>
        <v>0</v>
      </c>
      <c r="BB85" s="35"/>
      <c r="BC85" s="55"/>
      <c r="BD85" s="55"/>
      <c r="BE85" s="35"/>
      <c r="BF85" s="55"/>
    </row>
    <row r="86" spans="1:58" ht="12.95" customHeight="1">
      <c r="A86" s="42"/>
      <c r="B86" s="43"/>
      <c r="C86" s="447"/>
      <c r="D86" s="43"/>
      <c r="E86" s="44"/>
      <c r="F86" s="44"/>
      <c r="G86" s="45"/>
      <c r="H86" s="46"/>
      <c r="I86" s="47"/>
      <c r="J86" s="88"/>
      <c r="K86" s="88"/>
      <c r="L86" s="37"/>
      <c r="M86" s="37"/>
      <c r="N86" s="48"/>
      <c r="O86" s="49"/>
      <c r="P86" s="50"/>
      <c r="Q86" s="49"/>
      <c r="R86" s="417"/>
      <c r="S86" s="417"/>
      <c r="T86" s="39"/>
      <c r="U86" s="39"/>
      <c r="V86" s="39"/>
      <c r="W86" s="39"/>
      <c r="X86" s="40"/>
      <c r="Y86" s="220"/>
      <c r="Z86" s="39"/>
      <c r="AA86" s="39"/>
      <c r="AB86" s="39"/>
      <c r="AC86" s="39"/>
      <c r="AD86" s="39">
        <f>+AM86+BA86</f>
        <v>5</v>
      </c>
      <c r="AE86" s="241" t="s">
        <v>415</v>
      </c>
      <c r="AF86" s="35"/>
      <c r="AG86" s="35"/>
      <c r="AH86" s="35"/>
      <c r="AI86" s="455">
        <v>5</v>
      </c>
      <c r="AJ86" s="39"/>
      <c r="AK86" s="39"/>
      <c r="AL86" s="39"/>
      <c r="AM86" s="39">
        <f>SUM(AF86:AL86)+AT86+AV86+AX86</f>
        <v>5</v>
      </c>
      <c r="AN86" s="39"/>
      <c r="AO86" s="39"/>
      <c r="AP86" s="39"/>
      <c r="AQ86" s="39"/>
      <c r="AR86" s="39">
        <f>SUM(AN86:AQ86)</f>
        <v>0</v>
      </c>
      <c r="AS86" s="39"/>
      <c r="AT86" s="39"/>
      <c r="AU86" s="39"/>
      <c r="AV86" s="39"/>
      <c r="AW86" s="39"/>
      <c r="AX86" s="39"/>
      <c r="AY86" s="39"/>
      <c r="AZ86" s="39"/>
      <c r="BA86" s="39">
        <f>+AR86+AS86+AU86+AW86+AY86+AZ86</f>
        <v>0</v>
      </c>
      <c r="BB86" s="35"/>
      <c r="BC86" s="55"/>
      <c r="BD86" s="55"/>
      <c r="BE86" s="35"/>
      <c r="BF86" s="55"/>
    </row>
    <row r="87" spans="1:58" ht="12.95" customHeight="1">
      <c r="A87" s="42"/>
      <c r="B87" s="43"/>
      <c r="C87" s="447"/>
      <c r="D87" s="43"/>
      <c r="E87" s="44"/>
      <c r="F87" s="44"/>
      <c r="G87" s="459"/>
      <c r="H87" s="46"/>
      <c r="I87" s="47"/>
      <c r="J87" s="88"/>
      <c r="K87" s="88"/>
      <c r="L87" s="37"/>
      <c r="M87" s="37"/>
      <c r="N87" s="48"/>
      <c r="O87" s="49"/>
      <c r="P87" s="50"/>
      <c r="Q87" s="49"/>
      <c r="R87" s="417"/>
      <c r="S87" s="417"/>
      <c r="T87" s="39"/>
      <c r="U87" s="39"/>
      <c r="V87" s="39"/>
      <c r="W87" s="39"/>
      <c r="X87" s="40"/>
      <c r="Y87" s="220"/>
      <c r="Z87" s="39"/>
      <c r="AA87" s="39"/>
      <c r="AB87" s="39"/>
      <c r="AC87" s="39"/>
      <c r="AD87" s="39">
        <f>+AM87+BA87</f>
        <v>199</v>
      </c>
      <c r="AE87" s="241" t="s">
        <v>707</v>
      </c>
      <c r="AF87" s="35"/>
      <c r="AG87" s="35"/>
      <c r="AH87" s="35"/>
      <c r="AI87" s="455"/>
      <c r="AJ87" s="39"/>
      <c r="AK87" s="39"/>
      <c r="AL87" s="39"/>
      <c r="AM87" s="39">
        <f>SUM(AF87:AL87)+AT87+AV87+AX87</f>
        <v>0</v>
      </c>
      <c r="AN87" s="39"/>
      <c r="AO87" s="39"/>
      <c r="AP87" s="39"/>
      <c r="AQ87" s="39"/>
      <c r="AR87" s="39">
        <f>SUM(AN87:AQ87)</f>
        <v>0</v>
      </c>
      <c r="AS87" s="39">
        <v>199</v>
      </c>
      <c r="AT87" s="39"/>
      <c r="AU87" s="39"/>
      <c r="AV87" s="39"/>
      <c r="AW87" s="39"/>
      <c r="AX87" s="39"/>
      <c r="AY87" s="39"/>
      <c r="AZ87" s="39"/>
      <c r="BA87" s="39">
        <f>+AR87+AS87+AU87+AW87+AY87+AZ87</f>
        <v>199</v>
      </c>
      <c r="BB87" s="35"/>
      <c r="BC87" s="55"/>
      <c r="BD87" s="55"/>
      <c r="BE87" s="35"/>
      <c r="BF87" s="55"/>
    </row>
    <row r="88" spans="1:58" ht="12.95" customHeight="1">
      <c r="A88" s="343"/>
      <c r="B88" s="43"/>
      <c r="C88" s="447"/>
      <c r="D88" s="43"/>
      <c r="E88" s="44"/>
      <c r="F88" s="44"/>
      <c r="G88" s="459"/>
      <c r="H88" s="46"/>
      <c r="I88" s="47"/>
      <c r="J88" s="88"/>
      <c r="K88" s="88"/>
      <c r="L88" s="37"/>
      <c r="M88" s="37"/>
      <c r="N88" s="48"/>
      <c r="O88" s="49"/>
      <c r="P88" s="50"/>
      <c r="Q88" s="49"/>
      <c r="R88" s="417"/>
      <c r="S88" s="417"/>
      <c r="T88" s="39"/>
      <c r="U88" s="39"/>
      <c r="V88" s="39"/>
      <c r="W88" s="39"/>
      <c r="X88" s="40"/>
      <c r="Y88" s="220"/>
      <c r="Z88" s="39"/>
      <c r="AA88" s="51"/>
      <c r="AB88" s="51"/>
      <c r="AC88" s="39"/>
      <c r="AD88" s="39"/>
      <c r="AE88" s="238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5"/>
      <c r="BC88" s="53"/>
      <c r="BD88" s="53"/>
      <c r="BE88" s="53"/>
      <c r="BF88" s="53"/>
    </row>
    <row r="89" spans="1:58" ht="12.95" customHeight="1">
      <c r="A89" s="42">
        <v>45979</v>
      </c>
      <c r="B89" s="43" t="s">
        <v>517</v>
      </c>
      <c r="C89" s="447">
        <f>(M89*E89*O89*Q89)/100000000</f>
        <v>9.8683416000000008</v>
      </c>
      <c r="D89" s="43" t="s">
        <v>489</v>
      </c>
      <c r="E89" s="44">
        <v>12</v>
      </c>
      <c r="F89" s="44">
        <v>1</v>
      </c>
      <c r="G89" s="459">
        <v>1700</v>
      </c>
      <c r="H89" s="46">
        <v>0.24</v>
      </c>
      <c r="I89" s="47">
        <v>0.88</v>
      </c>
      <c r="J89" s="88">
        <f>E89*G89*(1-H89)*1440/1000000*2.77</f>
        <v>61.8423552</v>
      </c>
      <c r="K89" s="88">
        <f>(IF(G89&lt;L89,L89,G89)*(1-IF(H89&lt;N89,H89,N89))*E89*O89*Q89)/100000000</f>
        <v>10.8233424</v>
      </c>
      <c r="L89" s="37">
        <v>1550</v>
      </c>
      <c r="M89" s="37">
        <v>1178</v>
      </c>
      <c r="N89" s="48">
        <f>1-(M89/L89)</f>
        <v>0.24</v>
      </c>
      <c r="O89" s="49">
        <f>+'Trim Rwd'!H79</f>
        <v>268.5</v>
      </c>
      <c r="P89" s="50">
        <f>O89*(Q89-R89-S89)</f>
        <v>67125</v>
      </c>
      <c r="Q89" s="49">
        <v>260</v>
      </c>
      <c r="R89" s="417">
        <v>0</v>
      </c>
      <c r="S89" s="417">
        <v>10</v>
      </c>
      <c r="T89" s="39">
        <f>E89*M89*O89*Q89/100000000</f>
        <v>9.8683416000000008</v>
      </c>
      <c r="U89" s="39">
        <f>E89*M89*O89*(Q89-R89-S89)/100000000</f>
        <v>9.4887899999999998</v>
      </c>
      <c r="V89" s="39">
        <f>E89*G89*(1-N89)*O89/100*(R89+S89)/1000000</f>
        <v>0.41628239999999994</v>
      </c>
      <c r="W89" s="39">
        <f>+'18'!K14/1000</f>
        <v>13.865</v>
      </c>
      <c r="X89" s="414">
        <f>SUM(W89:W92)/SUM(K89:K92)</f>
        <v>0.70191175327409483</v>
      </c>
      <c r="Y89" s="220">
        <v>0</v>
      </c>
      <c r="Z89" s="39">
        <f>+'17'!D13/1000</f>
        <v>0</v>
      </c>
      <c r="AA89" s="51">
        <f>SUM(U89:U92)-SUM(W89:W92)-SUM(Z89:Z92)-SUM(Y89:Y92)</f>
        <v>4.7909501584158543</v>
      </c>
      <c r="AB89" s="51">
        <f>(SUM(K89:K92)-SUM(W89:W92)-SUM(Y89:Y92)-SUM(Z89:Z92)-SUM(AC89:AC92)-SUM(V89:V92))-AA89</f>
        <v>-0.52843785742574223</v>
      </c>
      <c r="AC89" s="39">
        <f>K89-T89</f>
        <v>0.95500079999999876</v>
      </c>
      <c r="AD89" s="39">
        <f t="shared" ref="AD89:AD94" si="27">+AM89+BA89</f>
        <v>10</v>
      </c>
      <c r="AE89" s="238" t="s">
        <v>414</v>
      </c>
      <c r="AF89" s="39">
        <v>10</v>
      </c>
      <c r="AG89" s="39"/>
      <c r="AH89" s="39"/>
      <c r="AI89" s="455"/>
      <c r="AJ89" s="39"/>
      <c r="AK89" s="39"/>
      <c r="AL89" s="39"/>
      <c r="AM89" s="39">
        <f t="shared" ref="AM89:AM94" si="28">SUM(AF89:AL89)+AT89+AV89+AX89</f>
        <v>10</v>
      </c>
      <c r="AN89" s="39"/>
      <c r="AO89" s="39"/>
      <c r="AP89" s="39"/>
      <c r="AQ89" s="39"/>
      <c r="AR89" s="39">
        <f t="shared" ref="AR89:AR94" si="29">SUM(AN89:AQ89)</f>
        <v>0</v>
      </c>
      <c r="AS89" s="39"/>
      <c r="AT89" s="39"/>
      <c r="AU89" s="39"/>
      <c r="AV89" s="39"/>
      <c r="AW89" s="39"/>
      <c r="AX89" s="39"/>
      <c r="AY89" s="39"/>
      <c r="AZ89" s="39"/>
      <c r="BA89" s="39">
        <f t="shared" ref="BA89:BA94" si="30">+AR89+AS89+AU89+AW89+AY89+AZ89</f>
        <v>0</v>
      </c>
      <c r="BB89" s="35">
        <v>2</v>
      </c>
      <c r="BC89" s="53"/>
      <c r="BD89" s="53"/>
      <c r="BE89" s="35"/>
      <c r="BF89" s="53"/>
    </row>
    <row r="90" spans="1:58" ht="12.95" customHeight="1">
      <c r="A90" s="343"/>
      <c r="B90" s="43" t="s">
        <v>517</v>
      </c>
      <c r="C90" s="447">
        <f>(M90*E90*O90*Q90)/100000000</f>
        <v>51.490881900990111</v>
      </c>
      <c r="D90" s="43" t="s">
        <v>489</v>
      </c>
      <c r="E90" s="44">
        <v>13</v>
      </c>
      <c r="F90" s="44">
        <v>1</v>
      </c>
      <c r="G90" s="459">
        <v>1700</v>
      </c>
      <c r="H90" s="46">
        <v>0.24</v>
      </c>
      <c r="I90" s="47">
        <v>0.88</v>
      </c>
      <c r="J90" s="88">
        <f>E90*G90*(1-H90)*1440/1000000*2.77</f>
        <v>66.995884799999999</v>
      </c>
      <c r="K90" s="88">
        <f>(IF(G90&lt;L90,L90,G90)*(1-IF(H90&lt;N90,H90,N90))*E90*O90*Q90)/100000000</f>
        <v>53.908441600000003</v>
      </c>
      <c r="L90" s="37">
        <v>1623.7623762376238</v>
      </c>
      <c r="M90" s="37">
        <v>1234.0594059405942</v>
      </c>
      <c r="N90" s="48">
        <f>1-(M90/L90)</f>
        <v>0.24</v>
      </c>
      <c r="O90" s="49">
        <f>+'Trim Rwd'!H80</f>
        <v>272</v>
      </c>
      <c r="P90" s="50">
        <f>O90*(Q90-R90-S90)</f>
        <v>255680</v>
      </c>
      <c r="Q90" s="49">
        <v>1180</v>
      </c>
      <c r="R90" s="417">
        <v>170</v>
      </c>
      <c r="S90" s="417">
        <f>55+15</f>
        <v>70</v>
      </c>
      <c r="T90" s="39">
        <f>E90*M90*O90*Q90/100000000</f>
        <v>51.490881900990111</v>
      </c>
      <c r="U90" s="39">
        <f>E90*M90*O90*(Q90-R90-S90)/100000000</f>
        <v>41.018160158415853</v>
      </c>
      <c r="V90" s="39">
        <f>E90*G90*(1-N90)*O90/100*(R90+S90)/1000000</f>
        <v>10.9644288</v>
      </c>
      <c r="W90" s="39">
        <f>+'18'!K15/1000</f>
        <v>31.571000000000002</v>
      </c>
      <c r="X90" s="40"/>
      <c r="Y90" s="220"/>
      <c r="Z90" s="39">
        <f>+'18'!D16/1000</f>
        <v>0.28000000000000003</v>
      </c>
      <c r="AA90" s="39"/>
      <c r="AB90" s="39"/>
      <c r="AC90" s="39">
        <f>K90-T90</f>
        <v>2.4175596990098924</v>
      </c>
      <c r="AD90" s="39">
        <f t="shared" si="27"/>
        <v>15</v>
      </c>
      <c r="AE90" s="238" t="s">
        <v>592</v>
      </c>
      <c r="AF90" s="39"/>
      <c r="AG90" s="39">
        <v>15</v>
      </c>
      <c r="AH90" s="39"/>
      <c r="AI90" s="455"/>
      <c r="AJ90" s="39"/>
      <c r="AK90" s="39"/>
      <c r="AL90" s="39"/>
      <c r="AM90" s="39">
        <f t="shared" si="28"/>
        <v>15</v>
      </c>
      <c r="AN90" s="89"/>
      <c r="AO90" s="39"/>
      <c r="AP90" s="39"/>
      <c r="AQ90" s="39"/>
      <c r="AR90" s="39">
        <f t="shared" si="29"/>
        <v>0</v>
      </c>
      <c r="AS90" s="39"/>
      <c r="AT90" s="39"/>
      <c r="AU90" s="39"/>
      <c r="AV90" s="39"/>
      <c r="AW90" s="39"/>
      <c r="AX90" s="39"/>
      <c r="AY90" s="39"/>
      <c r="AZ90" s="39"/>
      <c r="BA90" s="39">
        <f t="shared" si="30"/>
        <v>0</v>
      </c>
      <c r="BB90" s="52"/>
      <c r="BC90" s="53">
        <v>11</v>
      </c>
      <c r="BD90" s="53"/>
      <c r="BE90" s="52"/>
      <c r="BF90" s="53"/>
    </row>
    <row r="91" spans="1:58" ht="12.95" customHeight="1">
      <c r="A91" s="42"/>
      <c r="B91" s="43"/>
      <c r="C91" s="447"/>
      <c r="D91" s="43"/>
      <c r="E91" s="44"/>
      <c r="F91" s="44"/>
      <c r="G91" s="45"/>
      <c r="H91" s="46"/>
      <c r="I91" s="47"/>
      <c r="J91" s="88"/>
      <c r="K91" s="88"/>
      <c r="L91" s="37"/>
      <c r="M91" s="37"/>
      <c r="N91" s="48"/>
      <c r="O91" s="49"/>
      <c r="P91" s="50"/>
      <c r="Q91" s="49"/>
      <c r="R91" s="417"/>
      <c r="S91" s="417"/>
      <c r="T91" s="39"/>
      <c r="U91" s="39"/>
      <c r="V91" s="39"/>
      <c r="W91" s="39"/>
      <c r="X91" s="40"/>
      <c r="Y91" s="220"/>
      <c r="Z91" s="39"/>
      <c r="AA91" s="39"/>
      <c r="AB91" s="39"/>
      <c r="AC91" s="39"/>
      <c r="AD91" s="39">
        <f t="shared" si="27"/>
        <v>25</v>
      </c>
      <c r="AE91" s="238" t="s">
        <v>742</v>
      </c>
      <c r="AF91" s="35"/>
      <c r="AG91" s="35"/>
      <c r="AH91" s="35">
        <v>25</v>
      </c>
      <c r="AI91" s="455"/>
      <c r="AJ91" s="39"/>
      <c r="AK91" s="39"/>
      <c r="AL91" s="39"/>
      <c r="AM91" s="39">
        <f t="shared" si="28"/>
        <v>25</v>
      </c>
      <c r="AN91" s="39"/>
      <c r="AO91" s="39"/>
      <c r="AP91" s="39"/>
      <c r="AQ91" s="39"/>
      <c r="AR91" s="39">
        <f t="shared" si="29"/>
        <v>0</v>
      </c>
      <c r="AS91" s="39"/>
      <c r="AT91" s="39"/>
      <c r="AU91" s="39"/>
      <c r="AV91" s="39"/>
      <c r="AW91" s="39"/>
      <c r="AX91" s="39"/>
      <c r="AY91" s="39"/>
      <c r="AZ91" s="39"/>
      <c r="BA91" s="39">
        <f t="shared" si="30"/>
        <v>0</v>
      </c>
      <c r="BB91" s="35"/>
      <c r="BC91" s="55"/>
      <c r="BD91" s="55"/>
      <c r="BE91" s="35"/>
      <c r="BF91" s="55"/>
    </row>
    <row r="92" spans="1:58" ht="12.95" customHeight="1">
      <c r="A92" s="42"/>
      <c r="B92" s="43"/>
      <c r="C92" s="447"/>
      <c r="D92" s="43"/>
      <c r="E92" s="44"/>
      <c r="F92" s="44"/>
      <c r="G92" s="45"/>
      <c r="H92" s="46"/>
      <c r="I92" s="47"/>
      <c r="J92" s="88"/>
      <c r="K92" s="88"/>
      <c r="L92" s="37"/>
      <c r="M92" s="37"/>
      <c r="N92" s="48"/>
      <c r="O92" s="49"/>
      <c r="P92" s="50"/>
      <c r="Q92" s="49"/>
      <c r="R92" s="417"/>
      <c r="S92" s="417"/>
      <c r="T92" s="39"/>
      <c r="U92" s="39"/>
      <c r="V92" s="39"/>
      <c r="W92" s="39"/>
      <c r="X92" s="40"/>
      <c r="Y92" s="220"/>
      <c r="Z92" s="39"/>
      <c r="AA92" s="39"/>
      <c r="AB92" s="39"/>
      <c r="AC92" s="39"/>
      <c r="AD92" s="39">
        <f t="shared" si="27"/>
        <v>140</v>
      </c>
      <c r="AE92" s="241" t="s">
        <v>747</v>
      </c>
      <c r="AF92" s="35"/>
      <c r="AG92" s="35"/>
      <c r="AH92" s="35"/>
      <c r="AI92" s="455"/>
      <c r="AJ92" s="39"/>
      <c r="AK92" s="39"/>
      <c r="AL92" s="39"/>
      <c r="AM92" s="39">
        <f t="shared" si="28"/>
        <v>0</v>
      </c>
      <c r="AN92" s="39"/>
      <c r="AO92" s="39">
        <v>140</v>
      </c>
      <c r="AP92" s="39"/>
      <c r="AQ92" s="39"/>
      <c r="AR92" s="39">
        <f t="shared" si="29"/>
        <v>140</v>
      </c>
      <c r="AS92" s="39"/>
      <c r="AT92" s="39"/>
      <c r="AU92" s="39"/>
      <c r="AV92" s="39"/>
      <c r="AW92" s="39"/>
      <c r="AX92" s="39"/>
      <c r="AY92" s="39"/>
      <c r="AZ92" s="39"/>
      <c r="BA92" s="39">
        <f t="shared" si="30"/>
        <v>140</v>
      </c>
      <c r="BB92" s="35"/>
      <c r="BC92" s="55"/>
      <c r="BD92" s="55"/>
      <c r="BE92" s="35"/>
      <c r="BF92" s="55"/>
    </row>
    <row r="93" spans="1:58" ht="12.95" customHeight="1">
      <c r="A93" s="42"/>
      <c r="B93" s="43"/>
      <c r="C93" s="447"/>
      <c r="D93" s="43"/>
      <c r="E93" s="44"/>
      <c r="F93" s="44"/>
      <c r="G93" s="459"/>
      <c r="H93" s="46"/>
      <c r="I93" s="47"/>
      <c r="J93" s="88"/>
      <c r="K93" s="88"/>
      <c r="L93" s="37"/>
      <c r="M93" s="37"/>
      <c r="N93" s="48"/>
      <c r="O93" s="49"/>
      <c r="P93" s="50"/>
      <c r="Q93" s="49"/>
      <c r="R93" s="417"/>
      <c r="S93" s="417"/>
      <c r="T93" s="39"/>
      <c r="U93" s="39"/>
      <c r="V93" s="39"/>
      <c r="W93" s="39"/>
      <c r="X93" s="40"/>
      <c r="Y93" s="220"/>
      <c r="Z93" s="39"/>
      <c r="AA93" s="39"/>
      <c r="AB93" s="39"/>
      <c r="AC93" s="39"/>
      <c r="AD93" s="39">
        <f t="shared" si="27"/>
        <v>30</v>
      </c>
      <c r="AE93" s="241" t="s">
        <v>748</v>
      </c>
      <c r="AF93" s="35"/>
      <c r="AG93" s="35"/>
      <c r="AH93" s="35"/>
      <c r="AI93" s="455"/>
      <c r="AJ93" s="39"/>
      <c r="AK93" s="39"/>
      <c r="AL93" s="39"/>
      <c r="AM93" s="39">
        <f t="shared" si="28"/>
        <v>0</v>
      </c>
      <c r="AN93" s="39"/>
      <c r="AO93" s="39">
        <v>30</v>
      </c>
      <c r="AP93" s="39"/>
      <c r="AQ93" s="39"/>
      <c r="AR93" s="39">
        <f t="shared" si="29"/>
        <v>30</v>
      </c>
      <c r="AS93" s="39"/>
      <c r="AT93" s="39"/>
      <c r="AU93" s="39"/>
      <c r="AV93" s="39"/>
      <c r="AW93" s="39"/>
      <c r="AX93" s="39"/>
      <c r="AY93" s="39"/>
      <c r="AZ93" s="39"/>
      <c r="BA93" s="39">
        <f t="shared" si="30"/>
        <v>30</v>
      </c>
      <c r="BB93" s="35"/>
      <c r="BC93" s="55"/>
      <c r="BD93" s="55"/>
      <c r="BE93" s="35"/>
      <c r="BF93" s="55"/>
    </row>
    <row r="94" spans="1:58" ht="12.95" customHeight="1">
      <c r="A94" s="343"/>
      <c r="B94" s="43"/>
      <c r="C94" s="447"/>
      <c r="D94" s="43"/>
      <c r="E94" s="44"/>
      <c r="F94" s="44"/>
      <c r="G94" s="459"/>
      <c r="H94" s="46"/>
      <c r="I94" s="47"/>
      <c r="J94" s="88"/>
      <c r="K94" s="88"/>
      <c r="L94" s="37"/>
      <c r="M94" s="37"/>
      <c r="N94" s="48"/>
      <c r="O94" s="49"/>
      <c r="P94" s="50"/>
      <c r="Q94" s="49"/>
      <c r="R94" s="417"/>
      <c r="S94" s="417"/>
      <c r="T94" s="39"/>
      <c r="U94" s="39"/>
      <c r="V94" s="39"/>
      <c r="W94" s="39"/>
      <c r="X94" s="414"/>
      <c r="Y94" s="220"/>
      <c r="Z94" s="39"/>
      <c r="AA94" s="51"/>
      <c r="AB94" s="51"/>
      <c r="AC94" s="39"/>
      <c r="AD94" s="39">
        <f t="shared" si="27"/>
        <v>30</v>
      </c>
      <c r="AE94" s="241" t="s">
        <v>743</v>
      </c>
      <c r="AF94" s="35"/>
      <c r="AG94" s="35"/>
      <c r="AH94" s="35"/>
      <c r="AI94" s="455"/>
      <c r="AJ94" s="39">
        <v>30</v>
      </c>
      <c r="AK94" s="39"/>
      <c r="AL94" s="39"/>
      <c r="AM94" s="39">
        <f t="shared" si="28"/>
        <v>30</v>
      </c>
      <c r="AN94" s="39"/>
      <c r="AO94" s="39"/>
      <c r="AP94" s="39"/>
      <c r="AQ94" s="39"/>
      <c r="AR94" s="39">
        <f t="shared" si="29"/>
        <v>0</v>
      </c>
      <c r="AS94" s="39"/>
      <c r="AT94" s="39"/>
      <c r="AU94" s="39"/>
      <c r="AV94" s="39"/>
      <c r="AW94" s="39"/>
      <c r="AX94" s="39"/>
      <c r="AY94" s="39"/>
      <c r="AZ94" s="39"/>
      <c r="BA94" s="39">
        <f t="shared" si="30"/>
        <v>0</v>
      </c>
      <c r="BB94" s="35"/>
      <c r="BC94" s="55"/>
      <c r="BD94" s="55"/>
      <c r="BE94" s="35"/>
      <c r="BF94" s="55"/>
    </row>
    <row r="95" spans="1:58" ht="12.95" customHeight="1">
      <c r="A95" s="343"/>
      <c r="B95" s="43"/>
      <c r="C95" s="447"/>
      <c r="D95" s="43"/>
      <c r="E95" s="44"/>
      <c r="F95" s="44"/>
      <c r="G95" s="459"/>
      <c r="H95" s="46"/>
      <c r="I95" s="47"/>
      <c r="J95" s="88"/>
      <c r="K95" s="88"/>
      <c r="L95" s="37"/>
      <c r="M95" s="37"/>
      <c r="N95" s="48"/>
      <c r="O95" s="49"/>
      <c r="P95" s="50"/>
      <c r="Q95" s="49"/>
      <c r="R95" s="417"/>
      <c r="S95" s="417"/>
      <c r="T95" s="39"/>
      <c r="U95" s="39"/>
      <c r="V95" s="39"/>
      <c r="W95" s="39"/>
      <c r="X95" s="414"/>
      <c r="Y95" s="220"/>
      <c r="Z95" s="39"/>
      <c r="AA95" s="51"/>
      <c r="AB95" s="51"/>
      <c r="AC95" s="39"/>
      <c r="AD95" s="39"/>
      <c r="AE95" s="238"/>
      <c r="AF95" s="39"/>
      <c r="AG95" s="39"/>
      <c r="AH95" s="39"/>
      <c r="AI95" s="455"/>
      <c r="AJ95" s="39"/>
      <c r="AK95" s="39"/>
      <c r="AL95" s="39"/>
      <c r="AM95" s="39"/>
      <c r="AN95" s="8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52"/>
      <c r="BC95" s="53"/>
      <c r="BD95" s="53"/>
      <c r="BE95" s="53"/>
      <c r="BF95" s="53"/>
    </row>
    <row r="96" spans="1:58" ht="12.95" customHeight="1">
      <c r="A96" s="42">
        <v>45980</v>
      </c>
      <c r="B96" s="43" t="s">
        <v>517</v>
      </c>
      <c r="C96" s="447">
        <f>(M96*E96*O96*Q96)/100000000</f>
        <v>65.141606399999986</v>
      </c>
      <c r="D96" s="43" t="s">
        <v>489</v>
      </c>
      <c r="E96" s="44">
        <v>13</v>
      </c>
      <c r="F96" s="44">
        <v>1</v>
      </c>
      <c r="G96" s="459">
        <v>1700</v>
      </c>
      <c r="H96" s="46">
        <v>0.24</v>
      </c>
      <c r="I96" s="47">
        <v>0.88</v>
      </c>
      <c r="J96" s="88">
        <f>E96*G96*(1-H96)*1440/1000000*2.77</f>
        <v>66.995884799999999</v>
      </c>
      <c r="K96" s="88">
        <f>(IF(G96&lt;L96,L96,G96)*(1-IF(H96&lt;N96,H96,N96))*E96*O96*Q96)/100000000</f>
        <v>65.786572800000002</v>
      </c>
      <c r="L96" s="37">
        <v>1683.3333333333333</v>
      </c>
      <c r="M96" s="37">
        <v>1279.3333333333333</v>
      </c>
      <c r="N96" s="48">
        <f>1-(M96/L96)</f>
        <v>0.24</v>
      </c>
      <c r="O96" s="49">
        <f>+'Trim Rwd'!H82</f>
        <v>272</v>
      </c>
      <c r="P96" s="50">
        <f>O96*(Q96-R96-S96)</f>
        <v>374272</v>
      </c>
      <c r="Q96" s="49">
        <v>1440</v>
      </c>
      <c r="R96" s="417">
        <v>0</v>
      </c>
      <c r="S96" s="417">
        <v>64</v>
      </c>
      <c r="T96" s="39">
        <f>E96*M96*O96*Q96/100000000</f>
        <v>65.141606399999986</v>
      </c>
      <c r="U96" s="39">
        <f>E96*M96*O96*(Q96-R96-S96)/100000000</f>
        <v>62.246423893333322</v>
      </c>
      <c r="V96" s="39">
        <f>E96*G96*(1-N96)*O96/100*(R96+S96)/1000000</f>
        <v>2.9238476800000002</v>
      </c>
      <c r="W96" s="39">
        <f>+'19'!K34/1000</f>
        <v>62.713000000000001</v>
      </c>
      <c r="X96" s="414">
        <f>SUM(W96:W99)/SUM(K96:K99)</f>
        <v>0.95327963337831756</v>
      </c>
      <c r="Y96" s="220">
        <v>0</v>
      </c>
      <c r="Z96" s="39">
        <f>+'19'!D34/1000</f>
        <v>0.26300000000000001</v>
      </c>
      <c r="AA96" s="51">
        <f>SUM(U96:U99)-SUM(W96:W99)-SUM(Z96:Z99)-SUM(Y96:Y99)</f>
        <v>-0.72957610666667894</v>
      </c>
      <c r="AB96" s="51">
        <f>(SUM(K96:K99)-SUM(W96:W99)-SUM(Y96:Y99)-SUM(Z96:Z99)-SUM(AC96:AC99)-SUM(V96:V99))-AA96</f>
        <v>-2.8665173333335736E-2</v>
      </c>
      <c r="AC96" s="39">
        <f>K96-T96</f>
        <v>0.64496640000001548</v>
      </c>
      <c r="AD96" s="39">
        <f t="shared" ref="AD96:AD99" si="31">+AM96+BA96</f>
        <v>0</v>
      </c>
      <c r="AE96" s="238" t="s">
        <v>434</v>
      </c>
      <c r="AF96" s="39">
        <v>0</v>
      </c>
      <c r="AG96" s="39"/>
      <c r="AH96" s="39"/>
      <c r="AI96" s="455"/>
      <c r="AJ96" s="39"/>
      <c r="AK96" s="39"/>
      <c r="AL96" s="39"/>
      <c r="AM96" s="39">
        <f t="shared" ref="AM96:AM99" si="32">SUM(AF96:AL96)+AT96+AV96+AX96</f>
        <v>0</v>
      </c>
      <c r="AN96" s="39"/>
      <c r="AO96" s="39"/>
      <c r="AP96" s="39"/>
      <c r="AQ96" s="39"/>
      <c r="AR96" s="39">
        <f t="shared" ref="AR96:AR99" si="33">SUM(AN96:AQ96)</f>
        <v>0</v>
      </c>
      <c r="AS96" s="39"/>
      <c r="AT96" s="39"/>
      <c r="AU96" s="39"/>
      <c r="AV96" s="39"/>
      <c r="AW96" s="39"/>
      <c r="AX96" s="39"/>
      <c r="AY96" s="39"/>
      <c r="AZ96" s="39"/>
      <c r="BA96" s="39">
        <f t="shared" ref="BA96:BA99" si="34">+AR96+AS96+AU96+AW96+AY96+AZ96</f>
        <v>0</v>
      </c>
      <c r="BB96" s="35">
        <v>0</v>
      </c>
      <c r="BC96" s="53"/>
      <c r="BD96" s="53"/>
      <c r="BE96" s="35"/>
      <c r="BF96" s="53"/>
    </row>
    <row r="97" spans="1:58" ht="12.95" customHeight="1">
      <c r="A97" s="343"/>
      <c r="B97" s="43"/>
      <c r="C97" s="447"/>
      <c r="D97" s="43"/>
      <c r="E97" s="44"/>
      <c r="F97" s="44"/>
      <c r="G97" s="459"/>
      <c r="H97" s="46"/>
      <c r="I97" s="47"/>
      <c r="J97" s="88"/>
      <c r="K97" s="88"/>
      <c r="L97" s="37"/>
      <c r="M97" s="37"/>
      <c r="N97" s="48"/>
      <c r="O97" s="49"/>
      <c r="P97" s="50"/>
      <c r="Q97" s="49"/>
      <c r="R97" s="417"/>
      <c r="S97" s="417"/>
      <c r="T97" s="39"/>
      <c r="U97" s="39"/>
      <c r="V97" s="39"/>
      <c r="W97" s="39"/>
      <c r="X97" s="40"/>
      <c r="Y97" s="220"/>
      <c r="Z97" s="39"/>
      <c r="AA97" s="39"/>
      <c r="AB97" s="39"/>
      <c r="AC97" s="39"/>
      <c r="AD97" s="39">
        <f t="shared" si="31"/>
        <v>17</v>
      </c>
      <c r="AE97" s="238" t="s">
        <v>755</v>
      </c>
      <c r="AF97" s="39"/>
      <c r="AG97" s="39">
        <v>17</v>
      </c>
      <c r="AH97" s="39"/>
      <c r="AI97" s="455"/>
      <c r="AJ97" s="39"/>
      <c r="AK97" s="39"/>
      <c r="AL97" s="39"/>
      <c r="AM97" s="39">
        <f t="shared" si="32"/>
        <v>17</v>
      </c>
      <c r="AN97" s="89"/>
      <c r="AO97" s="39"/>
      <c r="AP97" s="39"/>
      <c r="AQ97" s="39"/>
      <c r="AR97" s="39">
        <f t="shared" si="33"/>
        <v>0</v>
      </c>
      <c r="AS97" s="39"/>
      <c r="AT97" s="39"/>
      <c r="AU97" s="39"/>
      <c r="AV97" s="39"/>
      <c r="AW97" s="39"/>
      <c r="AX97" s="39"/>
      <c r="AY97" s="39"/>
      <c r="AZ97" s="39"/>
      <c r="BA97" s="39">
        <f t="shared" si="34"/>
        <v>0</v>
      </c>
      <c r="BB97" s="52"/>
      <c r="BC97" s="53">
        <v>15</v>
      </c>
      <c r="BD97" s="53"/>
      <c r="BE97" s="52"/>
      <c r="BF97" s="53"/>
    </row>
    <row r="98" spans="1:58" ht="12.95" customHeight="1">
      <c r="A98" s="42"/>
      <c r="B98" s="43"/>
      <c r="C98" s="447"/>
      <c r="D98" s="43"/>
      <c r="E98" s="44"/>
      <c r="F98" s="44"/>
      <c r="G98" s="45"/>
      <c r="H98" s="46"/>
      <c r="I98" s="47"/>
      <c r="J98" s="88"/>
      <c r="K98" s="88"/>
      <c r="L98" s="37"/>
      <c r="M98" s="37"/>
      <c r="N98" s="48"/>
      <c r="O98" s="49"/>
      <c r="P98" s="50"/>
      <c r="Q98" s="49"/>
      <c r="R98" s="417"/>
      <c r="S98" s="417"/>
      <c r="T98" s="39"/>
      <c r="U98" s="39"/>
      <c r="V98" s="39"/>
      <c r="W98" s="39"/>
      <c r="X98" s="40"/>
      <c r="Y98" s="220"/>
      <c r="Z98" s="39"/>
      <c r="AA98" s="39"/>
      <c r="AB98" s="39"/>
      <c r="AC98" s="39"/>
      <c r="AD98" s="39">
        <f t="shared" si="31"/>
        <v>22</v>
      </c>
      <c r="AE98" s="238" t="s">
        <v>548</v>
      </c>
      <c r="AF98" s="35"/>
      <c r="AG98" s="35"/>
      <c r="AH98" s="35">
        <v>22</v>
      </c>
      <c r="AI98" s="455"/>
      <c r="AJ98" s="39"/>
      <c r="AK98" s="39"/>
      <c r="AL98" s="39"/>
      <c r="AM98" s="39">
        <f t="shared" si="32"/>
        <v>22</v>
      </c>
      <c r="AN98" s="39"/>
      <c r="AO98" s="39"/>
      <c r="AP98" s="39"/>
      <c r="AQ98" s="39"/>
      <c r="AR98" s="39">
        <f t="shared" si="33"/>
        <v>0</v>
      </c>
      <c r="AS98" s="39"/>
      <c r="AT98" s="39"/>
      <c r="AU98" s="39"/>
      <c r="AV98" s="39"/>
      <c r="AW98" s="39"/>
      <c r="AX98" s="39"/>
      <c r="AY98" s="39"/>
      <c r="AZ98" s="39"/>
      <c r="BA98" s="39">
        <f t="shared" si="34"/>
        <v>0</v>
      </c>
      <c r="BB98" s="35"/>
      <c r="BC98" s="55"/>
      <c r="BD98" s="55"/>
      <c r="BE98" s="35"/>
      <c r="BF98" s="55"/>
    </row>
    <row r="99" spans="1:58" ht="12.95" customHeight="1">
      <c r="A99" s="42"/>
      <c r="B99" s="43"/>
      <c r="C99" s="447"/>
      <c r="D99" s="43"/>
      <c r="E99" s="44"/>
      <c r="F99" s="44"/>
      <c r="G99" s="45"/>
      <c r="H99" s="46"/>
      <c r="I99" s="47"/>
      <c r="J99" s="88"/>
      <c r="K99" s="88"/>
      <c r="L99" s="37"/>
      <c r="M99" s="37"/>
      <c r="N99" s="48"/>
      <c r="O99" s="49"/>
      <c r="P99" s="50"/>
      <c r="Q99" s="49"/>
      <c r="R99" s="417"/>
      <c r="S99" s="417"/>
      <c r="T99" s="39"/>
      <c r="U99" s="39"/>
      <c r="V99" s="39"/>
      <c r="W99" s="39"/>
      <c r="X99" s="40"/>
      <c r="Y99" s="220"/>
      <c r="Z99" s="39"/>
      <c r="AA99" s="39"/>
      <c r="AB99" s="39"/>
      <c r="AC99" s="39"/>
      <c r="AD99" s="39">
        <f t="shared" si="31"/>
        <v>25</v>
      </c>
      <c r="AE99" s="241" t="s">
        <v>756</v>
      </c>
      <c r="AF99" s="35">
        <v>25</v>
      </c>
      <c r="AG99" s="35"/>
      <c r="AH99" s="35"/>
      <c r="AI99" s="455"/>
      <c r="AJ99" s="39"/>
      <c r="AK99" s="39"/>
      <c r="AL99" s="39"/>
      <c r="AM99" s="39">
        <f t="shared" si="32"/>
        <v>25</v>
      </c>
      <c r="AN99" s="39"/>
      <c r="AO99" s="39"/>
      <c r="AP99" s="39"/>
      <c r="AQ99" s="39"/>
      <c r="AR99" s="39">
        <f t="shared" si="33"/>
        <v>0</v>
      </c>
      <c r="AS99" s="39"/>
      <c r="AT99" s="39"/>
      <c r="AU99" s="39"/>
      <c r="AV99" s="39"/>
      <c r="AW99" s="39"/>
      <c r="AX99" s="39"/>
      <c r="AY99" s="39"/>
      <c r="AZ99" s="39"/>
      <c r="BA99" s="39">
        <f t="shared" si="34"/>
        <v>0</v>
      </c>
      <c r="BB99" s="35"/>
      <c r="BC99" s="55"/>
      <c r="BD99" s="55"/>
      <c r="BE99" s="35"/>
      <c r="BF99" s="55"/>
    </row>
    <row r="100" spans="1:58" ht="12.95" customHeight="1">
      <c r="A100" s="42"/>
      <c r="B100" s="43"/>
      <c r="C100" s="447"/>
      <c r="D100" s="43"/>
      <c r="E100" s="44"/>
      <c r="F100" s="44"/>
      <c r="G100" s="459"/>
      <c r="H100" s="46"/>
      <c r="I100" s="47"/>
      <c r="J100" s="88"/>
      <c r="K100" s="88"/>
      <c r="L100" s="37"/>
      <c r="M100" s="37"/>
      <c r="N100" s="48"/>
      <c r="O100" s="49"/>
      <c r="P100" s="50"/>
      <c r="Q100" s="49"/>
      <c r="R100" s="417"/>
      <c r="S100" s="417"/>
      <c r="T100" s="39"/>
      <c r="U100" s="39"/>
      <c r="V100" s="39"/>
      <c r="W100" s="39"/>
      <c r="X100" s="40"/>
      <c r="Y100" s="220"/>
      <c r="Z100" s="39"/>
      <c r="AA100" s="39"/>
      <c r="AB100" s="39"/>
      <c r="AC100" s="39"/>
      <c r="AD100" s="39"/>
      <c r="AE100" s="238"/>
      <c r="AF100" s="35"/>
      <c r="AG100" s="35"/>
      <c r="AH100" s="35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5"/>
      <c r="BC100" s="55"/>
      <c r="BD100" s="53"/>
      <c r="BE100" s="53"/>
      <c r="BF100" s="53"/>
    </row>
    <row r="101" spans="1:58" ht="12.95" customHeight="1">
      <c r="A101" s="42">
        <v>45981</v>
      </c>
      <c r="B101" s="43" t="s">
        <v>517</v>
      </c>
      <c r="C101" s="447">
        <f>(M101*E101*O101*Q101)/100000000</f>
        <v>62.948720639999998</v>
      </c>
      <c r="D101" s="43" t="s">
        <v>489</v>
      </c>
      <c r="E101" s="44">
        <v>13</v>
      </c>
      <c r="F101" s="44">
        <v>1</v>
      </c>
      <c r="G101" s="459">
        <v>1700</v>
      </c>
      <c r="H101" s="46">
        <v>0.24</v>
      </c>
      <c r="I101" s="47">
        <v>0.88</v>
      </c>
      <c r="J101" s="88">
        <f>E101*G101*(1-H101)*1440/1000000*2.77</f>
        <v>66.995884799999999</v>
      </c>
      <c r="K101" s="88">
        <f>(IF(G101&lt;L101,L101,G101)*(1-IF(H101&lt;N101,H101,N101))*E101*O101*Q101)/100000000</f>
        <v>65.786572800000002</v>
      </c>
      <c r="L101" s="37">
        <v>1626.6666666666667</v>
      </c>
      <c r="M101" s="37">
        <v>1236.2666666666667</v>
      </c>
      <c r="N101" s="48">
        <f>1-(M101/L101)</f>
        <v>0.24</v>
      </c>
      <c r="O101" s="49">
        <f>+'Trim Rwd'!H84</f>
        <v>272</v>
      </c>
      <c r="P101" s="50">
        <f>O101*(Q101-R101-S101)</f>
        <v>379168</v>
      </c>
      <c r="Q101" s="49">
        <v>1440</v>
      </c>
      <c r="R101" s="417">
        <v>0</v>
      </c>
      <c r="S101" s="417">
        <v>46</v>
      </c>
      <c r="T101" s="39">
        <f>E101*M101*O101*Q101/100000000</f>
        <v>62.948720639999998</v>
      </c>
      <c r="U101" s="39">
        <f>E101*M101*O101*(Q101-R101-S101)/100000000</f>
        <v>60.937858730666669</v>
      </c>
      <c r="V101" s="39">
        <f>E101*G101*(1-N101)*O101/100*(R101+S101)/1000000</f>
        <v>2.10151552</v>
      </c>
      <c r="W101" s="39">
        <f>+'20'!K34/1000</f>
        <v>57.715000000000003</v>
      </c>
      <c r="X101" s="414">
        <f>SUM(W101:W104)/SUM(K101:K104)</f>
        <v>0.87730668346960916</v>
      </c>
      <c r="Y101" s="220">
        <v>0</v>
      </c>
      <c r="Z101" s="39">
        <f>+'20'!D34/1000</f>
        <v>2.3250000000000002</v>
      </c>
      <c r="AA101" s="51">
        <f>SUM(U101:U104)-SUM(W101:W104)-SUM(Z101:Z104)-SUM(Y101:Y104)</f>
        <v>0.89785873066666522</v>
      </c>
      <c r="AB101" s="51">
        <f>(SUM(K101:K104)-SUM(W101:W104)-SUM(Y101:Y104)-SUM(Z101:Z104)-SUM(AC101:AC104)-SUM(V101:V104))-AA101</f>
        <v>-9.0653610666671103E-2</v>
      </c>
      <c r="AC101" s="39">
        <f>K101-T101</f>
        <v>2.8378521600000042</v>
      </c>
      <c r="AD101" s="39">
        <f t="shared" ref="AD101:AD103" si="35">+AM101+BA101</f>
        <v>10</v>
      </c>
      <c r="AE101" s="238" t="s">
        <v>414</v>
      </c>
      <c r="AF101" s="39">
        <v>10</v>
      </c>
      <c r="AG101" s="39"/>
      <c r="AH101" s="39"/>
      <c r="AI101" s="455"/>
      <c r="AJ101" s="39"/>
      <c r="AK101" s="39"/>
      <c r="AL101" s="39"/>
      <c r="AM101" s="39">
        <f t="shared" ref="AM101:AM103" si="36">SUM(AF101:AL101)+AT101+AV101+AX101</f>
        <v>10</v>
      </c>
      <c r="AN101" s="39"/>
      <c r="AO101" s="39"/>
      <c r="AP101" s="39"/>
      <c r="AQ101" s="39"/>
      <c r="AR101" s="39">
        <f t="shared" ref="AR101:AR103" si="37">SUM(AN101:AQ101)</f>
        <v>0</v>
      </c>
      <c r="AS101" s="39"/>
      <c r="AT101" s="39"/>
      <c r="AU101" s="39"/>
      <c r="AV101" s="39"/>
      <c r="AW101" s="39"/>
      <c r="AX101" s="39"/>
      <c r="AY101" s="39"/>
      <c r="AZ101" s="39"/>
      <c r="BA101" s="39">
        <f t="shared" ref="BA101:BA103" si="38">+AR101+AS101+AU101+AW101+AY101+AZ101</f>
        <v>0</v>
      </c>
      <c r="BB101" s="35">
        <v>2</v>
      </c>
      <c r="BC101" s="53"/>
      <c r="BD101" s="53"/>
      <c r="BE101" s="35"/>
      <c r="BF101" s="53"/>
    </row>
    <row r="102" spans="1:58" ht="12.95" customHeight="1">
      <c r="A102" s="343"/>
      <c r="B102" s="43"/>
      <c r="C102" s="447"/>
      <c r="D102" s="43"/>
      <c r="E102" s="44"/>
      <c r="F102" s="44"/>
      <c r="G102" s="459"/>
      <c r="H102" s="46"/>
      <c r="I102" s="47"/>
      <c r="J102" s="88"/>
      <c r="K102" s="88"/>
      <c r="L102" s="37"/>
      <c r="M102" s="37"/>
      <c r="N102" s="48"/>
      <c r="O102" s="49"/>
      <c r="P102" s="50"/>
      <c r="Q102" s="49"/>
      <c r="R102" s="417"/>
      <c r="S102" s="417"/>
      <c r="T102" s="39"/>
      <c r="U102" s="39"/>
      <c r="V102" s="39"/>
      <c r="W102" s="39"/>
      <c r="X102" s="40"/>
      <c r="Y102" s="220"/>
      <c r="Z102" s="39"/>
      <c r="AA102" s="39"/>
      <c r="AB102" s="39"/>
      <c r="AC102" s="39"/>
      <c r="AD102" s="39">
        <f t="shared" si="35"/>
        <v>11</v>
      </c>
      <c r="AE102" s="238" t="s">
        <v>701</v>
      </c>
      <c r="AF102" s="39"/>
      <c r="AG102" s="39">
        <v>11</v>
      </c>
      <c r="AH102" s="39"/>
      <c r="AI102" s="455"/>
      <c r="AJ102" s="39"/>
      <c r="AK102" s="39"/>
      <c r="AL102" s="39"/>
      <c r="AM102" s="39">
        <f t="shared" si="36"/>
        <v>11</v>
      </c>
      <c r="AN102" s="89"/>
      <c r="AO102" s="39"/>
      <c r="AP102" s="39"/>
      <c r="AQ102" s="39"/>
      <c r="AR102" s="39">
        <f t="shared" si="37"/>
        <v>0</v>
      </c>
      <c r="AS102" s="39"/>
      <c r="AT102" s="39"/>
      <c r="AU102" s="39"/>
      <c r="AV102" s="39"/>
      <c r="AW102" s="39"/>
      <c r="AX102" s="39"/>
      <c r="AY102" s="39"/>
      <c r="AZ102" s="39"/>
      <c r="BA102" s="39">
        <f t="shared" si="38"/>
        <v>0</v>
      </c>
      <c r="BB102" s="52"/>
      <c r="BC102" s="53">
        <v>14</v>
      </c>
      <c r="BD102" s="53"/>
      <c r="BE102" s="52"/>
      <c r="BF102" s="53"/>
    </row>
    <row r="103" spans="1:58" ht="12.95" customHeight="1">
      <c r="A103" s="42"/>
      <c r="B103" s="43"/>
      <c r="C103" s="447"/>
      <c r="D103" s="43"/>
      <c r="E103" s="44"/>
      <c r="F103" s="44"/>
      <c r="G103" s="45"/>
      <c r="H103" s="46"/>
      <c r="I103" s="47"/>
      <c r="J103" s="88"/>
      <c r="K103" s="88"/>
      <c r="L103" s="37"/>
      <c r="M103" s="37"/>
      <c r="N103" s="48"/>
      <c r="O103" s="49"/>
      <c r="P103" s="50"/>
      <c r="Q103" s="49"/>
      <c r="R103" s="417"/>
      <c r="S103" s="417"/>
      <c r="T103" s="39"/>
      <c r="U103" s="39"/>
      <c r="V103" s="39"/>
      <c r="W103" s="39"/>
      <c r="X103" s="40"/>
      <c r="Y103" s="220"/>
      <c r="Z103" s="39"/>
      <c r="AA103" s="39"/>
      <c r="AB103" s="39"/>
      <c r="AC103" s="39"/>
      <c r="AD103" s="39">
        <f t="shared" si="35"/>
        <v>25</v>
      </c>
      <c r="AE103" s="238" t="s">
        <v>742</v>
      </c>
      <c r="AF103" s="35"/>
      <c r="AG103" s="35"/>
      <c r="AH103" s="35">
        <v>25</v>
      </c>
      <c r="AI103" s="455"/>
      <c r="AJ103" s="39"/>
      <c r="AK103" s="39"/>
      <c r="AL103" s="39"/>
      <c r="AM103" s="39">
        <f t="shared" si="36"/>
        <v>25</v>
      </c>
      <c r="AN103" s="39"/>
      <c r="AO103" s="39"/>
      <c r="AP103" s="39"/>
      <c r="AQ103" s="39"/>
      <c r="AR103" s="39">
        <f t="shared" si="37"/>
        <v>0</v>
      </c>
      <c r="AS103" s="39"/>
      <c r="AT103" s="39"/>
      <c r="AU103" s="39"/>
      <c r="AV103" s="39"/>
      <c r="AW103" s="39"/>
      <c r="AX103" s="39"/>
      <c r="AY103" s="39"/>
      <c r="AZ103" s="39"/>
      <c r="BA103" s="39">
        <f t="shared" si="38"/>
        <v>0</v>
      </c>
      <c r="BB103" s="35"/>
      <c r="BC103" s="55"/>
      <c r="BD103" s="55"/>
      <c r="BE103" s="35"/>
      <c r="BF103" s="55"/>
    </row>
    <row r="104" spans="1:58" ht="12.95" customHeight="1">
      <c r="A104" s="42"/>
      <c r="B104" s="43"/>
      <c r="C104" s="447"/>
      <c r="D104" s="43"/>
      <c r="E104" s="44"/>
      <c r="F104" s="44"/>
      <c r="G104" s="45"/>
      <c r="H104" s="46"/>
      <c r="I104" s="47"/>
      <c r="J104" s="88"/>
      <c r="K104" s="88"/>
      <c r="L104" s="37"/>
      <c r="M104" s="37"/>
      <c r="N104" s="48"/>
      <c r="O104" s="49"/>
      <c r="P104" s="50"/>
      <c r="Q104" s="49"/>
      <c r="R104" s="417"/>
      <c r="S104" s="417"/>
      <c r="T104" s="39"/>
      <c r="U104" s="39"/>
      <c r="V104" s="39"/>
      <c r="W104" s="39"/>
      <c r="X104" s="40"/>
      <c r="Y104" s="220"/>
      <c r="Z104" s="39"/>
      <c r="AA104" s="39"/>
      <c r="AB104" s="39"/>
      <c r="AC104" s="39"/>
      <c r="AD104" s="39"/>
      <c r="AE104" s="241"/>
      <c r="AF104" s="35"/>
      <c r="AG104" s="35"/>
      <c r="AH104" s="35"/>
      <c r="AI104" s="455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5"/>
      <c r="BC104" s="55"/>
      <c r="BD104" s="55"/>
      <c r="BE104" s="35"/>
      <c r="BF104" s="55"/>
    </row>
    <row r="105" spans="1:58" ht="12.95" customHeight="1">
      <c r="A105" s="42">
        <v>45982</v>
      </c>
      <c r="B105" s="43" t="s">
        <v>517</v>
      </c>
      <c r="C105" s="447">
        <f>(M105*E105*O105*Q105)/100000000</f>
        <v>64.367646719999996</v>
      </c>
      <c r="D105" s="43" t="s">
        <v>489</v>
      </c>
      <c r="E105" s="44">
        <v>13</v>
      </c>
      <c r="F105" s="44">
        <v>1</v>
      </c>
      <c r="G105" s="459">
        <v>1700</v>
      </c>
      <c r="H105" s="46">
        <v>0.24</v>
      </c>
      <c r="I105" s="47">
        <v>0.88</v>
      </c>
      <c r="J105" s="88">
        <f>E105*G105*(1-H105)*1440/1000000*2.77</f>
        <v>66.995884799999999</v>
      </c>
      <c r="K105" s="88">
        <f>(IF(G105&lt;L105,L105,G105)*(1-IF(H105&lt;N105,H105,N105))*E105*O105*Q105)/100000000</f>
        <v>65.786572800000016</v>
      </c>
      <c r="L105" s="37">
        <v>1663.3333333333333</v>
      </c>
      <c r="M105" s="37">
        <v>1264.1333333333334</v>
      </c>
      <c r="N105" s="48">
        <f>1-(M105/L105)</f>
        <v>0.23999999999999988</v>
      </c>
      <c r="O105" s="49">
        <f>+'Trim Rwd'!H86</f>
        <v>272</v>
      </c>
      <c r="P105" s="50">
        <f>O105*(Q105-R105-S105)</f>
        <v>351696</v>
      </c>
      <c r="Q105" s="49">
        <v>1440</v>
      </c>
      <c r="R105" s="417">
        <v>0</v>
      </c>
      <c r="S105" s="417">
        <v>147</v>
      </c>
      <c r="T105" s="39">
        <f>E105*M105*O105*Q105/100000000</f>
        <v>64.367646719999996</v>
      </c>
      <c r="U105" s="39">
        <f>E105*M105*O105*(Q105-R105-S105)/100000000</f>
        <v>57.796782784000008</v>
      </c>
      <c r="V105" s="39">
        <f>E105*G105*(1-N105)*O105/100*(R105+S105)/1000000</f>
        <v>6.7157126400000013</v>
      </c>
      <c r="W105" s="39">
        <f>+'21'!K34/1000</f>
        <v>56.137999999999998</v>
      </c>
      <c r="X105" s="414">
        <f>SUM(W105:W108)/SUM(K105:K108)</f>
        <v>0.85333522648560867</v>
      </c>
      <c r="Y105" s="220">
        <v>0</v>
      </c>
      <c r="Z105" s="39">
        <f>+'21'!D34/1000</f>
        <v>0.82299999999999995</v>
      </c>
      <c r="AA105" s="51">
        <f>SUM(U105:U108)-SUM(W105:W108)-SUM(Z105:Z108)-SUM(Y105:Y108)</f>
        <v>0.83578278400001027</v>
      </c>
      <c r="AB105" s="51">
        <f>(SUM(K105:K108)-SUM(W105:W108)-SUM(Y105:Y108)-SUM(Z105:Z108)-SUM(AC105:AC108)-SUM(V105:V108))-AA105</f>
        <v>-0.14484870400001393</v>
      </c>
      <c r="AC105" s="39">
        <f>K105-T105</f>
        <v>1.4189260800000199</v>
      </c>
      <c r="AD105" s="39">
        <f t="shared" ref="AD105:AD109" si="39">+AM105+BA105</f>
        <v>0</v>
      </c>
      <c r="AE105" s="238" t="s">
        <v>434</v>
      </c>
      <c r="AF105" s="39">
        <v>0</v>
      </c>
      <c r="AG105" s="39"/>
      <c r="AH105" s="39"/>
      <c r="AI105" s="455"/>
      <c r="AJ105" s="39"/>
      <c r="AK105" s="39"/>
      <c r="AL105" s="39"/>
      <c r="AM105" s="39">
        <f t="shared" ref="AM105:AM109" si="40">SUM(AF105:AL105)+AT105+AV105+AX105</f>
        <v>0</v>
      </c>
      <c r="AN105" s="39"/>
      <c r="AO105" s="39"/>
      <c r="AP105" s="39"/>
      <c r="AQ105" s="39"/>
      <c r="AR105" s="39">
        <f t="shared" ref="AR105:AR109" si="41">SUM(AN105:AQ105)</f>
        <v>0</v>
      </c>
      <c r="AS105" s="39"/>
      <c r="AT105" s="39"/>
      <c r="AU105" s="39"/>
      <c r="AV105" s="39"/>
      <c r="AW105" s="39"/>
      <c r="AX105" s="39"/>
      <c r="AY105" s="39"/>
      <c r="AZ105" s="39"/>
      <c r="BA105" s="39">
        <f t="shared" ref="BA105:BA109" si="42">+AR105+AS105+AU105+AW105+AY105+AZ105</f>
        <v>0</v>
      </c>
      <c r="BB105" s="35">
        <v>0</v>
      </c>
      <c r="BC105" s="53"/>
      <c r="BD105" s="53"/>
      <c r="BE105" s="35"/>
      <c r="BF105" s="53"/>
    </row>
    <row r="106" spans="1:58" ht="12.95" customHeight="1">
      <c r="A106" s="343"/>
      <c r="B106" s="43"/>
      <c r="C106" s="447"/>
      <c r="D106" s="43"/>
      <c r="E106" s="44"/>
      <c r="F106" s="44"/>
      <c r="G106" s="459"/>
      <c r="H106" s="46"/>
      <c r="I106" s="47"/>
      <c r="J106" s="88"/>
      <c r="K106" s="88"/>
      <c r="L106" s="37"/>
      <c r="M106" s="37"/>
      <c r="N106" s="48"/>
      <c r="O106" s="49"/>
      <c r="P106" s="50"/>
      <c r="Q106" s="49"/>
      <c r="R106" s="417"/>
      <c r="S106" s="417"/>
      <c r="T106" s="39"/>
      <c r="U106" s="39"/>
      <c r="V106" s="39"/>
      <c r="W106" s="39"/>
      <c r="X106" s="40"/>
      <c r="Y106" s="220"/>
      <c r="Z106" s="39"/>
      <c r="AA106" s="39"/>
      <c r="AB106" s="39"/>
      <c r="AC106" s="39"/>
      <c r="AD106" s="39">
        <f t="shared" si="39"/>
        <v>19</v>
      </c>
      <c r="AE106" s="238" t="s">
        <v>782</v>
      </c>
      <c r="AF106" s="39"/>
      <c r="AG106" s="39">
        <v>19</v>
      </c>
      <c r="AH106" s="39"/>
      <c r="AI106" s="455"/>
      <c r="AJ106" s="39"/>
      <c r="AK106" s="39"/>
      <c r="AL106" s="39"/>
      <c r="AM106" s="39">
        <f t="shared" si="40"/>
        <v>19</v>
      </c>
      <c r="AN106" s="89"/>
      <c r="AO106" s="39"/>
      <c r="AP106" s="39"/>
      <c r="AQ106" s="39"/>
      <c r="AR106" s="39">
        <f t="shared" si="41"/>
        <v>0</v>
      </c>
      <c r="AS106" s="39"/>
      <c r="AT106" s="39"/>
      <c r="AU106" s="39"/>
      <c r="AV106" s="39"/>
      <c r="AW106" s="39"/>
      <c r="AX106" s="39"/>
      <c r="AY106" s="39"/>
      <c r="AZ106" s="39"/>
      <c r="BA106" s="39">
        <f t="shared" si="42"/>
        <v>0</v>
      </c>
      <c r="BB106" s="52"/>
      <c r="BC106" s="53">
        <v>13</v>
      </c>
      <c r="BD106" s="53"/>
      <c r="BE106" s="52"/>
      <c r="BF106" s="53"/>
    </row>
    <row r="107" spans="1:58" ht="12.95" customHeight="1">
      <c r="A107" s="42"/>
      <c r="B107" s="43"/>
      <c r="C107" s="447"/>
      <c r="D107" s="43"/>
      <c r="E107" s="44"/>
      <c r="F107" s="44"/>
      <c r="G107" s="45"/>
      <c r="H107" s="46"/>
      <c r="I107" s="47"/>
      <c r="J107" s="88"/>
      <c r="K107" s="88"/>
      <c r="L107" s="37"/>
      <c r="M107" s="37"/>
      <c r="N107" s="48"/>
      <c r="O107" s="49"/>
      <c r="P107" s="50"/>
      <c r="Q107" s="49"/>
      <c r="R107" s="417"/>
      <c r="S107" s="417"/>
      <c r="T107" s="39"/>
      <c r="U107" s="39"/>
      <c r="V107" s="39"/>
      <c r="W107" s="39"/>
      <c r="X107" s="40"/>
      <c r="Y107" s="220"/>
      <c r="Z107" s="39"/>
      <c r="AA107" s="39"/>
      <c r="AB107" s="39"/>
      <c r="AC107" s="39"/>
      <c r="AD107" s="39">
        <f t="shared" si="39"/>
        <v>28</v>
      </c>
      <c r="AE107" s="238" t="s">
        <v>466</v>
      </c>
      <c r="AF107" s="35"/>
      <c r="AG107" s="35"/>
      <c r="AH107" s="35">
        <v>28</v>
      </c>
      <c r="AI107" s="455"/>
      <c r="AJ107" s="39"/>
      <c r="AK107" s="39"/>
      <c r="AL107" s="39"/>
      <c r="AM107" s="39">
        <f t="shared" si="40"/>
        <v>28</v>
      </c>
      <c r="AN107" s="39"/>
      <c r="AO107" s="39"/>
      <c r="AP107" s="39"/>
      <c r="AQ107" s="39"/>
      <c r="AR107" s="39">
        <f t="shared" si="41"/>
        <v>0</v>
      </c>
      <c r="AS107" s="39"/>
      <c r="AT107" s="39"/>
      <c r="AU107" s="39"/>
      <c r="AV107" s="39"/>
      <c r="AW107" s="39"/>
      <c r="AX107" s="39"/>
      <c r="AY107" s="39"/>
      <c r="AZ107" s="39"/>
      <c r="BA107" s="39">
        <f t="shared" si="42"/>
        <v>0</v>
      </c>
      <c r="BB107" s="35"/>
      <c r="BC107" s="55"/>
      <c r="BD107" s="55"/>
      <c r="BE107" s="35"/>
      <c r="BF107" s="55"/>
    </row>
    <row r="108" spans="1:58" ht="12.95" customHeight="1">
      <c r="A108" s="42"/>
      <c r="B108" s="43"/>
      <c r="C108" s="447"/>
      <c r="D108" s="43"/>
      <c r="E108" s="44"/>
      <c r="F108" s="44"/>
      <c r="G108" s="45"/>
      <c r="H108" s="46"/>
      <c r="I108" s="47"/>
      <c r="J108" s="88"/>
      <c r="K108" s="88"/>
      <c r="L108" s="37"/>
      <c r="M108" s="37"/>
      <c r="N108" s="48"/>
      <c r="O108" s="49"/>
      <c r="P108" s="50"/>
      <c r="Q108" s="49"/>
      <c r="R108" s="417"/>
      <c r="S108" s="417"/>
      <c r="T108" s="39"/>
      <c r="U108" s="39"/>
      <c r="V108" s="39"/>
      <c r="W108" s="39"/>
      <c r="X108" s="40"/>
      <c r="Y108" s="220"/>
      <c r="Z108" s="39"/>
      <c r="AA108" s="39"/>
      <c r="AB108" s="39"/>
      <c r="AC108" s="39"/>
      <c r="AD108" s="39">
        <f t="shared" si="39"/>
        <v>86</v>
      </c>
      <c r="AE108" s="241" t="s">
        <v>781</v>
      </c>
      <c r="AF108" s="35"/>
      <c r="AG108" s="35"/>
      <c r="AH108" s="35"/>
      <c r="AI108" s="455"/>
      <c r="AJ108" s="39"/>
      <c r="AK108" s="39">
        <v>86</v>
      </c>
      <c r="AL108" s="39"/>
      <c r="AM108" s="39">
        <f t="shared" si="40"/>
        <v>86</v>
      </c>
      <c r="AN108" s="39"/>
      <c r="AO108" s="39"/>
      <c r="AP108" s="39"/>
      <c r="AQ108" s="39"/>
      <c r="AR108" s="39">
        <f t="shared" si="41"/>
        <v>0</v>
      </c>
      <c r="AS108" s="39"/>
      <c r="AT108" s="39"/>
      <c r="AU108" s="39"/>
      <c r="AV108" s="39"/>
      <c r="AW108" s="39"/>
      <c r="AX108" s="39"/>
      <c r="AY108" s="39"/>
      <c r="AZ108" s="39"/>
      <c r="BA108" s="39">
        <f t="shared" si="42"/>
        <v>0</v>
      </c>
      <c r="BB108" s="35"/>
      <c r="BC108" s="55"/>
      <c r="BD108" s="55"/>
      <c r="BE108" s="35"/>
      <c r="BF108" s="55"/>
    </row>
    <row r="109" spans="1:58" ht="12.95" customHeight="1">
      <c r="A109" s="343"/>
      <c r="B109" s="43"/>
      <c r="C109" s="447"/>
      <c r="D109" s="43"/>
      <c r="E109" s="44"/>
      <c r="F109" s="44"/>
      <c r="G109" s="459"/>
      <c r="H109" s="46"/>
      <c r="I109" s="47"/>
      <c r="J109" s="88"/>
      <c r="K109" s="88"/>
      <c r="L109" s="37"/>
      <c r="M109" s="37"/>
      <c r="N109" s="48"/>
      <c r="O109" s="49"/>
      <c r="P109" s="50"/>
      <c r="Q109" s="49"/>
      <c r="R109" s="417"/>
      <c r="S109" s="417"/>
      <c r="T109" s="39"/>
      <c r="U109" s="39"/>
      <c r="V109" s="39"/>
      <c r="W109" s="39"/>
      <c r="X109" s="414"/>
      <c r="Y109" s="220"/>
      <c r="Z109" s="39"/>
      <c r="AA109" s="51"/>
      <c r="AB109" s="51"/>
      <c r="AC109" s="39"/>
      <c r="AD109" s="39">
        <f t="shared" si="39"/>
        <v>14</v>
      </c>
      <c r="AE109" s="241" t="s">
        <v>771</v>
      </c>
      <c r="AF109" s="35"/>
      <c r="AG109" s="35"/>
      <c r="AH109" s="35"/>
      <c r="AI109" s="455"/>
      <c r="AJ109" s="39">
        <v>14</v>
      </c>
      <c r="AK109" s="39"/>
      <c r="AL109" s="39"/>
      <c r="AM109" s="39">
        <f t="shared" si="40"/>
        <v>14</v>
      </c>
      <c r="AN109" s="39"/>
      <c r="AO109" s="39"/>
      <c r="AP109" s="39"/>
      <c r="AQ109" s="39"/>
      <c r="AR109" s="39">
        <f t="shared" si="41"/>
        <v>0</v>
      </c>
      <c r="AS109" s="39"/>
      <c r="AT109" s="39"/>
      <c r="AU109" s="39"/>
      <c r="AV109" s="39"/>
      <c r="AW109" s="39"/>
      <c r="AX109" s="39"/>
      <c r="AY109" s="39"/>
      <c r="AZ109" s="39"/>
      <c r="BA109" s="39">
        <f t="shared" si="42"/>
        <v>0</v>
      </c>
      <c r="BB109" s="35"/>
      <c r="BC109" s="55"/>
      <c r="BD109" s="55"/>
      <c r="BE109" s="35"/>
      <c r="BF109" s="55"/>
    </row>
    <row r="110" spans="1:58" ht="12.95" customHeight="1">
      <c r="A110" s="42"/>
      <c r="B110" s="43"/>
      <c r="C110" s="447"/>
      <c r="D110" s="43"/>
      <c r="E110" s="44"/>
      <c r="F110" s="44"/>
      <c r="G110" s="459"/>
      <c r="H110" s="46"/>
      <c r="I110" s="47"/>
      <c r="J110" s="88"/>
      <c r="K110" s="88"/>
      <c r="L110" s="37"/>
      <c r="M110" s="37"/>
      <c r="N110" s="48"/>
      <c r="O110" s="49"/>
      <c r="P110" s="50"/>
      <c r="Q110" s="49"/>
      <c r="R110" s="417"/>
      <c r="S110" s="417"/>
      <c r="T110" s="39"/>
      <c r="U110" s="39"/>
      <c r="V110" s="39"/>
      <c r="W110" s="39"/>
      <c r="X110" s="40"/>
      <c r="Y110" s="220"/>
      <c r="Z110" s="39"/>
      <c r="AA110" s="39"/>
      <c r="AB110" s="39"/>
      <c r="AC110" s="39"/>
      <c r="AD110" s="39"/>
      <c r="AE110" s="238"/>
      <c r="AF110" s="35"/>
      <c r="AG110" s="35"/>
      <c r="AH110" s="35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5"/>
      <c r="BC110" s="55"/>
      <c r="BD110" s="53"/>
      <c r="BE110" s="53"/>
      <c r="BF110" s="53"/>
    </row>
    <row r="111" spans="1:58" ht="12.95" customHeight="1">
      <c r="A111" s="42">
        <v>45983</v>
      </c>
      <c r="B111" s="43" t="s">
        <v>517</v>
      </c>
      <c r="C111" s="447">
        <f>(M111*E111*O111*Q111)/100000000</f>
        <v>64.625633280000002</v>
      </c>
      <c r="D111" s="43" t="s">
        <v>489</v>
      </c>
      <c r="E111" s="44">
        <v>13</v>
      </c>
      <c r="F111" s="44">
        <v>1</v>
      </c>
      <c r="G111" s="459">
        <v>1700</v>
      </c>
      <c r="H111" s="46">
        <v>0.24</v>
      </c>
      <c r="I111" s="47">
        <v>0.88</v>
      </c>
      <c r="J111" s="88">
        <f>E111*G111*(1-H111)*1440/1000000*2.77</f>
        <v>66.995884799999999</v>
      </c>
      <c r="K111" s="88">
        <f>(IF(G111&lt;L111,L111,G111)*(1-IF(H111&lt;N111,H111,N111))*E111*O111*Q111)/100000000</f>
        <v>65.786572800000002</v>
      </c>
      <c r="L111" s="37">
        <v>1670</v>
      </c>
      <c r="M111" s="37">
        <v>1269.2</v>
      </c>
      <c r="N111" s="48">
        <f>1-(M111/L111)</f>
        <v>0.24</v>
      </c>
      <c r="O111" s="49">
        <f>+'Trim Rwd'!H88</f>
        <v>272</v>
      </c>
      <c r="P111" s="50">
        <f>O111*(Q111-R111-S111)</f>
        <v>318240</v>
      </c>
      <c r="Q111" s="49">
        <v>1440</v>
      </c>
      <c r="R111" s="417">
        <v>222</v>
      </c>
      <c r="S111" s="417">
        <f>48</f>
        <v>48</v>
      </c>
      <c r="T111" s="39">
        <f>E111*M111*O111*Q111/100000000</f>
        <v>64.625633280000002</v>
      </c>
      <c r="U111" s="39">
        <f>E111*M111*O111*(Q111-R111-S111)/100000000</f>
        <v>52.508327039999998</v>
      </c>
      <c r="V111" s="39">
        <f>E111*G111*(1-N111)*O111/100*(R111+S111)/1000000</f>
        <v>12.334982400000001</v>
      </c>
      <c r="W111" s="39">
        <f>+'22'!K34/1000</f>
        <v>54.898000000000003</v>
      </c>
      <c r="X111" s="414">
        <f>SUM(W111:W114)/SUM(K111:K114)</f>
        <v>0.83448639537580538</v>
      </c>
      <c r="Y111" s="220">
        <v>0</v>
      </c>
      <c r="Z111" s="39">
        <f>+'22'!D34/1000</f>
        <v>1.6240000000000001</v>
      </c>
      <c r="AA111" s="51">
        <f>SUM(U111:U114)-SUM(W111:W114)-SUM(Z111:Z114)-SUM(Y111:Y114)</f>
        <v>-4.0136729600000063</v>
      </c>
      <c r="AB111" s="51">
        <f>(SUM(K111:K114)-SUM(W111:W114)-SUM(Y111:Y114)-SUM(Z111:Z114)-SUM(AC111:AC114)-SUM(V111:V114))-AA111</f>
        <v>-0.21767615999999634</v>
      </c>
      <c r="AC111" s="39">
        <f>K111-T111</f>
        <v>1.1609395199999994</v>
      </c>
      <c r="AD111" s="39">
        <f t="shared" ref="AD111:AD114" si="43">+AM111+BA111</f>
        <v>10</v>
      </c>
      <c r="AE111" s="238" t="s">
        <v>414</v>
      </c>
      <c r="AF111" s="39">
        <v>10</v>
      </c>
      <c r="AG111" s="39"/>
      <c r="AH111" s="39"/>
      <c r="AI111" s="455"/>
      <c r="AJ111" s="39"/>
      <c r="AK111" s="39"/>
      <c r="AL111" s="39"/>
      <c r="AM111" s="39">
        <f t="shared" ref="AM111:AM113" si="44">SUM(AF111:AL111)+AT111+AV111+AX111</f>
        <v>10</v>
      </c>
      <c r="AN111" s="39"/>
      <c r="AO111" s="39"/>
      <c r="AP111" s="39"/>
      <c r="AQ111" s="39"/>
      <c r="AR111" s="39">
        <f t="shared" ref="AR111:AR113" si="45">SUM(AN111:AQ111)</f>
        <v>0</v>
      </c>
      <c r="AS111" s="39"/>
      <c r="AT111" s="39"/>
      <c r="AU111" s="39"/>
      <c r="AV111" s="39"/>
      <c r="AW111" s="39"/>
      <c r="AX111" s="39"/>
      <c r="AY111" s="39"/>
      <c r="AZ111" s="39"/>
      <c r="BA111" s="39">
        <f t="shared" ref="BA111:BA114" si="46">+AR111+AS111+AU111+AW111+AY111+AZ111</f>
        <v>0</v>
      </c>
      <c r="BB111" s="35">
        <v>2</v>
      </c>
      <c r="BC111" s="53"/>
      <c r="BD111" s="53"/>
      <c r="BE111" s="35"/>
      <c r="BF111" s="53"/>
    </row>
    <row r="112" spans="1:58" ht="12.95" customHeight="1">
      <c r="A112" s="343"/>
      <c r="B112" s="43"/>
      <c r="C112" s="447"/>
      <c r="D112" s="43"/>
      <c r="E112" s="44"/>
      <c r="F112" s="44"/>
      <c r="G112" s="459"/>
      <c r="H112" s="46"/>
      <c r="I112" s="47"/>
      <c r="J112" s="88"/>
      <c r="K112" s="88"/>
      <c r="L112" s="37"/>
      <c r="M112" s="37"/>
      <c r="N112" s="48"/>
      <c r="O112" s="49"/>
      <c r="P112" s="50"/>
      <c r="Q112" s="49"/>
      <c r="R112" s="417"/>
      <c r="S112" s="417"/>
      <c r="T112" s="39"/>
      <c r="U112" s="39"/>
      <c r="V112" s="39"/>
      <c r="W112" s="39"/>
      <c r="X112" s="40"/>
      <c r="Y112" s="220"/>
      <c r="Z112" s="39"/>
      <c r="AA112" s="39"/>
      <c r="AB112" s="39"/>
      <c r="AC112" s="39"/>
      <c r="AD112" s="39">
        <f t="shared" si="43"/>
        <v>13</v>
      </c>
      <c r="AE112" s="238" t="s">
        <v>592</v>
      </c>
      <c r="AF112" s="39"/>
      <c r="AG112" s="39">
        <v>13</v>
      </c>
      <c r="AH112" s="39"/>
      <c r="AI112" s="455"/>
      <c r="AJ112" s="39"/>
      <c r="AK112" s="39"/>
      <c r="AL112" s="39"/>
      <c r="AM112" s="39">
        <f t="shared" si="44"/>
        <v>13</v>
      </c>
      <c r="AN112" s="89"/>
      <c r="AO112" s="39"/>
      <c r="AP112" s="39"/>
      <c r="AQ112" s="39"/>
      <c r="AR112" s="39">
        <f t="shared" si="45"/>
        <v>0</v>
      </c>
      <c r="AS112" s="39"/>
      <c r="AT112" s="39"/>
      <c r="AU112" s="39"/>
      <c r="AV112" s="39"/>
      <c r="AW112" s="39"/>
      <c r="AX112" s="39"/>
      <c r="AY112" s="39"/>
      <c r="AZ112" s="39"/>
      <c r="BA112" s="39">
        <f t="shared" si="46"/>
        <v>0</v>
      </c>
      <c r="BB112" s="52"/>
      <c r="BC112" s="53">
        <v>11</v>
      </c>
      <c r="BD112" s="53"/>
      <c r="BE112" s="52"/>
      <c r="BF112" s="53"/>
    </row>
    <row r="113" spans="1:58" ht="12.95" customHeight="1">
      <c r="A113" s="42"/>
      <c r="B113" s="43"/>
      <c r="C113" s="447"/>
      <c r="D113" s="43"/>
      <c r="E113" s="44"/>
      <c r="F113" s="44"/>
      <c r="G113" s="45"/>
      <c r="H113" s="46"/>
      <c r="I113" s="47"/>
      <c r="J113" s="88"/>
      <c r="K113" s="88"/>
      <c r="L113" s="37"/>
      <c r="M113" s="37"/>
      <c r="N113" s="48"/>
      <c r="O113" s="49"/>
      <c r="P113" s="50"/>
      <c r="Q113" s="49"/>
      <c r="R113" s="417"/>
      <c r="S113" s="417"/>
      <c r="T113" s="39"/>
      <c r="U113" s="39"/>
      <c r="V113" s="39"/>
      <c r="W113" s="39"/>
      <c r="X113" s="40"/>
      <c r="Y113" s="220"/>
      <c r="Z113" s="39"/>
      <c r="AA113" s="39"/>
      <c r="AB113" s="39"/>
      <c r="AC113" s="39"/>
      <c r="AD113" s="39">
        <f t="shared" si="43"/>
        <v>25</v>
      </c>
      <c r="AE113" s="238" t="s">
        <v>796</v>
      </c>
      <c r="AF113" s="35"/>
      <c r="AG113" s="35"/>
      <c r="AH113" s="35">
        <v>25</v>
      </c>
      <c r="AI113" s="455"/>
      <c r="AJ113" s="39"/>
      <c r="AK113" s="39"/>
      <c r="AL113" s="39"/>
      <c r="AM113" s="39">
        <f t="shared" si="44"/>
        <v>25</v>
      </c>
      <c r="AN113" s="39"/>
      <c r="AO113" s="39"/>
      <c r="AP113" s="39"/>
      <c r="AQ113" s="39"/>
      <c r="AR113" s="39">
        <f t="shared" si="45"/>
        <v>0</v>
      </c>
      <c r="AS113" s="39"/>
      <c r="AT113" s="39"/>
      <c r="AU113" s="39"/>
      <c r="AV113" s="39"/>
      <c r="AW113" s="39"/>
      <c r="AX113" s="39"/>
      <c r="AY113" s="39"/>
      <c r="AZ113" s="39"/>
      <c r="BA113" s="39">
        <f t="shared" si="46"/>
        <v>0</v>
      </c>
      <c r="BB113" s="35"/>
      <c r="BC113" s="55"/>
      <c r="BD113" s="55"/>
      <c r="BE113" s="35"/>
      <c r="BF113" s="55"/>
    </row>
    <row r="114" spans="1:58" ht="12.95" customHeight="1">
      <c r="A114" s="42"/>
      <c r="B114" s="43"/>
      <c r="C114" s="447"/>
      <c r="D114" s="43"/>
      <c r="E114" s="44"/>
      <c r="F114" s="44"/>
      <c r="G114" s="45"/>
      <c r="H114" s="46"/>
      <c r="I114" s="47"/>
      <c r="J114" s="88"/>
      <c r="K114" s="88"/>
      <c r="L114" s="37"/>
      <c r="M114" s="37"/>
      <c r="N114" s="48"/>
      <c r="O114" s="49"/>
      <c r="P114" s="50"/>
      <c r="Q114" s="49"/>
      <c r="R114" s="417"/>
      <c r="S114" s="417"/>
      <c r="T114" s="39"/>
      <c r="U114" s="39"/>
      <c r="V114" s="39"/>
      <c r="W114" s="39"/>
      <c r="X114" s="40"/>
      <c r="Y114" s="220"/>
      <c r="Z114" s="39"/>
      <c r="AA114" s="39"/>
      <c r="AB114" s="39"/>
      <c r="AC114" s="39"/>
      <c r="AD114" s="39">
        <f t="shared" si="43"/>
        <v>222</v>
      </c>
      <c r="AE114" s="241" t="s">
        <v>797</v>
      </c>
      <c r="AF114" s="35"/>
      <c r="AG114" s="35"/>
      <c r="AH114" s="35"/>
      <c r="AI114" s="455"/>
      <c r="AJ114" s="39"/>
      <c r="AK114" s="39"/>
      <c r="AL114" s="39"/>
      <c r="AM114" s="39">
        <f t="shared" ref="AM114" si="47">SUM(AF114:AL114)+AT114+AV114+AX114</f>
        <v>0</v>
      </c>
      <c r="AN114" s="39"/>
      <c r="AO114" s="39">
        <v>222</v>
      </c>
      <c r="AP114" s="39"/>
      <c r="AQ114" s="39"/>
      <c r="AR114" s="39">
        <f t="shared" ref="AR114" si="48">SUM(AN114:AQ114)</f>
        <v>222</v>
      </c>
      <c r="AS114" s="39"/>
      <c r="AT114" s="39"/>
      <c r="AU114" s="39"/>
      <c r="AV114" s="39"/>
      <c r="AW114" s="39"/>
      <c r="AX114" s="39"/>
      <c r="AY114" s="39"/>
      <c r="AZ114" s="39"/>
      <c r="BA114" s="39">
        <f t="shared" si="46"/>
        <v>222</v>
      </c>
      <c r="BB114" s="35"/>
      <c r="BC114" s="55"/>
      <c r="BD114" s="55"/>
      <c r="BE114" s="35"/>
      <c r="BF114" s="55"/>
    </row>
    <row r="115" spans="1:58" ht="12.95" customHeight="1">
      <c r="A115" s="42"/>
      <c r="B115" s="43"/>
      <c r="C115" s="447"/>
      <c r="D115" s="43"/>
      <c r="E115" s="44"/>
      <c r="F115" s="44"/>
      <c r="G115" s="459"/>
      <c r="H115" s="46"/>
      <c r="I115" s="47"/>
      <c r="J115" s="88"/>
      <c r="K115" s="88"/>
      <c r="L115" s="37"/>
      <c r="M115" s="37"/>
      <c r="N115" s="48"/>
      <c r="O115" s="49"/>
      <c r="P115" s="50"/>
      <c r="Q115" s="49"/>
      <c r="R115" s="417"/>
      <c r="S115" s="417"/>
      <c r="T115" s="39"/>
      <c r="U115" s="39"/>
      <c r="V115" s="39"/>
      <c r="W115" s="39"/>
      <c r="X115" s="40"/>
      <c r="Y115" s="220"/>
      <c r="Z115" s="39"/>
      <c r="AA115" s="39"/>
      <c r="AB115" s="39"/>
      <c r="AC115" s="39"/>
      <c r="AD115" s="39"/>
      <c r="AE115" s="238"/>
      <c r="AF115" s="35"/>
      <c r="AG115" s="35"/>
      <c r="AH115" s="35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5"/>
      <c r="BC115" s="55"/>
      <c r="BD115" s="53"/>
      <c r="BE115" s="53"/>
      <c r="BF115" s="53"/>
    </row>
    <row r="116" spans="1:58" ht="12.95" customHeight="1">
      <c r="A116" s="42">
        <v>45984</v>
      </c>
      <c r="B116" s="43" t="s">
        <v>517</v>
      </c>
      <c r="C116" s="447">
        <f>(M116*E116*O116*Q116)/100000000</f>
        <v>64.148263988321176</v>
      </c>
      <c r="D116" s="43" t="s">
        <v>489</v>
      </c>
      <c r="E116" s="44">
        <v>13</v>
      </c>
      <c r="F116" s="44">
        <v>1</v>
      </c>
      <c r="G116" s="459">
        <v>1700</v>
      </c>
      <c r="H116" s="46">
        <v>0.24</v>
      </c>
      <c r="I116" s="47">
        <v>0.88</v>
      </c>
      <c r="J116" s="88">
        <f>E116*G116*(1-H116)*1440/1000000*2.77</f>
        <v>66.995884799999999</v>
      </c>
      <c r="K116" s="88">
        <f>(IF(G116&lt;L116,L116,G116)*(1-IF(H116&lt;N116,H116,N116))*E116*O116*Q116)/100000000</f>
        <v>65.786572800000002</v>
      </c>
      <c r="L116" s="37">
        <v>1657.6642335766423</v>
      </c>
      <c r="M116" s="37">
        <v>1259.8248175182482</v>
      </c>
      <c r="N116" s="48">
        <f>1-(M116/L116)</f>
        <v>0.24</v>
      </c>
      <c r="O116" s="49">
        <f>+'Trim Rwd'!H90</f>
        <v>272</v>
      </c>
      <c r="P116" s="50">
        <f>O116*(Q116-R116-S116)</f>
        <v>353600</v>
      </c>
      <c r="Q116" s="49">
        <v>1440</v>
      </c>
      <c r="R116" s="417">
        <v>70</v>
      </c>
      <c r="S116" s="417">
        <v>70</v>
      </c>
      <c r="T116" s="39">
        <f>E116*M116*O116*Q116/100000000</f>
        <v>64.148263988321176</v>
      </c>
      <c r="U116" s="39">
        <f>E116*M116*O116*(Q116-R116-S116)/100000000</f>
        <v>57.911627211678841</v>
      </c>
      <c r="V116" s="39">
        <f>E116*G116*(1-N116)*O116/100*(R116+S116)/1000000</f>
        <v>6.3959168000000011</v>
      </c>
      <c r="W116" s="39">
        <f>+'23'!K34/1000</f>
        <v>51.46</v>
      </c>
      <c r="X116" s="414">
        <f>SUM(W116:W119)/SUM(K116:K119)</f>
        <v>0.78222649105684983</v>
      </c>
      <c r="Y116" s="220">
        <v>0</v>
      </c>
      <c r="Z116" s="39">
        <v>0</v>
      </c>
      <c r="AA116" s="51">
        <f>SUM(U116:U119)-SUM(W116:W119)-SUM(Z116:Z119)-SUM(Y116:Y119)</f>
        <v>6.45162721167884</v>
      </c>
      <c r="AB116" s="51">
        <f>(SUM(K116:K119)-SUM(W116:W119)-SUM(Y116:Y119)-SUM(Z116:Z119)-SUM(AC116:AC119)-SUM(V116:V119))-AA116</f>
        <v>-0.15928002335766589</v>
      </c>
      <c r="AC116" s="39">
        <f>K116-T116</f>
        <v>1.6383088116788258</v>
      </c>
      <c r="AD116" s="39">
        <f t="shared" ref="AD116:AD120" si="49">+AM116+BA116</f>
        <v>10</v>
      </c>
      <c r="AE116" s="238" t="s">
        <v>414</v>
      </c>
      <c r="AF116" s="39">
        <v>10</v>
      </c>
      <c r="AG116" s="39"/>
      <c r="AH116" s="39"/>
      <c r="AI116" s="455"/>
      <c r="AJ116" s="39"/>
      <c r="AK116" s="39"/>
      <c r="AL116" s="39"/>
      <c r="AM116" s="39">
        <f t="shared" ref="AM116:AM118" si="50">SUM(AF116:AL116)+AT116+AV116+AX116</f>
        <v>10</v>
      </c>
      <c r="AN116" s="39"/>
      <c r="AO116" s="39"/>
      <c r="AP116" s="39"/>
      <c r="AQ116" s="39"/>
      <c r="AR116" s="39">
        <f t="shared" ref="AR116:AR118" si="51">SUM(AN116:AQ116)</f>
        <v>0</v>
      </c>
      <c r="AS116" s="39"/>
      <c r="AT116" s="39"/>
      <c r="AU116" s="39"/>
      <c r="AV116" s="39"/>
      <c r="AW116" s="39"/>
      <c r="AX116" s="39"/>
      <c r="AY116" s="39"/>
      <c r="AZ116" s="39"/>
      <c r="BA116" s="39">
        <f t="shared" ref="BA116:BA120" si="52">+AR116+AS116+AU116+AW116+AY116+AZ116</f>
        <v>0</v>
      </c>
      <c r="BB116" s="35">
        <v>2</v>
      </c>
      <c r="BC116" s="53"/>
      <c r="BD116" s="53"/>
      <c r="BE116" s="35"/>
      <c r="BF116" s="53"/>
    </row>
    <row r="117" spans="1:58" ht="12.95" customHeight="1">
      <c r="A117" s="343"/>
      <c r="B117" s="43"/>
      <c r="C117" s="447"/>
      <c r="D117" s="43"/>
      <c r="E117" s="44"/>
      <c r="F117" s="44"/>
      <c r="G117" s="459"/>
      <c r="H117" s="46"/>
      <c r="I117" s="47"/>
      <c r="J117" s="88"/>
      <c r="K117" s="88"/>
      <c r="L117" s="37"/>
      <c r="M117" s="37"/>
      <c r="N117" s="48"/>
      <c r="O117" s="49"/>
      <c r="P117" s="50"/>
      <c r="Q117" s="49"/>
      <c r="R117" s="417"/>
      <c r="S117" s="417"/>
      <c r="T117" s="39"/>
      <c r="U117" s="39"/>
      <c r="V117" s="39"/>
      <c r="W117" s="39"/>
      <c r="X117" s="40"/>
      <c r="Y117" s="220"/>
      <c r="Z117" s="39"/>
      <c r="AA117" s="39"/>
      <c r="AB117" s="39"/>
      <c r="AC117" s="39"/>
      <c r="AD117" s="39">
        <f t="shared" si="49"/>
        <v>16</v>
      </c>
      <c r="AE117" s="238" t="s">
        <v>782</v>
      </c>
      <c r="AF117" s="39"/>
      <c r="AG117" s="39">
        <v>16</v>
      </c>
      <c r="AH117" s="39"/>
      <c r="AI117" s="455"/>
      <c r="AJ117" s="39"/>
      <c r="AK117" s="39"/>
      <c r="AL117" s="39"/>
      <c r="AM117" s="39">
        <f t="shared" si="50"/>
        <v>16</v>
      </c>
      <c r="AN117" s="89"/>
      <c r="AO117" s="39"/>
      <c r="AP117" s="39"/>
      <c r="AQ117" s="39"/>
      <c r="AR117" s="39">
        <f t="shared" si="51"/>
        <v>0</v>
      </c>
      <c r="AS117" s="39"/>
      <c r="AT117" s="39"/>
      <c r="AU117" s="39"/>
      <c r="AV117" s="39"/>
      <c r="AW117" s="39"/>
      <c r="AX117" s="39"/>
      <c r="AY117" s="39"/>
      <c r="AZ117" s="39"/>
      <c r="BA117" s="39">
        <f t="shared" si="52"/>
        <v>0</v>
      </c>
      <c r="BB117" s="52"/>
      <c r="BC117" s="53">
        <v>13</v>
      </c>
      <c r="BD117" s="53"/>
      <c r="BE117" s="52"/>
      <c r="BF117" s="53"/>
    </row>
    <row r="118" spans="1:58" ht="12.95" customHeight="1">
      <c r="A118" s="42"/>
      <c r="B118" s="43"/>
      <c r="C118" s="447"/>
      <c r="D118" s="43"/>
      <c r="E118" s="44"/>
      <c r="F118" s="44"/>
      <c r="G118" s="45"/>
      <c r="H118" s="46"/>
      <c r="I118" s="47"/>
      <c r="J118" s="88"/>
      <c r="K118" s="88"/>
      <c r="L118" s="37"/>
      <c r="M118" s="37"/>
      <c r="N118" s="48"/>
      <c r="O118" s="49"/>
      <c r="P118" s="50"/>
      <c r="Q118" s="49"/>
      <c r="R118" s="417"/>
      <c r="S118" s="417"/>
      <c r="T118" s="39"/>
      <c r="U118" s="39"/>
      <c r="V118" s="39"/>
      <c r="W118" s="39"/>
      <c r="X118" s="40"/>
      <c r="Y118" s="220"/>
      <c r="Z118" s="39"/>
      <c r="AA118" s="39"/>
      <c r="AB118" s="39"/>
      <c r="AC118" s="39"/>
      <c r="AD118" s="39">
        <f t="shared" si="49"/>
        <v>24</v>
      </c>
      <c r="AE118" s="238" t="s">
        <v>548</v>
      </c>
      <c r="AF118" s="35"/>
      <c r="AG118" s="35"/>
      <c r="AH118" s="35">
        <v>24</v>
      </c>
      <c r="AI118" s="455"/>
      <c r="AJ118" s="39"/>
      <c r="AK118" s="39"/>
      <c r="AL118" s="39"/>
      <c r="AM118" s="39">
        <f t="shared" si="50"/>
        <v>24</v>
      </c>
      <c r="AN118" s="39"/>
      <c r="AO118" s="39"/>
      <c r="AP118" s="39"/>
      <c r="AQ118" s="39"/>
      <c r="AR118" s="39">
        <f t="shared" si="51"/>
        <v>0</v>
      </c>
      <c r="AS118" s="39"/>
      <c r="AT118" s="39"/>
      <c r="AU118" s="39"/>
      <c r="AV118" s="39"/>
      <c r="AW118" s="39"/>
      <c r="AX118" s="39"/>
      <c r="AY118" s="39"/>
      <c r="AZ118" s="39"/>
      <c r="BA118" s="39">
        <f t="shared" si="52"/>
        <v>0</v>
      </c>
      <c r="BB118" s="35"/>
      <c r="BC118" s="55"/>
      <c r="BD118" s="55"/>
      <c r="BE118" s="35"/>
      <c r="BF118" s="55"/>
    </row>
    <row r="119" spans="1:58" ht="12.95" customHeight="1">
      <c r="A119" s="42"/>
      <c r="B119" s="43"/>
      <c r="C119" s="447"/>
      <c r="D119" s="43"/>
      <c r="E119" s="44"/>
      <c r="F119" s="44"/>
      <c r="G119" s="45"/>
      <c r="H119" s="46"/>
      <c r="I119" s="47"/>
      <c r="J119" s="88"/>
      <c r="K119" s="88"/>
      <c r="L119" s="37"/>
      <c r="M119" s="37"/>
      <c r="N119" s="48"/>
      <c r="O119" s="49"/>
      <c r="P119" s="50"/>
      <c r="Q119" s="49"/>
      <c r="R119" s="417"/>
      <c r="S119" s="417"/>
      <c r="T119" s="39"/>
      <c r="U119" s="39"/>
      <c r="V119" s="39"/>
      <c r="W119" s="39"/>
      <c r="X119" s="40"/>
      <c r="Y119" s="220"/>
      <c r="Z119" s="39"/>
      <c r="AA119" s="39"/>
      <c r="AB119" s="39"/>
      <c r="AC119" s="39"/>
      <c r="AD119" s="39">
        <f t="shared" si="49"/>
        <v>70</v>
      </c>
      <c r="AE119" s="582" t="s">
        <v>798</v>
      </c>
      <c r="AF119" s="35"/>
      <c r="AG119" s="35"/>
      <c r="AH119" s="35"/>
      <c r="AI119" s="455"/>
      <c r="AJ119" s="39"/>
      <c r="AK119" s="39"/>
      <c r="AL119" s="39"/>
      <c r="AM119" s="39">
        <f t="shared" ref="AM119:AM120" si="53">SUM(AF119:AL119)+AT119+AV119+AX119</f>
        <v>0</v>
      </c>
      <c r="AN119" s="39"/>
      <c r="AO119" s="39">
        <v>70</v>
      </c>
      <c r="AP119" s="39"/>
      <c r="AQ119" s="39"/>
      <c r="AR119" s="39">
        <f t="shared" ref="AR119:AR120" si="54">SUM(AN119:AQ119)</f>
        <v>70</v>
      </c>
      <c r="AS119" s="39"/>
      <c r="AT119" s="39"/>
      <c r="AU119" s="39"/>
      <c r="AV119" s="39"/>
      <c r="AW119" s="39"/>
      <c r="AX119" s="39"/>
      <c r="AY119" s="39"/>
      <c r="AZ119" s="39"/>
      <c r="BA119" s="39">
        <f t="shared" si="52"/>
        <v>70</v>
      </c>
      <c r="BB119" s="35"/>
      <c r="BC119" s="55"/>
      <c r="BD119" s="55"/>
      <c r="BE119" s="35"/>
      <c r="BF119" s="55"/>
    </row>
    <row r="120" spans="1:58" ht="12.95" customHeight="1">
      <c r="A120" s="343"/>
      <c r="B120" s="43"/>
      <c r="C120" s="447"/>
      <c r="D120" s="43"/>
      <c r="E120" s="44"/>
      <c r="F120" s="44"/>
      <c r="G120" s="459"/>
      <c r="H120" s="46"/>
      <c r="I120" s="47"/>
      <c r="J120" s="88"/>
      <c r="K120" s="88"/>
      <c r="L120" s="37"/>
      <c r="M120" s="37"/>
      <c r="N120" s="48"/>
      <c r="O120" s="49"/>
      <c r="P120" s="50"/>
      <c r="Q120" s="49"/>
      <c r="R120" s="417"/>
      <c r="S120" s="417"/>
      <c r="T120" s="39"/>
      <c r="U120" s="39"/>
      <c r="V120" s="39"/>
      <c r="W120" s="39"/>
      <c r="X120" s="414"/>
      <c r="Y120" s="220"/>
      <c r="Z120" s="39"/>
      <c r="AA120" s="51"/>
      <c r="AB120" s="51"/>
      <c r="AC120" s="39"/>
      <c r="AD120" s="39">
        <f t="shared" si="49"/>
        <v>20</v>
      </c>
      <c r="AE120" s="241" t="s">
        <v>799</v>
      </c>
      <c r="AF120" s="35"/>
      <c r="AG120" s="35"/>
      <c r="AH120" s="35"/>
      <c r="AI120" s="455"/>
      <c r="AJ120" s="39">
        <v>20</v>
      </c>
      <c r="AK120" s="39"/>
      <c r="AL120" s="39"/>
      <c r="AM120" s="39">
        <f t="shared" si="53"/>
        <v>20</v>
      </c>
      <c r="AN120" s="39"/>
      <c r="AO120" s="39"/>
      <c r="AP120" s="39"/>
      <c r="AQ120" s="39"/>
      <c r="AR120" s="39">
        <f t="shared" si="54"/>
        <v>0</v>
      </c>
      <c r="AS120" s="39"/>
      <c r="AT120" s="39"/>
      <c r="AU120" s="39"/>
      <c r="AV120" s="39"/>
      <c r="AW120" s="39"/>
      <c r="AX120" s="39"/>
      <c r="AY120" s="39"/>
      <c r="AZ120" s="39"/>
      <c r="BA120" s="39">
        <f t="shared" si="52"/>
        <v>0</v>
      </c>
      <c r="BB120" s="35"/>
      <c r="BC120" s="55"/>
      <c r="BD120" s="55"/>
      <c r="BE120" s="35"/>
      <c r="BF120" s="55"/>
    </row>
    <row r="121" spans="1:58" ht="12.95" customHeight="1">
      <c r="A121" s="42"/>
      <c r="B121" s="43"/>
      <c r="C121" s="447"/>
      <c r="D121" s="43"/>
      <c r="E121" s="44"/>
      <c r="F121" s="44"/>
      <c r="G121" s="459"/>
      <c r="H121" s="46"/>
      <c r="I121" s="47"/>
      <c r="J121" s="88"/>
      <c r="K121" s="88"/>
      <c r="L121" s="37"/>
      <c r="M121" s="37"/>
      <c r="N121" s="48"/>
      <c r="O121" s="49"/>
      <c r="P121" s="50"/>
      <c r="Q121" s="49"/>
      <c r="R121" s="417"/>
      <c r="S121" s="417"/>
      <c r="T121" s="39"/>
      <c r="U121" s="39"/>
      <c r="V121" s="39"/>
      <c r="W121" s="39"/>
      <c r="X121" s="40"/>
      <c r="Y121" s="220"/>
      <c r="Z121" s="39"/>
      <c r="AA121" s="39"/>
      <c r="AB121" s="39"/>
      <c r="AC121" s="39"/>
      <c r="AD121" s="39"/>
      <c r="AE121" s="238"/>
      <c r="AF121" s="35"/>
      <c r="AG121" s="35"/>
      <c r="AH121" s="35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5"/>
      <c r="BC121" s="55"/>
      <c r="BD121" s="53"/>
      <c r="BE121" s="53"/>
      <c r="BF121" s="53"/>
    </row>
    <row r="122" spans="1:58" ht="12.95" customHeight="1">
      <c r="A122" s="42">
        <v>45985</v>
      </c>
      <c r="B122" s="43" t="s">
        <v>517</v>
      </c>
      <c r="C122" s="447">
        <f>(M122*E122*O122*Q122)/100000000</f>
        <v>39.848608800000001</v>
      </c>
      <c r="D122" s="43" t="s">
        <v>489</v>
      </c>
      <c r="E122" s="44">
        <v>13</v>
      </c>
      <c r="F122" s="44">
        <v>1</v>
      </c>
      <c r="G122" s="459">
        <v>1700</v>
      </c>
      <c r="H122" s="46">
        <v>0.24</v>
      </c>
      <c r="I122" s="47">
        <v>0.88</v>
      </c>
      <c r="J122" s="88">
        <f>E122*G122*(1-H122)*1440/1000000*2.77</f>
        <v>66.995884799999999</v>
      </c>
      <c r="K122" s="88">
        <f>(IF(G122&lt;L122,L122,G122)*(1-IF(H122&lt;N122,H122,N122))*E122*O122*Q122)/100000000</f>
        <v>41.056142400000006</v>
      </c>
      <c r="L122" s="37">
        <v>1650</v>
      </c>
      <c r="M122" s="37">
        <f>+L122-L122*0.24</f>
        <v>1254</v>
      </c>
      <c r="N122" s="48">
        <f>1-(M122/L122)</f>
        <v>0.24</v>
      </c>
      <c r="O122" s="49">
        <f>+'Trim Rwd'!H92</f>
        <v>271.60000000000002</v>
      </c>
      <c r="P122" s="50">
        <f>O122*(Q122-R122-S122)</f>
        <v>230860.00000000003</v>
      </c>
      <c r="Q122" s="49">
        <v>900</v>
      </c>
      <c r="R122" s="417">
        <v>0</v>
      </c>
      <c r="S122" s="417">
        <v>50</v>
      </c>
      <c r="T122" s="39">
        <f>E122*M122*O122*Q122/100000000</f>
        <v>39.848608800000001</v>
      </c>
      <c r="U122" s="39">
        <f>E122*M122*O122*(Q122-R122-S122)/100000000</f>
        <v>37.634797200000001</v>
      </c>
      <c r="V122" s="39">
        <f>E122*G122*(1-N122)*O122/100*(R122+S122)/1000000</f>
        <v>2.2808968000000003</v>
      </c>
      <c r="W122" s="39">
        <f>+'24'!K15/1000</f>
        <v>42.862000000000002</v>
      </c>
      <c r="X122" s="414">
        <f>SUM(W122:W125)/SUM(K122:K125)</f>
        <v>0.89462070011974226</v>
      </c>
      <c r="Y122" s="220">
        <v>0</v>
      </c>
      <c r="Z122" s="39">
        <v>0</v>
      </c>
      <c r="AA122" s="51">
        <f>SUM(U122:U125)-SUM(W122:W125)-SUM(Z122:Z125)-SUM(Y122:Y125)</f>
        <v>4.1978139999997666E-2</v>
      </c>
      <c r="AB122" s="51">
        <f>(SUM(K122:K125)-SUM(W122:W125)-SUM(Y122:Y125)-SUM(Z122:Z125)-SUM(AC122:AC125)-SUM(V122:V125))-AA122</f>
        <v>-0.17064964000000016</v>
      </c>
      <c r="AC122" s="39">
        <f>K122-T122</f>
        <v>1.207533600000005</v>
      </c>
      <c r="AD122" s="39">
        <f t="shared" ref="AD122:AD125" si="55">+AM122+BA122</f>
        <v>20</v>
      </c>
      <c r="AE122" s="238" t="s">
        <v>439</v>
      </c>
      <c r="AF122" s="39">
        <v>20</v>
      </c>
      <c r="AG122" s="39"/>
      <c r="AH122" s="39"/>
      <c r="AI122" s="455"/>
      <c r="AJ122" s="39"/>
      <c r="AK122" s="39"/>
      <c r="AL122" s="39"/>
      <c r="AM122" s="39">
        <f t="shared" ref="AM122:AM125" si="56">SUM(AF122:AL122)+AT122+AV122+AX122</f>
        <v>20</v>
      </c>
      <c r="AN122" s="39"/>
      <c r="AO122" s="39"/>
      <c r="AP122" s="39"/>
      <c r="AQ122" s="39"/>
      <c r="AR122" s="39">
        <f t="shared" ref="AR122:AR125" si="57">SUM(AN122:AQ122)</f>
        <v>0</v>
      </c>
      <c r="AS122" s="39"/>
      <c r="AT122" s="39"/>
      <c r="AU122" s="39"/>
      <c r="AV122" s="39"/>
      <c r="AW122" s="39"/>
      <c r="AX122" s="39"/>
      <c r="AY122" s="39"/>
      <c r="AZ122" s="39"/>
      <c r="BA122" s="39">
        <f t="shared" ref="BA122:BA125" si="58">+AR122+AS122+AU122+AW122+AY122+AZ122</f>
        <v>0</v>
      </c>
      <c r="BB122" s="35">
        <v>4</v>
      </c>
      <c r="BC122" s="53"/>
      <c r="BD122" s="53"/>
      <c r="BE122" s="35"/>
      <c r="BF122" s="53"/>
    </row>
    <row r="123" spans="1:58" ht="12.95" customHeight="1">
      <c r="A123" s="343"/>
      <c r="B123" s="43" t="s">
        <v>517</v>
      </c>
      <c r="C123" s="447">
        <f>(M123*E123*O123*Q123)/100000000</f>
        <v>19.262985839999999</v>
      </c>
      <c r="D123" s="43" t="s">
        <v>489</v>
      </c>
      <c r="E123" s="44">
        <v>10.3</v>
      </c>
      <c r="F123" s="44">
        <v>1</v>
      </c>
      <c r="G123" s="459">
        <v>1730</v>
      </c>
      <c r="H123" s="46">
        <v>0.16</v>
      </c>
      <c r="I123" s="47">
        <v>0.88</v>
      </c>
      <c r="J123" s="88">
        <f>E123*G123*(1-H123)*1440/1000000*2.77</f>
        <v>59.704198847999997</v>
      </c>
      <c r="K123" s="88">
        <f>(IF(G123&lt;L123,L123,G123)*(1-IF(H123&lt;N123,H123,N123))*E123*O123*Q123)/100000000</f>
        <v>21.499977744000002</v>
      </c>
      <c r="L123" s="37">
        <v>1550</v>
      </c>
      <c r="M123" s="37">
        <f>+L123-L123*0.16</f>
        <v>1302</v>
      </c>
      <c r="N123" s="48">
        <f>1-(M123/L123)</f>
        <v>0.16000000000000003</v>
      </c>
      <c r="O123" s="49">
        <f>+'Trim Rwd'!H94</f>
        <v>266</v>
      </c>
      <c r="P123" s="50">
        <f>O123*(Q123-R123-S123)</f>
        <v>136990</v>
      </c>
      <c r="Q123" s="49">
        <v>540</v>
      </c>
      <c r="R123" s="417">
        <v>0</v>
      </c>
      <c r="S123" s="417">
        <v>25</v>
      </c>
      <c r="T123" s="39">
        <f>E123*M123*O123*Q123/100000000</f>
        <v>19.262985839999999</v>
      </c>
      <c r="U123" s="39">
        <f>E123*M123*O123*(Q123-R123-S123)/100000000</f>
        <v>18.371180939999999</v>
      </c>
      <c r="V123" s="39">
        <f>E123*G123*(1-N123)*O123/100*(R123+S123)/1000000</f>
        <v>0.99536933999999999</v>
      </c>
      <c r="W123" s="39">
        <f>+'24'!K13/1000</f>
        <v>13.102</v>
      </c>
      <c r="X123" s="40"/>
      <c r="Y123" s="220"/>
      <c r="Z123" s="39"/>
      <c r="AA123" s="39"/>
      <c r="AB123" s="39"/>
      <c r="AC123" s="39">
        <f>K123-T123</f>
        <v>2.2369919040000035</v>
      </c>
      <c r="AD123" s="39">
        <f t="shared" si="55"/>
        <v>19</v>
      </c>
      <c r="AE123" s="238" t="s">
        <v>701</v>
      </c>
      <c r="AF123" s="39"/>
      <c r="AG123" s="39">
        <v>19</v>
      </c>
      <c r="AH123" s="39"/>
      <c r="AI123" s="455"/>
      <c r="AJ123" s="39"/>
      <c r="AK123" s="39"/>
      <c r="AL123" s="39"/>
      <c r="AM123" s="39">
        <f t="shared" si="56"/>
        <v>19</v>
      </c>
      <c r="AN123" s="89"/>
      <c r="AO123" s="39"/>
      <c r="AP123" s="39"/>
      <c r="AQ123" s="39"/>
      <c r="AR123" s="39">
        <f t="shared" si="57"/>
        <v>0</v>
      </c>
      <c r="AS123" s="39"/>
      <c r="AT123" s="39"/>
      <c r="AU123" s="39"/>
      <c r="AV123" s="39"/>
      <c r="AW123" s="39"/>
      <c r="AX123" s="39"/>
      <c r="AY123" s="39"/>
      <c r="AZ123" s="39"/>
      <c r="BA123" s="39">
        <f t="shared" si="58"/>
        <v>0</v>
      </c>
      <c r="BB123" s="52"/>
      <c r="BC123" s="53">
        <v>14</v>
      </c>
      <c r="BD123" s="53"/>
      <c r="BE123" s="52"/>
      <c r="BF123" s="53"/>
    </row>
    <row r="124" spans="1:58" ht="12.95" customHeight="1">
      <c r="A124" s="42"/>
      <c r="B124" s="43"/>
      <c r="C124" s="447"/>
      <c r="D124" s="43"/>
      <c r="E124" s="44"/>
      <c r="F124" s="44"/>
      <c r="G124" s="45"/>
      <c r="H124" s="46"/>
      <c r="I124" s="47"/>
      <c r="J124" s="88"/>
      <c r="K124" s="88"/>
      <c r="L124" s="37"/>
      <c r="M124" s="37"/>
      <c r="N124" s="48"/>
      <c r="O124" s="49"/>
      <c r="P124" s="50"/>
      <c r="Q124" s="49"/>
      <c r="R124" s="417"/>
      <c r="S124" s="417"/>
      <c r="T124" s="39"/>
      <c r="U124" s="39"/>
      <c r="V124" s="39"/>
      <c r="W124" s="39"/>
      <c r="X124" s="40"/>
      <c r="Y124" s="220"/>
      <c r="Z124" s="39"/>
      <c r="AA124" s="39"/>
      <c r="AB124" s="39"/>
      <c r="AC124" s="39"/>
      <c r="AD124" s="39">
        <f t="shared" si="55"/>
        <v>21</v>
      </c>
      <c r="AE124" s="238" t="s">
        <v>548</v>
      </c>
      <c r="AF124" s="35"/>
      <c r="AG124" s="35"/>
      <c r="AH124" s="35">
        <v>21</v>
      </c>
      <c r="AI124" s="455"/>
      <c r="AJ124" s="39"/>
      <c r="AK124" s="39"/>
      <c r="AL124" s="39"/>
      <c r="AM124" s="39">
        <f t="shared" si="56"/>
        <v>21</v>
      </c>
      <c r="AN124" s="39"/>
      <c r="AO124" s="39"/>
      <c r="AP124" s="39"/>
      <c r="AQ124" s="39"/>
      <c r="AR124" s="39">
        <f t="shared" si="57"/>
        <v>0</v>
      </c>
      <c r="AS124" s="39"/>
      <c r="AT124" s="39"/>
      <c r="AU124" s="39"/>
      <c r="AV124" s="39"/>
      <c r="AW124" s="39"/>
      <c r="AX124" s="39"/>
      <c r="AY124" s="39"/>
      <c r="AZ124" s="39"/>
      <c r="BA124" s="39">
        <f t="shared" si="58"/>
        <v>0</v>
      </c>
      <c r="BB124" s="35"/>
      <c r="BC124" s="55"/>
      <c r="BD124" s="55"/>
      <c r="BE124" s="35"/>
      <c r="BF124" s="55"/>
    </row>
    <row r="125" spans="1:58" ht="12.95" customHeight="1">
      <c r="A125" s="343"/>
      <c r="B125" s="43"/>
      <c r="C125" s="447"/>
      <c r="D125" s="43"/>
      <c r="E125" s="44"/>
      <c r="F125" s="44"/>
      <c r="G125" s="459"/>
      <c r="H125" s="46"/>
      <c r="I125" s="47"/>
      <c r="J125" s="88"/>
      <c r="K125" s="88"/>
      <c r="L125" s="37"/>
      <c r="M125" s="37"/>
      <c r="N125" s="48"/>
      <c r="O125" s="49"/>
      <c r="P125" s="50"/>
      <c r="Q125" s="49"/>
      <c r="R125" s="417"/>
      <c r="S125" s="417"/>
      <c r="T125" s="39"/>
      <c r="U125" s="39"/>
      <c r="V125" s="39"/>
      <c r="W125" s="39"/>
      <c r="X125" s="414"/>
      <c r="Y125" s="220"/>
      <c r="Z125" s="39"/>
      <c r="AA125" s="51"/>
      <c r="AB125" s="51"/>
      <c r="AC125" s="39"/>
      <c r="AD125" s="39">
        <f t="shared" si="55"/>
        <v>15</v>
      </c>
      <c r="AE125" s="241" t="s">
        <v>415</v>
      </c>
      <c r="AF125" s="39"/>
      <c r="AG125" s="39"/>
      <c r="AH125" s="39"/>
      <c r="AI125" s="455">
        <v>15</v>
      </c>
      <c r="AJ125" s="39"/>
      <c r="AK125" s="39"/>
      <c r="AL125" s="39"/>
      <c r="AM125" s="39">
        <f t="shared" si="56"/>
        <v>15</v>
      </c>
      <c r="AN125" s="39"/>
      <c r="AO125" s="39"/>
      <c r="AP125" s="39"/>
      <c r="AQ125" s="39"/>
      <c r="AR125" s="39">
        <f t="shared" si="57"/>
        <v>0</v>
      </c>
      <c r="AS125" s="39"/>
      <c r="AT125" s="39"/>
      <c r="AU125" s="39"/>
      <c r="AV125" s="39"/>
      <c r="AW125" s="39"/>
      <c r="AX125" s="39"/>
      <c r="AY125" s="39"/>
      <c r="AZ125" s="39"/>
      <c r="BA125" s="39">
        <f t="shared" si="58"/>
        <v>0</v>
      </c>
      <c r="BB125" s="35"/>
      <c r="BC125" s="55"/>
      <c r="BD125" s="55"/>
      <c r="BE125" s="35"/>
      <c r="BF125" s="55"/>
    </row>
    <row r="126" spans="1:58" ht="12.95" customHeight="1">
      <c r="A126" s="343"/>
      <c r="B126" s="43"/>
      <c r="C126" s="447"/>
      <c r="D126" s="43"/>
      <c r="E126" s="44"/>
      <c r="F126" s="44"/>
      <c r="G126" s="459"/>
      <c r="H126" s="46"/>
      <c r="I126" s="47"/>
      <c r="J126" s="88"/>
      <c r="K126" s="88"/>
      <c r="L126" s="37"/>
      <c r="M126" s="37"/>
      <c r="N126" s="48"/>
      <c r="O126" s="49"/>
      <c r="P126" s="50"/>
      <c r="Q126" s="49"/>
      <c r="R126" s="417"/>
      <c r="S126" s="417"/>
      <c r="T126" s="39"/>
      <c r="U126" s="39"/>
      <c r="V126" s="39"/>
      <c r="W126" s="39"/>
      <c r="X126" s="414"/>
      <c r="Y126" s="220"/>
      <c r="Z126" s="39"/>
      <c r="AA126" s="51"/>
      <c r="AB126" s="51"/>
      <c r="AC126" s="39"/>
      <c r="AD126" s="39"/>
      <c r="AE126" s="238"/>
      <c r="AF126" s="39"/>
      <c r="AG126" s="39"/>
      <c r="AH126" s="39"/>
      <c r="AI126" s="455"/>
      <c r="AJ126" s="39"/>
      <c r="AK126" s="39"/>
      <c r="AL126" s="39"/>
      <c r="AM126" s="39"/>
      <c r="AN126" s="8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52"/>
      <c r="BC126" s="53"/>
      <c r="BD126" s="53"/>
      <c r="BE126" s="53"/>
      <c r="BF126" s="53"/>
    </row>
    <row r="127" spans="1:58" ht="12.95" customHeight="1">
      <c r="A127" s="42">
        <v>45986</v>
      </c>
      <c r="B127" s="43" t="s">
        <v>517</v>
      </c>
      <c r="C127" s="447">
        <f>(M127*E127*O127*Q127)/100000000</f>
        <v>53.024993279999997</v>
      </c>
      <c r="D127" s="43" t="s">
        <v>489</v>
      </c>
      <c r="E127" s="44">
        <v>10.3</v>
      </c>
      <c r="F127" s="44">
        <v>1</v>
      </c>
      <c r="G127" s="459">
        <v>1730</v>
      </c>
      <c r="H127" s="46">
        <v>0.16</v>
      </c>
      <c r="I127" s="47">
        <v>0.88</v>
      </c>
      <c r="J127" s="88">
        <f>E127*G127*(1-H127)*1440/1000000*2.77</f>
        <v>59.704198847999997</v>
      </c>
      <c r="K127" s="88">
        <f>(IF(G127&lt;L127,L127,G127)*(1-IF(H127&lt;N127,H127,N127))*E127*O127*Q127)/100000000</f>
        <v>57.333273984000009</v>
      </c>
      <c r="L127" s="37">
        <v>1600</v>
      </c>
      <c r="M127" s="37">
        <v>1344</v>
      </c>
      <c r="N127" s="48">
        <f>1-(M127/L127)</f>
        <v>0.16000000000000003</v>
      </c>
      <c r="O127" s="49">
        <f>+'Trim Rwd'!H96</f>
        <v>266</v>
      </c>
      <c r="P127" s="50">
        <f>O127*(Q127-R127-S127)</f>
        <v>375858</v>
      </c>
      <c r="Q127" s="49">
        <v>1440</v>
      </c>
      <c r="R127" s="417">
        <v>0</v>
      </c>
      <c r="S127" s="417">
        <v>27</v>
      </c>
      <c r="T127" s="39">
        <f>E127*M127*O127*Q127/100000000</f>
        <v>53.024993279999997</v>
      </c>
      <c r="U127" s="39">
        <f>E127*M127*O127*(Q127-R127-S127)/100000000</f>
        <v>52.030774656000006</v>
      </c>
      <c r="V127" s="39">
        <f>E127*G127*(1-N127)*O127/100*(R127+S127)/1000000</f>
        <v>1.0749988872</v>
      </c>
      <c r="W127" s="39">
        <f>+'25'!K34/1000</f>
        <v>53.747</v>
      </c>
      <c r="X127" s="414">
        <f>SUM(W127:W130)/SUM(K127:K130)</f>
        <v>0.93744864483055979</v>
      </c>
      <c r="Y127" s="220">
        <v>0</v>
      </c>
      <c r="Z127" s="39">
        <v>0</v>
      </c>
      <c r="AA127" s="51">
        <f>SUM(U127:U130)-SUM(W127:W130)-SUM(Z127:Z130)-SUM(Y127:Y130)</f>
        <v>-1.7162253439999944</v>
      </c>
      <c r="AB127" s="51">
        <f>(SUM(K127:K130)-SUM(W127:W130)-SUM(Y127:Y130)-SUM(Z127:Z130)-SUM(AC127:AC130)-SUM(V127:V130))-AA127</f>
        <v>-8.0780263200008751E-2</v>
      </c>
      <c r="AC127" s="39">
        <f>K127-T127</f>
        <v>4.308280704000012</v>
      </c>
      <c r="AD127" s="39">
        <f t="shared" ref="AD127:AD129" si="59">+AM127+BA127</f>
        <v>0</v>
      </c>
      <c r="AE127" s="238" t="s">
        <v>434</v>
      </c>
      <c r="AF127" s="39">
        <v>0</v>
      </c>
      <c r="AG127" s="39"/>
      <c r="AH127" s="39"/>
      <c r="AI127" s="455"/>
      <c r="AJ127" s="39"/>
      <c r="AK127" s="39"/>
      <c r="AL127" s="39"/>
      <c r="AM127" s="39">
        <f t="shared" ref="AM127:AM129" si="60">SUM(AF127:AL127)+AT127+AV127+AX127</f>
        <v>0</v>
      </c>
      <c r="AN127" s="39"/>
      <c r="AO127" s="39"/>
      <c r="AP127" s="39"/>
      <c r="AQ127" s="39"/>
      <c r="AR127" s="39">
        <f t="shared" ref="AR127:AR129" si="61">SUM(AN127:AQ127)</f>
        <v>0</v>
      </c>
      <c r="AS127" s="39"/>
      <c r="AT127" s="39"/>
      <c r="AU127" s="39"/>
      <c r="AV127" s="39"/>
      <c r="AW127" s="39"/>
      <c r="AX127" s="39"/>
      <c r="AY127" s="39"/>
      <c r="AZ127" s="39"/>
      <c r="BA127" s="39">
        <f t="shared" ref="BA127:BA129" si="62">+AR127+AS127+AU127+AW127+AY127+AZ127</f>
        <v>0</v>
      </c>
      <c r="BB127" s="35">
        <v>0</v>
      </c>
      <c r="BC127" s="53"/>
      <c r="BD127" s="53"/>
      <c r="BE127" s="35"/>
      <c r="BF127" s="53"/>
    </row>
    <row r="128" spans="1:58" ht="12.95" customHeight="1">
      <c r="A128" s="343"/>
      <c r="B128" s="43"/>
      <c r="C128" s="447"/>
      <c r="D128" s="43"/>
      <c r="E128" s="44"/>
      <c r="F128" s="44"/>
      <c r="G128" s="459"/>
      <c r="H128" s="46"/>
      <c r="I128" s="47"/>
      <c r="J128" s="88"/>
      <c r="K128" s="88"/>
      <c r="L128" s="37"/>
      <c r="M128" s="37"/>
      <c r="N128" s="48"/>
      <c r="O128" s="49"/>
      <c r="P128" s="50"/>
      <c r="Q128" s="49"/>
      <c r="R128" s="417"/>
      <c r="S128" s="417"/>
      <c r="T128" s="39"/>
      <c r="U128" s="39"/>
      <c r="V128" s="39"/>
      <c r="W128" s="39"/>
      <c r="X128" s="40"/>
      <c r="Y128" s="220"/>
      <c r="Z128" s="39"/>
      <c r="AA128" s="39"/>
      <c r="AB128" s="39"/>
      <c r="AC128" s="39"/>
      <c r="AD128" s="39">
        <f t="shared" si="59"/>
        <v>11</v>
      </c>
      <c r="AE128" s="238" t="s">
        <v>593</v>
      </c>
      <c r="AF128" s="39"/>
      <c r="AG128" s="39">
        <v>11</v>
      </c>
      <c r="AH128" s="39"/>
      <c r="AI128" s="455"/>
      <c r="AJ128" s="39"/>
      <c r="AK128" s="39"/>
      <c r="AL128" s="39"/>
      <c r="AM128" s="39">
        <f t="shared" si="60"/>
        <v>11</v>
      </c>
      <c r="AN128" s="89"/>
      <c r="AO128" s="39"/>
      <c r="AP128" s="39"/>
      <c r="AQ128" s="39"/>
      <c r="AR128" s="39">
        <f t="shared" si="61"/>
        <v>0</v>
      </c>
      <c r="AS128" s="39"/>
      <c r="AT128" s="39"/>
      <c r="AU128" s="39"/>
      <c r="AV128" s="39"/>
      <c r="AW128" s="39"/>
      <c r="AX128" s="39"/>
      <c r="AY128" s="39"/>
      <c r="AZ128" s="39"/>
      <c r="BA128" s="39">
        <f t="shared" si="62"/>
        <v>0</v>
      </c>
      <c r="BB128" s="52"/>
      <c r="BC128" s="53">
        <v>10</v>
      </c>
      <c r="BD128" s="53"/>
      <c r="BE128" s="52"/>
      <c r="BF128" s="53"/>
    </row>
    <row r="129" spans="1:58" ht="12.95" customHeight="1">
      <c r="A129" s="42"/>
      <c r="B129" s="43"/>
      <c r="C129" s="447"/>
      <c r="D129" s="43"/>
      <c r="E129" s="44"/>
      <c r="F129" s="44"/>
      <c r="G129" s="45"/>
      <c r="H129" s="46"/>
      <c r="I129" s="47"/>
      <c r="J129" s="88"/>
      <c r="K129" s="88"/>
      <c r="L129" s="37"/>
      <c r="M129" s="37"/>
      <c r="N129" s="48"/>
      <c r="O129" s="49"/>
      <c r="P129" s="50"/>
      <c r="Q129" s="49"/>
      <c r="R129" s="417"/>
      <c r="S129" s="417"/>
      <c r="T129" s="39"/>
      <c r="U129" s="39"/>
      <c r="V129" s="39"/>
      <c r="W129" s="39"/>
      <c r="X129" s="40"/>
      <c r="Y129" s="220"/>
      <c r="Z129" s="39"/>
      <c r="AA129" s="39"/>
      <c r="AB129" s="39"/>
      <c r="AC129" s="39"/>
      <c r="AD129" s="39">
        <f t="shared" si="59"/>
        <v>16</v>
      </c>
      <c r="AE129" s="238" t="s">
        <v>619</v>
      </c>
      <c r="AF129" s="35"/>
      <c r="AG129" s="35"/>
      <c r="AH129" s="35">
        <v>16</v>
      </c>
      <c r="AI129" s="455"/>
      <c r="AJ129" s="39"/>
      <c r="AK129" s="39"/>
      <c r="AL129" s="39"/>
      <c r="AM129" s="39">
        <f t="shared" si="60"/>
        <v>16</v>
      </c>
      <c r="AN129" s="39"/>
      <c r="AO129" s="39"/>
      <c r="AP129" s="39"/>
      <c r="AQ129" s="39"/>
      <c r="AR129" s="39">
        <f t="shared" si="61"/>
        <v>0</v>
      </c>
      <c r="AS129" s="39"/>
      <c r="AT129" s="39"/>
      <c r="AU129" s="39"/>
      <c r="AV129" s="39"/>
      <c r="AW129" s="39"/>
      <c r="AX129" s="39"/>
      <c r="AY129" s="39"/>
      <c r="AZ129" s="39"/>
      <c r="BA129" s="39">
        <f t="shared" si="62"/>
        <v>0</v>
      </c>
      <c r="BB129" s="35"/>
      <c r="BC129" s="55"/>
      <c r="BD129" s="55"/>
      <c r="BE129" s="35"/>
      <c r="BF129" s="55"/>
    </row>
    <row r="130" spans="1:58" ht="12.95" customHeight="1">
      <c r="A130" s="42"/>
      <c r="B130" s="43"/>
      <c r="C130" s="447"/>
      <c r="D130" s="43"/>
      <c r="E130" s="44"/>
      <c r="F130" s="44"/>
      <c r="G130" s="45"/>
      <c r="H130" s="46"/>
      <c r="I130" s="47"/>
      <c r="J130" s="88"/>
      <c r="K130" s="88"/>
      <c r="L130" s="37"/>
      <c r="M130" s="37"/>
      <c r="N130" s="48"/>
      <c r="O130" s="49"/>
      <c r="P130" s="50"/>
      <c r="Q130" s="49"/>
      <c r="R130" s="417"/>
      <c r="S130" s="417"/>
      <c r="T130" s="39"/>
      <c r="U130" s="39"/>
      <c r="V130" s="39"/>
      <c r="W130" s="39"/>
      <c r="X130" s="40"/>
      <c r="Y130" s="220"/>
      <c r="Z130" s="39"/>
      <c r="AA130" s="39"/>
      <c r="AB130" s="39"/>
      <c r="AC130" s="39"/>
      <c r="AD130" s="39"/>
      <c r="AE130" s="21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5"/>
      <c r="BC130" s="53"/>
      <c r="BD130" s="53"/>
      <c r="BE130" s="53"/>
      <c r="BF130" s="53"/>
    </row>
    <row r="131" spans="1:58" ht="12.95" customHeight="1">
      <c r="A131" s="42">
        <v>45987</v>
      </c>
      <c r="B131" s="43" t="s">
        <v>517</v>
      </c>
      <c r="C131" s="447">
        <f>(M131*E131*O131*Q131)/100000000</f>
        <v>54.050774400000009</v>
      </c>
      <c r="D131" s="43" t="s">
        <v>489</v>
      </c>
      <c r="E131" s="44">
        <v>10.3</v>
      </c>
      <c r="F131" s="44">
        <v>1</v>
      </c>
      <c r="G131" s="459">
        <v>1730</v>
      </c>
      <c r="H131" s="46">
        <v>0.16</v>
      </c>
      <c r="I131" s="47">
        <v>0.88</v>
      </c>
      <c r="J131" s="88">
        <f>E131*G131*(1-H131)*1440/1000000*2.77</f>
        <v>59.704198847999997</v>
      </c>
      <c r="K131" s="88">
        <f>(IF(G131&lt;L131,L131,G131)*(1-IF(H131&lt;N131,H131,N131))*E131*O131*Q131)/100000000</f>
        <v>57.366772829447861</v>
      </c>
      <c r="L131" s="37">
        <v>1630</v>
      </c>
      <c r="M131" s="37">
        <v>1370</v>
      </c>
      <c r="N131" s="48">
        <f>1-(M131/L131)</f>
        <v>0.1595092024539877</v>
      </c>
      <c r="O131" s="49">
        <f>+'Trim Rwd'!H99</f>
        <v>266</v>
      </c>
      <c r="P131" s="50">
        <f>O131*(Q131-R131-S131)</f>
        <v>374528</v>
      </c>
      <c r="Q131" s="49">
        <v>1440</v>
      </c>
      <c r="R131" s="417">
        <v>0</v>
      </c>
      <c r="S131" s="417">
        <v>32</v>
      </c>
      <c r="T131" s="39">
        <f>E131*M131*O131*Q131/100000000</f>
        <v>54.050774400000009</v>
      </c>
      <c r="U131" s="39">
        <f>E131*M131*O131*(Q131-R131-S131)/100000000</f>
        <v>52.849646080000007</v>
      </c>
      <c r="V131" s="39">
        <f>E131*G131*(1-N131)*O131/100*(R131+S131)/1000000</f>
        <v>1.2748171739877301</v>
      </c>
      <c r="W131" s="39">
        <f>+'26'!K34/1000</f>
        <v>51.795999999999999</v>
      </c>
      <c r="X131" s="414">
        <f>SUM(W131:W134)/SUM(K131:K134)</f>
        <v>0.90289199558061528</v>
      </c>
      <c r="Y131" s="220">
        <v>0</v>
      </c>
      <c r="Z131" s="39">
        <v>0</v>
      </c>
      <c r="AA131" s="51">
        <f>SUM(U131:U134)-SUM(W131:W134)-SUM(Z131:Z134)-SUM(Y131:Y134)</f>
        <v>1.0536460800000071</v>
      </c>
      <c r="AB131" s="51">
        <f>(SUM(K131:K134)-SUM(W131:W134)-SUM(Y131:Y134)-SUM(Z131:Z134)-SUM(AC131:AC134)-SUM(V131:V134))-AA131</f>
        <v>-7.3688853987727843E-2</v>
      </c>
      <c r="AC131" s="39">
        <f>K131-T131</f>
        <v>3.3159984294478519</v>
      </c>
      <c r="AD131" s="39">
        <f t="shared" ref="AD131:AD133" si="63">+AM131+BA131</f>
        <v>0</v>
      </c>
      <c r="AE131" s="238" t="s">
        <v>434</v>
      </c>
      <c r="AF131" s="39">
        <v>0</v>
      </c>
      <c r="AG131" s="39"/>
      <c r="AH131" s="39"/>
      <c r="AI131" s="455"/>
      <c r="AJ131" s="39"/>
      <c r="AK131" s="39"/>
      <c r="AL131" s="39"/>
      <c r="AM131" s="39">
        <f t="shared" ref="AM131:AM133" si="64">SUM(AF131:AL131)+AT131+AV131+AX131</f>
        <v>0</v>
      </c>
      <c r="AN131" s="39"/>
      <c r="AO131" s="39"/>
      <c r="AP131" s="39"/>
      <c r="AQ131" s="39"/>
      <c r="AR131" s="39">
        <f t="shared" ref="AR131:AR133" si="65">SUM(AN131:AQ131)</f>
        <v>0</v>
      </c>
      <c r="AS131" s="39"/>
      <c r="AT131" s="39"/>
      <c r="AU131" s="39"/>
      <c r="AV131" s="39"/>
      <c r="AW131" s="39"/>
      <c r="AX131" s="39"/>
      <c r="AY131" s="39"/>
      <c r="AZ131" s="39"/>
      <c r="BA131" s="39">
        <f t="shared" ref="BA131:BA133" si="66">+AR131+AS131+AU131+AW131+AY131+AZ131</f>
        <v>0</v>
      </c>
      <c r="BB131" s="35">
        <v>0</v>
      </c>
      <c r="BC131" s="53"/>
      <c r="BD131" s="53"/>
      <c r="BE131" s="35"/>
      <c r="BF131" s="53"/>
    </row>
    <row r="132" spans="1:58" ht="12.95" customHeight="1">
      <c r="A132" s="343"/>
      <c r="B132" s="43"/>
      <c r="C132" s="447"/>
      <c r="D132" s="43"/>
      <c r="E132" s="44"/>
      <c r="F132" s="44"/>
      <c r="G132" s="459"/>
      <c r="H132" s="46"/>
      <c r="I132" s="47"/>
      <c r="J132" s="88"/>
      <c r="K132" s="88"/>
      <c r="L132" s="37"/>
      <c r="M132" s="37"/>
      <c r="N132" s="48"/>
      <c r="O132" s="49"/>
      <c r="P132" s="50"/>
      <c r="Q132" s="49"/>
      <c r="R132" s="417"/>
      <c r="S132" s="417"/>
      <c r="T132" s="39"/>
      <c r="U132" s="39"/>
      <c r="V132" s="39"/>
      <c r="W132" s="39"/>
      <c r="X132" s="40"/>
      <c r="Y132" s="220"/>
      <c r="Z132" s="39"/>
      <c r="AA132" s="39"/>
      <c r="AB132" s="39"/>
      <c r="AC132" s="39"/>
      <c r="AD132" s="39">
        <f t="shared" si="63"/>
        <v>12</v>
      </c>
      <c r="AE132" s="238" t="s">
        <v>700</v>
      </c>
      <c r="AF132" s="39"/>
      <c r="AG132" s="39">
        <v>12</v>
      </c>
      <c r="AH132" s="39"/>
      <c r="AI132" s="455"/>
      <c r="AJ132" s="39"/>
      <c r="AK132" s="39"/>
      <c r="AL132" s="39"/>
      <c r="AM132" s="39">
        <f t="shared" si="64"/>
        <v>12</v>
      </c>
      <c r="AN132" s="89"/>
      <c r="AO132" s="39"/>
      <c r="AP132" s="39"/>
      <c r="AQ132" s="39"/>
      <c r="AR132" s="39">
        <f t="shared" si="65"/>
        <v>0</v>
      </c>
      <c r="AS132" s="39"/>
      <c r="AT132" s="39"/>
      <c r="AU132" s="39"/>
      <c r="AV132" s="39"/>
      <c r="AW132" s="39"/>
      <c r="AX132" s="39"/>
      <c r="AY132" s="39"/>
      <c r="AZ132" s="39"/>
      <c r="BA132" s="39">
        <f t="shared" si="66"/>
        <v>0</v>
      </c>
      <c r="BB132" s="52"/>
      <c r="BC132" s="53">
        <v>12</v>
      </c>
      <c r="BD132" s="53"/>
      <c r="BE132" s="52"/>
      <c r="BF132" s="53"/>
    </row>
    <row r="133" spans="1:58" ht="12.95" customHeight="1">
      <c r="A133" s="42"/>
      <c r="B133" s="43"/>
      <c r="C133" s="447"/>
      <c r="D133" s="43"/>
      <c r="E133" s="44"/>
      <c r="F133" s="44"/>
      <c r="G133" s="45"/>
      <c r="H133" s="46"/>
      <c r="I133" s="47"/>
      <c r="J133" s="88"/>
      <c r="K133" s="88"/>
      <c r="L133" s="37"/>
      <c r="M133" s="37"/>
      <c r="N133" s="48"/>
      <c r="O133" s="49"/>
      <c r="P133" s="50"/>
      <c r="Q133" s="49"/>
      <c r="R133" s="417"/>
      <c r="S133" s="417"/>
      <c r="T133" s="39"/>
      <c r="U133" s="39"/>
      <c r="V133" s="39"/>
      <c r="W133" s="39"/>
      <c r="X133" s="40"/>
      <c r="Y133" s="220"/>
      <c r="Z133" s="39"/>
      <c r="AA133" s="39"/>
      <c r="AB133" s="39"/>
      <c r="AC133" s="39"/>
      <c r="AD133" s="39">
        <f t="shared" si="63"/>
        <v>20</v>
      </c>
      <c r="AE133" s="238" t="s">
        <v>796</v>
      </c>
      <c r="AF133" s="35"/>
      <c r="AG133" s="35"/>
      <c r="AH133" s="35">
        <v>20</v>
      </c>
      <c r="AI133" s="455"/>
      <c r="AJ133" s="39"/>
      <c r="AK133" s="39"/>
      <c r="AL133" s="39"/>
      <c r="AM133" s="39">
        <f t="shared" si="64"/>
        <v>20</v>
      </c>
      <c r="AN133" s="39"/>
      <c r="AO133" s="39"/>
      <c r="AP133" s="39"/>
      <c r="AQ133" s="39"/>
      <c r="AR133" s="39">
        <f t="shared" si="65"/>
        <v>0</v>
      </c>
      <c r="AS133" s="39"/>
      <c r="AT133" s="39"/>
      <c r="AU133" s="39"/>
      <c r="AV133" s="39"/>
      <c r="AW133" s="39"/>
      <c r="AX133" s="39"/>
      <c r="AY133" s="39"/>
      <c r="AZ133" s="39"/>
      <c r="BA133" s="39">
        <f t="shared" si="66"/>
        <v>0</v>
      </c>
      <c r="BB133" s="35"/>
      <c r="BC133" s="55"/>
      <c r="BD133" s="55"/>
      <c r="BE133" s="35"/>
      <c r="BF133" s="55"/>
    </row>
    <row r="134" spans="1:58" ht="12.95" customHeight="1">
      <c r="A134" s="42"/>
      <c r="B134" s="540"/>
      <c r="C134" s="447"/>
      <c r="D134" s="43"/>
      <c r="E134" s="255"/>
      <c r="F134" s="44"/>
      <c r="G134" s="45"/>
      <c r="H134" s="46"/>
      <c r="I134" s="47"/>
      <c r="J134" s="88"/>
      <c r="K134" s="88"/>
      <c r="L134" s="37"/>
      <c r="M134" s="37"/>
      <c r="N134" s="48"/>
      <c r="O134" s="49"/>
      <c r="P134" s="50"/>
      <c r="Q134" s="348"/>
      <c r="R134" s="52"/>
      <c r="S134" s="52"/>
      <c r="T134" s="39"/>
      <c r="U134" s="39"/>
      <c r="V134" s="39"/>
      <c r="W134" s="35"/>
      <c r="X134" s="40"/>
      <c r="Y134" s="40"/>
      <c r="Z134" s="35"/>
      <c r="AA134" s="51"/>
      <c r="AB134" s="51"/>
      <c r="AC134" s="39"/>
      <c r="AD134" s="39"/>
      <c r="AE134" s="22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5"/>
      <c r="BC134" s="53"/>
      <c r="BD134" s="53"/>
      <c r="BE134" s="53"/>
      <c r="BF134" s="53"/>
    </row>
    <row r="135" spans="1:58" ht="12.95" customHeight="1">
      <c r="A135" s="42">
        <v>45988</v>
      </c>
      <c r="B135" s="43" t="s">
        <v>517</v>
      </c>
      <c r="C135" s="447">
        <f>(M135*E135*O135*Q135)/100000000</f>
        <v>33.78503997473684</v>
      </c>
      <c r="D135" s="43" t="s">
        <v>489</v>
      </c>
      <c r="E135" s="44">
        <v>10.3</v>
      </c>
      <c r="F135" s="44">
        <v>1</v>
      </c>
      <c r="G135" s="459">
        <v>1730</v>
      </c>
      <c r="H135" s="46">
        <v>0.16</v>
      </c>
      <c r="I135" s="47">
        <v>0.88</v>
      </c>
      <c r="J135" s="88">
        <f>E135*G135*(1-H135)*1440/1000000*2.77</f>
        <v>59.704198847999997</v>
      </c>
      <c r="K135" s="88">
        <f>(IF(G135&lt;L135,L135,G135)*(1-IF(H135&lt;N135,H135,N135))*E135*O135*Q135)/100000000</f>
        <v>36.079085898947369</v>
      </c>
      <c r="L135" s="37">
        <v>1620</v>
      </c>
      <c r="M135" s="37">
        <v>1360.8</v>
      </c>
      <c r="N135" s="48">
        <f>1-(M135/L135)</f>
        <v>0.16000000000000003</v>
      </c>
      <c r="O135" s="49">
        <f>+'Trim Rwd'!H101</f>
        <v>267.82456140350877</v>
      </c>
      <c r="P135" s="50">
        <f>O135*(Q135-R135-S135)</f>
        <v>235685.61403508772</v>
      </c>
      <c r="Q135" s="49">
        <v>900</v>
      </c>
      <c r="R135" s="417">
        <v>0</v>
      </c>
      <c r="S135" s="417">
        <v>20</v>
      </c>
      <c r="T135" s="39">
        <f>E135*M135*O135*Q135/100000000</f>
        <v>33.78503997473684</v>
      </c>
      <c r="U135" s="39">
        <f>E135*M135*O135*(Q135-R135-S135)/100000000</f>
        <v>33.034261308631578</v>
      </c>
      <c r="V135" s="39">
        <f>E135*G135*(1-N135)*O135/100*(R135+S135)/1000000</f>
        <v>0.80175746442105256</v>
      </c>
      <c r="W135" s="39">
        <f>+'27'!K13/1000</f>
        <v>45.076000000000001</v>
      </c>
      <c r="X135" s="414">
        <f>SUM(W135:W138)/SUM(K135:K138)</f>
        <v>1.0425622476570926</v>
      </c>
      <c r="Y135" s="220">
        <v>0</v>
      </c>
      <c r="Z135" s="39">
        <f>+'27'!D7/1000</f>
        <v>0.76</v>
      </c>
      <c r="AA135" s="51">
        <f>SUM(U135:U138)-SUM(W135:W138)-SUM(Z135:Z138)-SUM(Y135:Y138)</f>
        <v>-7.930551491368421</v>
      </c>
      <c r="AB135" s="51">
        <f>(SUM(K135:K138)-SUM(W135:W138)-SUM(Y135:Y138)-SUM(Z135:Z138)-SUM(AC135:AC138)-SUM(V135:V138))-AA135</f>
        <v>-8.1621998315789313E-2</v>
      </c>
      <c r="AC135" s="39">
        <f>K135-T135</f>
        <v>2.2940459242105291</v>
      </c>
      <c r="AD135" s="39">
        <f t="shared" ref="AD135:AD138" si="67">+AM135+BA135</f>
        <v>0</v>
      </c>
      <c r="AE135" s="238" t="s">
        <v>434</v>
      </c>
      <c r="AF135" s="39">
        <v>0</v>
      </c>
      <c r="AG135" s="39"/>
      <c r="AH135" s="39"/>
      <c r="AI135" s="455"/>
      <c r="AJ135" s="39"/>
      <c r="AK135" s="39"/>
      <c r="AL135" s="39"/>
      <c r="AM135" s="39">
        <f t="shared" ref="AM135:AM138" si="68">SUM(AF135:AL135)+AT135+AV135+AX135</f>
        <v>0</v>
      </c>
      <c r="AN135" s="39"/>
      <c r="AO135" s="39"/>
      <c r="AP135" s="39"/>
      <c r="AQ135" s="39"/>
      <c r="AR135" s="39">
        <f t="shared" ref="AR135:AR138" si="69">SUM(AN135:AQ135)</f>
        <v>0</v>
      </c>
      <c r="AS135" s="39"/>
      <c r="AT135" s="39"/>
      <c r="AU135" s="39"/>
      <c r="AV135" s="39"/>
      <c r="AW135" s="39"/>
      <c r="AX135" s="39"/>
      <c r="AY135" s="39"/>
      <c r="AZ135" s="39"/>
      <c r="BA135" s="39">
        <f t="shared" ref="BA135:BA138" si="70">+AR135+AS135+AU135+AW135+AY135+AZ135</f>
        <v>0</v>
      </c>
      <c r="BB135" s="35">
        <v>0</v>
      </c>
      <c r="BC135" s="53"/>
      <c r="BD135" s="53"/>
      <c r="BE135" s="35"/>
      <c r="BF135" s="53"/>
    </row>
    <row r="136" spans="1:58" ht="12.95" customHeight="1">
      <c r="A136" s="343"/>
      <c r="B136" s="43" t="s">
        <v>517</v>
      </c>
      <c r="C136" s="447">
        <f>(M136*E136*O136*Q136)/100000000</f>
        <v>20.942712000000004</v>
      </c>
      <c r="D136" s="43" t="s">
        <v>489</v>
      </c>
      <c r="E136" s="44">
        <v>12</v>
      </c>
      <c r="F136" s="44">
        <v>1</v>
      </c>
      <c r="G136" s="459">
        <v>1700</v>
      </c>
      <c r="H136" s="46">
        <v>0.24</v>
      </c>
      <c r="I136" s="47">
        <v>0.88</v>
      </c>
      <c r="J136" s="88">
        <f>E136*G136*(1-H136)*1440/1000000*2.77</f>
        <v>61.8423552</v>
      </c>
      <c r="K136" s="88">
        <f>(IF(G136&lt;L136,L136,G136)*(1-IF(H136&lt;N136,H136,N136))*E136*O136*Q136)/100000000</f>
        <v>21.97692</v>
      </c>
      <c r="L136" s="37">
        <v>1620</v>
      </c>
      <c r="M136" s="37">
        <f>+L136-L136*0.24</f>
        <v>1231.2</v>
      </c>
      <c r="N136" s="48">
        <f>1-(M136/L136)</f>
        <v>0.24</v>
      </c>
      <c r="O136" s="49">
        <f>+'Trim Rwd'!H104</f>
        <v>262.5</v>
      </c>
      <c r="P136" s="50">
        <f>O136*(Q136-R136-S136)</f>
        <v>137550</v>
      </c>
      <c r="Q136" s="49">
        <v>540</v>
      </c>
      <c r="R136" s="417">
        <v>0</v>
      </c>
      <c r="S136" s="417">
        <v>16</v>
      </c>
      <c r="T136" s="39">
        <f>E136*M136*O136*Q136/100000000</f>
        <v>20.942712000000004</v>
      </c>
      <c r="U136" s="39">
        <f>E136*M136*O136*(Q136-R136-S136)/100000000</f>
        <v>20.322187200000002</v>
      </c>
      <c r="V136" s="39">
        <f>E136*G136*(1-N136)*O136/100*(R136+S136)/1000000</f>
        <v>0.65116799999999997</v>
      </c>
      <c r="W136" s="39">
        <f>+'27'!K14/1000</f>
        <v>15.451000000000001</v>
      </c>
      <c r="X136" s="40"/>
      <c r="Y136" s="220"/>
      <c r="Z136" s="39"/>
      <c r="AA136" s="39"/>
      <c r="AB136" s="39"/>
      <c r="AC136" s="39">
        <f>K136-T136</f>
        <v>1.034207999999996</v>
      </c>
      <c r="AD136" s="39">
        <f t="shared" si="67"/>
        <v>12</v>
      </c>
      <c r="AE136" s="238" t="s">
        <v>782</v>
      </c>
      <c r="AF136" s="39"/>
      <c r="AG136" s="39">
        <v>12</v>
      </c>
      <c r="AH136" s="39"/>
      <c r="AI136" s="455"/>
      <c r="AJ136" s="39"/>
      <c r="AK136" s="39"/>
      <c r="AL136" s="39"/>
      <c r="AM136" s="39">
        <f t="shared" si="68"/>
        <v>12</v>
      </c>
      <c r="AN136" s="89"/>
      <c r="AO136" s="39"/>
      <c r="AP136" s="39"/>
      <c r="AQ136" s="39"/>
      <c r="AR136" s="39">
        <f t="shared" si="69"/>
        <v>0</v>
      </c>
      <c r="AS136" s="39"/>
      <c r="AT136" s="39"/>
      <c r="AU136" s="39"/>
      <c r="AV136" s="39"/>
      <c r="AW136" s="39"/>
      <c r="AX136" s="39"/>
      <c r="AY136" s="39"/>
      <c r="AZ136" s="39"/>
      <c r="BA136" s="39">
        <f t="shared" si="70"/>
        <v>0</v>
      </c>
      <c r="BB136" s="52"/>
      <c r="BC136" s="53">
        <v>13</v>
      </c>
      <c r="BD136" s="53"/>
      <c r="BE136" s="52"/>
      <c r="BF136" s="53"/>
    </row>
    <row r="137" spans="1:58" ht="12.95" customHeight="1">
      <c r="A137" s="42"/>
      <c r="B137" s="43"/>
      <c r="C137" s="447"/>
      <c r="D137" s="43"/>
      <c r="E137" s="44"/>
      <c r="F137" s="44"/>
      <c r="G137" s="45"/>
      <c r="H137" s="46"/>
      <c r="I137" s="47"/>
      <c r="J137" s="88"/>
      <c r="K137" s="88"/>
      <c r="L137" s="37"/>
      <c r="M137" s="37"/>
      <c r="N137" s="48"/>
      <c r="O137" s="49"/>
      <c r="P137" s="50"/>
      <c r="Q137" s="49"/>
      <c r="R137" s="417"/>
      <c r="S137" s="417"/>
      <c r="T137" s="39"/>
      <c r="U137" s="39"/>
      <c r="V137" s="39"/>
      <c r="W137" s="39"/>
      <c r="X137" s="40"/>
      <c r="Y137" s="220"/>
      <c r="Z137" s="39"/>
      <c r="AA137" s="39"/>
      <c r="AB137" s="39"/>
      <c r="AC137" s="39"/>
      <c r="AD137" s="39">
        <f t="shared" si="67"/>
        <v>18</v>
      </c>
      <c r="AE137" s="238" t="s">
        <v>651</v>
      </c>
      <c r="AF137" s="35"/>
      <c r="AG137" s="35"/>
      <c r="AH137" s="35">
        <v>18</v>
      </c>
      <c r="AI137" s="455"/>
      <c r="AJ137" s="39"/>
      <c r="AK137" s="39"/>
      <c r="AL137" s="39"/>
      <c r="AM137" s="39">
        <f t="shared" si="68"/>
        <v>18</v>
      </c>
      <c r="AN137" s="39"/>
      <c r="AO137" s="39"/>
      <c r="AP137" s="39"/>
      <c r="AQ137" s="39"/>
      <c r="AR137" s="39">
        <f t="shared" si="69"/>
        <v>0</v>
      </c>
      <c r="AS137" s="39"/>
      <c r="AT137" s="39"/>
      <c r="AU137" s="39"/>
      <c r="AV137" s="39"/>
      <c r="AW137" s="39"/>
      <c r="AX137" s="39"/>
      <c r="AY137" s="39"/>
      <c r="AZ137" s="39"/>
      <c r="BA137" s="39">
        <f t="shared" si="70"/>
        <v>0</v>
      </c>
      <c r="BB137" s="35"/>
      <c r="BC137" s="55"/>
      <c r="BD137" s="55"/>
      <c r="BE137" s="35"/>
      <c r="BF137" s="55"/>
    </row>
    <row r="138" spans="1:58" ht="12.95" customHeight="1">
      <c r="A138" s="42"/>
      <c r="B138" s="540"/>
      <c r="C138" s="447"/>
      <c r="D138" s="43"/>
      <c r="E138" s="255"/>
      <c r="F138" s="44"/>
      <c r="G138" s="45"/>
      <c r="H138" s="46"/>
      <c r="I138" s="47"/>
      <c r="J138" s="88"/>
      <c r="K138" s="88"/>
      <c r="L138" s="37"/>
      <c r="M138" s="37"/>
      <c r="N138" s="48"/>
      <c r="O138" s="49"/>
      <c r="P138" s="50"/>
      <c r="Q138" s="348"/>
      <c r="R138" s="52"/>
      <c r="S138" s="52"/>
      <c r="T138" s="39"/>
      <c r="U138" s="39"/>
      <c r="V138" s="39"/>
      <c r="W138" s="35"/>
      <c r="X138" s="40"/>
      <c r="Y138" s="40"/>
      <c r="Z138" s="35"/>
      <c r="AA138" s="51"/>
      <c r="AB138" s="51"/>
      <c r="AC138" s="39"/>
      <c r="AD138" s="39">
        <f t="shared" si="67"/>
        <v>6</v>
      </c>
      <c r="AE138" s="241" t="s">
        <v>765</v>
      </c>
      <c r="AF138" s="39">
        <v>6</v>
      </c>
      <c r="AG138" s="39"/>
      <c r="AH138" s="39"/>
      <c r="AI138" s="39"/>
      <c r="AJ138" s="39"/>
      <c r="AK138" s="39"/>
      <c r="AL138" s="39"/>
      <c r="AM138" s="39">
        <f t="shared" si="68"/>
        <v>6</v>
      </c>
      <c r="AN138" s="39"/>
      <c r="AO138" s="39"/>
      <c r="AP138" s="39"/>
      <c r="AQ138" s="39"/>
      <c r="AR138" s="39">
        <f t="shared" si="69"/>
        <v>0</v>
      </c>
      <c r="AS138" s="39"/>
      <c r="AT138" s="39"/>
      <c r="AU138" s="39"/>
      <c r="AV138" s="39"/>
      <c r="AW138" s="39"/>
      <c r="AX138" s="39"/>
      <c r="AY138" s="39"/>
      <c r="AZ138" s="39"/>
      <c r="BA138" s="39">
        <f t="shared" si="70"/>
        <v>0</v>
      </c>
      <c r="BB138" s="35"/>
      <c r="BC138" s="55"/>
      <c r="BD138" s="55"/>
      <c r="BE138" s="35"/>
      <c r="BF138" s="55">
        <v>1</v>
      </c>
    </row>
    <row r="139" spans="1:58" ht="12.95" customHeight="1">
      <c r="A139" s="42"/>
      <c r="B139" s="540"/>
      <c r="C139" s="447"/>
      <c r="D139" s="43"/>
      <c r="E139" s="255"/>
      <c r="F139" s="44"/>
      <c r="G139" s="45"/>
      <c r="H139" s="46"/>
      <c r="I139" s="47"/>
      <c r="J139" s="88"/>
      <c r="K139" s="88"/>
      <c r="L139" s="37"/>
      <c r="M139" s="37"/>
      <c r="N139" s="48"/>
      <c r="O139" s="49"/>
      <c r="P139" s="50"/>
      <c r="Q139" s="348"/>
      <c r="R139" s="52"/>
      <c r="S139" s="52"/>
      <c r="T139" s="39"/>
      <c r="U139" s="39"/>
      <c r="V139" s="39"/>
      <c r="W139" s="35"/>
      <c r="X139" s="40"/>
      <c r="Y139" s="40"/>
      <c r="Z139" s="35"/>
      <c r="AA139" s="51"/>
      <c r="AB139" s="51"/>
      <c r="AC139" s="39"/>
      <c r="AD139" s="39"/>
      <c r="AE139" s="21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5"/>
      <c r="BC139" s="53"/>
      <c r="BD139" s="53"/>
      <c r="BE139" s="53"/>
      <c r="BF139" s="53"/>
    </row>
    <row r="140" spans="1:58" ht="12.95" customHeight="1">
      <c r="A140" s="42">
        <v>45989</v>
      </c>
      <c r="B140" s="43" t="s">
        <v>517</v>
      </c>
      <c r="C140" s="447">
        <f>(M140*E140*O140*Q140)/100000000</f>
        <v>55.157760000000003</v>
      </c>
      <c r="D140" s="43" t="s">
        <v>489</v>
      </c>
      <c r="E140" s="44">
        <v>12</v>
      </c>
      <c r="F140" s="44">
        <v>1</v>
      </c>
      <c r="G140" s="459">
        <v>1700</v>
      </c>
      <c r="H140" s="46">
        <v>0.24</v>
      </c>
      <c r="I140" s="47">
        <v>0.88</v>
      </c>
      <c r="J140" s="88">
        <f>E140*G140*(1-H140)*1440/1000000*2.77</f>
        <v>61.8423552</v>
      </c>
      <c r="K140" s="88">
        <f>(IF(G140&lt;L140,L140,G140)*(1-IF(H140&lt;N140,H140,N140))*E140*O140*Q140)/100000000</f>
        <v>58.605119999999999</v>
      </c>
      <c r="L140" s="37">
        <v>1600</v>
      </c>
      <c r="M140" s="37">
        <f>+L140-L140*0.24</f>
        <v>1216</v>
      </c>
      <c r="N140" s="48">
        <f>1-(M140/L140)</f>
        <v>0.24</v>
      </c>
      <c r="O140" s="49">
        <f>+'Trim Rwd'!H106</f>
        <v>262.5</v>
      </c>
      <c r="P140" s="50">
        <f>O140*(Q140-R140-S140)</f>
        <v>367237.5</v>
      </c>
      <c r="Q140" s="49">
        <v>1440</v>
      </c>
      <c r="R140" s="417">
        <v>0</v>
      </c>
      <c r="S140" s="417">
        <v>41</v>
      </c>
      <c r="T140" s="39">
        <f>E140*M140*O140*Q140/100000000</f>
        <v>55.157760000000003</v>
      </c>
      <c r="U140" s="39">
        <f>E140*M140*O140*(Q140-R140-S140)/100000000</f>
        <v>53.587296000000002</v>
      </c>
      <c r="V140" s="39">
        <f>E140*G140*(1-N140)*O140/100*(R140+S140)/1000000</f>
        <v>1.6686179999999999</v>
      </c>
      <c r="W140" s="39">
        <f>+'28'!K34/1000</f>
        <v>51.81</v>
      </c>
      <c r="X140" s="414">
        <f>SUM(W140:W143)/SUM(K140:K143)</f>
        <v>0.88405245138991273</v>
      </c>
      <c r="Y140" s="220">
        <f>+SUM(RBP!$AG$3:$AG$4)</f>
        <v>2.68</v>
      </c>
      <c r="Z140" s="39">
        <f>+'28'!D34/1000</f>
        <v>0.26400000000000001</v>
      </c>
      <c r="AA140" s="51">
        <f>SUM(U140:U143)-SUM(W140:W143)-SUM(Z140:Z143)-SUM(Y140:Y143)</f>
        <v>-1.1667040000000004</v>
      </c>
      <c r="AB140" s="51">
        <f>(SUM(K140:K143)-SUM(W140:W143)-SUM(Y140:Y143)-SUM(Z140:Z143)-SUM(AC140:AC143)-SUM(V140:V143))-AA140</f>
        <v>-9.815399999999852E-2</v>
      </c>
      <c r="AC140" s="39">
        <f>K140-T140</f>
        <v>3.4473599999999962</v>
      </c>
      <c r="AD140" s="39">
        <f t="shared" ref="AD140:AD142" si="71">+AM140+BA140</f>
        <v>0</v>
      </c>
      <c r="AE140" s="238" t="s">
        <v>434</v>
      </c>
      <c r="AF140" s="39">
        <v>0</v>
      </c>
      <c r="AG140" s="39"/>
      <c r="AH140" s="39"/>
      <c r="AI140" s="455"/>
      <c r="AJ140" s="39"/>
      <c r="AK140" s="39"/>
      <c r="AL140" s="39"/>
      <c r="AM140" s="39">
        <f t="shared" ref="AM140:AM142" si="72">SUM(AF140:AL140)+AT140+AV140+AX140</f>
        <v>0</v>
      </c>
      <c r="AN140" s="39"/>
      <c r="AO140" s="39"/>
      <c r="AP140" s="39"/>
      <c r="AQ140" s="39"/>
      <c r="AR140" s="39">
        <f t="shared" ref="AR140:AR142" si="73">SUM(AN140:AQ140)</f>
        <v>0</v>
      </c>
      <c r="AS140" s="39"/>
      <c r="AT140" s="39"/>
      <c r="AU140" s="39"/>
      <c r="AV140" s="39"/>
      <c r="AW140" s="39"/>
      <c r="AX140" s="39"/>
      <c r="AY140" s="39"/>
      <c r="AZ140" s="39"/>
      <c r="BA140" s="39">
        <f t="shared" ref="BA140:BA142" si="74">+AR140+AS140+AU140+AW140+AY140+AZ140</f>
        <v>0</v>
      </c>
      <c r="BB140" s="35">
        <v>0</v>
      </c>
      <c r="BC140" s="53"/>
      <c r="BD140" s="53"/>
      <c r="BE140" s="35"/>
      <c r="BF140" s="53"/>
    </row>
    <row r="141" spans="1:58" ht="12.95" customHeight="1">
      <c r="A141" s="343"/>
      <c r="B141" s="43"/>
      <c r="C141" s="447"/>
      <c r="D141" s="43"/>
      <c r="E141" s="44"/>
      <c r="F141" s="44"/>
      <c r="G141" s="459"/>
      <c r="H141" s="46"/>
      <c r="I141" s="47"/>
      <c r="J141" s="88"/>
      <c r="K141" s="88"/>
      <c r="L141" s="37"/>
      <c r="M141" s="37"/>
      <c r="N141" s="48"/>
      <c r="O141" s="49"/>
      <c r="P141" s="50"/>
      <c r="Q141" s="49"/>
      <c r="R141" s="417"/>
      <c r="S141" s="417"/>
      <c r="T141" s="39"/>
      <c r="U141" s="39"/>
      <c r="V141" s="39"/>
      <c r="W141" s="39"/>
      <c r="X141" s="40"/>
      <c r="Y141" s="220"/>
      <c r="Z141" s="39"/>
      <c r="AA141" s="39"/>
      <c r="AB141" s="39"/>
      <c r="AC141" s="39"/>
      <c r="AD141" s="39">
        <f t="shared" si="71"/>
        <v>15</v>
      </c>
      <c r="AE141" s="238" t="s">
        <v>593</v>
      </c>
      <c r="AF141" s="39"/>
      <c r="AG141" s="39">
        <v>15</v>
      </c>
      <c r="AH141" s="39"/>
      <c r="AI141" s="455"/>
      <c r="AJ141" s="39"/>
      <c r="AK141" s="39"/>
      <c r="AL141" s="39"/>
      <c r="AM141" s="39">
        <f t="shared" si="72"/>
        <v>15</v>
      </c>
      <c r="AN141" s="89"/>
      <c r="AO141" s="39"/>
      <c r="AP141" s="39"/>
      <c r="AQ141" s="39"/>
      <c r="AR141" s="39">
        <f t="shared" si="73"/>
        <v>0</v>
      </c>
      <c r="AS141" s="39"/>
      <c r="AT141" s="39"/>
      <c r="AU141" s="39"/>
      <c r="AV141" s="39"/>
      <c r="AW141" s="39"/>
      <c r="AX141" s="39"/>
      <c r="AY141" s="39"/>
      <c r="AZ141" s="39"/>
      <c r="BA141" s="39">
        <f t="shared" si="74"/>
        <v>0</v>
      </c>
      <c r="BB141" s="52"/>
      <c r="BC141" s="53">
        <v>10</v>
      </c>
      <c r="BD141" s="53"/>
      <c r="BE141" s="52"/>
      <c r="BF141" s="53"/>
    </row>
    <row r="142" spans="1:58" ht="12.95" customHeight="1">
      <c r="A142" s="42"/>
      <c r="B142" s="43"/>
      <c r="C142" s="447"/>
      <c r="D142" s="43"/>
      <c r="E142" s="44"/>
      <c r="F142" s="44"/>
      <c r="G142" s="45"/>
      <c r="H142" s="46"/>
      <c r="I142" s="47"/>
      <c r="J142" s="88"/>
      <c r="K142" s="88"/>
      <c r="L142" s="37"/>
      <c r="M142" s="37"/>
      <c r="N142" s="48"/>
      <c r="O142" s="49"/>
      <c r="P142" s="50"/>
      <c r="Q142" s="49"/>
      <c r="R142" s="417"/>
      <c r="S142" s="417"/>
      <c r="T142" s="39"/>
      <c r="U142" s="39"/>
      <c r="V142" s="39"/>
      <c r="W142" s="39"/>
      <c r="X142" s="40"/>
      <c r="Y142" s="220"/>
      <c r="Z142" s="39"/>
      <c r="AA142" s="39"/>
      <c r="AB142" s="39"/>
      <c r="AC142" s="39"/>
      <c r="AD142" s="39">
        <f t="shared" si="71"/>
        <v>26</v>
      </c>
      <c r="AE142" s="238" t="s">
        <v>466</v>
      </c>
      <c r="AF142" s="35"/>
      <c r="AG142" s="35"/>
      <c r="AH142" s="35">
        <v>26</v>
      </c>
      <c r="AI142" s="455"/>
      <c r="AJ142" s="39"/>
      <c r="AK142" s="39"/>
      <c r="AL142" s="39"/>
      <c r="AM142" s="39">
        <f t="shared" si="72"/>
        <v>26</v>
      </c>
      <c r="AN142" s="39"/>
      <c r="AO142" s="39"/>
      <c r="AP142" s="39"/>
      <c r="AQ142" s="39"/>
      <c r="AR142" s="39">
        <f t="shared" si="73"/>
        <v>0</v>
      </c>
      <c r="AS142" s="39"/>
      <c r="AT142" s="39"/>
      <c r="AU142" s="39"/>
      <c r="AV142" s="39"/>
      <c r="AW142" s="39"/>
      <c r="AX142" s="39"/>
      <c r="AY142" s="39"/>
      <c r="AZ142" s="39"/>
      <c r="BA142" s="39">
        <f t="shared" si="74"/>
        <v>0</v>
      </c>
      <c r="BB142" s="35"/>
      <c r="BC142" s="55"/>
      <c r="BD142" s="55"/>
      <c r="BE142" s="35"/>
      <c r="BF142" s="55"/>
    </row>
    <row r="143" spans="1:58" ht="12.95" customHeight="1">
      <c r="A143" s="42"/>
      <c r="B143" s="540"/>
      <c r="C143" s="447"/>
      <c r="D143" s="43"/>
      <c r="E143" s="255"/>
      <c r="F143" s="44"/>
      <c r="G143" s="45"/>
      <c r="H143" s="46"/>
      <c r="I143" s="47"/>
      <c r="J143" s="88"/>
      <c r="K143" s="88"/>
      <c r="L143" s="37"/>
      <c r="M143" s="37"/>
      <c r="N143" s="48"/>
      <c r="O143" s="49"/>
      <c r="P143" s="50"/>
      <c r="Q143" s="348"/>
      <c r="R143" s="52"/>
      <c r="S143" s="52"/>
      <c r="T143" s="39"/>
      <c r="U143" s="39"/>
      <c r="V143" s="39"/>
      <c r="W143" s="35"/>
      <c r="X143" s="40"/>
      <c r="Y143" s="40"/>
      <c r="Z143" s="35"/>
      <c r="AA143" s="51"/>
      <c r="AB143" s="51"/>
      <c r="AC143" s="39"/>
      <c r="AD143" s="39"/>
      <c r="AE143" s="21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5"/>
      <c r="BC143" s="53"/>
      <c r="BD143" s="53"/>
      <c r="BE143" s="53"/>
      <c r="BF143" s="53"/>
    </row>
    <row r="144" spans="1:58" ht="12.95" customHeight="1">
      <c r="A144" s="42">
        <v>45990</v>
      </c>
      <c r="B144" s="43" t="s">
        <v>517</v>
      </c>
      <c r="C144" s="447">
        <f>(M144*E144*O144*Q144)/100000000</f>
        <v>56.313446399999997</v>
      </c>
      <c r="D144" s="43" t="s">
        <v>489</v>
      </c>
      <c r="E144" s="44">
        <v>12</v>
      </c>
      <c r="F144" s="44">
        <v>1</v>
      </c>
      <c r="G144" s="459">
        <v>1700</v>
      </c>
      <c r="H144" s="46">
        <v>0.24</v>
      </c>
      <c r="I144" s="47">
        <v>0.88</v>
      </c>
      <c r="J144" s="88">
        <f>E144*G144*(1-H144)*1440/1000000*2.77</f>
        <v>61.8423552</v>
      </c>
      <c r="K144" s="88">
        <f>(IF(G144&lt;L144,L144,G144)*(1-IF(H144&lt;N144,H144,N144))*E144*O144*Q144)/100000000</f>
        <v>59.833036800000002</v>
      </c>
      <c r="L144" s="37">
        <v>1600</v>
      </c>
      <c r="M144" s="37">
        <f>+L144-L144*0.24</f>
        <v>1216</v>
      </c>
      <c r="N144" s="48">
        <f>1-(M144/L144)</f>
        <v>0.24</v>
      </c>
      <c r="O144" s="49">
        <f>+'Trim Rwd'!H110</f>
        <v>268</v>
      </c>
      <c r="P144" s="50">
        <f>O144*(Q144-R144-S144)</f>
        <v>374932</v>
      </c>
      <c r="Q144" s="49">
        <v>1440</v>
      </c>
      <c r="R144" s="417">
        <v>0</v>
      </c>
      <c r="S144" s="417">
        <v>41</v>
      </c>
      <c r="T144" s="39">
        <f>E144*M144*O144*Q144/100000000</f>
        <v>56.313446399999997</v>
      </c>
      <c r="U144" s="39">
        <f>E144*M144*O144*(Q144-R144-S144)/100000000</f>
        <v>54.710077439999999</v>
      </c>
      <c r="V144" s="39">
        <f>E144*G144*(1-N144)*O144/100*(R144+S144)/1000000</f>
        <v>1.7035795200000001</v>
      </c>
      <c r="W144" s="39">
        <f>+'29'!K34/1000</f>
        <v>55.331000000000003</v>
      </c>
      <c r="X144" s="414">
        <f>SUM(W144:W147)/SUM(K144:K147)</f>
        <v>0.92475667222025415</v>
      </c>
      <c r="Y144" s="220">
        <v>0</v>
      </c>
      <c r="Z144" s="39">
        <v>0</v>
      </c>
      <c r="AA144" s="51">
        <f>SUM(U144:U147)-SUM(W144:W147)-SUM(Z144:Z147)-SUM(Y144:Y147)</f>
        <v>-0.6209225600000039</v>
      </c>
      <c r="AB144" s="51">
        <f>(SUM(K144:K147)-SUM(W144:W147)-SUM(Y144:Y147)-SUM(Z144:Z147)-SUM(AC144:AC147)-SUM(V144:V147))-AA144</f>
        <v>-0.10021056000000272</v>
      </c>
      <c r="AC144" s="39">
        <f>K144-T144</f>
        <v>3.5195904000000056</v>
      </c>
      <c r="AD144" s="39">
        <f t="shared" ref="AD144:AD146" si="75">+AM144+BA144</f>
        <v>0</v>
      </c>
      <c r="AE144" s="238" t="s">
        <v>434</v>
      </c>
      <c r="AF144" s="39">
        <v>0</v>
      </c>
      <c r="AG144" s="39"/>
      <c r="AH144" s="39"/>
      <c r="AI144" s="455"/>
      <c r="AJ144" s="39"/>
      <c r="AK144" s="39"/>
      <c r="AL144" s="39"/>
      <c r="AM144" s="39">
        <f t="shared" ref="AM144:AM146" si="76">SUM(AF144:AL144)+AT144+AV144+AX144</f>
        <v>0</v>
      </c>
      <c r="AN144" s="39"/>
      <c r="AO144" s="39"/>
      <c r="AP144" s="39"/>
      <c r="AQ144" s="39"/>
      <c r="AR144" s="39">
        <f t="shared" ref="AR144:AR146" si="77">SUM(AN144:AQ144)</f>
        <v>0</v>
      </c>
      <c r="AS144" s="39"/>
      <c r="AT144" s="39"/>
      <c r="AU144" s="39"/>
      <c r="AV144" s="39"/>
      <c r="AW144" s="39"/>
      <c r="AX144" s="39"/>
      <c r="AY144" s="39"/>
      <c r="AZ144" s="39"/>
      <c r="BA144" s="39">
        <f t="shared" ref="BA144:BA146" si="78">+AR144+AS144+AU144+AW144+AY144+AZ144</f>
        <v>0</v>
      </c>
      <c r="BB144" s="35">
        <v>0</v>
      </c>
      <c r="BC144" s="53"/>
      <c r="BD144" s="53"/>
      <c r="BE144" s="35"/>
      <c r="BF144" s="53"/>
    </row>
    <row r="145" spans="1:58" ht="12.95" customHeight="1">
      <c r="A145" s="343"/>
      <c r="B145" s="43"/>
      <c r="C145" s="447"/>
      <c r="D145" s="43"/>
      <c r="E145" s="44"/>
      <c r="F145" s="44"/>
      <c r="G145" s="459"/>
      <c r="H145" s="46"/>
      <c r="I145" s="47"/>
      <c r="J145" s="88"/>
      <c r="K145" s="88"/>
      <c r="L145" s="37"/>
      <c r="M145" s="37"/>
      <c r="N145" s="48"/>
      <c r="O145" s="49"/>
      <c r="P145" s="50"/>
      <c r="Q145" s="49"/>
      <c r="R145" s="417"/>
      <c r="S145" s="417"/>
      <c r="T145" s="39"/>
      <c r="U145" s="39"/>
      <c r="V145" s="39"/>
      <c r="W145" s="39"/>
      <c r="X145" s="40"/>
      <c r="Y145" s="220"/>
      <c r="Z145" s="39"/>
      <c r="AA145" s="39"/>
      <c r="AB145" s="39"/>
      <c r="AC145" s="39"/>
      <c r="AD145" s="39">
        <f t="shared" si="75"/>
        <v>11</v>
      </c>
      <c r="AE145" s="238" t="s">
        <v>593</v>
      </c>
      <c r="AF145" s="39"/>
      <c r="AG145" s="39">
        <v>11</v>
      </c>
      <c r="AH145" s="39"/>
      <c r="AI145" s="455"/>
      <c r="AJ145" s="39"/>
      <c r="AK145" s="39"/>
      <c r="AL145" s="39"/>
      <c r="AM145" s="39">
        <f t="shared" si="76"/>
        <v>11</v>
      </c>
      <c r="AN145" s="89"/>
      <c r="AO145" s="39"/>
      <c r="AP145" s="39"/>
      <c r="AQ145" s="39"/>
      <c r="AR145" s="39">
        <f t="shared" si="77"/>
        <v>0</v>
      </c>
      <c r="AS145" s="39"/>
      <c r="AT145" s="39"/>
      <c r="AU145" s="39"/>
      <c r="AV145" s="39"/>
      <c r="AW145" s="39"/>
      <c r="AX145" s="39"/>
      <c r="AY145" s="39"/>
      <c r="AZ145" s="39"/>
      <c r="BA145" s="39">
        <f t="shared" si="78"/>
        <v>0</v>
      </c>
      <c r="BB145" s="52"/>
      <c r="BC145" s="53">
        <v>10</v>
      </c>
      <c r="BD145" s="53"/>
      <c r="BE145" s="52"/>
      <c r="BF145" s="53"/>
    </row>
    <row r="146" spans="1:58" ht="12.95" customHeight="1">
      <c r="A146" s="42"/>
      <c r="B146" s="43"/>
      <c r="C146" s="447"/>
      <c r="D146" s="43"/>
      <c r="E146" s="44"/>
      <c r="F146" s="44"/>
      <c r="G146" s="45"/>
      <c r="H146" s="46"/>
      <c r="I146" s="47"/>
      <c r="J146" s="88"/>
      <c r="K146" s="88"/>
      <c r="L146" s="37"/>
      <c r="M146" s="37"/>
      <c r="N146" s="48"/>
      <c r="O146" s="49"/>
      <c r="P146" s="50"/>
      <c r="Q146" s="49"/>
      <c r="R146" s="417"/>
      <c r="S146" s="417"/>
      <c r="T146" s="39"/>
      <c r="U146" s="39"/>
      <c r="V146" s="39"/>
      <c r="W146" s="39"/>
      <c r="X146" s="40"/>
      <c r="Y146" s="220"/>
      <c r="Z146" s="39"/>
      <c r="AA146" s="39"/>
      <c r="AB146" s="39"/>
      <c r="AC146" s="39"/>
      <c r="AD146" s="39">
        <f t="shared" si="75"/>
        <v>30</v>
      </c>
      <c r="AE146" s="238" t="s">
        <v>548</v>
      </c>
      <c r="AF146" s="35"/>
      <c r="AG146" s="35"/>
      <c r="AH146" s="35">
        <v>30</v>
      </c>
      <c r="AI146" s="455"/>
      <c r="AJ146" s="39"/>
      <c r="AK146" s="39"/>
      <c r="AL146" s="39"/>
      <c r="AM146" s="39">
        <f t="shared" si="76"/>
        <v>30</v>
      </c>
      <c r="AN146" s="39"/>
      <c r="AO146" s="39"/>
      <c r="AP146" s="39"/>
      <c r="AQ146" s="39"/>
      <c r="AR146" s="39">
        <f t="shared" si="77"/>
        <v>0</v>
      </c>
      <c r="AS146" s="39"/>
      <c r="AT146" s="39"/>
      <c r="AU146" s="39"/>
      <c r="AV146" s="39"/>
      <c r="AW146" s="39"/>
      <c r="AX146" s="39"/>
      <c r="AY146" s="39"/>
      <c r="AZ146" s="39"/>
      <c r="BA146" s="39">
        <f t="shared" si="78"/>
        <v>0</v>
      </c>
      <c r="BB146" s="35"/>
      <c r="BC146" s="55"/>
      <c r="BD146" s="55"/>
      <c r="BE146" s="35"/>
      <c r="BF146" s="55"/>
    </row>
    <row r="147" spans="1:58" ht="12.95" customHeight="1">
      <c r="A147" s="42"/>
      <c r="B147" s="540"/>
      <c r="C147" s="447"/>
      <c r="D147" s="43"/>
      <c r="E147" s="255"/>
      <c r="F147" s="44"/>
      <c r="G147" s="45"/>
      <c r="H147" s="46"/>
      <c r="I147" s="47"/>
      <c r="J147" s="88"/>
      <c r="K147" s="88"/>
      <c r="L147" s="37"/>
      <c r="M147" s="37"/>
      <c r="N147" s="48"/>
      <c r="O147" s="49"/>
      <c r="P147" s="50"/>
      <c r="Q147" s="348"/>
      <c r="R147" s="52"/>
      <c r="S147" s="52"/>
      <c r="T147" s="39"/>
      <c r="U147" s="39"/>
      <c r="V147" s="39"/>
      <c r="W147" s="35"/>
      <c r="X147" s="40"/>
      <c r="Y147" s="40"/>
      <c r="Z147" s="35"/>
      <c r="AA147" s="51"/>
      <c r="AB147" s="51"/>
      <c r="AC147" s="39"/>
      <c r="AD147" s="39"/>
      <c r="AE147" s="21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5"/>
      <c r="BC147" s="53"/>
      <c r="BD147" s="53"/>
      <c r="BE147" s="53"/>
      <c r="BF147" s="53"/>
    </row>
    <row r="148" spans="1:58" ht="12.95" customHeight="1">
      <c r="A148" s="42">
        <v>45991</v>
      </c>
      <c r="B148" s="43" t="s">
        <v>517</v>
      </c>
      <c r="C148" s="447">
        <f>(M148*E148*O148*Q148)/100000000</f>
        <v>32.771297279999999</v>
      </c>
      <c r="D148" s="43" t="s">
        <v>489</v>
      </c>
      <c r="E148" s="44">
        <v>12</v>
      </c>
      <c r="F148" s="44">
        <v>1</v>
      </c>
      <c r="G148" s="459">
        <v>1700</v>
      </c>
      <c r="H148" s="46">
        <v>0.24</v>
      </c>
      <c r="I148" s="47">
        <v>0.88</v>
      </c>
      <c r="J148" s="88">
        <f>E148*G148*(1-H148)*1440/1000000*2.77</f>
        <v>61.8423552</v>
      </c>
      <c r="K148" s="88">
        <f>(IF(G148&lt;L148,L148,G148)*(1-IF(H148&lt;N148,H148,N148))*E148*O148*Q148)/100000000</f>
        <v>34.819503359999999</v>
      </c>
      <c r="L148" s="37">
        <v>1600</v>
      </c>
      <c r="M148" s="37">
        <f>+L148-L148*0.24</f>
        <v>1216</v>
      </c>
      <c r="N148" s="48">
        <f>1-(M148/L148)</f>
        <v>0.24</v>
      </c>
      <c r="O148" s="49">
        <f>+'Trim Rwd'!H110</f>
        <v>268</v>
      </c>
      <c r="P148" s="50">
        <f>O148*(Q148-R148-S148)</f>
        <v>218688</v>
      </c>
      <c r="Q148" s="49">
        <v>838</v>
      </c>
      <c r="R148" s="417">
        <v>0</v>
      </c>
      <c r="S148" s="417">
        <v>22</v>
      </c>
      <c r="T148" s="39">
        <f>E148*M148*O148*Q148/100000000</f>
        <v>32.771297279999999</v>
      </c>
      <c r="U148" s="39">
        <f>E148*M148*O148*(Q148-R148-S148)/100000000</f>
        <v>31.910952959999999</v>
      </c>
      <c r="V148" s="39">
        <f>E148*G148*(1-N148)*O148/100*(R148+S148)/1000000</f>
        <v>0.91411584000000012</v>
      </c>
      <c r="W148" s="39">
        <f>+'30'!K14/1000</f>
        <v>36.738</v>
      </c>
      <c r="X148" s="414">
        <f>SUM(W148:W151)/SUM(K148:K151)</f>
        <v>0.93511365399264468</v>
      </c>
      <c r="Y148" s="220">
        <f>+SUM(RBP!$AG$3:$AG$4)</f>
        <v>2.68</v>
      </c>
      <c r="Z148" s="39">
        <v>0</v>
      </c>
      <c r="AA148" s="51">
        <f>SUM(U148:U151)-SUM(W148:W151)-SUM(Z148:Z151)-SUM(Y148:Y151)</f>
        <v>-4.1027190400000038</v>
      </c>
      <c r="AB148" s="51">
        <f>(SUM(K148:K151)-SUM(W148:W151)-SUM(Y148:Y151)-SUM(Z148:Z151)-SUM(AC148:AC151)-SUM(V148:V151))-AA148</f>
        <v>-0.11245871999999668</v>
      </c>
      <c r="AC148" s="39">
        <f>K148-T148</f>
        <v>2.0482060799999999</v>
      </c>
      <c r="AD148" s="39">
        <f t="shared" ref="AD148:AD150" si="79">+AM148+BA148</f>
        <v>0</v>
      </c>
      <c r="AE148" s="238" t="s">
        <v>434</v>
      </c>
      <c r="AF148" s="39">
        <v>0</v>
      </c>
      <c r="AG148" s="39"/>
      <c r="AH148" s="39"/>
      <c r="AI148" s="455"/>
      <c r="AJ148" s="39"/>
      <c r="AK148" s="39"/>
      <c r="AL148" s="39"/>
      <c r="AM148" s="39">
        <f t="shared" ref="AM148:AM150" si="80">SUM(AF148:AL148)+AT148+AV148+AX148</f>
        <v>0</v>
      </c>
      <c r="AN148" s="39"/>
      <c r="AO148" s="39"/>
      <c r="AP148" s="39"/>
      <c r="AQ148" s="39"/>
      <c r="AR148" s="39">
        <f t="shared" ref="AR148:AR150" si="81">SUM(AN148:AQ148)</f>
        <v>0</v>
      </c>
      <c r="AS148" s="39"/>
      <c r="AT148" s="39"/>
      <c r="AU148" s="39"/>
      <c r="AV148" s="39"/>
      <c r="AW148" s="39"/>
      <c r="AX148" s="39"/>
      <c r="AY148" s="39"/>
      <c r="AZ148" s="39"/>
      <c r="BA148" s="39">
        <f t="shared" ref="BA148:BA150" si="82">+AR148+AS148+AU148+AW148+AY148+AZ148</f>
        <v>0</v>
      </c>
      <c r="BB148" s="35">
        <v>0</v>
      </c>
      <c r="BC148" s="53"/>
      <c r="BD148" s="53"/>
      <c r="BE148" s="35"/>
      <c r="BF148" s="53"/>
    </row>
    <row r="149" spans="1:58" ht="12.95" customHeight="1">
      <c r="A149" s="343"/>
      <c r="B149" s="43" t="s">
        <v>517</v>
      </c>
      <c r="C149" s="447">
        <f>(M149*E149*O149*Q149)/100000000</f>
        <v>25.694323199999999</v>
      </c>
      <c r="D149" s="43" t="s">
        <v>489</v>
      </c>
      <c r="E149" s="44">
        <v>13</v>
      </c>
      <c r="F149" s="44">
        <v>1</v>
      </c>
      <c r="G149" s="459">
        <v>1700</v>
      </c>
      <c r="H149" s="46">
        <v>0.24</v>
      </c>
      <c r="I149" s="47">
        <v>0.88</v>
      </c>
      <c r="J149" s="88">
        <f>E149*G149*(1-H149)*1440/1000000*2.77</f>
        <v>66.995884799999999</v>
      </c>
      <c r="K149" s="88">
        <f>(IF(G149&lt;L149,L149,G149)*(1-IF(H149&lt;N149,H149,N149))*E149*O149*Q149)/100000000</f>
        <v>27.300218399999999</v>
      </c>
      <c r="L149" s="37">
        <v>1600</v>
      </c>
      <c r="M149" s="37">
        <f>+L149-L149*0.24</f>
        <v>1216</v>
      </c>
      <c r="N149" s="48">
        <f>1-(M149/L149)</f>
        <v>0.24</v>
      </c>
      <c r="O149" s="49">
        <f>+'Trim Rwd'!H111</f>
        <v>270</v>
      </c>
      <c r="P149" s="50">
        <f>O149*(Q149-R149-S149)</f>
        <v>156600</v>
      </c>
      <c r="Q149" s="49">
        <v>602</v>
      </c>
      <c r="R149" s="417">
        <v>0</v>
      </c>
      <c r="S149" s="417">
        <v>22</v>
      </c>
      <c r="T149" s="39">
        <f>E149*M149*O149*Q149/100000000</f>
        <v>25.694323199999999</v>
      </c>
      <c r="U149" s="39">
        <f>E149*M149*O149*(Q149-R149-S149)/100000000</f>
        <v>24.755327999999999</v>
      </c>
      <c r="V149" s="39">
        <f>E149*G149*(1-N149)*O149/100*(R149+S149)/1000000</f>
        <v>0.99768239999999986</v>
      </c>
      <c r="W149" s="39">
        <f>+'30'!K15/1000</f>
        <v>21.350999999999999</v>
      </c>
      <c r="X149" s="40"/>
      <c r="Y149" s="220"/>
      <c r="Z149" s="39"/>
      <c r="AA149" s="39"/>
      <c r="AB149" s="39"/>
      <c r="AC149" s="39">
        <f>K149-T149</f>
        <v>1.6058951999999991</v>
      </c>
      <c r="AD149" s="39">
        <f t="shared" si="79"/>
        <v>18</v>
      </c>
      <c r="AE149" s="238" t="s">
        <v>605</v>
      </c>
      <c r="AF149" s="39"/>
      <c r="AG149" s="39">
        <v>18</v>
      </c>
      <c r="AH149" s="39"/>
      <c r="AI149" s="455"/>
      <c r="AJ149" s="39"/>
      <c r="AK149" s="39"/>
      <c r="AL149" s="39"/>
      <c r="AM149" s="39">
        <f t="shared" si="80"/>
        <v>18</v>
      </c>
      <c r="AN149" s="89"/>
      <c r="AO149" s="39"/>
      <c r="AP149" s="39"/>
      <c r="AQ149" s="39"/>
      <c r="AR149" s="39">
        <f t="shared" si="81"/>
        <v>0</v>
      </c>
      <c r="AS149" s="39"/>
      <c r="AT149" s="39"/>
      <c r="AU149" s="39"/>
      <c r="AV149" s="39"/>
      <c r="AW149" s="39"/>
      <c r="AX149" s="39"/>
      <c r="AY149" s="39"/>
      <c r="AZ149" s="39"/>
      <c r="BA149" s="39">
        <f t="shared" si="82"/>
        <v>0</v>
      </c>
      <c r="BB149" s="52"/>
      <c r="BC149" s="53">
        <v>9</v>
      </c>
      <c r="BD149" s="53"/>
      <c r="BE149" s="52"/>
      <c r="BF149" s="53"/>
    </row>
    <row r="150" spans="1:58" ht="12.95" customHeight="1">
      <c r="A150" s="42"/>
      <c r="B150" s="43"/>
      <c r="C150" s="447"/>
      <c r="D150" s="43"/>
      <c r="E150" s="44"/>
      <c r="F150" s="44"/>
      <c r="G150" s="45"/>
      <c r="H150" s="46"/>
      <c r="I150" s="47"/>
      <c r="J150" s="88"/>
      <c r="K150" s="88"/>
      <c r="L150" s="37"/>
      <c r="M150" s="37"/>
      <c r="N150" s="48"/>
      <c r="O150" s="49"/>
      <c r="P150" s="50"/>
      <c r="Q150" s="49"/>
      <c r="R150" s="417"/>
      <c r="S150" s="417"/>
      <c r="T150" s="39"/>
      <c r="U150" s="39"/>
      <c r="V150" s="39"/>
      <c r="W150" s="39"/>
      <c r="X150" s="40"/>
      <c r="Y150" s="220"/>
      <c r="Z150" s="39"/>
      <c r="AA150" s="39"/>
      <c r="AB150" s="39"/>
      <c r="AC150" s="39"/>
      <c r="AD150" s="39">
        <f t="shared" si="79"/>
        <v>26</v>
      </c>
      <c r="AE150" s="238" t="s">
        <v>444</v>
      </c>
      <c r="AF150" s="35"/>
      <c r="AG150" s="35"/>
      <c r="AH150" s="35">
        <v>26</v>
      </c>
      <c r="AI150" s="455"/>
      <c r="AJ150" s="39"/>
      <c r="AK150" s="39"/>
      <c r="AL150" s="39"/>
      <c r="AM150" s="39">
        <f t="shared" si="80"/>
        <v>26</v>
      </c>
      <c r="AN150" s="39"/>
      <c r="AO150" s="39"/>
      <c r="AP150" s="39"/>
      <c r="AQ150" s="39"/>
      <c r="AR150" s="39">
        <f t="shared" si="81"/>
        <v>0</v>
      </c>
      <c r="AS150" s="39"/>
      <c r="AT150" s="39"/>
      <c r="AU150" s="39"/>
      <c r="AV150" s="39"/>
      <c r="AW150" s="39"/>
      <c r="AX150" s="39"/>
      <c r="AY150" s="39"/>
      <c r="AZ150" s="39"/>
      <c r="BA150" s="39">
        <f t="shared" si="82"/>
        <v>0</v>
      </c>
      <c r="BB150" s="35"/>
      <c r="BC150" s="55"/>
      <c r="BD150" s="55"/>
      <c r="BE150" s="35"/>
      <c r="BF150" s="55"/>
    </row>
    <row r="151" spans="1:58" ht="12.95" customHeight="1">
      <c r="A151" s="343"/>
      <c r="B151" s="43"/>
      <c r="C151" s="447"/>
      <c r="D151" s="43"/>
      <c r="E151" s="44"/>
      <c r="F151" s="44"/>
      <c r="G151" s="45"/>
      <c r="H151" s="46"/>
      <c r="I151" s="47"/>
      <c r="J151" s="88"/>
      <c r="K151" s="88"/>
      <c r="L151" s="37"/>
      <c r="M151" s="37"/>
      <c r="N151" s="48"/>
      <c r="O151" s="49"/>
      <c r="P151" s="50"/>
      <c r="Q151" s="49"/>
      <c r="R151" s="417"/>
      <c r="S151" s="417"/>
      <c r="T151" s="39"/>
      <c r="U151" s="39"/>
      <c r="V151" s="39"/>
      <c r="W151" s="39"/>
      <c r="X151" s="40"/>
      <c r="Y151" s="220"/>
      <c r="Z151" s="39"/>
      <c r="AA151" s="39"/>
      <c r="AB151" s="39"/>
      <c r="AC151" s="39"/>
      <c r="AD151" s="39"/>
      <c r="AE151" s="574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5"/>
      <c r="BC151" s="53"/>
      <c r="BD151" s="53"/>
      <c r="BE151" s="53"/>
      <c r="BF151" s="53"/>
    </row>
    <row r="152" spans="1:58">
      <c r="R152" s="418"/>
      <c r="S152" s="418"/>
      <c r="AA152" s="256">
        <f>U152-W152-Z152</f>
        <v>0</v>
      </c>
      <c r="AB152" s="256"/>
      <c r="AC152" s="257">
        <f>K152-T152</f>
        <v>0</v>
      </c>
      <c r="AD152" s="39"/>
      <c r="AF152" s="54"/>
      <c r="AG152" s="54"/>
      <c r="AH152" s="54"/>
      <c r="AI152" s="54"/>
      <c r="AJ152" s="54"/>
      <c r="AK152" s="54"/>
      <c r="AL152" s="54"/>
      <c r="AM152" s="39">
        <f t="shared" ref="AM152" si="83">SUM(AF152:AL152)</f>
        <v>0</v>
      </c>
      <c r="AN152" s="54"/>
      <c r="AO152" s="54"/>
      <c r="AP152" s="54"/>
      <c r="AQ152" s="54"/>
      <c r="AR152" s="39">
        <f t="shared" ref="AR152" si="84">SUM(AN152:AQ152)</f>
        <v>0</v>
      </c>
      <c r="AS152" s="54"/>
      <c r="AT152" s="54"/>
      <c r="AU152" s="54"/>
      <c r="AV152" s="54"/>
      <c r="AW152" s="54"/>
      <c r="AX152" s="54"/>
      <c r="AY152" s="54"/>
      <c r="AZ152" s="54"/>
      <c r="BA152" s="39"/>
      <c r="BB152" s="69"/>
      <c r="BC152" s="69"/>
      <c r="BD152" s="53"/>
      <c r="BE152" s="53"/>
      <c r="BF152" s="53"/>
    </row>
    <row r="153" spans="1:58" s="29" customFormat="1" ht="12.95" customHeight="1">
      <c r="A153" s="62"/>
      <c r="B153" s="63"/>
      <c r="C153" s="448">
        <f>SUM(C6:C151)</f>
        <v>1766.6755171878315</v>
      </c>
      <c r="D153" s="63"/>
      <c r="E153" s="64"/>
      <c r="F153" s="64"/>
      <c r="G153" s="65"/>
      <c r="H153" s="65"/>
      <c r="I153" s="66">
        <v>0.85</v>
      </c>
      <c r="J153" s="88"/>
      <c r="K153" s="90">
        <f>SUM(K6:K151)</f>
        <v>1870.6123418817328</v>
      </c>
      <c r="L153" s="68"/>
      <c r="M153" s="68"/>
      <c r="N153" s="69"/>
      <c r="O153" s="70">
        <f>P153/(Q153-R153-S153)</f>
        <v>267.21724084657473</v>
      </c>
      <c r="P153" s="67">
        <f>SUM(P6:P151)</f>
        <v>10679337.030433359</v>
      </c>
      <c r="Q153" s="350">
        <f>SUM(Q6:Q152)</f>
        <v>43200</v>
      </c>
      <c r="R153" s="67">
        <f t="shared" ref="R153:W153" si="85">SUM(R6:R151)</f>
        <v>1306</v>
      </c>
      <c r="S153" s="67">
        <f t="shared" si="85"/>
        <v>1929</v>
      </c>
      <c r="T153" s="67">
        <f t="shared" si="85"/>
        <v>1766.6755171878315</v>
      </c>
      <c r="U153" s="67">
        <f t="shared" si="85"/>
        <v>1632.388881454531</v>
      </c>
      <c r="V153" s="375">
        <f t="shared" si="85"/>
        <v>142.39179415358439</v>
      </c>
      <c r="W153" s="458">
        <f t="shared" si="85"/>
        <v>1595.056</v>
      </c>
      <c r="X153" s="379">
        <f>W153/K153</f>
        <v>0.8526919042966763</v>
      </c>
      <c r="Y153" s="376">
        <f>SUM(Y6:Y151)</f>
        <v>5.36</v>
      </c>
      <c r="Z153" s="458">
        <f>SUM(Z6:Z151)</f>
        <v>20.072000000000003</v>
      </c>
      <c r="AA153" s="67">
        <f>SUM(AA6:AA151)</f>
        <v>11.900881454530779</v>
      </c>
      <c r="AB153" s="67">
        <f>SUM(AB6:AB151)</f>
        <v>-8.1051584202836402</v>
      </c>
      <c r="AC153" s="67">
        <f>SUM(AC6:AC151)</f>
        <v>103.93682469390146</v>
      </c>
      <c r="AD153" s="39">
        <f>SUM(AD6:AD152)</f>
        <v>3235</v>
      </c>
      <c r="AE153" s="71"/>
      <c r="AF153" s="67">
        <f t="shared" ref="AF153:BF153" si="86">SUM(AF6:AF152)</f>
        <v>499</v>
      </c>
      <c r="AG153" s="67">
        <f t="shared" si="86"/>
        <v>338</v>
      </c>
      <c r="AH153" s="67">
        <f t="shared" si="86"/>
        <v>736</v>
      </c>
      <c r="AI153" s="67">
        <f t="shared" si="86"/>
        <v>193</v>
      </c>
      <c r="AJ153" s="67">
        <f t="shared" si="86"/>
        <v>77</v>
      </c>
      <c r="AK153" s="67">
        <f t="shared" si="86"/>
        <v>86</v>
      </c>
      <c r="AL153" s="67">
        <f t="shared" si="86"/>
        <v>0</v>
      </c>
      <c r="AM153" s="67">
        <f t="shared" si="86"/>
        <v>1929</v>
      </c>
      <c r="AN153" s="54">
        <f t="shared" si="86"/>
        <v>350</v>
      </c>
      <c r="AO153" s="54">
        <f t="shared" si="86"/>
        <v>602</v>
      </c>
      <c r="AP153" s="54">
        <f t="shared" si="86"/>
        <v>80</v>
      </c>
      <c r="AQ153" s="54">
        <f t="shared" si="86"/>
        <v>0</v>
      </c>
      <c r="AR153" s="67">
        <f t="shared" si="86"/>
        <v>1032</v>
      </c>
      <c r="AS153" s="67">
        <f t="shared" si="86"/>
        <v>199</v>
      </c>
      <c r="AT153" s="67">
        <f t="shared" si="86"/>
        <v>0</v>
      </c>
      <c r="AU153" s="67">
        <f t="shared" si="86"/>
        <v>0</v>
      </c>
      <c r="AV153" s="67">
        <f t="shared" si="86"/>
        <v>0</v>
      </c>
      <c r="AW153" s="67">
        <f t="shared" si="86"/>
        <v>0</v>
      </c>
      <c r="AX153" s="67">
        <f t="shared" si="86"/>
        <v>0</v>
      </c>
      <c r="AY153" s="67">
        <f t="shared" si="86"/>
        <v>75</v>
      </c>
      <c r="AZ153" s="67">
        <f t="shared" si="86"/>
        <v>0</v>
      </c>
      <c r="BA153" s="67">
        <f t="shared" si="86"/>
        <v>1306</v>
      </c>
      <c r="BB153" s="54">
        <f t="shared" si="86"/>
        <v>104</v>
      </c>
      <c r="BC153" s="54">
        <f t="shared" si="86"/>
        <v>269</v>
      </c>
      <c r="BD153" s="54">
        <f t="shared" si="86"/>
        <v>0</v>
      </c>
      <c r="BE153" s="54">
        <f t="shared" si="86"/>
        <v>1</v>
      </c>
      <c r="BF153" s="54">
        <f t="shared" si="86"/>
        <v>1</v>
      </c>
    </row>
    <row r="154" spans="1:58" s="29" customFormat="1" ht="12.95" customHeight="1">
      <c r="A154" s="62"/>
      <c r="B154" s="63"/>
      <c r="C154" s="63"/>
      <c r="D154" s="63"/>
      <c r="E154" s="64"/>
      <c r="F154" s="64"/>
      <c r="G154" s="65"/>
      <c r="H154" s="65"/>
      <c r="I154" s="65"/>
      <c r="J154" s="91"/>
      <c r="K154" s="91"/>
      <c r="L154" s="68"/>
      <c r="M154" s="68"/>
      <c r="N154" s="69"/>
      <c r="O154" s="929"/>
      <c r="P154" s="930"/>
      <c r="Q154" s="65">
        <f>30*1440-Q153</f>
        <v>0</v>
      </c>
      <c r="R154" s="72">
        <f>R153/Q153</f>
        <v>3.0231481481481481E-2</v>
      </c>
      <c r="S154" s="72">
        <f>S153/Q153</f>
        <v>4.4652777777777777E-2</v>
      </c>
      <c r="T154" s="361"/>
      <c r="U154" s="361"/>
      <c r="V154" s="363">
        <f>V153/K153</f>
        <v>7.6120418413547997E-2</v>
      </c>
      <c r="W154" s="380" t="s">
        <v>173</v>
      </c>
      <c r="X154" s="381">
        <v>0.85</v>
      </c>
      <c r="Y154" s="377">
        <f>Y153/K153</f>
        <v>2.8653718784984257E-3</v>
      </c>
      <c r="Z154" s="73">
        <f>Z153/K153</f>
        <v>1.0730176183809777E-2</v>
      </c>
      <c r="AA154" s="73">
        <f>AA153/K153</f>
        <v>6.3620244494693905E-3</v>
      </c>
      <c r="AB154" s="73">
        <f>AB153/K153</f>
        <v>-4.3328904866148255E-3</v>
      </c>
      <c r="AC154" s="96">
        <f>AC153/K153</f>
        <v>5.5562995264613051E-2</v>
      </c>
      <c r="AD154" s="364"/>
      <c r="AE154" s="41"/>
      <c r="AF154" s="73">
        <f>AF153/$AD$153*$V$154</f>
        <v>1.1741603953125332E-2</v>
      </c>
      <c r="AG154" s="73">
        <f>AG153/$AD$153*$V$154</f>
        <v>7.9532307337802852E-3</v>
      </c>
      <c r="AH154" s="73">
        <f>AH153/$AD$153*$V$154</f>
        <v>1.7318277574148788E-2</v>
      </c>
      <c r="AI154" s="73">
        <f>AI153/$AD$153*$V$154</f>
        <v>4.5413418095254293E-3</v>
      </c>
      <c r="AJ154" s="73">
        <f t="shared" ref="AJ154:BA154" si="87">AJ153/$AD$153*$V$154</f>
        <v>1.8118306701215444E-3</v>
      </c>
      <c r="AK154" s="73">
        <f t="shared" si="87"/>
        <v>2.023603086109777E-3</v>
      </c>
      <c r="AL154" s="73">
        <f t="shared" si="87"/>
        <v>0</v>
      </c>
      <c r="AM154" s="73">
        <f t="shared" si="87"/>
        <v>4.5389887826811151E-2</v>
      </c>
      <c r="AN154" s="73">
        <f t="shared" si="87"/>
        <v>8.235593955097929E-3</v>
      </c>
      <c r="AO154" s="73">
        <f t="shared" si="87"/>
        <v>1.4165221602768438E-2</v>
      </c>
      <c r="AP154" s="73">
        <f t="shared" si="87"/>
        <v>1.8824214754509551E-3</v>
      </c>
      <c r="AQ154" s="73">
        <f t="shared" si="87"/>
        <v>0</v>
      </c>
      <c r="AR154" s="73">
        <f t="shared" si="87"/>
        <v>2.428323703331732E-2</v>
      </c>
      <c r="AS154" s="73">
        <f t="shared" si="87"/>
        <v>4.6825234201842503E-3</v>
      </c>
      <c r="AT154" s="73">
        <f t="shared" si="87"/>
        <v>0</v>
      </c>
      <c r="AU154" s="73">
        <f t="shared" si="87"/>
        <v>0</v>
      </c>
      <c r="AV154" s="73">
        <f>AV153/$AD$153*$V$154</f>
        <v>0</v>
      </c>
      <c r="AW154" s="73">
        <f>AW153/$AD$153*$V$154</f>
        <v>0</v>
      </c>
      <c r="AX154" s="73">
        <f>AX153/$AD$153*$V$154</f>
        <v>0</v>
      </c>
      <c r="AY154" s="73">
        <f>AY153/$AD$153*$V$154</f>
        <v>1.7647701332352704E-3</v>
      </c>
      <c r="AZ154" s="73">
        <f>AZ153/$AD$153*$V$154</f>
        <v>0</v>
      </c>
      <c r="BA154" s="73">
        <f t="shared" si="87"/>
        <v>3.0730530586736839E-2</v>
      </c>
      <c r="BB154" s="36" t="s">
        <v>172</v>
      </c>
      <c r="BC154" s="36" t="s">
        <v>172</v>
      </c>
      <c r="BD154" s="36" t="s">
        <v>411</v>
      </c>
      <c r="BE154" s="36" t="s">
        <v>411</v>
      </c>
      <c r="BF154" s="36" t="s">
        <v>411</v>
      </c>
    </row>
    <row r="155" spans="1:58" ht="12.95" customHeight="1">
      <c r="A155" s="62"/>
      <c r="B155" s="63"/>
      <c r="C155" s="63"/>
      <c r="D155" s="63"/>
      <c r="E155" s="64"/>
      <c r="F155" s="64"/>
      <c r="G155" s="36"/>
      <c r="H155" s="36"/>
      <c r="I155" s="36"/>
      <c r="J155" s="88"/>
      <c r="K155" s="88"/>
      <c r="L155" s="37"/>
      <c r="M155" s="37"/>
      <c r="N155" s="35"/>
      <c r="O155" s="38"/>
      <c r="P155" s="30"/>
      <c r="Q155" s="36"/>
      <c r="R155" s="95">
        <f>R153-(BA153)</f>
        <v>0</v>
      </c>
      <c r="S155" s="95">
        <f>+S153-AM153</f>
        <v>0</v>
      </c>
      <c r="T155" s="35"/>
      <c r="U155" s="35"/>
      <c r="V155" s="35"/>
      <c r="W155" s="39">
        <f>+W153-'31'!$M$34/1000</f>
        <v>0</v>
      </c>
      <c r="X155" s="378"/>
      <c r="Y155" s="74">
        <f>+Y153-SUM(RBP!AG3:AG4)</f>
        <v>2.68</v>
      </c>
      <c r="Z155" s="39">
        <f>+Z153-'31'!J56/1000</f>
        <v>0</v>
      </c>
      <c r="AA155" s="35"/>
      <c r="AB155" s="35"/>
      <c r="AC155" s="35"/>
      <c r="AD155" s="35"/>
      <c r="AE155" s="41"/>
      <c r="AF155" s="351"/>
      <c r="AG155" s="351"/>
      <c r="AH155" s="351"/>
      <c r="AI155" s="351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571">
        <f>0.5%*1440*31</f>
        <v>223.20000000000002</v>
      </c>
      <c r="AY155" s="83"/>
      <c r="AZ155" s="83"/>
      <c r="BA155" s="83"/>
      <c r="BB155" s="93">
        <f>BB153/($Q$153/1440)/2</f>
        <v>1.7333333333333334</v>
      </c>
      <c r="BC155" s="93">
        <f>BC153/($Q$153/1440)/2</f>
        <v>4.4833333333333334</v>
      </c>
      <c r="BD155" s="93">
        <f>BD153/($Q$153/1440)</f>
        <v>0</v>
      </c>
      <c r="BE155" s="93">
        <f t="shared" ref="BE155:BF155" si="88">BE153/($Q$153/1440)</f>
        <v>3.3333333333333333E-2</v>
      </c>
      <c r="BF155" s="93">
        <f t="shared" si="88"/>
        <v>3.3333333333333333E-2</v>
      </c>
    </row>
    <row r="156" spans="1:58">
      <c r="A156" s="75"/>
      <c r="B156" s="76"/>
      <c r="C156" s="76"/>
      <c r="D156" s="76"/>
      <c r="E156" s="77"/>
      <c r="F156" s="77"/>
      <c r="G156" s="78"/>
      <c r="H156" s="78"/>
      <c r="I156" s="78"/>
      <c r="J156" s="92"/>
      <c r="K156" s="92"/>
      <c r="O156" s="79"/>
      <c r="P156" s="80"/>
      <c r="Q156" s="78"/>
      <c r="R156" s="59"/>
      <c r="S156" s="59"/>
      <c r="U156" s="81"/>
      <c r="V156" s="81"/>
      <c r="W156" s="82" t="s">
        <v>119</v>
      </c>
      <c r="X156" s="94">
        <f>W153/U153</f>
        <v>0.97712990949726042</v>
      </c>
      <c r="Y156" s="94"/>
      <c r="Z156" s="59"/>
      <c r="AD156" s="89"/>
      <c r="AE156" s="84"/>
      <c r="AF156" s="85"/>
      <c r="AG156" s="85"/>
      <c r="AH156" s="85"/>
      <c r="AI156" s="85"/>
      <c r="AJ156" s="85"/>
      <c r="AK156" s="85"/>
      <c r="AL156" s="85"/>
      <c r="AM156" s="85"/>
      <c r="AN156" s="83"/>
      <c r="AO156" s="83"/>
      <c r="AP156" s="83"/>
      <c r="AQ156" s="83"/>
      <c r="AR156" s="83"/>
      <c r="AS156" s="85"/>
      <c r="AT156" s="85"/>
      <c r="AU156" s="85"/>
      <c r="AV156" s="85"/>
      <c r="AW156" s="85"/>
      <c r="AX156" s="85"/>
      <c r="AY156" s="85"/>
      <c r="AZ156" s="85"/>
      <c r="BA156" s="83"/>
      <c r="BB156" s="29"/>
      <c r="BC156" s="83"/>
      <c r="BD156" s="83"/>
      <c r="BE156" s="29"/>
      <c r="BF156" s="83"/>
    </row>
    <row r="157" spans="1:58">
      <c r="A157" s="75"/>
      <c r="B157" s="76"/>
      <c r="C157" s="76"/>
      <c r="D157" s="76"/>
      <c r="E157" s="77"/>
      <c r="F157" s="77"/>
      <c r="G157" s="78"/>
      <c r="H157" s="78"/>
      <c r="I157" s="78"/>
      <c r="J157" s="92"/>
      <c r="K157" s="92"/>
      <c r="O157" s="79"/>
      <c r="P157" s="80"/>
      <c r="Q157" s="78"/>
      <c r="R157" s="59"/>
      <c r="S157" s="59"/>
      <c r="U157" s="81"/>
      <c r="V157" s="81"/>
      <c r="W157" s="82"/>
      <c r="X157" s="83"/>
      <c r="Y157" s="83"/>
      <c r="Z157" s="59"/>
      <c r="AA157" s="99"/>
      <c r="AB157" s="99"/>
      <c r="AD157" s="89"/>
      <c r="AE157" s="84"/>
      <c r="AF157" s="85"/>
      <c r="AG157" s="85"/>
      <c r="AH157" s="85"/>
      <c r="AI157" s="85"/>
      <c r="AJ157" s="85"/>
      <c r="AK157" s="85"/>
      <c r="AL157" s="85"/>
      <c r="AM157" s="85"/>
      <c r="AN157" s="85"/>
      <c r="AO157" s="83"/>
      <c r="AP157" s="83"/>
      <c r="AQ157" s="83"/>
      <c r="AR157" s="85"/>
      <c r="AS157" s="83"/>
      <c r="AT157" s="83"/>
      <c r="AU157" s="83"/>
      <c r="AV157" s="83"/>
      <c r="AW157" s="83"/>
      <c r="AX157" s="83"/>
      <c r="AY157" s="83"/>
      <c r="AZ157" s="83"/>
      <c r="BA157" s="83"/>
      <c r="BB157" s="29"/>
      <c r="BC157" s="83"/>
      <c r="BD157" s="83"/>
      <c r="BE157" s="29"/>
      <c r="BF157" s="83"/>
    </row>
    <row r="158" spans="1:58">
      <c r="A158" s="75"/>
      <c r="B158" s="76"/>
      <c r="C158" s="76"/>
      <c r="D158" s="76"/>
      <c r="E158" s="77"/>
      <c r="F158" s="77"/>
      <c r="G158" s="78"/>
      <c r="H158" s="78"/>
      <c r="I158" s="78"/>
      <c r="J158" s="92"/>
      <c r="K158" s="92"/>
      <c r="O158" s="79"/>
      <c r="P158" s="80"/>
      <c r="Q158" s="78"/>
      <c r="R158" s="362"/>
      <c r="S158" s="59"/>
      <c r="U158" s="81"/>
      <c r="V158" s="81"/>
      <c r="W158" s="82" t="s">
        <v>142</v>
      </c>
      <c r="X158" s="351">
        <f>+W153+Y153</f>
        <v>1600.4159999999999</v>
      </c>
      <c r="Y158" s="83"/>
      <c r="Z158" s="59"/>
      <c r="AD158" s="89"/>
      <c r="AE158" s="84"/>
      <c r="AF158" s="89"/>
      <c r="AG158" s="89"/>
      <c r="AH158" s="89"/>
      <c r="AI158" s="89"/>
      <c r="AJ158" s="83"/>
      <c r="AK158" s="83"/>
      <c r="AL158" s="83"/>
      <c r="AM158" s="85"/>
      <c r="AN158" s="83"/>
      <c r="AO158" s="83"/>
      <c r="AP158" s="83"/>
      <c r="AQ158" s="83"/>
      <c r="AR158" s="85"/>
      <c r="AS158" s="83"/>
      <c r="AT158" s="83"/>
      <c r="AU158" s="83"/>
      <c r="AV158" s="83"/>
      <c r="AW158" s="83"/>
      <c r="AX158" s="83"/>
      <c r="AY158" s="83"/>
      <c r="AZ158" s="83"/>
      <c r="BA158" s="83"/>
      <c r="BB158" s="29"/>
      <c r="BC158" s="83"/>
      <c r="BD158" s="83"/>
      <c r="BE158" s="29"/>
      <c r="BF158" s="83"/>
    </row>
    <row r="159" spans="1:58">
      <c r="A159" s="75"/>
      <c r="C159" s="76" t="s">
        <v>232</v>
      </c>
      <c r="D159" s="76"/>
      <c r="E159" s="77"/>
      <c r="F159" s="77"/>
      <c r="G159" s="78"/>
      <c r="H159" s="78"/>
      <c r="I159" s="78"/>
      <c r="J159" s="92"/>
      <c r="K159" s="92"/>
      <c r="O159" s="79"/>
      <c r="P159" s="80"/>
      <c r="Q159" s="78"/>
      <c r="R159" s="362"/>
      <c r="S159" s="59"/>
      <c r="U159" s="81"/>
      <c r="V159" s="373"/>
      <c r="W159" s="374"/>
      <c r="X159" s="367"/>
      <c r="Y159" s="374"/>
      <c r="Z159" s="367"/>
      <c r="AD159" s="360"/>
      <c r="AE159" s="84"/>
      <c r="AF159" s="360"/>
      <c r="AG159" s="360"/>
      <c r="AH159" s="360"/>
      <c r="AI159" s="360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29"/>
      <c r="BC159" s="83"/>
      <c r="BD159" s="83"/>
      <c r="BE159" s="29"/>
      <c r="BF159" s="83"/>
    </row>
    <row r="160" spans="1:58">
      <c r="A160" s="75"/>
      <c r="B160" s="76"/>
      <c r="C160" s="76" t="s">
        <v>235</v>
      </c>
      <c r="D160" s="76"/>
      <c r="E160" s="77"/>
      <c r="F160" s="77"/>
      <c r="G160" s="78"/>
      <c r="H160" s="78"/>
      <c r="I160" s="78"/>
      <c r="J160" s="92"/>
      <c r="K160" s="92"/>
      <c r="O160" s="79"/>
      <c r="P160" s="80"/>
      <c r="Q160" s="78"/>
      <c r="R160" s="362"/>
      <c r="S160" s="59"/>
      <c r="V160" s="365"/>
      <c r="W160" s="366" t="s">
        <v>230</v>
      </c>
      <c r="X160" s="365"/>
      <c r="Y160" s="365"/>
      <c r="Z160" s="367"/>
      <c r="AE160" s="84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29"/>
      <c r="BE160" s="29"/>
    </row>
    <row r="161" spans="1:57">
      <c r="A161" s="75"/>
      <c r="B161" s="76"/>
      <c r="C161" s="76"/>
      <c r="D161" s="76"/>
      <c r="E161" s="77"/>
      <c r="F161" s="77"/>
      <c r="G161" s="78"/>
      <c r="H161" s="78"/>
      <c r="I161" s="78"/>
      <c r="J161" s="92"/>
      <c r="K161" s="92"/>
      <c r="O161" s="79"/>
      <c r="P161" s="80"/>
      <c r="Q161" s="78"/>
      <c r="R161" s="362"/>
      <c r="S161" s="59"/>
      <c r="V161" s="365"/>
      <c r="W161" s="368" t="s">
        <v>328</v>
      </c>
      <c r="X161" s="372">
        <f>Y154</f>
        <v>2.8653718784984257E-3</v>
      </c>
      <c r="Y161" s="369"/>
      <c r="Z161" s="367"/>
      <c r="AE161" s="84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29"/>
      <c r="BE161" s="29"/>
    </row>
    <row r="162" spans="1:57">
      <c r="R162" s="99"/>
      <c r="V162" s="365"/>
      <c r="W162" s="368" t="s">
        <v>152</v>
      </c>
      <c r="X162" s="371">
        <f>Z154</f>
        <v>1.0730176183809777E-2</v>
      </c>
      <c r="Y162" s="370"/>
      <c r="Z162" s="365"/>
    </row>
    <row r="163" spans="1:57">
      <c r="R163" s="99"/>
      <c r="V163" s="365"/>
      <c r="W163" s="368" t="s">
        <v>153</v>
      </c>
      <c r="X163" s="371">
        <f>AC154</f>
        <v>5.5562995264613051E-2</v>
      </c>
      <c r="Y163" s="371"/>
      <c r="Z163" s="365"/>
    </row>
    <row r="164" spans="1:57">
      <c r="R164" s="99"/>
      <c r="V164" s="365"/>
      <c r="W164" s="368" t="s">
        <v>154</v>
      </c>
      <c r="X164" s="371">
        <f>AA154</f>
        <v>6.3620244494693905E-3</v>
      </c>
      <c r="Y164" s="370"/>
      <c r="Z164" s="365"/>
    </row>
    <row r="165" spans="1:57">
      <c r="V165" s="365"/>
      <c r="W165" s="368" t="s">
        <v>170</v>
      </c>
      <c r="X165" s="371">
        <f>AB154</f>
        <v>-4.3328904866148255E-3</v>
      </c>
      <c r="Y165" s="370" t="s">
        <v>168</v>
      </c>
      <c r="Z165" s="365"/>
    </row>
    <row r="166" spans="1:57">
      <c r="V166" s="365"/>
      <c r="W166" s="368" t="s">
        <v>206</v>
      </c>
      <c r="X166" s="371">
        <f>AF154</f>
        <v>1.1741603953125332E-2</v>
      </c>
      <c r="Y166" s="370"/>
      <c r="Z166" s="365"/>
    </row>
    <row r="167" spans="1:57">
      <c r="V167" s="365"/>
      <c r="W167" s="368" t="s">
        <v>207</v>
      </c>
      <c r="X167" s="371">
        <f>+AG154</f>
        <v>7.9532307337802852E-3</v>
      </c>
      <c r="Y167" s="370"/>
      <c r="Z167" s="365"/>
    </row>
    <row r="168" spans="1:57">
      <c r="V168" s="365"/>
      <c r="W168" s="368" t="s">
        <v>208</v>
      </c>
      <c r="X168" s="371">
        <f>+AH154</f>
        <v>1.7318277574148788E-2</v>
      </c>
      <c r="Y168" s="370"/>
      <c r="Z168" s="365"/>
    </row>
    <row r="169" spans="1:57">
      <c r="V169" s="365"/>
      <c r="W169" s="368" t="s">
        <v>209</v>
      </c>
      <c r="X169" s="371">
        <f>+AI154</f>
        <v>4.5413418095254293E-3</v>
      </c>
      <c r="Y169" s="370"/>
      <c r="Z169" s="365"/>
    </row>
    <row r="170" spans="1:57">
      <c r="V170" s="365"/>
      <c r="W170" s="368" t="s">
        <v>161</v>
      </c>
      <c r="X170" s="371">
        <f>+AJ154</f>
        <v>1.8118306701215444E-3</v>
      </c>
      <c r="Y170" s="370"/>
      <c r="Z170" s="365"/>
    </row>
    <row r="171" spans="1:57">
      <c r="V171" s="365"/>
      <c r="W171" s="368" t="s">
        <v>163</v>
      </c>
      <c r="X171" s="371">
        <f>+AK154</f>
        <v>2.023603086109777E-3</v>
      </c>
      <c r="Y171" s="370"/>
      <c r="Z171" s="365"/>
    </row>
    <row r="172" spans="1:57">
      <c r="V172" s="365"/>
      <c r="W172" s="368" t="s">
        <v>162</v>
      </c>
      <c r="X172" s="371">
        <f>+AL154</f>
        <v>0</v>
      </c>
      <c r="Y172" s="370"/>
      <c r="Z172" s="365"/>
    </row>
    <row r="173" spans="1:57">
      <c r="V173" s="365"/>
      <c r="W173" s="368" t="s">
        <v>155</v>
      </c>
      <c r="X173" s="371">
        <f>+AN154</f>
        <v>8.235593955097929E-3</v>
      </c>
      <c r="Y173" s="370"/>
      <c r="Z173" s="365"/>
    </row>
    <row r="174" spans="1:57">
      <c r="V174" s="365"/>
      <c r="W174" s="368" t="s">
        <v>165</v>
      </c>
      <c r="X174" s="371">
        <f>+AO154</f>
        <v>1.4165221602768438E-2</v>
      </c>
      <c r="Y174" s="370"/>
      <c r="Z174" s="365"/>
    </row>
    <row r="175" spans="1:57">
      <c r="V175" s="365"/>
      <c r="W175" s="368" t="s">
        <v>156</v>
      </c>
      <c r="X175" s="371">
        <f>+AP154</f>
        <v>1.8824214754509551E-3</v>
      </c>
      <c r="Y175" s="370"/>
      <c r="Z175" s="365"/>
    </row>
    <row r="176" spans="1:57">
      <c r="V176" s="365"/>
      <c r="W176" s="368" t="s">
        <v>164</v>
      </c>
      <c r="X176" s="371">
        <f>+AQ154</f>
        <v>0</v>
      </c>
      <c r="Y176" s="370"/>
      <c r="Z176" s="365"/>
    </row>
    <row r="177" spans="22:26">
      <c r="V177" s="365"/>
      <c r="W177" s="368" t="s">
        <v>167</v>
      </c>
      <c r="X177" s="371">
        <f>+AS154</f>
        <v>4.6825234201842503E-3</v>
      </c>
      <c r="Y177" s="370"/>
      <c r="Z177" s="365"/>
    </row>
    <row r="178" spans="22:26">
      <c r="V178" s="365"/>
      <c r="W178" s="368" t="s">
        <v>329</v>
      </c>
      <c r="X178" s="371">
        <f>+AT154</f>
        <v>0</v>
      </c>
      <c r="Y178" s="370"/>
      <c r="Z178" s="365"/>
    </row>
    <row r="179" spans="22:26">
      <c r="V179" s="365"/>
      <c r="W179" s="368" t="s">
        <v>247</v>
      </c>
      <c r="X179" s="371">
        <f>+AU154</f>
        <v>0</v>
      </c>
      <c r="Y179" s="370"/>
      <c r="Z179" s="365"/>
    </row>
    <row r="180" spans="22:26">
      <c r="V180" s="365"/>
      <c r="W180" s="368" t="s">
        <v>333</v>
      </c>
      <c r="X180" s="371">
        <f>AV154</f>
        <v>0</v>
      </c>
      <c r="Y180" s="370"/>
      <c r="Z180" s="365"/>
    </row>
    <row r="181" spans="22:26">
      <c r="V181" s="365"/>
      <c r="W181" s="368" t="s">
        <v>334</v>
      </c>
      <c r="X181" s="371">
        <f>AW154</f>
        <v>0</v>
      </c>
      <c r="Y181" s="370"/>
      <c r="Z181" s="365"/>
    </row>
    <row r="182" spans="22:26">
      <c r="V182" s="365"/>
      <c r="W182" s="365" t="s">
        <v>166</v>
      </c>
      <c r="X182" s="371">
        <f>AX154+AY154</f>
        <v>1.7647701332352704E-3</v>
      </c>
      <c r="Y182" s="371"/>
      <c r="Z182" s="365"/>
    </row>
    <row r="183" spans="22:26">
      <c r="V183" s="365"/>
      <c r="W183" s="365" t="s">
        <v>332</v>
      </c>
      <c r="X183" s="371">
        <f>AZ154</f>
        <v>0</v>
      </c>
      <c r="Y183" s="365"/>
      <c r="Z183" s="365"/>
    </row>
    <row r="184" spans="22:26">
      <c r="V184" s="365"/>
      <c r="W184" s="365"/>
      <c r="X184" s="525">
        <f>SUM(X161:X183)</f>
        <v>0.14730809570332382</v>
      </c>
      <c r="Y184" s="365"/>
      <c r="Z184" s="365"/>
    </row>
    <row r="186" spans="22:26">
      <c r="X186" s="99">
        <f>+X184+X153</f>
        <v>1</v>
      </c>
    </row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4:P154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4 C152 B152:B154">
    <cfRule type="cellIs" dxfId="7495" priority="17059" stopIfTrue="1" operator="equal">
      <formula>"Napkin Hs"</formula>
    </cfRule>
  </conditionalFormatting>
  <conditionalFormatting sqref="C154 C152 B152:B154">
    <cfRule type="cellIs" dxfId="7494" priority="17058" stopIfTrue="1" operator="equal">
      <formula>"Towel"</formula>
    </cfRule>
  </conditionalFormatting>
  <conditionalFormatting sqref="C114 B115:C115">
    <cfRule type="cellIs" dxfId="7493" priority="16744" stopIfTrue="1" operator="equal">
      <formula>"Towel"</formula>
    </cfRule>
    <cfRule type="cellIs" dxfId="7492" priority="16745" stopIfTrue="1" operator="equal">
      <formula>"Napkin Hs"</formula>
    </cfRule>
  </conditionalFormatting>
  <conditionalFormatting sqref="B66:C66">
    <cfRule type="cellIs" dxfId="7491" priority="15466" stopIfTrue="1" operator="equal">
      <formula>"Towel"</formula>
    </cfRule>
    <cfRule type="cellIs" dxfId="7490" priority="15467" stopIfTrue="1" operator="equal">
      <formula>"Napkin Hs"</formula>
    </cfRule>
  </conditionalFormatting>
  <conditionalFormatting sqref="C66">
    <cfRule type="cellIs" dxfId="7489" priority="15468" stopIfTrue="1" operator="equal">
      <formula>"Towel"</formula>
    </cfRule>
    <cfRule type="cellIs" dxfId="7488" priority="15469" stopIfTrue="1" operator="equal">
      <formula>"Napkin Hs"</formula>
    </cfRule>
  </conditionalFormatting>
  <conditionalFormatting sqref="C66">
    <cfRule type="cellIs" dxfId="7487" priority="15464" stopIfTrue="1" operator="equal">
      <formula>"Towel"</formula>
    </cfRule>
    <cfRule type="cellIs" dxfId="7486" priority="15465" stopIfTrue="1" operator="equal">
      <formula>"Napkin Hs"</formula>
    </cfRule>
  </conditionalFormatting>
  <conditionalFormatting sqref="B65:C65">
    <cfRule type="cellIs" dxfId="7485" priority="15458" stopIfTrue="1" operator="equal">
      <formula>"Towel"</formula>
    </cfRule>
    <cfRule type="cellIs" dxfId="7484" priority="15459" stopIfTrue="1" operator="equal">
      <formula>"Napkin Hs"</formula>
    </cfRule>
  </conditionalFormatting>
  <conditionalFormatting sqref="C65">
    <cfRule type="cellIs" dxfId="7483" priority="15452" stopIfTrue="1" operator="equal">
      <formula>"Towel"</formula>
    </cfRule>
    <cfRule type="cellIs" dxfId="7482" priority="15453" stopIfTrue="1" operator="equal">
      <formula>"Napkin Hs"</formula>
    </cfRule>
  </conditionalFormatting>
  <conditionalFormatting sqref="C65">
    <cfRule type="cellIs" dxfId="7481" priority="15456" stopIfTrue="1" operator="equal">
      <formula>"Towel"</formula>
    </cfRule>
    <cfRule type="cellIs" dxfId="7480" priority="15457" stopIfTrue="1" operator="equal">
      <formula>"Napkin Hs"</formula>
    </cfRule>
  </conditionalFormatting>
  <conditionalFormatting sqref="B65:C65">
    <cfRule type="cellIs" dxfId="7479" priority="15448" stopIfTrue="1" operator="equal">
      <formula>"Towel"</formula>
    </cfRule>
    <cfRule type="cellIs" dxfId="7478" priority="15449" stopIfTrue="1" operator="equal">
      <formula>"Napkin Hs"</formula>
    </cfRule>
  </conditionalFormatting>
  <conditionalFormatting sqref="C65">
    <cfRule type="cellIs" dxfId="7477" priority="15444" stopIfTrue="1" operator="equal">
      <formula>"Towel"</formula>
    </cfRule>
    <cfRule type="cellIs" dxfId="7476" priority="15445" stopIfTrue="1" operator="equal">
      <formula>"Napkin Hs"</formula>
    </cfRule>
  </conditionalFormatting>
  <conditionalFormatting sqref="C65">
    <cfRule type="cellIs" dxfId="7475" priority="15446" stopIfTrue="1" operator="equal">
      <formula>"Towel"</formula>
    </cfRule>
    <cfRule type="cellIs" dxfId="7474" priority="15447" stopIfTrue="1" operator="equal">
      <formula>"Napkin Hs"</formula>
    </cfRule>
  </conditionalFormatting>
  <conditionalFormatting sqref="B65:C65">
    <cfRule type="cellIs" dxfId="7473" priority="15442" stopIfTrue="1" operator="equal">
      <formula>"Towel"</formula>
    </cfRule>
    <cfRule type="cellIs" dxfId="7472" priority="15443" stopIfTrue="1" operator="equal">
      <formula>"Napkin Hs"</formula>
    </cfRule>
  </conditionalFormatting>
  <conditionalFormatting sqref="C65">
    <cfRule type="cellIs" dxfId="7471" priority="15440" stopIfTrue="1" operator="equal">
      <formula>"Towel"</formula>
    </cfRule>
    <cfRule type="cellIs" dxfId="7470" priority="15441" stopIfTrue="1" operator="equal">
      <formula>"Napkin Hs"</formula>
    </cfRule>
  </conditionalFormatting>
  <conditionalFormatting sqref="C65">
    <cfRule type="cellIs" dxfId="7469" priority="15438" stopIfTrue="1" operator="equal">
      <formula>"Towel"</formula>
    </cfRule>
    <cfRule type="cellIs" dxfId="7468" priority="15439" stopIfTrue="1" operator="equal">
      <formula>"Napkin Hs"</formula>
    </cfRule>
  </conditionalFormatting>
  <conditionalFormatting sqref="B65:C65">
    <cfRule type="cellIs" dxfId="7467" priority="15436" stopIfTrue="1" operator="equal">
      <formula>"Towel"</formula>
    </cfRule>
    <cfRule type="cellIs" dxfId="7466" priority="15437" stopIfTrue="1" operator="equal">
      <formula>"Napkin Hs"</formula>
    </cfRule>
  </conditionalFormatting>
  <conditionalFormatting sqref="C65">
    <cfRule type="cellIs" dxfId="7465" priority="15434" stopIfTrue="1" operator="equal">
      <formula>"Towel"</formula>
    </cfRule>
    <cfRule type="cellIs" dxfId="7464" priority="15435" stopIfTrue="1" operator="equal">
      <formula>"Napkin Hs"</formula>
    </cfRule>
  </conditionalFormatting>
  <conditionalFormatting sqref="C65">
    <cfRule type="cellIs" dxfId="7463" priority="15432" stopIfTrue="1" operator="equal">
      <formula>"Towel"</formula>
    </cfRule>
    <cfRule type="cellIs" dxfId="7462" priority="15433" stopIfTrue="1" operator="equal">
      <formula>"Napkin Hs"</formula>
    </cfRule>
  </conditionalFormatting>
  <conditionalFormatting sqref="B65:C65">
    <cfRule type="cellIs" dxfId="7461" priority="15430" stopIfTrue="1" operator="equal">
      <formula>"Towel"</formula>
    </cfRule>
    <cfRule type="cellIs" dxfId="7460" priority="15431" stopIfTrue="1" operator="equal">
      <formula>"Napkin Hs"</formula>
    </cfRule>
  </conditionalFormatting>
  <conditionalFormatting sqref="C65">
    <cfRule type="cellIs" dxfId="7459" priority="15428" stopIfTrue="1" operator="equal">
      <formula>"Towel"</formula>
    </cfRule>
    <cfRule type="cellIs" dxfId="7458" priority="15429" stopIfTrue="1" operator="equal">
      <formula>"Napkin Hs"</formula>
    </cfRule>
  </conditionalFormatting>
  <conditionalFormatting sqref="C65">
    <cfRule type="cellIs" dxfId="7457" priority="15426" stopIfTrue="1" operator="equal">
      <formula>"Towel"</formula>
    </cfRule>
    <cfRule type="cellIs" dxfId="7456" priority="15427" stopIfTrue="1" operator="equal">
      <formula>"Napkin Hs"</formula>
    </cfRule>
  </conditionalFormatting>
  <conditionalFormatting sqref="B65:C65">
    <cfRule type="cellIs" dxfId="7455" priority="15425" stopIfTrue="1" operator="equal">
      <formula>"Napkin Hs"</formula>
    </cfRule>
  </conditionalFormatting>
  <conditionalFormatting sqref="B65:C65">
    <cfRule type="cellIs" dxfId="7454" priority="15424" stopIfTrue="1" operator="equal">
      <formula>"Towel"</formula>
    </cfRule>
  </conditionalFormatting>
  <conditionalFormatting sqref="C65">
    <cfRule type="cellIs" dxfId="7453" priority="15423" stopIfTrue="1" operator="equal">
      <formula>"Napkin Hs"</formula>
    </cfRule>
  </conditionalFormatting>
  <conditionalFormatting sqref="C65">
    <cfRule type="cellIs" dxfId="7452" priority="15420" stopIfTrue="1" operator="equal">
      <formula>"Towel"</formula>
    </cfRule>
    <cfRule type="cellIs" dxfId="7451" priority="15421" stopIfTrue="1" operator="equal">
      <formula>"Napkin Hs"</formula>
    </cfRule>
  </conditionalFormatting>
  <conditionalFormatting sqref="C65">
    <cfRule type="cellIs" dxfId="7450" priority="15422" stopIfTrue="1" operator="equal">
      <formula>"Towel"</formula>
    </cfRule>
  </conditionalFormatting>
  <conditionalFormatting sqref="C67">
    <cfRule type="cellIs" dxfId="7449" priority="15224" stopIfTrue="1" operator="equal">
      <formula>"Towel"</formula>
    </cfRule>
    <cfRule type="cellIs" dxfId="7448" priority="15225" stopIfTrue="1" operator="equal">
      <formula>"Napkin Hs"</formula>
    </cfRule>
  </conditionalFormatting>
  <conditionalFormatting sqref="C67">
    <cfRule type="cellIs" dxfId="7447" priority="15220" stopIfTrue="1" operator="equal">
      <formula>"Towel"</formula>
    </cfRule>
    <cfRule type="cellIs" dxfId="7446" priority="15221" stopIfTrue="1" operator="equal">
      <formula>"Napkin Hs"</formula>
    </cfRule>
  </conditionalFormatting>
  <conditionalFormatting sqref="C67">
    <cfRule type="cellIs" dxfId="7445" priority="15222" stopIfTrue="1" operator="equal">
      <formula>"Towel"</formula>
    </cfRule>
    <cfRule type="cellIs" dxfId="7444" priority="15223" stopIfTrue="1" operator="equal">
      <formula>"Napkin Hs"</formula>
    </cfRule>
  </conditionalFormatting>
  <conditionalFormatting sqref="C68">
    <cfRule type="cellIs" dxfId="7443" priority="15250" stopIfTrue="1" operator="equal">
      <formula>"Towel"</formula>
    </cfRule>
    <cfRule type="cellIs" dxfId="7442" priority="15251" stopIfTrue="1" operator="equal">
      <formula>"Napkin Hs"</formula>
    </cfRule>
  </conditionalFormatting>
  <conditionalFormatting sqref="C68">
    <cfRule type="cellIs" dxfId="7441" priority="15248" stopIfTrue="1" operator="equal">
      <formula>"Towel"</formula>
    </cfRule>
    <cfRule type="cellIs" dxfId="7440" priority="15249" stopIfTrue="1" operator="equal">
      <formula>"Napkin Hs"</formula>
    </cfRule>
  </conditionalFormatting>
  <conditionalFormatting sqref="C68">
    <cfRule type="cellIs" dxfId="7439" priority="15246" stopIfTrue="1" operator="equal">
      <formula>"Towel"</formula>
    </cfRule>
    <cfRule type="cellIs" dxfId="7438" priority="15247" stopIfTrue="1" operator="equal">
      <formula>"Napkin Hs"</formula>
    </cfRule>
  </conditionalFormatting>
  <conditionalFormatting sqref="C68">
    <cfRule type="cellIs" dxfId="7437" priority="15238" stopIfTrue="1" operator="equal">
      <formula>"Towel"</formula>
    </cfRule>
    <cfRule type="cellIs" dxfId="7436" priority="15239" stopIfTrue="1" operator="equal">
      <formula>"Napkin Hs"</formula>
    </cfRule>
  </conditionalFormatting>
  <conditionalFormatting sqref="C68">
    <cfRule type="cellIs" dxfId="7435" priority="15314" stopIfTrue="1" operator="equal">
      <formula>"Towel"</formula>
    </cfRule>
    <cfRule type="cellIs" dxfId="7434" priority="15315" stopIfTrue="1" operator="equal">
      <formula>"Napkin Hs"</formula>
    </cfRule>
  </conditionalFormatting>
  <conditionalFormatting sqref="B69:C69">
    <cfRule type="cellIs" dxfId="7433" priority="15318" stopIfTrue="1" operator="equal">
      <formula>"Towel"</formula>
    </cfRule>
    <cfRule type="cellIs" dxfId="7432" priority="15319" stopIfTrue="1" operator="equal">
      <formula>"Napkin Hs"</formula>
    </cfRule>
  </conditionalFormatting>
  <conditionalFormatting sqref="C68">
    <cfRule type="cellIs" dxfId="7431" priority="15310" stopIfTrue="1" operator="equal">
      <formula>"Towel"</formula>
    </cfRule>
    <cfRule type="cellIs" dxfId="7430" priority="15311" stopIfTrue="1" operator="equal">
      <formula>"Napkin Hs"</formula>
    </cfRule>
  </conditionalFormatting>
  <conditionalFormatting sqref="C68:C69">
    <cfRule type="cellIs" dxfId="7429" priority="15312" stopIfTrue="1" operator="equal">
      <formula>"Towel"</formula>
    </cfRule>
    <cfRule type="cellIs" dxfId="7428" priority="15313" stopIfTrue="1" operator="equal">
      <formula>"Napkin Hs"</formula>
    </cfRule>
  </conditionalFormatting>
  <conditionalFormatting sqref="C69">
    <cfRule type="cellIs" dxfId="7427" priority="15316" stopIfTrue="1" operator="equal">
      <formula>"Towel"</formula>
    </cfRule>
    <cfRule type="cellIs" dxfId="7426" priority="15317" stopIfTrue="1" operator="equal">
      <formula>"Napkin Hs"</formula>
    </cfRule>
  </conditionalFormatting>
  <conditionalFormatting sqref="B69:C69">
    <cfRule type="cellIs" dxfId="7425" priority="15308" stopIfTrue="1" operator="equal">
      <formula>"Towel"</formula>
    </cfRule>
    <cfRule type="cellIs" dxfId="7424" priority="15309" stopIfTrue="1" operator="equal">
      <formula>"Napkin Hs"</formula>
    </cfRule>
  </conditionalFormatting>
  <conditionalFormatting sqref="C69">
    <cfRule type="cellIs" dxfId="7423" priority="15304" stopIfTrue="1" operator="equal">
      <formula>"Towel"</formula>
    </cfRule>
    <cfRule type="cellIs" dxfId="7422" priority="15305" stopIfTrue="1" operator="equal">
      <formula>"Napkin Hs"</formula>
    </cfRule>
  </conditionalFormatting>
  <conditionalFormatting sqref="C69">
    <cfRule type="cellIs" dxfId="7421" priority="15306" stopIfTrue="1" operator="equal">
      <formula>"Towel"</formula>
    </cfRule>
    <cfRule type="cellIs" dxfId="7420" priority="15307" stopIfTrue="1" operator="equal">
      <formula>"Napkin Hs"</formula>
    </cfRule>
  </conditionalFormatting>
  <conditionalFormatting sqref="B69:C69">
    <cfRule type="cellIs" dxfId="7419" priority="15302" stopIfTrue="1" operator="equal">
      <formula>"Towel"</formula>
    </cfRule>
    <cfRule type="cellIs" dxfId="7418" priority="15303" stopIfTrue="1" operator="equal">
      <formula>"Napkin Hs"</formula>
    </cfRule>
  </conditionalFormatting>
  <conditionalFormatting sqref="C69">
    <cfRule type="cellIs" dxfId="7417" priority="15300" stopIfTrue="1" operator="equal">
      <formula>"Towel"</formula>
    </cfRule>
    <cfRule type="cellIs" dxfId="7416" priority="15301" stopIfTrue="1" operator="equal">
      <formula>"Napkin Hs"</formula>
    </cfRule>
  </conditionalFormatting>
  <conditionalFormatting sqref="C69">
    <cfRule type="cellIs" dxfId="7415" priority="15298" stopIfTrue="1" operator="equal">
      <formula>"Towel"</formula>
    </cfRule>
    <cfRule type="cellIs" dxfId="7414" priority="15299" stopIfTrue="1" operator="equal">
      <formula>"Napkin Hs"</formula>
    </cfRule>
  </conditionalFormatting>
  <conditionalFormatting sqref="B69:C69">
    <cfRule type="cellIs" dxfId="7413" priority="15296" stopIfTrue="1" operator="equal">
      <formula>"Towel"</formula>
    </cfRule>
    <cfRule type="cellIs" dxfId="7412" priority="15297" stopIfTrue="1" operator="equal">
      <formula>"Napkin Hs"</formula>
    </cfRule>
  </conditionalFormatting>
  <conditionalFormatting sqref="C69">
    <cfRule type="cellIs" dxfId="7411" priority="15294" stopIfTrue="1" operator="equal">
      <formula>"Towel"</formula>
    </cfRule>
    <cfRule type="cellIs" dxfId="7410" priority="15295" stopIfTrue="1" operator="equal">
      <formula>"Napkin Hs"</formula>
    </cfRule>
  </conditionalFormatting>
  <conditionalFormatting sqref="C69">
    <cfRule type="cellIs" dxfId="7409" priority="15292" stopIfTrue="1" operator="equal">
      <formula>"Towel"</formula>
    </cfRule>
    <cfRule type="cellIs" dxfId="7408" priority="15293" stopIfTrue="1" operator="equal">
      <formula>"Napkin Hs"</formula>
    </cfRule>
  </conditionalFormatting>
  <conditionalFormatting sqref="B69:C69">
    <cfRule type="cellIs" dxfId="7407" priority="15290" stopIfTrue="1" operator="equal">
      <formula>"Towel"</formula>
    </cfRule>
    <cfRule type="cellIs" dxfId="7406" priority="15291" stopIfTrue="1" operator="equal">
      <formula>"Napkin Hs"</formula>
    </cfRule>
  </conditionalFormatting>
  <conditionalFormatting sqref="C69">
    <cfRule type="cellIs" dxfId="7405" priority="15288" stopIfTrue="1" operator="equal">
      <formula>"Towel"</formula>
    </cfRule>
    <cfRule type="cellIs" dxfId="7404" priority="15289" stopIfTrue="1" operator="equal">
      <formula>"Napkin Hs"</formula>
    </cfRule>
  </conditionalFormatting>
  <conditionalFormatting sqref="C69">
    <cfRule type="cellIs" dxfId="7403" priority="15286" stopIfTrue="1" operator="equal">
      <formula>"Towel"</formula>
    </cfRule>
    <cfRule type="cellIs" dxfId="7402" priority="15287" stopIfTrue="1" operator="equal">
      <formula>"Napkin Hs"</formula>
    </cfRule>
  </conditionalFormatting>
  <conditionalFormatting sqref="B69:C69">
    <cfRule type="cellIs" dxfId="7401" priority="15285" stopIfTrue="1" operator="equal">
      <formula>"Napkin Hs"</formula>
    </cfRule>
  </conditionalFormatting>
  <conditionalFormatting sqref="B69:C69">
    <cfRule type="cellIs" dxfId="7400" priority="15284" stopIfTrue="1" operator="equal">
      <formula>"Towel"</formula>
    </cfRule>
  </conditionalFormatting>
  <conditionalFormatting sqref="C69">
    <cfRule type="cellIs" dxfId="7399" priority="15283" stopIfTrue="1" operator="equal">
      <formula>"Napkin Hs"</formula>
    </cfRule>
  </conditionalFormatting>
  <conditionalFormatting sqref="C69">
    <cfRule type="cellIs" dxfId="7398" priority="15280" stopIfTrue="1" operator="equal">
      <formula>"Towel"</formula>
    </cfRule>
    <cfRule type="cellIs" dxfId="7397" priority="15281" stopIfTrue="1" operator="equal">
      <formula>"Napkin Hs"</formula>
    </cfRule>
  </conditionalFormatting>
  <conditionalFormatting sqref="C69">
    <cfRule type="cellIs" dxfId="7396" priority="15282" stopIfTrue="1" operator="equal">
      <formula>"Towel"</formula>
    </cfRule>
  </conditionalFormatting>
  <conditionalFormatting sqref="C68">
    <cfRule type="cellIs" dxfId="7395" priority="15279" stopIfTrue="1" operator="equal">
      <formula>"Napkin Hs"</formula>
    </cfRule>
  </conditionalFormatting>
  <conditionalFormatting sqref="C68">
    <cfRule type="cellIs" dxfId="7394" priority="15278" stopIfTrue="1" operator="equal">
      <formula>"Towel"</formula>
    </cfRule>
  </conditionalFormatting>
  <conditionalFormatting sqref="C68">
    <cfRule type="cellIs" dxfId="7393" priority="15277" stopIfTrue="1" operator="equal">
      <formula>"Napkin Hs"</formula>
    </cfRule>
  </conditionalFormatting>
  <conditionalFormatting sqref="C68">
    <cfRule type="cellIs" dxfId="7392" priority="15276" stopIfTrue="1" operator="equal">
      <formula>"Towel"</formula>
    </cfRule>
  </conditionalFormatting>
  <conditionalFormatting sqref="C68">
    <cfRule type="cellIs" dxfId="7391" priority="15274" stopIfTrue="1" operator="equal">
      <formula>"Towel"</formula>
    </cfRule>
    <cfRule type="cellIs" dxfId="7390" priority="15275" stopIfTrue="1" operator="equal">
      <formula>"Napkin Hs"</formula>
    </cfRule>
  </conditionalFormatting>
  <conditionalFormatting sqref="C68">
    <cfRule type="cellIs" dxfId="7389" priority="15272" stopIfTrue="1" operator="equal">
      <formula>"Towel"</formula>
    </cfRule>
    <cfRule type="cellIs" dxfId="7388" priority="15273" stopIfTrue="1" operator="equal">
      <formula>"Napkin Hs"</formula>
    </cfRule>
  </conditionalFormatting>
  <conditionalFormatting sqref="C68">
    <cfRule type="cellIs" dxfId="7387" priority="15270" stopIfTrue="1" operator="equal">
      <formula>"Towel"</formula>
    </cfRule>
    <cfRule type="cellIs" dxfId="7386" priority="15271" stopIfTrue="1" operator="equal">
      <formula>"Napkin Hs"</formula>
    </cfRule>
  </conditionalFormatting>
  <conditionalFormatting sqref="C68">
    <cfRule type="cellIs" dxfId="7385" priority="15268" stopIfTrue="1" operator="equal">
      <formula>"Towel"</formula>
    </cfRule>
    <cfRule type="cellIs" dxfId="7384" priority="15269" stopIfTrue="1" operator="equal">
      <formula>"Napkin Hs"</formula>
    </cfRule>
  </conditionalFormatting>
  <conditionalFormatting sqref="C68">
    <cfRule type="cellIs" dxfId="7383" priority="15266" stopIfTrue="1" operator="equal">
      <formula>"Towel"</formula>
    </cfRule>
    <cfRule type="cellIs" dxfId="7382" priority="15267" stopIfTrue="1" operator="equal">
      <formula>"Napkin Hs"</formula>
    </cfRule>
  </conditionalFormatting>
  <conditionalFormatting sqref="C68">
    <cfRule type="cellIs" dxfId="7381" priority="15264" stopIfTrue="1" operator="equal">
      <formula>"Towel"</formula>
    </cfRule>
    <cfRule type="cellIs" dxfId="7380" priority="15265" stopIfTrue="1" operator="equal">
      <formula>"Napkin Hs"</formula>
    </cfRule>
  </conditionalFormatting>
  <conditionalFormatting sqref="C68">
    <cfRule type="cellIs" dxfId="7379" priority="15262" stopIfTrue="1" operator="equal">
      <formula>"Towel"</formula>
    </cfRule>
    <cfRule type="cellIs" dxfId="7378" priority="15263" stopIfTrue="1" operator="equal">
      <formula>"Napkin Hs"</formula>
    </cfRule>
  </conditionalFormatting>
  <conditionalFormatting sqref="C68">
    <cfRule type="cellIs" dxfId="7377" priority="15260" stopIfTrue="1" operator="equal">
      <formula>"Towel"</formula>
    </cfRule>
    <cfRule type="cellIs" dxfId="7376" priority="15261" stopIfTrue="1" operator="equal">
      <formula>"Napkin Hs"</formula>
    </cfRule>
  </conditionalFormatting>
  <conditionalFormatting sqref="C68">
    <cfRule type="cellIs" dxfId="7375" priority="15258" stopIfTrue="1" operator="equal">
      <formula>"Towel"</formula>
    </cfRule>
    <cfRule type="cellIs" dxfId="7374" priority="15259" stopIfTrue="1" operator="equal">
      <formula>"Napkin Hs"</formula>
    </cfRule>
  </conditionalFormatting>
  <conditionalFormatting sqref="C68">
    <cfRule type="cellIs" dxfId="7373" priority="15256" stopIfTrue="1" operator="equal">
      <formula>"Towel"</formula>
    </cfRule>
    <cfRule type="cellIs" dxfId="7372" priority="15257" stopIfTrue="1" operator="equal">
      <formula>"Napkin Hs"</formula>
    </cfRule>
  </conditionalFormatting>
  <conditionalFormatting sqref="C68">
    <cfRule type="cellIs" dxfId="7371" priority="15254" stopIfTrue="1" operator="equal">
      <formula>"Towel"</formula>
    </cfRule>
    <cfRule type="cellIs" dxfId="7370" priority="15255" stopIfTrue="1" operator="equal">
      <formula>"Napkin Hs"</formula>
    </cfRule>
  </conditionalFormatting>
  <conditionalFormatting sqref="C68">
    <cfRule type="cellIs" dxfId="7369" priority="15252" stopIfTrue="1" operator="equal">
      <formula>"Towel"</formula>
    </cfRule>
    <cfRule type="cellIs" dxfId="7368" priority="15253" stopIfTrue="1" operator="equal">
      <formula>"Napkin Hs"</formula>
    </cfRule>
  </conditionalFormatting>
  <conditionalFormatting sqref="C68">
    <cfRule type="cellIs" dxfId="7367" priority="15244" stopIfTrue="1" operator="equal">
      <formula>"Towel"</formula>
    </cfRule>
    <cfRule type="cellIs" dxfId="7366" priority="15245" stopIfTrue="1" operator="equal">
      <formula>"Napkin Hs"</formula>
    </cfRule>
  </conditionalFormatting>
  <conditionalFormatting sqref="C68">
    <cfRule type="cellIs" dxfId="7365" priority="15243" stopIfTrue="1" operator="equal">
      <formula>"Napkin Hs"</formula>
    </cfRule>
  </conditionalFormatting>
  <conditionalFormatting sqref="C68">
    <cfRule type="cellIs" dxfId="7364" priority="15242" stopIfTrue="1" operator="equal">
      <formula>"Towel"</formula>
    </cfRule>
  </conditionalFormatting>
  <conditionalFormatting sqref="C68">
    <cfRule type="cellIs" dxfId="7363" priority="15241" stopIfTrue="1" operator="equal">
      <formula>"Napkin Hs"</formula>
    </cfRule>
  </conditionalFormatting>
  <conditionalFormatting sqref="C68">
    <cfRule type="cellIs" dxfId="7362" priority="15240" stopIfTrue="1" operator="equal">
      <formula>"Towel"</formula>
    </cfRule>
  </conditionalFormatting>
  <conditionalFormatting sqref="C67">
    <cfRule type="cellIs" dxfId="7361" priority="15236" stopIfTrue="1" operator="equal">
      <formula>"Towel"</formula>
    </cfRule>
    <cfRule type="cellIs" dxfId="7360" priority="15237" stopIfTrue="1" operator="equal">
      <formula>"Napkin Hs"</formula>
    </cfRule>
  </conditionalFormatting>
  <conditionalFormatting sqref="C67">
    <cfRule type="cellIs" dxfId="7359" priority="15232" stopIfTrue="1" operator="equal">
      <formula>"Towel"</formula>
    </cfRule>
    <cfRule type="cellIs" dxfId="7358" priority="15233" stopIfTrue="1" operator="equal">
      <formula>"Napkin Hs"</formula>
    </cfRule>
  </conditionalFormatting>
  <conditionalFormatting sqref="C67">
    <cfRule type="cellIs" dxfId="7357" priority="15234" stopIfTrue="1" operator="equal">
      <formula>"Towel"</formula>
    </cfRule>
    <cfRule type="cellIs" dxfId="7356" priority="15235" stopIfTrue="1" operator="equal">
      <formula>"Napkin Hs"</formula>
    </cfRule>
  </conditionalFormatting>
  <conditionalFormatting sqref="C67">
    <cfRule type="cellIs" dxfId="7355" priority="15231" stopIfTrue="1" operator="equal">
      <formula>"Napkin Hs"</formula>
    </cfRule>
  </conditionalFormatting>
  <conditionalFormatting sqref="C67">
    <cfRule type="cellIs" dxfId="7354" priority="15230" stopIfTrue="1" operator="equal">
      <formula>"Towel"</formula>
    </cfRule>
  </conditionalFormatting>
  <conditionalFormatting sqref="C67">
    <cfRule type="cellIs" dxfId="7353" priority="15229" stopIfTrue="1" operator="equal">
      <formula>"Napkin Hs"</formula>
    </cfRule>
  </conditionalFormatting>
  <conditionalFormatting sqref="C67">
    <cfRule type="cellIs" dxfId="7352" priority="15228" stopIfTrue="1" operator="equal">
      <formula>"Towel"</formula>
    </cfRule>
  </conditionalFormatting>
  <conditionalFormatting sqref="C67">
    <cfRule type="cellIs" dxfId="7351" priority="15226" stopIfTrue="1" operator="equal">
      <formula>"Towel"</formula>
    </cfRule>
    <cfRule type="cellIs" dxfId="7350" priority="15227" stopIfTrue="1" operator="equal">
      <formula>"Napkin Hs"</formula>
    </cfRule>
  </conditionalFormatting>
  <conditionalFormatting sqref="C67">
    <cfRule type="cellIs" dxfId="7349" priority="15218" stopIfTrue="1" operator="equal">
      <formula>"Towel"</formula>
    </cfRule>
    <cfRule type="cellIs" dxfId="7348" priority="15219" stopIfTrue="1" operator="equal">
      <formula>"Napkin Hs"</formula>
    </cfRule>
  </conditionalFormatting>
  <conditionalFormatting sqref="C67">
    <cfRule type="cellIs" dxfId="7347" priority="15216" stopIfTrue="1" operator="equal">
      <formula>"Towel"</formula>
    </cfRule>
    <cfRule type="cellIs" dxfId="7346" priority="15217" stopIfTrue="1" operator="equal">
      <formula>"Napkin Hs"</formula>
    </cfRule>
  </conditionalFormatting>
  <conditionalFormatting sqref="C67">
    <cfRule type="cellIs" dxfId="7345" priority="15214" stopIfTrue="1" operator="equal">
      <formula>"Towel"</formula>
    </cfRule>
    <cfRule type="cellIs" dxfId="7344" priority="15215" stopIfTrue="1" operator="equal">
      <formula>"Napkin Hs"</formula>
    </cfRule>
  </conditionalFormatting>
  <conditionalFormatting sqref="C67">
    <cfRule type="cellIs" dxfId="7343" priority="15212" stopIfTrue="1" operator="equal">
      <formula>"Towel"</formula>
    </cfRule>
    <cfRule type="cellIs" dxfId="7342" priority="15213" stopIfTrue="1" operator="equal">
      <formula>"Napkin Hs"</formula>
    </cfRule>
  </conditionalFormatting>
  <conditionalFormatting sqref="C67">
    <cfRule type="cellIs" dxfId="7341" priority="15210" stopIfTrue="1" operator="equal">
      <formula>"Towel"</formula>
    </cfRule>
    <cfRule type="cellIs" dxfId="7340" priority="15211" stopIfTrue="1" operator="equal">
      <formula>"Napkin Hs"</formula>
    </cfRule>
  </conditionalFormatting>
  <conditionalFormatting sqref="C67">
    <cfRule type="cellIs" dxfId="7339" priority="15208" stopIfTrue="1" operator="equal">
      <formula>"Towel"</formula>
    </cfRule>
    <cfRule type="cellIs" dxfId="7338" priority="15209" stopIfTrue="1" operator="equal">
      <formula>"Napkin Hs"</formula>
    </cfRule>
  </conditionalFormatting>
  <conditionalFormatting sqref="C67">
    <cfRule type="cellIs" dxfId="7337" priority="15206" stopIfTrue="1" operator="equal">
      <formula>"Towel"</formula>
    </cfRule>
    <cfRule type="cellIs" dxfId="7336" priority="15207" stopIfTrue="1" operator="equal">
      <formula>"Napkin Hs"</formula>
    </cfRule>
  </conditionalFormatting>
  <conditionalFormatting sqref="C67">
    <cfRule type="cellIs" dxfId="7335" priority="15204" stopIfTrue="1" operator="equal">
      <formula>"Towel"</formula>
    </cfRule>
    <cfRule type="cellIs" dxfId="7334" priority="15205" stopIfTrue="1" operator="equal">
      <formula>"Napkin Hs"</formula>
    </cfRule>
  </conditionalFormatting>
  <conditionalFormatting sqref="C67">
    <cfRule type="cellIs" dxfId="7333" priority="15202" stopIfTrue="1" operator="equal">
      <formula>"Towel"</formula>
    </cfRule>
    <cfRule type="cellIs" dxfId="7332" priority="15203" stopIfTrue="1" operator="equal">
      <formula>"Napkin Hs"</formula>
    </cfRule>
  </conditionalFormatting>
  <conditionalFormatting sqref="C67">
    <cfRule type="cellIs" dxfId="7331" priority="15200" stopIfTrue="1" operator="equal">
      <formula>"Towel"</formula>
    </cfRule>
    <cfRule type="cellIs" dxfId="7330" priority="15201" stopIfTrue="1" operator="equal">
      <formula>"Napkin Hs"</formula>
    </cfRule>
  </conditionalFormatting>
  <conditionalFormatting sqref="C67">
    <cfRule type="cellIs" dxfId="7329" priority="15198" stopIfTrue="1" operator="equal">
      <formula>"Towel"</formula>
    </cfRule>
    <cfRule type="cellIs" dxfId="7328" priority="15199" stopIfTrue="1" operator="equal">
      <formula>"Napkin Hs"</formula>
    </cfRule>
  </conditionalFormatting>
  <conditionalFormatting sqref="C67">
    <cfRule type="cellIs" dxfId="7327" priority="15196" stopIfTrue="1" operator="equal">
      <formula>"Towel"</formula>
    </cfRule>
    <cfRule type="cellIs" dxfId="7326" priority="15197" stopIfTrue="1" operator="equal">
      <formula>"Napkin Hs"</formula>
    </cfRule>
  </conditionalFormatting>
  <conditionalFormatting sqref="C67">
    <cfRule type="cellIs" dxfId="7325" priority="15195" stopIfTrue="1" operator="equal">
      <formula>"Napkin Hs"</formula>
    </cfRule>
  </conditionalFormatting>
  <conditionalFormatting sqref="C67">
    <cfRule type="cellIs" dxfId="7324" priority="15194" stopIfTrue="1" operator="equal">
      <formula>"Towel"</formula>
    </cfRule>
  </conditionalFormatting>
  <conditionalFormatting sqref="C67">
    <cfRule type="cellIs" dxfId="7323" priority="15193" stopIfTrue="1" operator="equal">
      <formula>"Napkin Hs"</formula>
    </cfRule>
  </conditionalFormatting>
  <conditionalFormatting sqref="C67">
    <cfRule type="cellIs" dxfId="7322" priority="15190" stopIfTrue="1" operator="equal">
      <formula>"Towel"</formula>
    </cfRule>
    <cfRule type="cellIs" dxfId="7321" priority="15191" stopIfTrue="1" operator="equal">
      <formula>"Napkin Hs"</formula>
    </cfRule>
  </conditionalFormatting>
  <conditionalFormatting sqref="C67">
    <cfRule type="cellIs" dxfId="7320" priority="15192" stopIfTrue="1" operator="equal">
      <formula>"Towel"</formula>
    </cfRule>
  </conditionalFormatting>
  <conditionalFormatting sqref="B74:C74">
    <cfRule type="cellIs" dxfId="7319" priority="15182" stopIfTrue="1" operator="equal">
      <formula>"Towel"</formula>
    </cfRule>
    <cfRule type="cellIs" dxfId="7318" priority="15183" stopIfTrue="1" operator="equal">
      <formula>"Napkin Hs"</formula>
    </cfRule>
  </conditionalFormatting>
  <conditionalFormatting sqref="C74">
    <cfRule type="cellIs" dxfId="7317" priority="15176" stopIfTrue="1" operator="equal">
      <formula>"Towel"</formula>
    </cfRule>
    <cfRule type="cellIs" dxfId="7316" priority="15177" stopIfTrue="1" operator="equal">
      <formula>"Napkin Hs"</formula>
    </cfRule>
  </conditionalFormatting>
  <conditionalFormatting sqref="C74">
    <cfRule type="cellIs" dxfId="7315" priority="15180" stopIfTrue="1" operator="equal">
      <formula>"Towel"</formula>
    </cfRule>
    <cfRule type="cellIs" dxfId="7314" priority="15181" stopIfTrue="1" operator="equal">
      <formula>"Napkin Hs"</formula>
    </cfRule>
  </conditionalFormatting>
  <conditionalFormatting sqref="B74:C74">
    <cfRule type="cellIs" dxfId="7313" priority="15172" stopIfTrue="1" operator="equal">
      <formula>"Towel"</formula>
    </cfRule>
    <cfRule type="cellIs" dxfId="7312" priority="15173" stopIfTrue="1" operator="equal">
      <formula>"Napkin Hs"</formula>
    </cfRule>
  </conditionalFormatting>
  <conditionalFormatting sqref="C74">
    <cfRule type="cellIs" dxfId="7311" priority="15168" stopIfTrue="1" operator="equal">
      <formula>"Towel"</formula>
    </cfRule>
    <cfRule type="cellIs" dxfId="7310" priority="15169" stopIfTrue="1" operator="equal">
      <formula>"Napkin Hs"</formula>
    </cfRule>
  </conditionalFormatting>
  <conditionalFormatting sqref="C74">
    <cfRule type="cellIs" dxfId="7309" priority="15170" stopIfTrue="1" operator="equal">
      <formula>"Towel"</formula>
    </cfRule>
    <cfRule type="cellIs" dxfId="7308" priority="15171" stopIfTrue="1" operator="equal">
      <formula>"Napkin Hs"</formula>
    </cfRule>
  </conditionalFormatting>
  <conditionalFormatting sqref="B74:C74">
    <cfRule type="cellIs" dxfId="7307" priority="15166" stopIfTrue="1" operator="equal">
      <formula>"Towel"</formula>
    </cfRule>
    <cfRule type="cellIs" dxfId="7306" priority="15167" stopIfTrue="1" operator="equal">
      <formula>"Napkin Hs"</formula>
    </cfRule>
  </conditionalFormatting>
  <conditionalFormatting sqref="C74">
    <cfRule type="cellIs" dxfId="7305" priority="15164" stopIfTrue="1" operator="equal">
      <formula>"Towel"</formula>
    </cfRule>
    <cfRule type="cellIs" dxfId="7304" priority="15165" stopIfTrue="1" operator="equal">
      <formula>"Napkin Hs"</formula>
    </cfRule>
  </conditionalFormatting>
  <conditionalFormatting sqref="C74">
    <cfRule type="cellIs" dxfId="7303" priority="15162" stopIfTrue="1" operator="equal">
      <formula>"Towel"</formula>
    </cfRule>
    <cfRule type="cellIs" dxfId="7302" priority="15163" stopIfTrue="1" operator="equal">
      <formula>"Napkin Hs"</formula>
    </cfRule>
  </conditionalFormatting>
  <conditionalFormatting sqref="B74:C74">
    <cfRule type="cellIs" dxfId="7301" priority="15160" stopIfTrue="1" operator="equal">
      <formula>"Towel"</formula>
    </cfRule>
    <cfRule type="cellIs" dxfId="7300" priority="15161" stopIfTrue="1" operator="equal">
      <formula>"Napkin Hs"</formula>
    </cfRule>
  </conditionalFormatting>
  <conditionalFormatting sqref="C74">
    <cfRule type="cellIs" dxfId="7299" priority="15158" stopIfTrue="1" operator="equal">
      <formula>"Towel"</formula>
    </cfRule>
    <cfRule type="cellIs" dxfId="7298" priority="15159" stopIfTrue="1" operator="equal">
      <formula>"Napkin Hs"</formula>
    </cfRule>
  </conditionalFormatting>
  <conditionalFormatting sqref="C74">
    <cfRule type="cellIs" dxfId="7297" priority="15156" stopIfTrue="1" operator="equal">
      <formula>"Towel"</formula>
    </cfRule>
    <cfRule type="cellIs" dxfId="7296" priority="15157" stopIfTrue="1" operator="equal">
      <formula>"Napkin Hs"</formula>
    </cfRule>
  </conditionalFormatting>
  <conditionalFormatting sqref="B74:C74">
    <cfRule type="cellIs" dxfId="7295" priority="15154" stopIfTrue="1" operator="equal">
      <formula>"Towel"</formula>
    </cfRule>
    <cfRule type="cellIs" dxfId="7294" priority="15155" stopIfTrue="1" operator="equal">
      <formula>"Napkin Hs"</formula>
    </cfRule>
  </conditionalFormatting>
  <conditionalFormatting sqref="C74">
    <cfRule type="cellIs" dxfId="7293" priority="15152" stopIfTrue="1" operator="equal">
      <formula>"Towel"</formula>
    </cfRule>
    <cfRule type="cellIs" dxfId="7292" priority="15153" stopIfTrue="1" operator="equal">
      <formula>"Napkin Hs"</formula>
    </cfRule>
  </conditionalFormatting>
  <conditionalFormatting sqref="C74">
    <cfRule type="cellIs" dxfId="7291" priority="15150" stopIfTrue="1" operator="equal">
      <formula>"Towel"</formula>
    </cfRule>
    <cfRule type="cellIs" dxfId="7290" priority="15151" stopIfTrue="1" operator="equal">
      <formula>"Napkin Hs"</formula>
    </cfRule>
  </conditionalFormatting>
  <conditionalFormatting sqref="B74:C74">
    <cfRule type="cellIs" dxfId="7289" priority="15149" stopIfTrue="1" operator="equal">
      <formula>"Napkin Hs"</formula>
    </cfRule>
  </conditionalFormatting>
  <conditionalFormatting sqref="B74:C74">
    <cfRule type="cellIs" dxfId="7288" priority="15148" stopIfTrue="1" operator="equal">
      <formula>"Towel"</formula>
    </cfRule>
  </conditionalFormatting>
  <conditionalFormatting sqref="C74">
    <cfRule type="cellIs" dxfId="7287" priority="15147" stopIfTrue="1" operator="equal">
      <formula>"Napkin Hs"</formula>
    </cfRule>
  </conditionalFormatting>
  <conditionalFormatting sqref="C74">
    <cfRule type="cellIs" dxfId="7286" priority="15144" stopIfTrue="1" operator="equal">
      <formula>"Towel"</formula>
    </cfRule>
    <cfRule type="cellIs" dxfId="7285" priority="15145" stopIfTrue="1" operator="equal">
      <formula>"Napkin Hs"</formula>
    </cfRule>
  </conditionalFormatting>
  <conditionalFormatting sqref="C74">
    <cfRule type="cellIs" dxfId="7284" priority="15146" stopIfTrue="1" operator="equal">
      <formula>"Towel"</formula>
    </cfRule>
  </conditionalFormatting>
  <conditionalFormatting sqref="C32">
    <cfRule type="cellIs" dxfId="7283" priority="12018" stopIfTrue="1" operator="equal">
      <formula>"Towel"</formula>
    </cfRule>
    <cfRule type="cellIs" dxfId="7282" priority="12019" stopIfTrue="1" operator="equal">
      <formula>"Napkin Hs"</formula>
    </cfRule>
  </conditionalFormatting>
  <conditionalFormatting sqref="B30:C30">
    <cfRule type="cellIs" dxfId="7281" priority="12011" stopIfTrue="1" operator="equal">
      <formula>"Napkin Hs"</formula>
    </cfRule>
  </conditionalFormatting>
  <conditionalFormatting sqref="B30:C30">
    <cfRule type="cellIs" dxfId="7280" priority="12010" stopIfTrue="1" operator="equal">
      <formula>"Towel"</formula>
    </cfRule>
  </conditionalFormatting>
  <conditionalFormatting sqref="C30">
    <cfRule type="cellIs" dxfId="7279" priority="12006" stopIfTrue="1" operator="equal">
      <formula>"Towel"</formula>
    </cfRule>
    <cfRule type="cellIs" dxfId="7278" priority="12007" stopIfTrue="1" operator="equal">
      <formula>"Napkin Hs"</formula>
    </cfRule>
  </conditionalFormatting>
  <conditionalFormatting sqref="C31">
    <cfRule type="cellIs" dxfId="7277" priority="11988" stopIfTrue="1" operator="equal">
      <formula>"Towel"</formula>
    </cfRule>
    <cfRule type="cellIs" dxfId="7276" priority="11989" stopIfTrue="1" operator="equal">
      <formula>"Napkin Hs"</formula>
    </cfRule>
  </conditionalFormatting>
  <conditionalFormatting sqref="C6 C8:C9 C25:C26">
    <cfRule type="cellIs" dxfId="7275" priority="11881" stopIfTrue="1" operator="equal">
      <formula>"Napkin Hs"</formula>
    </cfRule>
  </conditionalFormatting>
  <conditionalFormatting sqref="C25:C26 C6 C8:C9">
    <cfRule type="cellIs" dxfId="7274" priority="11880" stopIfTrue="1" operator="equal">
      <formula>"Towel"</formula>
    </cfRule>
  </conditionalFormatting>
  <conditionalFormatting sqref="C6 C8:C9">
    <cfRule type="cellIs" dxfId="7273" priority="11876" stopIfTrue="1" operator="equal">
      <formula>"Towel"</formula>
    </cfRule>
    <cfRule type="cellIs" dxfId="7272" priority="11877" stopIfTrue="1" operator="equal">
      <formula>"Napkin Hs"</formula>
    </cfRule>
  </conditionalFormatting>
  <conditionalFormatting sqref="C10">
    <cfRule type="cellIs" dxfId="7271" priority="11870" stopIfTrue="1" operator="equal">
      <formula>"Towel"</formula>
    </cfRule>
    <cfRule type="cellIs" dxfId="7270" priority="11871" stopIfTrue="1" operator="equal">
      <formula>"Napkin Hs"</formula>
    </cfRule>
  </conditionalFormatting>
  <conditionalFormatting sqref="B24:C24 B25">
    <cfRule type="cellIs" dxfId="7269" priority="11868" stopIfTrue="1" operator="equal">
      <formula>"Towel"</formula>
    </cfRule>
    <cfRule type="cellIs" dxfId="7268" priority="11869" stopIfTrue="1" operator="equal">
      <formula>"Napkin Hs"</formula>
    </cfRule>
  </conditionalFormatting>
  <conditionalFormatting sqref="C24">
    <cfRule type="cellIs" dxfId="7267" priority="11866" stopIfTrue="1" operator="equal">
      <formula>"Towel"</formula>
    </cfRule>
    <cfRule type="cellIs" dxfId="7266" priority="11867" stopIfTrue="1" operator="equal">
      <formula>"Napkin Hs"</formula>
    </cfRule>
  </conditionalFormatting>
  <conditionalFormatting sqref="C24">
    <cfRule type="cellIs" dxfId="7265" priority="11864" stopIfTrue="1" operator="equal">
      <formula>"Towel"</formula>
    </cfRule>
    <cfRule type="cellIs" dxfId="7264" priority="11865" stopIfTrue="1" operator="equal">
      <formula>"Napkin Hs"</formula>
    </cfRule>
  </conditionalFormatting>
  <conditionalFormatting sqref="C7">
    <cfRule type="cellIs" dxfId="7263" priority="11858" stopIfTrue="1" operator="equal">
      <formula>"Towel"</formula>
    </cfRule>
    <cfRule type="cellIs" dxfId="7262" priority="11859" stopIfTrue="1" operator="equal">
      <formula>"Napkin Hs"</formula>
    </cfRule>
  </conditionalFormatting>
  <conditionalFormatting sqref="C26">
    <cfRule type="cellIs" dxfId="7261" priority="11852" stopIfTrue="1" operator="equal">
      <formula>"Towel"</formula>
    </cfRule>
    <cfRule type="cellIs" dxfId="7260" priority="11853" stopIfTrue="1" operator="equal">
      <formula>"Napkin Hs"</formula>
    </cfRule>
  </conditionalFormatting>
  <conditionalFormatting sqref="C25">
    <cfRule type="cellIs" dxfId="7259" priority="11846" stopIfTrue="1" operator="equal">
      <formula>"Towel"</formula>
    </cfRule>
    <cfRule type="cellIs" dxfId="7258" priority="11847" stopIfTrue="1" operator="equal">
      <formula>"Napkin Hs"</formula>
    </cfRule>
  </conditionalFormatting>
  <conditionalFormatting sqref="B12:C14 C10:C11">
    <cfRule type="cellIs" dxfId="7257" priority="11845" stopIfTrue="1" operator="equal">
      <formula>"Napkin Hs"</formula>
    </cfRule>
  </conditionalFormatting>
  <conditionalFormatting sqref="B12:C14 C10:C11">
    <cfRule type="cellIs" dxfId="7256" priority="11844" stopIfTrue="1" operator="equal">
      <formula>"Towel"</formula>
    </cfRule>
  </conditionalFormatting>
  <conditionalFormatting sqref="C10:C14">
    <cfRule type="cellIs" dxfId="7255" priority="11843" stopIfTrue="1" operator="equal">
      <formula>"Napkin Hs"</formula>
    </cfRule>
  </conditionalFormatting>
  <conditionalFormatting sqref="C10:C14">
    <cfRule type="cellIs" dxfId="7254" priority="11840" stopIfTrue="1" operator="equal">
      <formula>"Towel"</formula>
    </cfRule>
    <cfRule type="cellIs" dxfId="7253" priority="11841" stopIfTrue="1" operator="equal">
      <formula>"Napkin Hs"</formula>
    </cfRule>
  </conditionalFormatting>
  <conditionalFormatting sqref="C10:C14">
    <cfRule type="cellIs" dxfId="7252" priority="11842" stopIfTrue="1" operator="equal">
      <formula>"Towel"</formula>
    </cfRule>
  </conditionalFormatting>
  <conditionalFormatting sqref="B151:C151">
    <cfRule type="cellIs" dxfId="7251" priority="13105" stopIfTrue="1" operator="equal">
      <formula>"Napkin Hs"</formula>
    </cfRule>
  </conditionalFormatting>
  <conditionalFormatting sqref="B151:C151">
    <cfRule type="cellIs" dxfId="7250" priority="13104" stopIfTrue="1" operator="equal">
      <formula>"Towel"</formula>
    </cfRule>
  </conditionalFormatting>
  <conditionalFormatting sqref="C151">
    <cfRule type="cellIs" dxfId="7249" priority="13103" stopIfTrue="1" operator="equal">
      <formula>"Napkin Hs"</formula>
    </cfRule>
  </conditionalFormatting>
  <conditionalFormatting sqref="C151">
    <cfRule type="cellIs" dxfId="7248" priority="13102" stopIfTrue="1" operator="equal">
      <formula>"Towel"</formula>
    </cfRule>
  </conditionalFormatting>
  <conditionalFormatting sqref="C151">
    <cfRule type="cellIs" dxfId="7247" priority="13100" stopIfTrue="1" operator="equal">
      <formula>"Towel"</formula>
    </cfRule>
    <cfRule type="cellIs" dxfId="7246" priority="13101" stopIfTrue="1" operator="equal">
      <formula>"Napkin Hs"</formula>
    </cfRule>
  </conditionalFormatting>
  <conditionalFormatting sqref="C28">
    <cfRule type="cellIs" dxfId="7245" priority="11700" stopIfTrue="1" operator="equal">
      <formula>"Towel"</formula>
    </cfRule>
    <cfRule type="cellIs" dxfId="7244" priority="11701" stopIfTrue="1" operator="equal">
      <formula>"Napkin Hs"</formula>
    </cfRule>
  </conditionalFormatting>
  <conditionalFormatting sqref="B28">
    <cfRule type="cellIs" dxfId="7243" priority="11693" stopIfTrue="1" operator="equal">
      <formula>"Napkin Hs"</formula>
    </cfRule>
  </conditionalFormatting>
  <conditionalFormatting sqref="B28">
    <cfRule type="cellIs" dxfId="7242" priority="11692" stopIfTrue="1" operator="equal">
      <formula>"Towel"</formula>
    </cfRule>
  </conditionalFormatting>
  <conditionalFormatting sqref="B30:C30">
    <cfRule type="cellIs" dxfId="7241" priority="12029" stopIfTrue="1" operator="equal">
      <formula>"Napkin Hs"</formula>
    </cfRule>
  </conditionalFormatting>
  <conditionalFormatting sqref="B30:C30">
    <cfRule type="cellIs" dxfId="7240" priority="12028" stopIfTrue="1" operator="equal">
      <formula>"Towel"</formula>
    </cfRule>
  </conditionalFormatting>
  <conditionalFormatting sqref="C30">
    <cfRule type="cellIs" dxfId="7239" priority="12027" stopIfTrue="1" operator="equal">
      <formula>"Napkin Hs"</formula>
    </cfRule>
  </conditionalFormatting>
  <conditionalFormatting sqref="C30">
    <cfRule type="cellIs" dxfId="7238" priority="12026" stopIfTrue="1" operator="equal">
      <formula>"Towel"</formula>
    </cfRule>
  </conditionalFormatting>
  <conditionalFormatting sqref="C30">
    <cfRule type="cellIs" dxfId="7237" priority="12024" stopIfTrue="1" operator="equal">
      <formula>"Towel"</formula>
    </cfRule>
    <cfRule type="cellIs" dxfId="7236" priority="12025" stopIfTrue="1" operator="equal">
      <formula>"Napkin Hs"</formula>
    </cfRule>
  </conditionalFormatting>
  <conditionalFormatting sqref="B32:C32">
    <cfRule type="cellIs" dxfId="7235" priority="12023" stopIfTrue="1" operator="equal">
      <formula>"Napkin Hs"</formula>
    </cfRule>
  </conditionalFormatting>
  <conditionalFormatting sqref="B32:C32">
    <cfRule type="cellIs" dxfId="7234" priority="12022" stopIfTrue="1" operator="equal">
      <formula>"Towel"</formula>
    </cfRule>
  </conditionalFormatting>
  <conditionalFormatting sqref="C32">
    <cfRule type="cellIs" dxfId="7233" priority="12021" stopIfTrue="1" operator="equal">
      <formula>"Napkin Hs"</formula>
    </cfRule>
  </conditionalFormatting>
  <conditionalFormatting sqref="C32">
    <cfRule type="cellIs" dxfId="7232" priority="12020" stopIfTrue="1" operator="equal">
      <formula>"Towel"</formula>
    </cfRule>
  </conditionalFormatting>
  <conditionalFormatting sqref="B32:C32">
    <cfRule type="cellIs" dxfId="7231" priority="12017" stopIfTrue="1" operator="equal">
      <formula>"Napkin Hs"</formula>
    </cfRule>
  </conditionalFormatting>
  <conditionalFormatting sqref="B32:C32">
    <cfRule type="cellIs" dxfId="7230" priority="12016" stopIfTrue="1" operator="equal">
      <formula>"Towel"</formula>
    </cfRule>
  </conditionalFormatting>
  <conditionalFormatting sqref="C32">
    <cfRule type="cellIs" dxfId="7229" priority="12015" stopIfTrue="1" operator="equal">
      <formula>"Napkin Hs"</formula>
    </cfRule>
  </conditionalFormatting>
  <conditionalFormatting sqref="C32">
    <cfRule type="cellIs" dxfId="7228" priority="12012" stopIfTrue="1" operator="equal">
      <formula>"Towel"</formula>
    </cfRule>
    <cfRule type="cellIs" dxfId="7227" priority="12013" stopIfTrue="1" operator="equal">
      <formula>"Napkin Hs"</formula>
    </cfRule>
  </conditionalFormatting>
  <conditionalFormatting sqref="C32">
    <cfRule type="cellIs" dxfId="7226" priority="12014" stopIfTrue="1" operator="equal">
      <formula>"Towel"</formula>
    </cfRule>
  </conditionalFormatting>
  <conditionalFormatting sqref="C30">
    <cfRule type="cellIs" dxfId="7225" priority="12009" stopIfTrue="1" operator="equal">
      <formula>"Napkin Hs"</formula>
    </cfRule>
  </conditionalFormatting>
  <conditionalFormatting sqref="C30">
    <cfRule type="cellIs" dxfId="7224" priority="12008" stopIfTrue="1" operator="equal">
      <formula>"Towel"</formula>
    </cfRule>
  </conditionalFormatting>
  <conditionalFormatting sqref="C10">
    <cfRule type="cellIs" dxfId="7223" priority="11873" stopIfTrue="1" operator="equal">
      <formula>"Napkin Hs"</formula>
    </cfRule>
  </conditionalFormatting>
  <conditionalFormatting sqref="C10">
    <cfRule type="cellIs" dxfId="7222" priority="11872" stopIfTrue="1" operator="equal">
      <formula>"Towel"</formula>
    </cfRule>
  </conditionalFormatting>
  <conditionalFormatting sqref="B31:C31">
    <cfRule type="cellIs" dxfId="7221" priority="11993" stopIfTrue="1" operator="equal">
      <formula>"Napkin Hs"</formula>
    </cfRule>
  </conditionalFormatting>
  <conditionalFormatting sqref="B31:C31">
    <cfRule type="cellIs" dxfId="7220" priority="11992" stopIfTrue="1" operator="equal">
      <formula>"Towel"</formula>
    </cfRule>
  </conditionalFormatting>
  <conditionalFormatting sqref="C31">
    <cfRule type="cellIs" dxfId="7219" priority="11991" stopIfTrue="1" operator="equal">
      <formula>"Napkin Hs"</formula>
    </cfRule>
  </conditionalFormatting>
  <conditionalFormatting sqref="C31">
    <cfRule type="cellIs" dxfId="7218" priority="11990" stopIfTrue="1" operator="equal">
      <formula>"Towel"</formula>
    </cfRule>
  </conditionalFormatting>
  <conditionalFormatting sqref="B6:C6 B8:C9 B25:C26">
    <cfRule type="cellIs" dxfId="7217" priority="11883" stopIfTrue="1" operator="equal">
      <formula>"Napkin Hs"</formula>
    </cfRule>
  </conditionalFormatting>
  <conditionalFormatting sqref="B6:C6 B8:C9 B25:C26">
    <cfRule type="cellIs" dxfId="7216" priority="11882" stopIfTrue="1" operator="equal">
      <formula>"Towel"</formula>
    </cfRule>
  </conditionalFormatting>
  <conditionalFormatting sqref="C25:C26">
    <cfRule type="cellIs" dxfId="7215" priority="11878" stopIfTrue="1" operator="equal">
      <formula>"Towel"</formula>
    </cfRule>
    <cfRule type="cellIs" dxfId="7214" priority="11879" stopIfTrue="1" operator="equal">
      <formula>"Napkin Hs"</formula>
    </cfRule>
  </conditionalFormatting>
  <conditionalFormatting sqref="C10">
    <cfRule type="cellIs" dxfId="7213" priority="11875" stopIfTrue="1" operator="equal">
      <formula>"Napkin Hs"</formula>
    </cfRule>
  </conditionalFormatting>
  <conditionalFormatting sqref="C10">
    <cfRule type="cellIs" dxfId="7212" priority="11874" stopIfTrue="1" operator="equal">
      <formula>"Towel"</formula>
    </cfRule>
  </conditionalFormatting>
  <conditionalFormatting sqref="B7:C7">
    <cfRule type="cellIs" dxfId="7211" priority="11863" stopIfTrue="1" operator="equal">
      <formula>"Napkin Hs"</formula>
    </cfRule>
  </conditionalFormatting>
  <conditionalFormatting sqref="B7:C7">
    <cfRule type="cellIs" dxfId="7210" priority="11862" stopIfTrue="1" operator="equal">
      <formula>"Towel"</formula>
    </cfRule>
  </conditionalFormatting>
  <conditionalFormatting sqref="C7">
    <cfRule type="cellIs" dxfId="7209" priority="11861" stopIfTrue="1" operator="equal">
      <formula>"Napkin Hs"</formula>
    </cfRule>
  </conditionalFormatting>
  <conditionalFormatting sqref="C7">
    <cfRule type="cellIs" dxfId="7208" priority="11860" stopIfTrue="1" operator="equal">
      <formula>"Towel"</formula>
    </cfRule>
  </conditionalFormatting>
  <conditionalFormatting sqref="B26:C26">
    <cfRule type="cellIs" dxfId="7207" priority="11857" stopIfTrue="1" operator="equal">
      <formula>"Napkin Hs"</formula>
    </cfRule>
  </conditionalFormatting>
  <conditionalFormatting sqref="B26:C26">
    <cfRule type="cellIs" dxfId="7206" priority="11856" stopIfTrue="1" operator="equal">
      <formula>"Towel"</formula>
    </cfRule>
  </conditionalFormatting>
  <conditionalFormatting sqref="C26">
    <cfRule type="cellIs" dxfId="7205" priority="11855" stopIfTrue="1" operator="equal">
      <formula>"Napkin Hs"</formula>
    </cfRule>
  </conditionalFormatting>
  <conditionalFormatting sqref="C26">
    <cfRule type="cellIs" dxfId="7204" priority="11854" stopIfTrue="1" operator="equal">
      <formula>"Towel"</formula>
    </cfRule>
  </conditionalFormatting>
  <conditionalFormatting sqref="B25:C25">
    <cfRule type="cellIs" dxfId="7203" priority="11851" stopIfTrue="1" operator="equal">
      <formula>"Napkin Hs"</formula>
    </cfRule>
  </conditionalFormatting>
  <conditionalFormatting sqref="B25:C25">
    <cfRule type="cellIs" dxfId="7202" priority="11850" stopIfTrue="1" operator="equal">
      <formula>"Towel"</formula>
    </cfRule>
  </conditionalFormatting>
  <conditionalFormatting sqref="C25">
    <cfRule type="cellIs" dxfId="7201" priority="11849" stopIfTrue="1" operator="equal">
      <formula>"Napkin Hs"</formula>
    </cfRule>
  </conditionalFormatting>
  <conditionalFormatting sqref="C25">
    <cfRule type="cellIs" dxfId="7200" priority="11848" stopIfTrue="1" operator="equal">
      <formula>"Towel"</formula>
    </cfRule>
  </conditionalFormatting>
  <conditionalFormatting sqref="B12:C12">
    <cfRule type="cellIs" dxfId="7199" priority="11839" stopIfTrue="1" operator="equal">
      <formula>"Napkin Hs"</formula>
    </cfRule>
  </conditionalFormatting>
  <conditionalFormatting sqref="B12:C12">
    <cfRule type="cellIs" dxfId="7198" priority="11838" stopIfTrue="1" operator="equal">
      <formula>"Towel"</formula>
    </cfRule>
  </conditionalFormatting>
  <conditionalFormatting sqref="C12">
    <cfRule type="cellIs" dxfId="7197" priority="11837" stopIfTrue="1" operator="equal">
      <formula>"Napkin Hs"</formula>
    </cfRule>
  </conditionalFormatting>
  <conditionalFormatting sqref="C12">
    <cfRule type="cellIs" dxfId="7196" priority="11834" stopIfTrue="1" operator="equal">
      <formula>"Towel"</formula>
    </cfRule>
    <cfRule type="cellIs" dxfId="7195" priority="11835" stopIfTrue="1" operator="equal">
      <formula>"Napkin Hs"</formula>
    </cfRule>
  </conditionalFormatting>
  <conditionalFormatting sqref="C12">
    <cfRule type="cellIs" dxfId="7194" priority="11836" stopIfTrue="1" operator="equal">
      <formula>"Towel"</formula>
    </cfRule>
  </conditionalFormatting>
  <conditionalFormatting sqref="B14:C14">
    <cfRule type="cellIs" dxfId="7193" priority="11832" stopIfTrue="1" operator="equal">
      <formula>"Towel"</formula>
    </cfRule>
    <cfRule type="cellIs" dxfId="7192" priority="11833" stopIfTrue="1" operator="equal">
      <formula>"Napkin Hs"</formula>
    </cfRule>
  </conditionalFormatting>
  <conditionalFormatting sqref="C14">
    <cfRule type="cellIs" dxfId="7191" priority="11830" stopIfTrue="1" operator="equal">
      <formula>"Towel"</formula>
    </cfRule>
    <cfRule type="cellIs" dxfId="7190" priority="11831" stopIfTrue="1" operator="equal">
      <formula>"Napkin Hs"</formula>
    </cfRule>
  </conditionalFormatting>
  <conditionalFormatting sqref="C14">
    <cfRule type="cellIs" dxfId="7189" priority="11828" stopIfTrue="1" operator="equal">
      <formula>"Towel"</formula>
    </cfRule>
    <cfRule type="cellIs" dxfId="7188" priority="11829" stopIfTrue="1" operator="equal">
      <formula>"Napkin Hs"</formula>
    </cfRule>
  </conditionalFormatting>
  <conditionalFormatting sqref="B9:C9">
    <cfRule type="cellIs" dxfId="7187" priority="11827" stopIfTrue="1" operator="equal">
      <formula>"Napkin Hs"</formula>
    </cfRule>
  </conditionalFormatting>
  <conditionalFormatting sqref="B9:C9">
    <cfRule type="cellIs" dxfId="7186" priority="11826" stopIfTrue="1" operator="equal">
      <formula>"Towel"</formula>
    </cfRule>
  </conditionalFormatting>
  <conditionalFormatting sqref="C9">
    <cfRule type="cellIs" dxfId="7185" priority="11825" stopIfTrue="1" operator="equal">
      <formula>"Napkin Hs"</formula>
    </cfRule>
  </conditionalFormatting>
  <conditionalFormatting sqref="C9">
    <cfRule type="cellIs" dxfId="7184" priority="11822" stopIfTrue="1" operator="equal">
      <formula>"Towel"</formula>
    </cfRule>
    <cfRule type="cellIs" dxfId="7183" priority="11823" stopIfTrue="1" operator="equal">
      <formula>"Napkin Hs"</formula>
    </cfRule>
  </conditionalFormatting>
  <conditionalFormatting sqref="C9">
    <cfRule type="cellIs" dxfId="7182" priority="11824" stopIfTrue="1" operator="equal">
      <formula>"Towel"</formula>
    </cfRule>
  </conditionalFormatting>
  <conditionalFormatting sqref="C11">
    <cfRule type="cellIs" dxfId="7181" priority="11821" stopIfTrue="1" operator="equal">
      <formula>"Napkin Hs"</formula>
    </cfRule>
  </conditionalFormatting>
  <conditionalFormatting sqref="C11">
    <cfRule type="cellIs" dxfId="7180" priority="11820" stopIfTrue="1" operator="equal">
      <formula>"Towel"</formula>
    </cfRule>
  </conditionalFormatting>
  <conditionalFormatting sqref="C11">
    <cfRule type="cellIs" dxfId="7179" priority="11819" stopIfTrue="1" operator="equal">
      <formula>"Napkin Hs"</formula>
    </cfRule>
  </conditionalFormatting>
  <conditionalFormatting sqref="C11">
    <cfRule type="cellIs" dxfId="7178" priority="11816" stopIfTrue="1" operator="equal">
      <formula>"Towel"</formula>
    </cfRule>
    <cfRule type="cellIs" dxfId="7177" priority="11817" stopIfTrue="1" operator="equal">
      <formula>"Napkin Hs"</formula>
    </cfRule>
  </conditionalFormatting>
  <conditionalFormatting sqref="C11">
    <cfRule type="cellIs" dxfId="7176" priority="11818" stopIfTrue="1" operator="equal">
      <formula>"Towel"</formula>
    </cfRule>
  </conditionalFormatting>
  <conditionalFormatting sqref="B10:B11">
    <cfRule type="cellIs" dxfId="7175" priority="11815" stopIfTrue="1" operator="equal">
      <formula>"Napkin Hs"</formula>
    </cfRule>
  </conditionalFormatting>
  <conditionalFormatting sqref="B10:B11">
    <cfRule type="cellIs" dxfId="7174" priority="11814" stopIfTrue="1" operator="equal">
      <formula>"Towel"</formula>
    </cfRule>
  </conditionalFormatting>
  <conditionalFormatting sqref="B17:C19 C16">
    <cfRule type="cellIs" dxfId="7173" priority="11813" stopIfTrue="1" operator="equal">
      <formula>"Napkin Hs"</formula>
    </cfRule>
  </conditionalFormatting>
  <conditionalFormatting sqref="B17:C19 C16">
    <cfRule type="cellIs" dxfId="7172" priority="11812" stopIfTrue="1" operator="equal">
      <formula>"Towel"</formula>
    </cfRule>
  </conditionalFormatting>
  <conditionalFormatting sqref="C16:C19">
    <cfRule type="cellIs" dxfId="7171" priority="11811" stopIfTrue="1" operator="equal">
      <formula>"Napkin Hs"</formula>
    </cfRule>
  </conditionalFormatting>
  <conditionalFormatting sqref="C16:C19">
    <cfRule type="cellIs" dxfId="7170" priority="11808" stopIfTrue="1" operator="equal">
      <formula>"Towel"</formula>
    </cfRule>
    <cfRule type="cellIs" dxfId="7169" priority="11809" stopIfTrue="1" operator="equal">
      <formula>"Napkin Hs"</formula>
    </cfRule>
  </conditionalFormatting>
  <conditionalFormatting sqref="C16:C19">
    <cfRule type="cellIs" dxfId="7168" priority="11810" stopIfTrue="1" operator="equal">
      <formula>"Towel"</formula>
    </cfRule>
  </conditionalFormatting>
  <conditionalFormatting sqref="B17:C17">
    <cfRule type="cellIs" dxfId="7167" priority="11807" stopIfTrue="1" operator="equal">
      <formula>"Napkin Hs"</formula>
    </cfRule>
  </conditionalFormatting>
  <conditionalFormatting sqref="B17:C17">
    <cfRule type="cellIs" dxfId="7166" priority="11806" stopIfTrue="1" operator="equal">
      <formula>"Towel"</formula>
    </cfRule>
  </conditionalFormatting>
  <conditionalFormatting sqref="C17">
    <cfRule type="cellIs" dxfId="7165" priority="11805" stopIfTrue="1" operator="equal">
      <formula>"Napkin Hs"</formula>
    </cfRule>
  </conditionalFormatting>
  <conditionalFormatting sqref="C17">
    <cfRule type="cellIs" dxfId="7164" priority="11802" stopIfTrue="1" operator="equal">
      <formula>"Towel"</formula>
    </cfRule>
    <cfRule type="cellIs" dxfId="7163" priority="11803" stopIfTrue="1" operator="equal">
      <formula>"Napkin Hs"</formula>
    </cfRule>
  </conditionalFormatting>
  <conditionalFormatting sqref="C17">
    <cfRule type="cellIs" dxfId="7162" priority="11804" stopIfTrue="1" operator="equal">
      <formula>"Towel"</formula>
    </cfRule>
  </conditionalFormatting>
  <conditionalFormatting sqref="B19:C19">
    <cfRule type="cellIs" dxfId="7161" priority="11800" stopIfTrue="1" operator="equal">
      <formula>"Towel"</formula>
    </cfRule>
    <cfRule type="cellIs" dxfId="7160" priority="11801" stopIfTrue="1" operator="equal">
      <formula>"Napkin Hs"</formula>
    </cfRule>
  </conditionalFormatting>
  <conditionalFormatting sqref="C19">
    <cfRule type="cellIs" dxfId="7159" priority="11798" stopIfTrue="1" operator="equal">
      <formula>"Towel"</formula>
    </cfRule>
    <cfRule type="cellIs" dxfId="7158" priority="11799" stopIfTrue="1" operator="equal">
      <formula>"Napkin Hs"</formula>
    </cfRule>
  </conditionalFormatting>
  <conditionalFormatting sqref="C19">
    <cfRule type="cellIs" dxfId="7157" priority="11796" stopIfTrue="1" operator="equal">
      <formula>"Towel"</formula>
    </cfRule>
    <cfRule type="cellIs" dxfId="7156" priority="11797" stopIfTrue="1" operator="equal">
      <formula>"Napkin Hs"</formula>
    </cfRule>
  </conditionalFormatting>
  <conditionalFormatting sqref="C16">
    <cfRule type="cellIs" dxfId="7155" priority="11795" stopIfTrue="1" operator="equal">
      <formula>"Napkin Hs"</formula>
    </cfRule>
  </conditionalFormatting>
  <conditionalFormatting sqref="C16">
    <cfRule type="cellIs" dxfId="7154" priority="11794" stopIfTrue="1" operator="equal">
      <formula>"Towel"</formula>
    </cfRule>
  </conditionalFormatting>
  <conditionalFormatting sqref="C16">
    <cfRule type="cellIs" dxfId="7153" priority="11793" stopIfTrue="1" operator="equal">
      <formula>"Napkin Hs"</formula>
    </cfRule>
  </conditionalFormatting>
  <conditionalFormatting sqref="C16">
    <cfRule type="cellIs" dxfId="7152" priority="11790" stopIfTrue="1" operator="equal">
      <formula>"Towel"</formula>
    </cfRule>
    <cfRule type="cellIs" dxfId="7151" priority="11791" stopIfTrue="1" operator="equal">
      <formula>"Napkin Hs"</formula>
    </cfRule>
  </conditionalFormatting>
  <conditionalFormatting sqref="C16">
    <cfRule type="cellIs" dxfId="7150" priority="11792" stopIfTrue="1" operator="equal">
      <formula>"Towel"</formula>
    </cfRule>
  </conditionalFormatting>
  <conditionalFormatting sqref="C15">
    <cfRule type="cellIs" dxfId="7149" priority="11789" stopIfTrue="1" operator="equal">
      <formula>"Napkin Hs"</formula>
    </cfRule>
  </conditionalFormatting>
  <conditionalFormatting sqref="C15">
    <cfRule type="cellIs" dxfId="7148" priority="11788" stopIfTrue="1" operator="equal">
      <formula>"Towel"</formula>
    </cfRule>
  </conditionalFormatting>
  <conditionalFormatting sqref="C15">
    <cfRule type="cellIs" dxfId="7147" priority="11787" stopIfTrue="1" operator="equal">
      <formula>"Napkin Hs"</formula>
    </cfRule>
  </conditionalFormatting>
  <conditionalFormatting sqref="C15">
    <cfRule type="cellIs" dxfId="7146" priority="11784" stopIfTrue="1" operator="equal">
      <formula>"Towel"</formula>
    </cfRule>
    <cfRule type="cellIs" dxfId="7145" priority="11785" stopIfTrue="1" operator="equal">
      <formula>"Napkin Hs"</formula>
    </cfRule>
  </conditionalFormatting>
  <conditionalFormatting sqref="C15">
    <cfRule type="cellIs" dxfId="7144" priority="11786" stopIfTrue="1" operator="equal">
      <formula>"Towel"</formula>
    </cfRule>
  </conditionalFormatting>
  <conditionalFormatting sqref="C15">
    <cfRule type="cellIs" dxfId="7143" priority="11783" stopIfTrue="1" operator="equal">
      <formula>"Napkin Hs"</formula>
    </cfRule>
  </conditionalFormatting>
  <conditionalFormatting sqref="C15">
    <cfRule type="cellIs" dxfId="7142" priority="11782" stopIfTrue="1" operator="equal">
      <formula>"Towel"</formula>
    </cfRule>
  </conditionalFormatting>
  <conditionalFormatting sqref="C15">
    <cfRule type="cellIs" dxfId="7141" priority="11781" stopIfTrue="1" operator="equal">
      <formula>"Napkin Hs"</formula>
    </cfRule>
  </conditionalFormatting>
  <conditionalFormatting sqref="C15">
    <cfRule type="cellIs" dxfId="7140" priority="11778" stopIfTrue="1" operator="equal">
      <formula>"Towel"</formula>
    </cfRule>
    <cfRule type="cellIs" dxfId="7139" priority="11779" stopIfTrue="1" operator="equal">
      <formula>"Napkin Hs"</formula>
    </cfRule>
  </conditionalFormatting>
  <conditionalFormatting sqref="C15">
    <cfRule type="cellIs" dxfId="7138" priority="11780" stopIfTrue="1" operator="equal">
      <formula>"Towel"</formula>
    </cfRule>
  </conditionalFormatting>
  <conditionalFormatting sqref="B15:B16">
    <cfRule type="cellIs" dxfId="7137" priority="11777" stopIfTrue="1" operator="equal">
      <formula>"Napkin Hs"</formula>
    </cfRule>
  </conditionalFormatting>
  <conditionalFormatting sqref="B15:B16">
    <cfRule type="cellIs" dxfId="7136" priority="11776" stopIfTrue="1" operator="equal">
      <formula>"Towel"</formula>
    </cfRule>
  </conditionalFormatting>
  <conditionalFormatting sqref="B22:C23 C21">
    <cfRule type="cellIs" dxfId="7135" priority="11775" stopIfTrue="1" operator="equal">
      <formula>"Napkin Hs"</formula>
    </cfRule>
  </conditionalFormatting>
  <conditionalFormatting sqref="B22:C23 C21">
    <cfRule type="cellIs" dxfId="7134" priority="11774" stopIfTrue="1" operator="equal">
      <formula>"Towel"</formula>
    </cfRule>
  </conditionalFormatting>
  <conditionalFormatting sqref="C21:C23">
    <cfRule type="cellIs" dxfId="7133" priority="11773" stopIfTrue="1" operator="equal">
      <formula>"Napkin Hs"</formula>
    </cfRule>
  </conditionalFormatting>
  <conditionalFormatting sqref="C21:C23">
    <cfRule type="cellIs" dxfId="7132" priority="11770" stopIfTrue="1" operator="equal">
      <formula>"Towel"</formula>
    </cfRule>
    <cfRule type="cellIs" dxfId="7131" priority="11771" stopIfTrue="1" operator="equal">
      <formula>"Napkin Hs"</formula>
    </cfRule>
  </conditionalFormatting>
  <conditionalFormatting sqref="C21:C23">
    <cfRule type="cellIs" dxfId="7130" priority="11772" stopIfTrue="1" operator="equal">
      <formula>"Towel"</formula>
    </cfRule>
  </conditionalFormatting>
  <conditionalFormatting sqref="B22:C22">
    <cfRule type="cellIs" dxfId="7129" priority="11769" stopIfTrue="1" operator="equal">
      <formula>"Napkin Hs"</formula>
    </cfRule>
  </conditionalFormatting>
  <conditionalFormatting sqref="B22:C22">
    <cfRule type="cellIs" dxfId="7128" priority="11768" stopIfTrue="1" operator="equal">
      <formula>"Towel"</formula>
    </cfRule>
  </conditionalFormatting>
  <conditionalFormatting sqref="C22">
    <cfRule type="cellIs" dxfId="7127" priority="11767" stopIfTrue="1" operator="equal">
      <formula>"Napkin Hs"</formula>
    </cfRule>
  </conditionalFormatting>
  <conditionalFormatting sqref="C22">
    <cfRule type="cellIs" dxfId="7126" priority="11764" stopIfTrue="1" operator="equal">
      <formula>"Towel"</formula>
    </cfRule>
    <cfRule type="cellIs" dxfId="7125" priority="11765" stopIfTrue="1" operator="equal">
      <formula>"Napkin Hs"</formula>
    </cfRule>
  </conditionalFormatting>
  <conditionalFormatting sqref="C22">
    <cfRule type="cellIs" dxfId="7124" priority="11766" stopIfTrue="1" operator="equal">
      <formula>"Towel"</formula>
    </cfRule>
  </conditionalFormatting>
  <conditionalFormatting sqref="C21">
    <cfRule type="cellIs" dxfId="7123" priority="11763" stopIfTrue="1" operator="equal">
      <formula>"Napkin Hs"</formula>
    </cfRule>
  </conditionalFormatting>
  <conditionalFormatting sqref="C21">
    <cfRule type="cellIs" dxfId="7122" priority="11762" stopIfTrue="1" operator="equal">
      <formula>"Towel"</formula>
    </cfRule>
  </conditionalFormatting>
  <conditionalFormatting sqref="C21">
    <cfRule type="cellIs" dxfId="7121" priority="11761" stopIfTrue="1" operator="equal">
      <formula>"Napkin Hs"</formula>
    </cfRule>
  </conditionalFormatting>
  <conditionalFormatting sqref="C21">
    <cfRule type="cellIs" dxfId="7120" priority="11758" stopIfTrue="1" operator="equal">
      <formula>"Towel"</formula>
    </cfRule>
    <cfRule type="cellIs" dxfId="7119" priority="11759" stopIfTrue="1" operator="equal">
      <formula>"Napkin Hs"</formula>
    </cfRule>
  </conditionalFormatting>
  <conditionalFormatting sqref="C21">
    <cfRule type="cellIs" dxfId="7118" priority="11760" stopIfTrue="1" operator="equal">
      <formula>"Towel"</formula>
    </cfRule>
  </conditionalFormatting>
  <conditionalFormatting sqref="C20:C25">
    <cfRule type="cellIs" dxfId="7117" priority="11757" stopIfTrue="1" operator="equal">
      <formula>"Napkin Hs"</formula>
    </cfRule>
  </conditionalFormatting>
  <conditionalFormatting sqref="C20:C25">
    <cfRule type="cellIs" dxfId="7116" priority="11756" stopIfTrue="1" operator="equal">
      <formula>"Towel"</formula>
    </cfRule>
  </conditionalFormatting>
  <conditionalFormatting sqref="C20:C25">
    <cfRule type="cellIs" dxfId="7115" priority="11755" stopIfTrue="1" operator="equal">
      <formula>"Napkin Hs"</formula>
    </cfRule>
  </conditionalFormatting>
  <conditionalFormatting sqref="C20:C25">
    <cfRule type="cellIs" dxfId="7114" priority="11752" stopIfTrue="1" operator="equal">
      <formula>"Towel"</formula>
    </cfRule>
    <cfRule type="cellIs" dxfId="7113" priority="11753" stopIfTrue="1" operator="equal">
      <formula>"Napkin Hs"</formula>
    </cfRule>
  </conditionalFormatting>
  <conditionalFormatting sqref="C20:C25">
    <cfRule type="cellIs" dxfId="7112" priority="11754" stopIfTrue="1" operator="equal">
      <formula>"Towel"</formula>
    </cfRule>
  </conditionalFormatting>
  <conditionalFormatting sqref="C20:C25">
    <cfRule type="cellIs" dxfId="7111" priority="11751" stopIfTrue="1" operator="equal">
      <formula>"Napkin Hs"</formula>
    </cfRule>
  </conditionalFormatting>
  <conditionalFormatting sqref="C20:C25">
    <cfRule type="cellIs" dxfId="7110" priority="11750" stopIfTrue="1" operator="equal">
      <formula>"Towel"</formula>
    </cfRule>
  </conditionalFormatting>
  <conditionalFormatting sqref="C20:C25">
    <cfRule type="cellIs" dxfId="7109" priority="11749" stopIfTrue="1" operator="equal">
      <formula>"Napkin Hs"</formula>
    </cfRule>
  </conditionalFormatting>
  <conditionalFormatting sqref="C20:C25">
    <cfRule type="cellIs" dxfId="7108" priority="11746" stopIfTrue="1" operator="equal">
      <formula>"Towel"</formula>
    </cfRule>
    <cfRule type="cellIs" dxfId="7107" priority="11747" stopIfTrue="1" operator="equal">
      <formula>"Napkin Hs"</formula>
    </cfRule>
  </conditionalFormatting>
  <conditionalFormatting sqref="C20:C25">
    <cfRule type="cellIs" dxfId="7106" priority="11748" stopIfTrue="1" operator="equal">
      <formula>"Towel"</formula>
    </cfRule>
  </conditionalFormatting>
  <conditionalFormatting sqref="B20:B25">
    <cfRule type="cellIs" dxfId="7105" priority="11745" stopIfTrue="1" operator="equal">
      <formula>"Napkin Hs"</formula>
    </cfRule>
  </conditionalFormatting>
  <conditionalFormatting sqref="B20:B25">
    <cfRule type="cellIs" dxfId="7104" priority="11744" stopIfTrue="1" operator="equal">
      <formula>"Towel"</formula>
    </cfRule>
  </conditionalFormatting>
  <conditionalFormatting sqref="B29:C29">
    <cfRule type="cellIs" dxfId="7103" priority="11743" stopIfTrue="1" operator="equal">
      <formula>"Napkin Hs"</formula>
    </cfRule>
  </conditionalFormatting>
  <conditionalFormatting sqref="B29:C29">
    <cfRule type="cellIs" dxfId="7102" priority="11742" stopIfTrue="1" operator="equal">
      <formula>"Towel"</formula>
    </cfRule>
  </conditionalFormatting>
  <conditionalFormatting sqref="C29">
    <cfRule type="cellIs" dxfId="7101" priority="11741" stopIfTrue="1" operator="equal">
      <formula>"Napkin Hs"</formula>
    </cfRule>
  </conditionalFormatting>
  <conditionalFormatting sqref="C29">
    <cfRule type="cellIs" dxfId="7100" priority="11738" stopIfTrue="1" operator="equal">
      <formula>"Towel"</formula>
    </cfRule>
    <cfRule type="cellIs" dxfId="7099" priority="11739" stopIfTrue="1" operator="equal">
      <formula>"Napkin Hs"</formula>
    </cfRule>
  </conditionalFormatting>
  <conditionalFormatting sqref="C29">
    <cfRule type="cellIs" dxfId="7098" priority="11740" stopIfTrue="1" operator="equal">
      <formula>"Towel"</formula>
    </cfRule>
  </conditionalFormatting>
  <conditionalFormatting sqref="B29:C29">
    <cfRule type="cellIs" dxfId="7097" priority="11737" stopIfTrue="1" operator="equal">
      <formula>"Napkin Hs"</formula>
    </cfRule>
  </conditionalFormatting>
  <conditionalFormatting sqref="B29:C29">
    <cfRule type="cellIs" dxfId="7096" priority="11736" stopIfTrue="1" operator="equal">
      <formula>"Towel"</formula>
    </cfRule>
  </conditionalFormatting>
  <conditionalFormatting sqref="C29">
    <cfRule type="cellIs" dxfId="7095" priority="11735" stopIfTrue="1" operator="equal">
      <formula>"Napkin Hs"</formula>
    </cfRule>
  </conditionalFormatting>
  <conditionalFormatting sqref="C29">
    <cfRule type="cellIs" dxfId="7094" priority="11732" stopIfTrue="1" operator="equal">
      <formula>"Towel"</formula>
    </cfRule>
    <cfRule type="cellIs" dxfId="7093" priority="11733" stopIfTrue="1" operator="equal">
      <formula>"Napkin Hs"</formula>
    </cfRule>
  </conditionalFormatting>
  <conditionalFormatting sqref="C29">
    <cfRule type="cellIs" dxfId="7092" priority="11734" stopIfTrue="1" operator="equal">
      <formula>"Towel"</formula>
    </cfRule>
  </conditionalFormatting>
  <conditionalFormatting sqref="B27:C27">
    <cfRule type="cellIs" dxfId="7091" priority="11730" stopIfTrue="1" operator="equal">
      <formula>"Towel"</formula>
    </cfRule>
    <cfRule type="cellIs" dxfId="7090" priority="11731" stopIfTrue="1" operator="equal">
      <formula>"Napkin Hs"</formula>
    </cfRule>
  </conditionalFormatting>
  <conditionalFormatting sqref="C27">
    <cfRule type="cellIs" dxfId="7089" priority="11728" stopIfTrue="1" operator="equal">
      <formula>"Towel"</formula>
    </cfRule>
    <cfRule type="cellIs" dxfId="7088" priority="11729" stopIfTrue="1" operator="equal">
      <formula>"Napkin Hs"</formula>
    </cfRule>
  </conditionalFormatting>
  <conditionalFormatting sqref="C27">
    <cfRule type="cellIs" dxfId="7087" priority="11726" stopIfTrue="1" operator="equal">
      <formula>"Towel"</formula>
    </cfRule>
    <cfRule type="cellIs" dxfId="7086" priority="11727" stopIfTrue="1" operator="equal">
      <formula>"Napkin Hs"</formula>
    </cfRule>
  </conditionalFormatting>
  <conditionalFormatting sqref="C27">
    <cfRule type="cellIs" dxfId="7085" priority="11725" stopIfTrue="1" operator="equal">
      <formula>"Napkin Hs"</formula>
    </cfRule>
  </conditionalFormatting>
  <conditionalFormatting sqref="C27">
    <cfRule type="cellIs" dxfId="7084" priority="11724" stopIfTrue="1" operator="equal">
      <formula>"Towel"</formula>
    </cfRule>
  </conditionalFormatting>
  <conditionalFormatting sqref="C27">
    <cfRule type="cellIs" dxfId="7083" priority="11723" stopIfTrue="1" operator="equal">
      <formula>"Napkin Hs"</formula>
    </cfRule>
  </conditionalFormatting>
  <conditionalFormatting sqref="C27">
    <cfRule type="cellIs" dxfId="7082" priority="11720" stopIfTrue="1" operator="equal">
      <formula>"Towel"</formula>
    </cfRule>
    <cfRule type="cellIs" dxfId="7081" priority="11721" stopIfTrue="1" operator="equal">
      <formula>"Napkin Hs"</formula>
    </cfRule>
  </conditionalFormatting>
  <conditionalFormatting sqref="C27">
    <cfRule type="cellIs" dxfId="7080" priority="11722" stopIfTrue="1" operator="equal">
      <formula>"Towel"</formula>
    </cfRule>
  </conditionalFormatting>
  <conditionalFormatting sqref="C27">
    <cfRule type="cellIs" dxfId="7079" priority="11719" stopIfTrue="1" operator="equal">
      <formula>"Napkin Hs"</formula>
    </cfRule>
  </conditionalFormatting>
  <conditionalFormatting sqref="C27">
    <cfRule type="cellIs" dxfId="7078" priority="11718" stopIfTrue="1" operator="equal">
      <formula>"Towel"</formula>
    </cfRule>
  </conditionalFormatting>
  <conditionalFormatting sqref="C27">
    <cfRule type="cellIs" dxfId="7077" priority="11717" stopIfTrue="1" operator="equal">
      <formula>"Napkin Hs"</formula>
    </cfRule>
  </conditionalFormatting>
  <conditionalFormatting sqref="C27">
    <cfRule type="cellIs" dxfId="7076" priority="11714" stopIfTrue="1" operator="equal">
      <formula>"Towel"</formula>
    </cfRule>
    <cfRule type="cellIs" dxfId="7075" priority="11715" stopIfTrue="1" operator="equal">
      <formula>"Napkin Hs"</formula>
    </cfRule>
  </conditionalFormatting>
  <conditionalFormatting sqref="C27">
    <cfRule type="cellIs" dxfId="7074" priority="11716" stopIfTrue="1" operator="equal">
      <formula>"Towel"</formula>
    </cfRule>
  </conditionalFormatting>
  <conditionalFormatting sqref="B27">
    <cfRule type="cellIs" dxfId="7073" priority="11713" stopIfTrue="1" operator="equal">
      <formula>"Napkin Hs"</formula>
    </cfRule>
  </conditionalFormatting>
  <conditionalFormatting sqref="B27">
    <cfRule type="cellIs" dxfId="7072" priority="11712" stopIfTrue="1" operator="equal">
      <formula>"Towel"</formula>
    </cfRule>
  </conditionalFormatting>
  <conditionalFormatting sqref="B28:C28">
    <cfRule type="cellIs" dxfId="7071" priority="11710" stopIfTrue="1" operator="equal">
      <formula>"Towel"</formula>
    </cfRule>
    <cfRule type="cellIs" dxfId="7070" priority="11711" stopIfTrue="1" operator="equal">
      <formula>"Napkin Hs"</formula>
    </cfRule>
  </conditionalFormatting>
  <conditionalFormatting sqref="C28">
    <cfRule type="cellIs" dxfId="7069" priority="11708" stopIfTrue="1" operator="equal">
      <formula>"Towel"</formula>
    </cfRule>
    <cfRule type="cellIs" dxfId="7068" priority="11709" stopIfTrue="1" operator="equal">
      <formula>"Napkin Hs"</formula>
    </cfRule>
  </conditionalFormatting>
  <conditionalFormatting sqref="C28">
    <cfRule type="cellIs" dxfId="7067" priority="11706" stopIfTrue="1" operator="equal">
      <formula>"Towel"</formula>
    </cfRule>
    <cfRule type="cellIs" dxfId="7066" priority="11707" stopIfTrue="1" operator="equal">
      <formula>"Napkin Hs"</formula>
    </cfRule>
  </conditionalFormatting>
  <conditionalFormatting sqref="C28">
    <cfRule type="cellIs" dxfId="7065" priority="11705" stopIfTrue="1" operator="equal">
      <formula>"Napkin Hs"</formula>
    </cfRule>
  </conditionalFormatting>
  <conditionalFormatting sqref="C28">
    <cfRule type="cellIs" dxfId="7064" priority="11704" stopIfTrue="1" operator="equal">
      <formula>"Towel"</formula>
    </cfRule>
  </conditionalFormatting>
  <conditionalFormatting sqref="C28">
    <cfRule type="cellIs" dxfId="7063" priority="11703" stopIfTrue="1" operator="equal">
      <formula>"Napkin Hs"</formula>
    </cfRule>
  </conditionalFormatting>
  <conditionalFormatting sqref="C28">
    <cfRule type="cellIs" dxfId="7062" priority="11702" stopIfTrue="1" operator="equal">
      <formula>"Towel"</formula>
    </cfRule>
  </conditionalFormatting>
  <conditionalFormatting sqref="C28">
    <cfRule type="cellIs" dxfId="7061" priority="11699" stopIfTrue="1" operator="equal">
      <formula>"Napkin Hs"</formula>
    </cfRule>
  </conditionalFormatting>
  <conditionalFormatting sqref="C28">
    <cfRule type="cellIs" dxfId="7060" priority="11698" stopIfTrue="1" operator="equal">
      <formula>"Towel"</formula>
    </cfRule>
  </conditionalFormatting>
  <conditionalFormatting sqref="C28">
    <cfRule type="cellIs" dxfId="7059" priority="11697" stopIfTrue="1" operator="equal">
      <formula>"Napkin Hs"</formula>
    </cfRule>
  </conditionalFormatting>
  <conditionalFormatting sqref="C28">
    <cfRule type="cellIs" dxfId="7058" priority="11694" stopIfTrue="1" operator="equal">
      <formula>"Towel"</formula>
    </cfRule>
    <cfRule type="cellIs" dxfId="7057" priority="11695" stopIfTrue="1" operator="equal">
      <formula>"Napkin Hs"</formula>
    </cfRule>
  </conditionalFormatting>
  <conditionalFormatting sqref="C28">
    <cfRule type="cellIs" dxfId="7056" priority="11696" stopIfTrue="1" operator="equal">
      <formula>"Towel"</formula>
    </cfRule>
  </conditionalFormatting>
  <conditionalFormatting sqref="B37:C37">
    <cfRule type="cellIs" dxfId="7055" priority="11460" stopIfTrue="1" operator="equal">
      <formula>"Towel"</formula>
    </cfRule>
    <cfRule type="cellIs" dxfId="7054" priority="11461" stopIfTrue="1" operator="equal">
      <formula>"Napkin Hs"</formula>
    </cfRule>
  </conditionalFormatting>
  <conditionalFormatting sqref="C37">
    <cfRule type="cellIs" dxfId="7053" priority="11442" stopIfTrue="1" operator="equal">
      <formula>"Towel"</formula>
    </cfRule>
    <cfRule type="cellIs" dxfId="7052" priority="11443" stopIfTrue="1" operator="equal">
      <formula>"Napkin Hs"</formula>
    </cfRule>
  </conditionalFormatting>
  <conditionalFormatting sqref="C37">
    <cfRule type="cellIs" dxfId="7051" priority="11458" stopIfTrue="1" operator="equal">
      <formula>"Towel"</formula>
    </cfRule>
    <cfRule type="cellIs" dxfId="7050" priority="11459" stopIfTrue="1" operator="equal">
      <formula>"Napkin Hs"</formula>
    </cfRule>
  </conditionalFormatting>
  <conditionalFormatting sqref="C37">
    <cfRule type="cellIs" dxfId="7049" priority="11456" stopIfTrue="1" operator="equal">
      <formula>"Towel"</formula>
    </cfRule>
    <cfRule type="cellIs" dxfId="7048" priority="11457" stopIfTrue="1" operator="equal">
      <formula>"Napkin Hs"</formula>
    </cfRule>
  </conditionalFormatting>
  <conditionalFormatting sqref="B37:C37">
    <cfRule type="cellIs" dxfId="7047" priority="11444" stopIfTrue="1" operator="equal">
      <formula>"Towel"</formula>
    </cfRule>
    <cfRule type="cellIs" dxfId="7046" priority="11445" stopIfTrue="1" operator="equal">
      <formula>"Napkin Hs"</formula>
    </cfRule>
  </conditionalFormatting>
  <conditionalFormatting sqref="C37">
    <cfRule type="cellIs" dxfId="7045" priority="11440" stopIfTrue="1" operator="equal">
      <formula>"Towel"</formula>
    </cfRule>
    <cfRule type="cellIs" dxfId="7044" priority="11441" stopIfTrue="1" operator="equal">
      <formula>"Napkin Hs"</formula>
    </cfRule>
  </conditionalFormatting>
  <conditionalFormatting sqref="B37:C37">
    <cfRule type="cellIs" dxfId="7043" priority="11439" stopIfTrue="1" operator="equal">
      <formula>"Napkin Hs"</formula>
    </cfRule>
  </conditionalFormatting>
  <conditionalFormatting sqref="B37:C37">
    <cfRule type="cellIs" dxfId="7042" priority="11438" stopIfTrue="1" operator="equal">
      <formula>"Towel"</formula>
    </cfRule>
  </conditionalFormatting>
  <conditionalFormatting sqref="C37">
    <cfRule type="cellIs" dxfId="7041" priority="11437" stopIfTrue="1" operator="equal">
      <formula>"Napkin Hs"</formula>
    </cfRule>
  </conditionalFormatting>
  <conditionalFormatting sqref="C37">
    <cfRule type="cellIs" dxfId="7040" priority="11434" stopIfTrue="1" operator="equal">
      <formula>"Towel"</formula>
    </cfRule>
    <cfRule type="cellIs" dxfId="7039" priority="11435" stopIfTrue="1" operator="equal">
      <formula>"Napkin Hs"</formula>
    </cfRule>
  </conditionalFormatting>
  <conditionalFormatting sqref="C37">
    <cfRule type="cellIs" dxfId="7038" priority="11436" stopIfTrue="1" operator="equal">
      <formula>"Towel"</formula>
    </cfRule>
  </conditionalFormatting>
  <conditionalFormatting sqref="B36:C36">
    <cfRule type="cellIs" dxfId="7037" priority="11353" stopIfTrue="1" operator="equal">
      <formula>"Napkin Hs"</formula>
    </cfRule>
  </conditionalFormatting>
  <conditionalFormatting sqref="B36:C36">
    <cfRule type="cellIs" dxfId="7036" priority="11352" stopIfTrue="1" operator="equal">
      <formula>"Towel"</formula>
    </cfRule>
  </conditionalFormatting>
  <conditionalFormatting sqref="C36">
    <cfRule type="cellIs" dxfId="7035" priority="11351" stopIfTrue="1" operator="equal">
      <formula>"Napkin Hs"</formula>
    </cfRule>
  </conditionalFormatting>
  <conditionalFormatting sqref="C36">
    <cfRule type="cellIs" dxfId="7034" priority="11350" stopIfTrue="1" operator="equal">
      <formula>"Towel"</formula>
    </cfRule>
  </conditionalFormatting>
  <conditionalFormatting sqref="C36">
    <cfRule type="cellIs" dxfId="7033" priority="11348" stopIfTrue="1" operator="equal">
      <formula>"Towel"</formula>
    </cfRule>
    <cfRule type="cellIs" dxfId="7032" priority="11349" stopIfTrue="1" operator="equal">
      <formula>"Napkin Hs"</formula>
    </cfRule>
  </conditionalFormatting>
  <conditionalFormatting sqref="B36:C36">
    <cfRule type="cellIs" dxfId="7031" priority="11347" stopIfTrue="1" operator="equal">
      <formula>"Napkin Hs"</formula>
    </cfRule>
  </conditionalFormatting>
  <conditionalFormatting sqref="B36:C36">
    <cfRule type="cellIs" dxfId="7030" priority="11346" stopIfTrue="1" operator="equal">
      <formula>"Towel"</formula>
    </cfRule>
  </conditionalFormatting>
  <conditionalFormatting sqref="C36">
    <cfRule type="cellIs" dxfId="7029" priority="11345" stopIfTrue="1" operator="equal">
      <formula>"Napkin Hs"</formula>
    </cfRule>
  </conditionalFormatting>
  <conditionalFormatting sqref="C36">
    <cfRule type="cellIs" dxfId="7028" priority="11342" stopIfTrue="1" operator="equal">
      <formula>"Towel"</formula>
    </cfRule>
    <cfRule type="cellIs" dxfId="7027" priority="11343" stopIfTrue="1" operator="equal">
      <formula>"Napkin Hs"</formula>
    </cfRule>
  </conditionalFormatting>
  <conditionalFormatting sqref="C36">
    <cfRule type="cellIs" dxfId="7026" priority="11344" stopIfTrue="1" operator="equal">
      <formula>"Towel"</formula>
    </cfRule>
  </conditionalFormatting>
  <conditionalFormatting sqref="C35">
    <cfRule type="cellIs" dxfId="7025" priority="11341" stopIfTrue="1" operator="equal">
      <formula>"Napkin Hs"</formula>
    </cfRule>
  </conditionalFormatting>
  <conditionalFormatting sqref="C35">
    <cfRule type="cellIs" dxfId="7024" priority="11340" stopIfTrue="1" operator="equal">
      <formula>"Towel"</formula>
    </cfRule>
  </conditionalFormatting>
  <conditionalFormatting sqref="C35">
    <cfRule type="cellIs" dxfId="7023" priority="11339" stopIfTrue="1" operator="equal">
      <formula>"Napkin Hs"</formula>
    </cfRule>
  </conditionalFormatting>
  <conditionalFormatting sqref="C35">
    <cfRule type="cellIs" dxfId="7022" priority="11336" stopIfTrue="1" operator="equal">
      <formula>"Towel"</formula>
    </cfRule>
    <cfRule type="cellIs" dxfId="7021" priority="11337" stopIfTrue="1" operator="equal">
      <formula>"Napkin Hs"</formula>
    </cfRule>
  </conditionalFormatting>
  <conditionalFormatting sqref="C35">
    <cfRule type="cellIs" dxfId="7020" priority="11338" stopIfTrue="1" operator="equal">
      <formula>"Towel"</formula>
    </cfRule>
  </conditionalFormatting>
  <conditionalFormatting sqref="C35">
    <cfRule type="cellIs" dxfId="7019" priority="11335" stopIfTrue="1" operator="equal">
      <formula>"Napkin Hs"</formula>
    </cfRule>
  </conditionalFormatting>
  <conditionalFormatting sqref="C35">
    <cfRule type="cellIs" dxfId="7018" priority="11334" stopIfTrue="1" operator="equal">
      <formula>"Towel"</formula>
    </cfRule>
  </conditionalFormatting>
  <conditionalFormatting sqref="C35">
    <cfRule type="cellIs" dxfId="7017" priority="11333" stopIfTrue="1" operator="equal">
      <formula>"Napkin Hs"</formula>
    </cfRule>
  </conditionalFormatting>
  <conditionalFormatting sqref="C35">
    <cfRule type="cellIs" dxfId="7016" priority="11330" stopIfTrue="1" operator="equal">
      <formula>"Towel"</formula>
    </cfRule>
    <cfRule type="cellIs" dxfId="7015" priority="11331" stopIfTrue="1" operator="equal">
      <formula>"Napkin Hs"</formula>
    </cfRule>
  </conditionalFormatting>
  <conditionalFormatting sqref="C35">
    <cfRule type="cellIs" dxfId="7014" priority="11332" stopIfTrue="1" operator="equal">
      <formula>"Towel"</formula>
    </cfRule>
  </conditionalFormatting>
  <conditionalFormatting sqref="B34:C34 B35">
    <cfRule type="cellIs" dxfId="7013" priority="11328" stopIfTrue="1" operator="equal">
      <formula>"Towel"</formula>
    </cfRule>
    <cfRule type="cellIs" dxfId="7012" priority="11329" stopIfTrue="1" operator="equal">
      <formula>"Napkin Hs"</formula>
    </cfRule>
  </conditionalFormatting>
  <conditionalFormatting sqref="C34">
    <cfRule type="cellIs" dxfId="7011" priority="11326" stopIfTrue="1" operator="equal">
      <formula>"Towel"</formula>
    </cfRule>
    <cfRule type="cellIs" dxfId="7010" priority="11327" stopIfTrue="1" operator="equal">
      <formula>"Napkin Hs"</formula>
    </cfRule>
  </conditionalFormatting>
  <conditionalFormatting sqref="C34">
    <cfRule type="cellIs" dxfId="7009" priority="11324" stopIfTrue="1" operator="equal">
      <formula>"Towel"</formula>
    </cfRule>
    <cfRule type="cellIs" dxfId="7008" priority="11325" stopIfTrue="1" operator="equal">
      <formula>"Napkin Hs"</formula>
    </cfRule>
  </conditionalFormatting>
  <conditionalFormatting sqref="C34">
    <cfRule type="cellIs" dxfId="7007" priority="11323" stopIfTrue="1" operator="equal">
      <formula>"Napkin Hs"</formula>
    </cfRule>
  </conditionalFormatting>
  <conditionalFormatting sqref="C34">
    <cfRule type="cellIs" dxfId="7006" priority="11322" stopIfTrue="1" operator="equal">
      <formula>"Towel"</formula>
    </cfRule>
  </conditionalFormatting>
  <conditionalFormatting sqref="C34">
    <cfRule type="cellIs" dxfId="7005" priority="11321" stopIfTrue="1" operator="equal">
      <formula>"Napkin Hs"</formula>
    </cfRule>
  </conditionalFormatting>
  <conditionalFormatting sqref="C34">
    <cfRule type="cellIs" dxfId="7004" priority="11318" stopIfTrue="1" operator="equal">
      <formula>"Towel"</formula>
    </cfRule>
    <cfRule type="cellIs" dxfId="7003" priority="11319" stopIfTrue="1" operator="equal">
      <formula>"Napkin Hs"</formula>
    </cfRule>
  </conditionalFormatting>
  <conditionalFormatting sqref="C34">
    <cfRule type="cellIs" dxfId="7002" priority="11320" stopIfTrue="1" operator="equal">
      <formula>"Towel"</formula>
    </cfRule>
  </conditionalFormatting>
  <conditionalFormatting sqref="C34">
    <cfRule type="cellIs" dxfId="7001" priority="11317" stopIfTrue="1" operator="equal">
      <formula>"Napkin Hs"</formula>
    </cfRule>
  </conditionalFormatting>
  <conditionalFormatting sqref="C34">
    <cfRule type="cellIs" dxfId="7000" priority="11316" stopIfTrue="1" operator="equal">
      <formula>"Towel"</formula>
    </cfRule>
  </conditionalFormatting>
  <conditionalFormatting sqref="C34">
    <cfRule type="cellIs" dxfId="6999" priority="11315" stopIfTrue="1" operator="equal">
      <formula>"Napkin Hs"</formula>
    </cfRule>
  </conditionalFormatting>
  <conditionalFormatting sqref="C34">
    <cfRule type="cellIs" dxfId="6998" priority="11312" stopIfTrue="1" operator="equal">
      <formula>"Towel"</formula>
    </cfRule>
    <cfRule type="cellIs" dxfId="6997" priority="11313" stopIfTrue="1" operator="equal">
      <formula>"Napkin Hs"</formula>
    </cfRule>
  </conditionalFormatting>
  <conditionalFormatting sqref="C34">
    <cfRule type="cellIs" dxfId="6996" priority="11314" stopIfTrue="1" operator="equal">
      <formula>"Towel"</formula>
    </cfRule>
  </conditionalFormatting>
  <conditionalFormatting sqref="B34:B35">
    <cfRule type="cellIs" dxfId="6995" priority="11311" stopIfTrue="1" operator="equal">
      <formula>"Napkin Hs"</formula>
    </cfRule>
  </conditionalFormatting>
  <conditionalFormatting sqref="B34:B35">
    <cfRule type="cellIs" dxfId="6994" priority="11310" stopIfTrue="1" operator="equal">
      <formula>"Towel"</formula>
    </cfRule>
  </conditionalFormatting>
  <conditionalFormatting sqref="B33:C33">
    <cfRule type="cellIs" dxfId="6993" priority="11308" stopIfTrue="1" operator="equal">
      <formula>"Towel"</formula>
    </cfRule>
    <cfRule type="cellIs" dxfId="6992" priority="11309" stopIfTrue="1" operator="equal">
      <formula>"Napkin Hs"</formula>
    </cfRule>
  </conditionalFormatting>
  <conditionalFormatting sqref="C33">
    <cfRule type="cellIs" dxfId="6991" priority="11306" stopIfTrue="1" operator="equal">
      <formula>"Towel"</formula>
    </cfRule>
    <cfRule type="cellIs" dxfId="6990" priority="11307" stopIfTrue="1" operator="equal">
      <formula>"Napkin Hs"</formula>
    </cfRule>
  </conditionalFormatting>
  <conditionalFormatting sqref="C33">
    <cfRule type="cellIs" dxfId="6989" priority="11304" stopIfTrue="1" operator="equal">
      <formula>"Towel"</formula>
    </cfRule>
    <cfRule type="cellIs" dxfId="6988" priority="11305" stopIfTrue="1" operator="equal">
      <formula>"Napkin Hs"</formula>
    </cfRule>
  </conditionalFormatting>
  <conditionalFormatting sqref="C33">
    <cfRule type="cellIs" dxfId="6987" priority="11303" stopIfTrue="1" operator="equal">
      <formula>"Napkin Hs"</formula>
    </cfRule>
  </conditionalFormatting>
  <conditionalFormatting sqref="C33">
    <cfRule type="cellIs" dxfId="6986" priority="11302" stopIfTrue="1" operator="equal">
      <formula>"Towel"</formula>
    </cfRule>
  </conditionalFormatting>
  <conditionalFormatting sqref="C33">
    <cfRule type="cellIs" dxfId="6985" priority="11301" stopIfTrue="1" operator="equal">
      <formula>"Napkin Hs"</formula>
    </cfRule>
  </conditionalFormatting>
  <conditionalFormatting sqref="C33">
    <cfRule type="cellIs" dxfId="6984" priority="11298" stopIfTrue="1" operator="equal">
      <formula>"Towel"</formula>
    </cfRule>
    <cfRule type="cellIs" dxfId="6983" priority="11299" stopIfTrue="1" operator="equal">
      <formula>"Napkin Hs"</formula>
    </cfRule>
  </conditionalFormatting>
  <conditionalFormatting sqref="C33">
    <cfRule type="cellIs" dxfId="6982" priority="11300" stopIfTrue="1" operator="equal">
      <formula>"Towel"</formula>
    </cfRule>
  </conditionalFormatting>
  <conditionalFormatting sqref="C33">
    <cfRule type="cellIs" dxfId="6981" priority="11297" stopIfTrue="1" operator="equal">
      <formula>"Napkin Hs"</formula>
    </cfRule>
  </conditionalFormatting>
  <conditionalFormatting sqref="C33">
    <cfRule type="cellIs" dxfId="6980" priority="11296" stopIfTrue="1" operator="equal">
      <formula>"Towel"</formula>
    </cfRule>
  </conditionalFormatting>
  <conditionalFormatting sqref="C33">
    <cfRule type="cellIs" dxfId="6979" priority="11295" stopIfTrue="1" operator="equal">
      <formula>"Napkin Hs"</formula>
    </cfRule>
  </conditionalFormatting>
  <conditionalFormatting sqref="C33">
    <cfRule type="cellIs" dxfId="6978" priority="11292" stopIfTrue="1" operator="equal">
      <formula>"Towel"</formula>
    </cfRule>
    <cfRule type="cellIs" dxfId="6977" priority="11293" stopIfTrue="1" operator="equal">
      <formula>"Napkin Hs"</formula>
    </cfRule>
  </conditionalFormatting>
  <conditionalFormatting sqref="C33">
    <cfRule type="cellIs" dxfId="6976" priority="11294" stopIfTrue="1" operator="equal">
      <formula>"Towel"</formula>
    </cfRule>
  </conditionalFormatting>
  <conditionalFormatting sqref="B33">
    <cfRule type="cellIs" dxfId="6975" priority="11291" stopIfTrue="1" operator="equal">
      <formula>"Napkin Hs"</formula>
    </cfRule>
  </conditionalFormatting>
  <conditionalFormatting sqref="B33">
    <cfRule type="cellIs" dxfId="6974" priority="11290" stopIfTrue="1" operator="equal">
      <formula>"Towel"</formula>
    </cfRule>
  </conditionalFormatting>
  <conditionalFormatting sqref="B41:C41">
    <cfRule type="cellIs" dxfId="6973" priority="11271" stopIfTrue="1" operator="equal">
      <formula>"Napkin Hs"</formula>
    </cfRule>
  </conditionalFormatting>
  <conditionalFormatting sqref="B41:C41">
    <cfRule type="cellIs" dxfId="6972" priority="11270" stopIfTrue="1" operator="equal">
      <formula>"Towel"</formula>
    </cfRule>
  </conditionalFormatting>
  <conditionalFormatting sqref="C41">
    <cfRule type="cellIs" dxfId="6971" priority="11269" stopIfTrue="1" operator="equal">
      <formula>"Napkin Hs"</formula>
    </cfRule>
  </conditionalFormatting>
  <conditionalFormatting sqref="C41">
    <cfRule type="cellIs" dxfId="6970" priority="11268" stopIfTrue="1" operator="equal">
      <formula>"Towel"</formula>
    </cfRule>
  </conditionalFormatting>
  <conditionalFormatting sqref="C41">
    <cfRule type="cellIs" dxfId="6969" priority="11266" stopIfTrue="1" operator="equal">
      <formula>"Towel"</formula>
    </cfRule>
    <cfRule type="cellIs" dxfId="6968" priority="11267" stopIfTrue="1" operator="equal">
      <formula>"Napkin Hs"</formula>
    </cfRule>
  </conditionalFormatting>
  <conditionalFormatting sqref="B41:C41">
    <cfRule type="cellIs" dxfId="6967" priority="11265" stopIfTrue="1" operator="equal">
      <formula>"Napkin Hs"</formula>
    </cfRule>
  </conditionalFormatting>
  <conditionalFormatting sqref="B41:C41">
    <cfRule type="cellIs" dxfId="6966" priority="11264" stopIfTrue="1" operator="equal">
      <formula>"Towel"</formula>
    </cfRule>
  </conditionalFormatting>
  <conditionalFormatting sqref="C41">
    <cfRule type="cellIs" dxfId="6965" priority="11263" stopIfTrue="1" operator="equal">
      <formula>"Napkin Hs"</formula>
    </cfRule>
  </conditionalFormatting>
  <conditionalFormatting sqref="C41">
    <cfRule type="cellIs" dxfId="6964" priority="11260" stopIfTrue="1" operator="equal">
      <formula>"Towel"</formula>
    </cfRule>
    <cfRule type="cellIs" dxfId="6963" priority="11261" stopIfTrue="1" operator="equal">
      <formula>"Napkin Hs"</formula>
    </cfRule>
  </conditionalFormatting>
  <conditionalFormatting sqref="C41">
    <cfRule type="cellIs" dxfId="6962" priority="11262" stopIfTrue="1" operator="equal">
      <formula>"Towel"</formula>
    </cfRule>
  </conditionalFormatting>
  <conditionalFormatting sqref="C40">
    <cfRule type="cellIs" dxfId="6961" priority="11207" stopIfTrue="1" operator="equal">
      <formula>"Napkin Hs"</formula>
    </cfRule>
  </conditionalFormatting>
  <conditionalFormatting sqref="C40">
    <cfRule type="cellIs" dxfId="6960" priority="11206" stopIfTrue="1" operator="equal">
      <formula>"Towel"</formula>
    </cfRule>
  </conditionalFormatting>
  <conditionalFormatting sqref="C40">
    <cfRule type="cellIs" dxfId="6959" priority="11205" stopIfTrue="1" operator="equal">
      <formula>"Napkin Hs"</formula>
    </cfRule>
  </conditionalFormatting>
  <conditionalFormatting sqref="C40">
    <cfRule type="cellIs" dxfId="6958" priority="11202" stopIfTrue="1" operator="equal">
      <formula>"Towel"</formula>
    </cfRule>
    <cfRule type="cellIs" dxfId="6957" priority="11203" stopIfTrue="1" operator="equal">
      <formula>"Napkin Hs"</formula>
    </cfRule>
  </conditionalFormatting>
  <conditionalFormatting sqref="C40">
    <cfRule type="cellIs" dxfId="6956" priority="11204" stopIfTrue="1" operator="equal">
      <formula>"Towel"</formula>
    </cfRule>
  </conditionalFormatting>
  <conditionalFormatting sqref="C40">
    <cfRule type="cellIs" dxfId="6955" priority="11201" stopIfTrue="1" operator="equal">
      <formula>"Napkin Hs"</formula>
    </cfRule>
  </conditionalFormatting>
  <conditionalFormatting sqref="C40">
    <cfRule type="cellIs" dxfId="6954" priority="11200" stopIfTrue="1" operator="equal">
      <formula>"Towel"</formula>
    </cfRule>
  </conditionalFormatting>
  <conditionalFormatting sqref="C40">
    <cfRule type="cellIs" dxfId="6953" priority="11199" stopIfTrue="1" operator="equal">
      <formula>"Napkin Hs"</formula>
    </cfRule>
  </conditionalFormatting>
  <conditionalFormatting sqref="C40">
    <cfRule type="cellIs" dxfId="6952" priority="11196" stopIfTrue="1" operator="equal">
      <formula>"Towel"</formula>
    </cfRule>
    <cfRule type="cellIs" dxfId="6951" priority="11197" stopIfTrue="1" operator="equal">
      <formula>"Napkin Hs"</formula>
    </cfRule>
  </conditionalFormatting>
  <conditionalFormatting sqref="C40">
    <cfRule type="cellIs" dxfId="6950" priority="11198" stopIfTrue="1" operator="equal">
      <formula>"Towel"</formula>
    </cfRule>
  </conditionalFormatting>
  <conditionalFormatting sqref="B39:C39 B40">
    <cfRule type="cellIs" dxfId="6949" priority="11194" stopIfTrue="1" operator="equal">
      <formula>"Towel"</formula>
    </cfRule>
    <cfRule type="cellIs" dxfId="6948" priority="11195" stopIfTrue="1" operator="equal">
      <formula>"Napkin Hs"</formula>
    </cfRule>
  </conditionalFormatting>
  <conditionalFormatting sqref="C39">
    <cfRule type="cellIs" dxfId="6947" priority="11192" stopIfTrue="1" operator="equal">
      <formula>"Towel"</formula>
    </cfRule>
    <cfRule type="cellIs" dxfId="6946" priority="11193" stopIfTrue="1" operator="equal">
      <formula>"Napkin Hs"</formula>
    </cfRule>
  </conditionalFormatting>
  <conditionalFormatting sqref="C39">
    <cfRule type="cellIs" dxfId="6945" priority="11190" stopIfTrue="1" operator="equal">
      <formula>"Towel"</formula>
    </cfRule>
    <cfRule type="cellIs" dxfId="6944" priority="11191" stopIfTrue="1" operator="equal">
      <formula>"Napkin Hs"</formula>
    </cfRule>
  </conditionalFormatting>
  <conditionalFormatting sqref="C39">
    <cfRule type="cellIs" dxfId="6943" priority="11189" stopIfTrue="1" operator="equal">
      <formula>"Napkin Hs"</formula>
    </cfRule>
  </conditionalFormatting>
  <conditionalFormatting sqref="C39">
    <cfRule type="cellIs" dxfId="6942" priority="11188" stopIfTrue="1" operator="equal">
      <formula>"Towel"</formula>
    </cfRule>
  </conditionalFormatting>
  <conditionalFormatting sqref="C39">
    <cfRule type="cellIs" dxfId="6941" priority="11187" stopIfTrue="1" operator="equal">
      <formula>"Napkin Hs"</formula>
    </cfRule>
  </conditionalFormatting>
  <conditionalFormatting sqref="C39">
    <cfRule type="cellIs" dxfId="6940" priority="11184" stopIfTrue="1" operator="equal">
      <formula>"Towel"</formula>
    </cfRule>
    <cfRule type="cellIs" dxfId="6939" priority="11185" stopIfTrue="1" operator="equal">
      <formula>"Napkin Hs"</formula>
    </cfRule>
  </conditionalFormatting>
  <conditionalFormatting sqref="C39">
    <cfRule type="cellIs" dxfId="6938" priority="11186" stopIfTrue="1" operator="equal">
      <formula>"Towel"</formula>
    </cfRule>
  </conditionalFormatting>
  <conditionalFormatting sqref="C39">
    <cfRule type="cellIs" dxfId="6937" priority="11183" stopIfTrue="1" operator="equal">
      <formula>"Napkin Hs"</formula>
    </cfRule>
  </conditionalFormatting>
  <conditionalFormatting sqref="C39">
    <cfRule type="cellIs" dxfId="6936" priority="11182" stopIfTrue="1" operator="equal">
      <formula>"Towel"</formula>
    </cfRule>
  </conditionalFormatting>
  <conditionalFormatting sqref="C39">
    <cfRule type="cellIs" dxfId="6935" priority="11181" stopIfTrue="1" operator="equal">
      <formula>"Napkin Hs"</formula>
    </cfRule>
  </conditionalFormatting>
  <conditionalFormatting sqref="C39">
    <cfRule type="cellIs" dxfId="6934" priority="11178" stopIfTrue="1" operator="equal">
      <formula>"Towel"</formula>
    </cfRule>
    <cfRule type="cellIs" dxfId="6933" priority="11179" stopIfTrue="1" operator="equal">
      <formula>"Napkin Hs"</formula>
    </cfRule>
  </conditionalFormatting>
  <conditionalFormatting sqref="C39">
    <cfRule type="cellIs" dxfId="6932" priority="11180" stopIfTrue="1" operator="equal">
      <formula>"Towel"</formula>
    </cfRule>
  </conditionalFormatting>
  <conditionalFormatting sqref="B39:B40">
    <cfRule type="cellIs" dxfId="6931" priority="11177" stopIfTrue="1" operator="equal">
      <formula>"Napkin Hs"</formula>
    </cfRule>
  </conditionalFormatting>
  <conditionalFormatting sqref="B39:B40">
    <cfRule type="cellIs" dxfId="6930" priority="11176" stopIfTrue="1" operator="equal">
      <formula>"Towel"</formula>
    </cfRule>
  </conditionalFormatting>
  <conditionalFormatting sqref="B38:C38">
    <cfRule type="cellIs" dxfId="6929" priority="11174" stopIfTrue="1" operator="equal">
      <formula>"Towel"</formula>
    </cfRule>
    <cfRule type="cellIs" dxfId="6928" priority="11175" stopIfTrue="1" operator="equal">
      <formula>"Napkin Hs"</formula>
    </cfRule>
  </conditionalFormatting>
  <conditionalFormatting sqref="C38">
    <cfRule type="cellIs" dxfId="6927" priority="11172" stopIfTrue="1" operator="equal">
      <formula>"Towel"</formula>
    </cfRule>
    <cfRule type="cellIs" dxfId="6926" priority="11173" stopIfTrue="1" operator="equal">
      <formula>"Napkin Hs"</formula>
    </cfRule>
  </conditionalFormatting>
  <conditionalFormatting sqref="C38">
    <cfRule type="cellIs" dxfId="6925" priority="11170" stopIfTrue="1" operator="equal">
      <formula>"Towel"</formula>
    </cfRule>
    <cfRule type="cellIs" dxfId="6924" priority="11171" stopIfTrue="1" operator="equal">
      <formula>"Napkin Hs"</formula>
    </cfRule>
  </conditionalFormatting>
  <conditionalFormatting sqref="C38">
    <cfRule type="cellIs" dxfId="6923" priority="11169" stopIfTrue="1" operator="equal">
      <formula>"Napkin Hs"</formula>
    </cfRule>
  </conditionalFormatting>
  <conditionalFormatting sqref="C38">
    <cfRule type="cellIs" dxfId="6922" priority="11168" stopIfTrue="1" operator="equal">
      <formula>"Towel"</formula>
    </cfRule>
  </conditionalFormatting>
  <conditionalFormatting sqref="C38">
    <cfRule type="cellIs" dxfId="6921" priority="11167" stopIfTrue="1" operator="equal">
      <formula>"Napkin Hs"</formula>
    </cfRule>
  </conditionalFormatting>
  <conditionalFormatting sqref="C38">
    <cfRule type="cellIs" dxfId="6920" priority="11164" stopIfTrue="1" operator="equal">
      <formula>"Towel"</formula>
    </cfRule>
    <cfRule type="cellIs" dxfId="6919" priority="11165" stopIfTrue="1" operator="equal">
      <formula>"Napkin Hs"</formula>
    </cfRule>
  </conditionalFormatting>
  <conditionalFormatting sqref="C38">
    <cfRule type="cellIs" dxfId="6918" priority="11166" stopIfTrue="1" operator="equal">
      <formula>"Towel"</formula>
    </cfRule>
  </conditionalFormatting>
  <conditionalFormatting sqref="C38">
    <cfRule type="cellIs" dxfId="6917" priority="11163" stopIfTrue="1" operator="equal">
      <formula>"Napkin Hs"</formula>
    </cfRule>
  </conditionalFormatting>
  <conditionalFormatting sqref="C38">
    <cfRule type="cellIs" dxfId="6916" priority="11162" stopIfTrue="1" operator="equal">
      <formula>"Towel"</formula>
    </cfRule>
  </conditionalFormatting>
  <conditionalFormatting sqref="C38">
    <cfRule type="cellIs" dxfId="6915" priority="11161" stopIfTrue="1" operator="equal">
      <formula>"Napkin Hs"</formula>
    </cfRule>
  </conditionalFormatting>
  <conditionalFormatting sqref="C38">
    <cfRule type="cellIs" dxfId="6914" priority="11158" stopIfTrue="1" operator="equal">
      <formula>"Towel"</formula>
    </cfRule>
    <cfRule type="cellIs" dxfId="6913" priority="11159" stopIfTrue="1" operator="equal">
      <formula>"Napkin Hs"</formula>
    </cfRule>
  </conditionalFormatting>
  <conditionalFormatting sqref="C38">
    <cfRule type="cellIs" dxfId="6912" priority="11160" stopIfTrue="1" operator="equal">
      <formula>"Towel"</formula>
    </cfRule>
  </conditionalFormatting>
  <conditionalFormatting sqref="B38">
    <cfRule type="cellIs" dxfId="6911" priority="11157" stopIfTrue="1" operator="equal">
      <formula>"Napkin Hs"</formula>
    </cfRule>
  </conditionalFormatting>
  <conditionalFormatting sqref="B38">
    <cfRule type="cellIs" dxfId="6910" priority="11156" stopIfTrue="1" operator="equal">
      <formula>"Towel"</formula>
    </cfRule>
  </conditionalFormatting>
  <conditionalFormatting sqref="B45:C45">
    <cfRule type="cellIs" dxfId="6909" priority="10688" stopIfTrue="1" operator="equal">
      <formula>"Towel"</formula>
    </cfRule>
    <cfRule type="cellIs" dxfId="6908" priority="10689" stopIfTrue="1" operator="equal">
      <formula>"Napkin Hs"</formula>
    </cfRule>
  </conditionalFormatting>
  <conditionalFormatting sqref="B49:C49">
    <cfRule type="cellIs" dxfId="6907" priority="10678" stopIfTrue="1" operator="equal">
      <formula>"Towel"</formula>
    </cfRule>
    <cfRule type="cellIs" dxfId="6906" priority="10679" stopIfTrue="1" operator="equal">
      <formula>"Napkin Hs"</formula>
    </cfRule>
  </conditionalFormatting>
  <conditionalFormatting sqref="C45">
    <cfRule type="cellIs" dxfId="6905" priority="10684" stopIfTrue="1" operator="equal">
      <formula>"Towel"</formula>
    </cfRule>
    <cfRule type="cellIs" dxfId="6904" priority="10685" stopIfTrue="1" operator="equal">
      <formula>"Napkin Hs"</formula>
    </cfRule>
  </conditionalFormatting>
  <conditionalFormatting sqref="C45">
    <cfRule type="cellIs" dxfId="6903" priority="10686" stopIfTrue="1" operator="equal">
      <formula>"Towel"</formula>
    </cfRule>
    <cfRule type="cellIs" dxfId="6902" priority="10687" stopIfTrue="1" operator="equal">
      <formula>"Napkin Hs"</formula>
    </cfRule>
  </conditionalFormatting>
  <conditionalFormatting sqref="C49">
    <cfRule type="cellIs" dxfId="6901" priority="10674" stopIfTrue="1" operator="equal">
      <formula>"Towel"</formula>
    </cfRule>
    <cfRule type="cellIs" dxfId="6900" priority="10675" stopIfTrue="1" operator="equal">
      <formula>"Napkin Hs"</formula>
    </cfRule>
  </conditionalFormatting>
  <conditionalFormatting sqref="C49">
    <cfRule type="cellIs" dxfId="6899" priority="10676" stopIfTrue="1" operator="equal">
      <formula>"Towel"</formula>
    </cfRule>
    <cfRule type="cellIs" dxfId="6898" priority="10677" stopIfTrue="1" operator="equal">
      <formula>"Napkin Hs"</formula>
    </cfRule>
  </conditionalFormatting>
  <conditionalFormatting sqref="B45:C45">
    <cfRule type="cellIs" dxfId="6897" priority="10672" stopIfTrue="1" operator="equal">
      <formula>"Towel"</formula>
    </cfRule>
    <cfRule type="cellIs" dxfId="6896" priority="10673" stopIfTrue="1" operator="equal">
      <formula>"Napkin Hs"</formula>
    </cfRule>
  </conditionalFormatting>
  <conditionalFormatting sqref="C45">
    <cfRule type="cellIs" dxfId="6895" priority="10670" stopIfTrue="1" operator="equal">
      <formula>"Towel"</formula>
    </cfRule>
    <cfRule type="cellIs" dxfId="6894" priority="10671" stopIfTrue="1" operator="equal">
      <formula>"Napkin Hs"</formula>
    </cfRule>
  </conditionalFormatting>
  <conditionalFormatting sqref="C45">
    <cfRule type="cellIs" dxfId="6893" priority="10668" stopIfTrue="1" operator="equal">
      <formula>"Towel"</formula>
    </cfRule>
    <cfRule type="cellIs" dxfId="6892" priority="10669" stopIfTrue="1" operator="equal">
      <formula>"Napkin Hs"</formula>
    </cfRule>
  </conditionalFormatting>
  <conditionalFormatting sqref="B45:C45">
    <cfRule type="cellIs" dxfId="6891" priority="10666" stopIfTrue="1" operator="equal">
      <formula>"Towel"</formula>
    </cfRule>
    <cfRule type="cellIs" dxfId="6890" priority="10667" stopIfTrue="1" operator="equal">
      <formula>"Napkin Hs"</formula>
    </cfRule>
  </conditionalFormatting>
  <conditionalFormatting sqref="C45">
    <cfRule type="cellIs" dxfId="6889" priority="10664" stopIfTrue="1" operator="equal">
      <formula>"Towel"</formula>
    </cfRule>
    <cfRule type="cellIs" dxfId="6888" priority="10665" stopIfTrue="1" operator="equal">
      <formula>"Napkin Hs"</formula>
    </cfRule>
  </conditionalFormatting>
  <conditionalFormatting sqref="C45">
    <cfRule type="cellIs" dxfId="6887" priority="10662" stopIfTrue="1" operator="equal">
      <formula>"Towel"</formula>
    </cfRule>
    <cfRule type="cellIs" dxfId="6886" priority="10663" stopIfTrue="1" operator="equal">
      <formula>"Napkin Hs"</formula>
    </cfRule>
  </conditionalFormatting>
  <conditionalFormatting sqref="B45:C45">
    <cfRule type="cellIs" dxfId="6885" priority="10660" stopIfTrue="1" operator="equal">
      <formula>"Towel"</formula>
    </cfRule>
    <cfRule type="cellIs" dxfId="6884" priority="10661" stopIfTrue="1" operator="equal">
      <formula>"Napkin Hs"</formula>
    </cfRule>
  </conditionalFormatting>
  <conditionalFormatting sqref="C45">
    <cfRule type="cellIs" dxfId="6883" priority="10658" stopIfTrue="1" operator="equal">
      <formula>"Towel"</formula>
    </cfRule>
    <cfRule type="cellIs" dxfId="6882" priority="10659" stopIfTrue="1" operator="equal">
      <formula>"Napkin Hs"</formula>
    </cfRule>
  </conditionalFormatting>
  <conditionalFormatting sqref="C45">
    <cfRule type="cellIs" dxfId="6881" priority="10656" stopIfTrue="1" operator="equal">
      <formula>"Towel"</formula>
    </cfRule>
    <cfRule type="cellIs" dxfId="6880" priority="10657" stopIfTrue="1" operator="equal">
      <formula>"Napkin Hs"</formula>
    </cfRule>
  </conditionalFormatting>
  <conditionalFormatting sqref="B45:C45">
    <cfRule type="cellIs" dxfId="6879" priority="10655" stopIfTrue="1" operator="equal">
      <formula>"Napkin Hs"</formula>
    </cfRule>
  </conditionalFormatting>
  <conditionalFormatting sqref="B45:C45">
    <cfRule type="cellIs" dxfId="6878" priority="10654" stopIfTrue="1" operator="equal">
      <formula>"Towel"</formula>
    </cfRule>
  </conditionalFormatting>
  <conditionalFormatting sqref="C45">
    <cfRule type="cellIs" dxfId="6877" priority="10653" stopIfTrue="1" operator="equal">
      <formula>"Napkin Hs"</formula>
    </cfRule>
  </conditionalFormatting>
  <conditionalFormatting sqref="C45">
    <cfRule type="cellIs" dxfId="6876" priority="10650" stopIfTrue="1" operator="equal">
      <formula>"Towel"</formula>
    </cfRule>
    <cfRule type="cellIs" dxfId="6875" priority="10651" stopIfTrue="1" operator="equal">
      <formula>"Napkin Hs"</formula>
    </cfRule>
  </conditionalFormatting>
  <conditionalFormatting sqref="C45">
    <cfRule type="cellIs" dxfId="6874" priority="10652" stopIfTrue="1" operator="equal">
      <formula>"Towel"</formula>
    </cfRule>
  </conditionalFormatting>
  <conditionalFormatting sqref="B43:C44">
    <cfRule type="cellIs" dxfId="6873" priority="10649" stopIfTrue="1" operator="equal">
      <formula>"Napkin Hs"</formula>
    </cfRule>
  </conditionalFormatting>
  <conditionalFormatting sqref="B43:C44">
    <cfRule type="cellIs" dxfId="6872" priority="10648" stopIfTrue="1" operator="equal">
      <formula>"Towel"</formula>
    </cfRule>
  </conditionalFormatting>
  <conditionalFormatting sqref="C43:C44">
    <cfRule type="cellIs" dxfId="6871" priority="10647" stopIfTrue="1" operator="equal">
      <formula>"Napkin Hs"</formula>
    </cfRule>
  </conditionalFormatting>
  <conditionalFormatting sqref="C43:C44">
    <cfRule type="cellIs" dxfId="6870" priority="10646" stopIfTrue="1" operator="equal">
      <formula>"Towel"</formula>
    </cfRule>
  </conditionalFormatting>
  <conditionalFormatting sqref="C43:C44">
    <cfRule type="cellIs" dxfId="6869" priority="10644" stopIfTrue="1" operator="equal">
      <formula>"Towel"</formula>
    </cfRule>
    <cfRule type="cellIs" dxfId="6868" priority="10645" stopIfTrue="1" operator="equal">
      <formula>"Napkin Hs"</formula>
    </cfRule>
  </conditionalFormatting>
  <conditionalFormatting sqref="B43:C44">
    <cfRule type="cellIs" dxfId="6867" priority="10642" stopIfTrue="1" operator="equal">
      <formula>"Towel"</formula>
    </cfRule>
    <cfRule type="cellIs" dxfId="6866" priority="10643" stopIfTrue="1" operator="equal">
      <formula>"Napkin Hs"</formula>
    </cfRule>
  </conditionalFormatting>
  <conditionalFormatting sqref="C43:C44">
    <cfRule type="cellIs" dxfId="6865" priority="10640" stopIfTrue="1" operator="equal">
      <formula>"Towel"</formula>
    </cfRule>
    <cfRule type="cellIs" dxfId="6864" priority="10641" stopIfTrue="1" operator="equal">
      <formula>"Napkin Hs"</formula>
    </cfRule>
  </conditionalFormatting>
  <conditionalFormatting sqref="C43:C44">
    <cfRule type="cellIs" dxfId="6863" priority="10638" stopIfTrue="1" operator="equal">
      <formula>"Towel"</formula>
    </cfRule>
    <cfRule type="cellIs" dxfId="6862" priority="10639" stopIfTrue="1" operator="equal">
      <formula>"Napkin Hs"</formula>
    </cfRule>
  </conditionalFormatting>
  <conditionalFormatting sqref="B43:C44">
    <cfRule type="cellIs" dxfId="6861" priority="10636" stopIfTrue="1" operator="equal">
      <formula>"Towel"</formula>
    </cfRule>
    <cfRule type="cellIs" dxfId="6860" priority="10637" stopIfTrue="1" operator="equal">
      <formula>"Napkin Hs"</formula>
    </cfRule>
  </conditionalFormatting>
  <conditionalFormatting sqref="C43:C44">
    <cfRule type="cellIs" dxfId="6859" priority="10634" stopIfTrue="1" operator="equal">
      <formula>"Towel"</formula>
    </cfRule>
    <cfRule type="cellIs" dxfId="6858" priority="10635" stopIfTrue="1" operator="equal">
      <formula>"Napkin Hs"</formula>
    </cfRule>
  </conditionalFormatting>
  <conditionalFormatting sqref="C43:C44">
    <cfRule type="cellIs" dxfId="6857" priority="10632" stopIfTrue="1" operator="equal">
      <formula>"Towel"</formula>
    </cfRule>
    <cfRule type="cellIs" dxfId="6856" priority="10633" stopIfTrue="1" operator="equal">
      <formula>"Napkin Hs"</formula>
    </cfRule>
  </conditionalFormatting>
  <conditionalFormatting sqref="B43:C44">
    <cfRule type="cellIs" dxfId="6855" priority="10630" stopIfTrue="1" operator="equal">
      <formula>"Towel"</formula>
    </cfRule>
    <cfRule type="cellIs" dxfId="6854" priority="10631" stopIfTrue="1" operator="equal">
      <formula>"Napkin Hs"</formula>
    </cfRule>
  </conditionalFormatting>
  <conditionalFormatting sqref="C43:C44">
    <cfRule type="cellIs" dxfId="6853" priority="10628" stopIfTrue="1" operator="equal">
      <formula>"Towel"</formula>
    </cfRule>
    <cfRule type="cellIs" dxfId="6852" priority="10629" stopIfTrue="1" operator="equal">
      <formula>"Napkin Hs"</formula>
    </cfRule>
  </conditionalFormatting>
  <conditionalFormatting sqref="C43:C44">
    <cfRule type="cellIs" dxfId="6851" priority="10626" stopIfTrue="1" operator="equal">
      <formula>"Towel"</formula>
    </cfRule>
    <cfRule type="cellIs" dxfId="6850" priority="10627" stopIfTrue="1" operator="equal">
      <formula>"Napkin Hs"</formula>
    </cfRule>
  </conditionalFormatting>
  <conditionalFormatting sqref="B43:C44">
    <cfRule type="cellIs" dxfId="6849" priority="10624" stopIfTrue="1" operator="equal">
      <formula>"Towel"</formula>
    </cfRule>
    <cfRule type="cellIs" dxfId="6848" priority="10625" stopIfTrue="1" operator="equal">
      <formula>"Napkin Hs"</formula>
    </cfRule>
  </conditionalFormatting>
  <conditionalFormatting sqref="C43:C44">
    <cfRule type="cellIs" dxfId="6847" priority="10622" stopIfTrue="1" operator="equal">
      <formula>"Towel"</formula>
    </cfRule>
    <cfRule type="cellIs" dxfId="6846" priority="10623" stopIfTrue="1" operator="equal">
      <formula>"Napkin Hs"</formula>
    </cfRule>
  </conditionalFormatting>
  <conditionalFormatting sqref="C43:C44">
    <cfRule type="cellIs" dxfId="6845" priority="10620" stopIfTrue="1" operator="equal">
      <formula>"Towel"</formula>
    </cfRule>
    <cfRule type="cellIs" dxfId="6844" priority="10621" stopIfTrue="1" operator="equal">
      <formula>"Napkin Hs"</formula>
    </cfRule>
  </conditionalFormatting>
  <conditionalFormatting sqref="B43:C44">
    <cfRule type="cellIs" dxfId="6843" priority="10618" stopIfTrue="1" operator="equal">
      <formula>"Towel"</formula>
    </cfRule>
    <cfRule type="cellIs" dxfId="6842" priority="10619" stopIfTrue="1" operator="equal">
      <formula>"Napkin Hs"</formula>
    </cfRule>
  </conditionalFormatting>
  <conditionalFormatting sqref="C43:C44">
    <cfRule type="cellIs" dxfId="6841" priority="10616" stopIfTrue="1" operator="equal">
      <formula>"Towel"</formula>
    </cfRule>
    <cfRule type="cellIs" dxfId="6840" priority="10617" stopIfTrue="1" operator="equal">
      <formula>"Napkin Hs"</formula>
    </cfRule>
  </conditionalFormatting>
  <conditionalFormatting sqref="C43:C44">
    <cfRule type="cellIs" dxfId="6839" priority="10614" stopIfTrue="1" operator="equal">
      <formula>"Towel"</formula>
    </cfRule>
    <cfRule type="cellIs" dxfId="6838" priority="10615" stopIfTrue="1" operator="equal">
      <formula>"Napkin Hs"</formula>
    </cfRule>
  </conditionalFormatting>
  <conditionalFormatting sqref="B43:C44">
    <cfRule type="cellIs" dxfId="6837" priority="10613" stopIfTrue="1" operator="equal">
      <formula>"Napkin Hs"</formula>
    </cfRule>
  </conditionalFormatting>
  <conditionalFormatting sqref="B43:C44">
    <cfRule type="cellIs" dxfId="6836" priority="10612" stopIfTrue="1" operator="equal">
      <formula>"Towel"</formula>
    </cfRule>
  </conditionalFormatting>
  <conditionalFormatting sqref="C43:C44">
    <cfRule type="cellIs" dxfId="6835" priority="10611" stopIfTrue="1" operator="equal">
      <formula>"Napkin Hs"</formula>
    </cfRule>
  </conditionalFormatting>
  <conditionalFormatting sqref="C43:C44">
    <cfRule type="cellIs" dxfId="6834" priority="10608" stopIfTrue="1" operator="equal">
      <formula>"Towel"</formula>
    </cfRule>
    <cfRule type="cellIs" dxfId="6833" priority="10609" stopIfTrue="1" operator="equal">
      <formula>"Napkin Hs"</formula>
    </cfRule>
  </conditionalFormatting>
  <conditionalFormatting sqref="C43:C44">
    <cfRule type="cellIs" dxfId="6832" priority="10610" stopIfTrue="1" operator="equal">
      <formula>"Towel"</formula>
    </cfRule>
  </conditionalFormatting>
  <conditionalFormatting sqref="B49:C49">
    <cfRule type="cellIs" dxfId="6831" priority="10559" stopIfTrue="1" operator="equal">
      <formula>"Napkin Hs"</formula>
    </cfRule>
  </conditionalFormatting>
  <conditionalFormatting sqref="B49:C49">
    <cfRule type="cellIs" dxfId="6830" priority="10558" stopIfTrue="1" operator="equal">
      <formula>"Towel"</formula>
    </cfRule>
  </conditionalFormatting>
  <conditionalFormatting sqref="C49">
    <cfRule type="cellIs" dxfId="6829" priority="10557" stopIfTrue="1" operator="equal">
      <formula>"Napkin Hs"</formula>
    </cfRule>
  </conditionalFormatting>
  <conditionalFormatting sqref="C49">
    <cfRule type="cellIs" dxfId="6828" priority="10556" stopIfTrue="1" operator="equal">
      <formula>"Towel"</formula>
    </cfRule>
  </conditionalFormatting>
  <conditionalFormatting sqref="C49">
    <cfRule type="cellIs" dxfId="6827" priority="10554" stopIfTrue="1" operator="equal">
      <formula>"Towel"</formula>
    </cfRule>
    <cfRule type="cellIs" dxfId="6826" priority="10555" stopIfTrue="1" operator="equal">
      <formula>"Napkin Hs"</formula>
    </cfRule>
  </conditionalFormatting>
  <conditionalFormatting sqref="B49:C49">
    <cfRule type="cellIs" dxfId="6825" priority="10552" stopIfTrue="1" operator="equal">
      <formula>"Towel"</formula>
    </cfRule>
    <cfRule type="cellIs" dxfId="6824" priority="10553" stopIfTrue="1" operator="equal">
      <formula>"Napkin Hs"</formula>
    </cfRule>
  </conditionalFormatting>
  <conditionalFormatting sqref="C49">
    <cfRule type="cellIs" dxfId="6823" priority="10550" stopIfTrue="1" operator="equal">
      <formula>"Towel"</formula>
    </cfRule>
    <cfRule type="cellIs" dxfId="6822" priority="10551" stopIfTrue="1" operator="equal">
      <formula>"Napkin Hs"</formula>
    </cfRule>
  </conditionalFormatting>
  <conditionalFormatting sqref="C49">
    <cfRule type="cellIs" dxfId="6821" priority="10548" stopIfTrue="1" operator="equal">
      <formula>"Towel"</formula>
    </cfRule>
    <cfRule type="cellIs" dxfId="6820" priority="10549" stopIfTrue="1" operator="equal">
      <formula>"Napkin Hs"</formula>
    </cfRule>
  </conditionalFormatting>
  <conditionalFormatting sqref="B49:C49">
    <cfRule type="cellIs" dxfId="6819" priority="10546" stopIfTrue="1" operator="equal">
      <formula>"Towel"</formula>
    </cfRule>
    <cfRule type="cellIs" dxfId="6818" priority="10547" stopIfTrue="1" operator="equal">
      <formula>"Napkin Hs"</formula>
    </cfRule>
  </conditionalFormatting>
  <conditionalFormatting sqref="C49">
    <cfRule type="cellIs" dxfId="6817" priority="10544" stopIfTrue="1" operator="equal">
      <formula>"Towel"</formula>
    </cfRule>
    <cfRule type="cellIs" dxfId="6816" priority="10545" stopIfTrue="1" operator="equal">
      <formula>"Napkin Hs"</formula>
    </cfRule>
  </conditionalFormatting>
  <conditionalFormatting sqref="C49">
    <cfRule type="cellIs" dxfId="6815" priority="10542" stopIfTrue="1" operator="equal">
      <formula>"Towel"</formula>
    </cfRule>
    <cfRule type="cellIs" dxfId="6814" priority="10543" stopIfTrue="1" operator="equal">
      <formula>"Napkin Hs"</formula>
    </cfRule>
  </conditionalFormatting>
  <conditionalFormatting sqref="B49:C49">
    <cfRule type="cellIs" dxfId="6813" priority="10540" stopIfTrue="1" operator="equal">
      <formula>"Towel"</formula>
    </cfRule>
    <cfRule type="cellIs" dxfId="6812" priority="10541" stopIfTrue="1" operator="equal">
      <formula>"Napkin Hs"</formula>
    </cfRule>
  </conditionalFormatting>
  <conditionalFormatting sqref="C49">
    <cfRule type="cellIs" dxfId="6811" priority="10538" stopIfTrue="1" operator="equal">
      <formula>"Towel"</formula>
    </cfRule>
    <cfRule type="cellIs" dxfId="6810" priority="10539" stopIfTrue="1" operator="equal">
      <formula>"Napkin Hs"</formula>
    </cfRule>
  </conditionalFormatting>
  <conditionalFormatting sqref="C49">
    <cfRule type="cellIs" dxfId="6809" priority="10536" stopIfTrue="1" operator="equal">
      <formula>"Towel"</formula>
    </cfRule>
    <cfRule type="cellIs" dxfId="6808" priority="10537" stopIfTrue="1" operator="equal">
      <formula>"Napkin Hs"</formula>
    </cfRule>
  </conditionalFormatting>
  <conditionalFormatting sqref="B49:C49">
    <cfRule type="cellIs" dxfId="6807" priority="10534" stopIfTrue="1" operator="equal">
      <formula>"Towel"</formula>
    </cfRule>
    <cfRule type="cellIs" dxfId="6806" priority="10535" stopIfTrue="1" operator="equal">
      <formula>"Napkin Hs"</formula>
    </cfRule>
  </conditionalFormatting>
  <conditionalFormatting sqref="C49">
    <cfRule type="cellIs" dxfId="6805" priority="10532" stopIfTrue="1" operator="equal">
      <formula>"Towel"</formula>
    </cfRule>
    <cfRule type="cellIs" dxfId="6804" priority="10533" stopIfTrue="1" operator="equal">
      <formula>"Napkin Hs"</formula>
    </cfRule>
  </conditionalFormatting>
  <conditionalFormatting sqref="C49">
    <cfRule type="cellIs" dxfId="6803" priority="10530" stopIfTrue="1" operator="equal">
      <formula>"Towel"</formula>
    </cfRule>
    <cfRule type="cellIs" dxfId="6802" priority="10531" stopIfTrue="1" operator="equal">
      <formula>"Napkin Hs"</formula>
    </cfRule>
  </conditionalFormatting>
  <conditionalFormatting sqref="B49:C49">
    <cfRule type="cellIs" dxfId="6801" priority="10528" stopIfTrue="1" operator="equal">
      <formula>"Towel"</formula>
    </cfRule>
    <cfRule type="cellIs" dxfId="6800" priority="10529" stopIfTrue="1" operator="equal">
      <formula>"Napkin Hs"</formula>
    </cfRule>
  </conditionalFormatting>
  <conditionalFormatting sqref="C49">
    <cfRule type="cellIs" dxfId="6799" priority="10526" stopIfTrue="1" operator="equal">
      <formula>"Towel"</formula>
    </cfRule>
    <cfRule type="cellIs" dxfId="6798" priority="10527" stopIfTrue="1" operator="equal">
      <formula>"Napkin Hs"</formula>
    </cfRule>
  </conditionalFormatting>
  <conditionalFormatting sqref="C49">
    <cfRule type="cellIs" dxfId="6797" priority="10524" stopIfTrue="1" operator="equal">
      <formula>"Towel"</formula>
    </cfRule>
    <cfRule type="cellIs" dxfId="6796" priority="10525" stopIfTrue="1" operator="equal">
      <formula>"Napkin Hs"</formula>
    </cfRule>
  </conditionalFormatting>
  <conditionalFormatting sqref="B49:C49">
    <cfRule type="cellIs" dxfId="6795" priority="10523" stopIfTrue="1" operator="equal">
      <formula>"Napkin Hs"</formula>
    </cfRule>
  </conditionalFormatting>
  <conditionalFormatting sqref="B49:C49">
    <cfRule type="cellIs" dxfId="6794" priority="10522" stopIfTrue="1" operator="equal">
      <formula>"Towel"</formula>
    </cfRule>
  </conditionalFormatting>
  <conditionalFormatting sqref="C49">
    <cfRule type="cellIs" dxfId="6793" priority="10521" stopIfTrue="1" operator="equal">
      <formula>"Napkin Hs"</formula>
    </cfRule>
  </conditionalFormatting>
  <conditionalFormatting sqref="C49">
    <cfRule type="cellIs" dxfId="6792" priority="10518" stopIfTrue="1" operator="equal">
      <formula>"Towel"</formula>
    </cfRule>
    <cfRule type="cellIs" dxfId="6791" priority="10519" stopIfTrue="1" operator="equal">
      <formula>"Napkin Hs"</formula>
    </cfRule>
  </conditionalFormatting>
  <conditionalFormatting sqref="C49">
    <cfRule type="cellIs" dxfId="6790" priority="10520" stopIfTrue="1" operator="equal">
      <formula>"Towel"</formula>
    </cfRule>
  </conditionalFormatting>
  <conditionalFormatting sqref="B45:C45">
    <cfRule type="cellIs" dxfId="6789" priority="10369" stopIfTrue="1" operator="equal">
      <formula>"Napkin Hs"</formula>
    </cfRule>
  </conditionalFormatting>
  <conditionalFormatting sqref="B45:C45">
    <cfRule type="cellIs" dxfId="6788" priority="10368" stopIfTrue="1" operator="equal">
      <formula>"Towel"</formula>
    </cfRule>
  </conditionalFormatting>
  <conditionalFormatting sqref="C45">
    <cfRule type="cellIs" dxfId="6787" priority="10367" stopIfTrue="1" operator="equal">
      <formula>"Napkin Hs"</formula>
    </cfRule>
  </conditionalFormatting>
  <conditionalFormatting sqref="C45">
    <cfRule type="cellIs" dxfId="6786" priority="10366" stopIfTrue="1" operator="equal">
      <formula>"Towel"</formula>
    </cfRule>
  </conditionalFormatting>
  <conditionalFormatting sqref="C45">
    <cfRule type="cellIs" dxfId="6785" priority="10364" stopIfTrue="1" operator="equal">
      <formula>"Towel"</formula>
    </cfRule>
    <cfRule type="cellIs" dxfId="6784" priority="10365" stopIfTrue="1" operator="equal">
      <formula>"Napkin Hs"</formula>
    </cfRule>
  </conditionalFormatting>
  <conditionalFormatting sqref="B45:C45">
    <cfRule type="cellIs" dxfId="6783" priority="10363" stopIfTrue="1" operator="equal">
      <formula>"Napkin Hs"</formula>
    </cfRule>
  </conditionalFormatting>
  <conditionalFormatting sqref="B45:C45">
    <cfRule type="cellIs" dxfId="6782" priority="10362" stopIfTrue="1" operator="equal">
      <formula>"Towel"</formula>
    </cfRule>
  </conditionalFormatting>
  <conditionalFormatting sqref="C45">
    <cfRule type="cellIs" dxfId="6781" priority="10361" stopIfTrue="1" operator="equal">
      <formula>"Napkin Hs"</formula>
    </cfRule>
  </conditionalFormatting>
  <conditionalFormatting sqref="C45">
    <cfRule type="cellIs" dxfId="6780" priority="10358" stopIfTrue="1" operator="equal">
      <formula>"Towel"</formula>
    </cfRule>
    <cfRule type="cellIs" dxfId="6779" priority="10359" stopIfTrue="1" operator="equal">
      <formula>"Napkin Hs"</formula>
    </cfRule>
  </conditionalFormatting>
  <conditionalFormatting sqref="C45">
    <cfRule type="cellIs" dxfId="6778" priority="10360" stopIfTrue="1" operator="equal">
      <formula>"Towel"</formula>
    </cfRule>
  </conditionalFormatting>
  <conditionalFormatting sqref="C44">
    <cfRule type="cellIs" dxfId="6777" priority="10357" stopIfTrue="1" operator="equal">
      <formula>"Napkin Hs"</formula>
    </cfRule>
  </conditionalFormatting>
  <conditionalFormatting sqref="C44">
    <cfRule type="cellIs" dxfId="6776" priority="10356" stopIfTrue="1" operator="equal">
      <formula>"Towel"</formula>
    </cfRule>
  </conditionalFormatting>
  <conditionalFormatting sqref="C44">
    <cfRule type="cellIs" dxfId="6775" priority="10355" stopIfTrue="1" operator="equal">
      <formula>"Napkin Hs"</formula>
    </cfRule>
  </conditionalFormatting>
  <conditionalFormatting sqref="C44">
    <cfRule type="cellIs" dxfId="6774" priority="10352" stopIfTrue="1" operator="equal">
      <formula>"Towel"</formula>
    </cfRule>
    <cfRule type="cellIs" dxfId="6773" priority="10353" stopIfTrue="1" operator="equal">
      <formula>"Napkin Hs"</formula>
    </cfRule>
  </conditionalFormatting>
  <conditionalFormatting sqref="C44">
    <cfRule type="cellIs" dxfId="6772" priority="10354" stopIfTrue="1" operator="equal">
      <formula>"Towel"</formula>
    </cfRule>
  </conditionalFormatting>
  <conditionalFormatting sqref="C44">
    <cfRule type="cellIs" dxfId="6771" priority="10351" stopIfTrue="1" operator="equal">
      <formula>"Napkin Hs"</formula>
    </cfRule>
  </conditionalFormatting>
  <conditionalFormatting sqref="C44">
    <cfRule type="cellIs" dxfId="6770" priority="10350" stopIfTrue="1" operator="equal">
      <formula>"Towel"</formula>
    </cfRule>
  </conditionalFormatting>
  <conditionalFormatting sqref="C44">
    <cfRule type="cellIs" dxfId="6769" priority="10349" stopIfTrue="1" operator="equal">
      <formula>"Napkin Hs"</formula>
    </cfRule>
  </conditionalFormatting>
  <conditionalFormatting sqref="C44">
    <cfRule type="cellIs" dxfId="6768" priority="10346" stopIfTrue="1" operator="equal">
      <formula>"Towel"</formula>
    </cfRule>
    <cfRule type="cellIs" dxfId="6767" priority="10347" stopIfTrue="1" operator="equal">
      <formula>"Napkin Hs"</formula>
    </cfRule>
  </conditionalFormatting>
  <conditionalFormatting sqref="C44">
    <cfRule type="cellIs" dxfId="6766" priority="10348" stopIfTrue="1" operator="equal">
      <formula>"Towel"</formula>
    </cfRule>
  </conditionalFormatting>
  <conditionalFormatting sqref="B43:C43 B44">
    <cfRule type="cellIs" dxfId="6765" priority="10344" stopIfTrue="1" operator="equal">
      <formula>"Towel"</formula>
    </cfRule>
    <cfRule type="cellIs" dxfId="6764" priority="10345" stopIfTrue="1" operator="equal">
      <formula>"Napkin Hs"</formula>
    </cfRule>
  </conditionalFormatting>
  <conditionalFormatting sqref="C43">
    <cfRule type="cellIs" dxfId="6763" priority="10342" stopIfTrue="1" operator="equal">
      <formula>"Towel"</formula>
    </cfRule>
    <cfRule type="cellIs" dxfId="6762" priority="10343" stopIfTrue="1" operator="equal">
      <formula>"Napkin Hs"</formula>
    </cfRule>
  </conditionalFormatting>
  <conditionalFormatting sqref="C43">
    <cfRule type="cellIs" dxfId="6761" priority="10340" stopIfTrue="1" operator="equal">
      <formula>"Towel"</formula>
    </cfRule>
    <cfRule type="cellIs" dxfId="6760" priority="10341" stopIfTrue="1" operator="equal">
      <formula>"Napkin Hs"</formula>
    </cfRule>
  </conditionalFormatting>
  <conditionalFormatting sqref="C43">
    <cfRule type="cellIs" dxfId="6759" priority="10339" stopIfTrue="1" operator="equal">
      <formula>"Napkin Hs"</formula>
    </cfRule>
  </conditionalFormatting>
  <conditionalFormatting sqref="C43">
    <cfRule type="cellIs" dxfId="6758" priority="10338" stopIfTrue="1" operator="equal">
      <formula>"Towel"</formula>
    </cfRule>
  </conditionalFormatting>
  <conditionalFormatting sqref="C43">
    <cfRule type="cellIs" dxfId="6757" priority="10337" stopIfTrue="1" operator="equal">
      <formula>"Napkin Hs"</formula>
    </cfRule>
  </conditionalFormatting>
  <conditionalFormatting sqref="C43">
    <cfRule type="cellIs" dxfId="6756" priority="10334" stopIfTrue="1" operator="equal">
      <formula>"Towel"</formula>
    </cfRule>
    <cfRule type="cellIs" dxfId="6755" priority="10335" stopIfTrue="1" operator="equal">
      <formula>"Napkin Hs"</formula>
    </cfRule>
  </conditionalFormatting>
  <conditionalFormatting sqref="C43">
    <cfRule type="cellIs" dxfId="6754" priority="10336" stopIfTrue="1" operator="equal">
      <formula>"Towel"</formula>
    </cfRule>
  </conditionalFormatting>
  <conditionalFormatting sqref="C43">
    <cfRule type="cellIs" dxfId="6753" priority="10333" stopIfTrue="1" operator="equal">
      <formula>"Napkin Hs"</formula>
    </cfRule>
  </conditionalFormatting>
  <conditionalFormatting sqref="C43">
    <cfRule type="cellIs" dxfId="6752" priority="10332" stopIfTrue="1" operator="equal">
      <formula>"Towel"</formula>
    </cfRule>
  </conditionalFormatting>
  <conditionalFormatting sqref="C43">
    <cfRule type="cellIs" dxfId="6751" priority="10331" stopIfTrue="1" operator="equal">
      <formula>"Napkin Hs"</formula>
    </cfRule>
  </conditionalFormatting>
  <conditionalFormatting sqref="C43">
    <cfRule type="cellIs" dxfId="6750" priority="10328" stopIfTrue="1" operator="equal">
      <formula>"Towel"</formula>
    </cfRule>
    <cfRule type="cellIs" dxfId="6749" priority="10329" stopIfTrue="1" operator="equal">
      <formula>"Napkin Hs"</formula>
    </cfRule>
  </conditionalFormatting>
  <conditionalFormatting sqref="C43">
    <cfRule type="cellIs" dxfId="6748" priority="10330" stopIfTrue="1" operator="equal">
      <formula>"Towel"</formula>
    </cfRule>
  </conditionalFormatting>
  <conditionalFormatting sqref="B43:B44">
    <cfRule type="cellIs" dxfId="6747" priority="10327" stopIfTrue="1" operator="equal">
      <formula>"Napkin Hs"</formula>
    </cfRule>
  </conditionalFormatting>
  <conditionalFormatting sqref="B43:B44">
    <cfRule type="cellIs" dxfId="6746" priority="10326" stopIfTrue="1" operator="equal">
      <formula>"Towel"</formula>
    </cfRule>
  </conditionalFormatting>
  <conditionalFormatting sqref="B42:C42">
    <cfRule type="cellIs" dxfId="6745" priority="10325" stopIfTrue="1" operator="equal">
      <formula>"Napkin Hs"</formula>
    </cfRule>
  </conditionalFormatting>
  <conditionalFormatting sqref="B42:C42">
    <cfRule type="cellIs" dxfId="6744" priority="10324" stopIfTrue="1" operator="equal">
      <formula>"Towel"</formula>
    </cfRule>
  </conditionalFormatting>
  <conditionalFormatting sqref="C42">
    <cfRule type="cellIs" dxfId="6743" priority="10323" stopIfTrue="1" operator="equal">
      <formula>"Napkin Hs"</formula>
    </cfRule>
  </conditionalFormatting>
  <conditionalFormatting sqref="C42">
    <cfRule type="cellIs" dxfId="6742" priority="10322" stopIfTrue="1" operator="equal">
      <formula>"Towel"</formula>
    </cfRule>
  </conditionalFormatting>
  <conditionalFormatting sqref="C42">
    <cfRule type="cellIs" dxfId="6741" priority="10320" stopIfTrue="1" operator="equal">
      <formula>"Towel"</formula>
    </cfRule>
    <cfRule type="cellIs" dxfId="6740" priority="10321" stopIfTrue="1" operator="equal">
      <formula>"Napkin Hs"</formula>
    </cfRule>
  </conditionalFormatting>
  <conditionalFormatting sqref="B42:C42">
    <cfRule type="cellIs" dxfId="6739" priority="10318" stopIfTrue="1" operator="equal">
      <formula>"Towel"</formula>
    </cfRule>
    <cfRule type="cellIs" dxfId="6738" priority="10319" stopIfTrue="1" operator="equal">
      <formula>"Napkin Hs"</formula>
    </cfRule>
  </conditionalFormatting>
  <conditionalFormatting sqref="C42">
    <cfRule type="cellIs" dxfId="6737" priority="10316" stopIfTrue="1" operator="equal">
      <formula>"Towel"</formula>
    </cfRule>
    <cfRule type="cellIs" dxfId="6736" priority="10317" stopIfTrue="1" operator="equal">
      <formula>"Napkin Hs"</formula>
    </cfRule>
  </conditionalFormatting>
  <conditionalFormatting sqref="C42">
    <cfRule type="cellIs" dxfId="6735" priority="10314" stopIfTrue="1" operator="equal">
      <formula>"Towel"</formula>
    </cfRule>
    <cfRule type="cellIs" dxfId="6734" priority="10315" stopIfTrue="1" operator="equal">
      <formula>"Napkin Hs"</formula>
    </cfRule>
  </conditionalFormatting>
  <conditionalFormatting sqref="B42:C42">
    <cfRule type="cellIs" dxfId="6733" priority="10312" stopIfTrue="1" operator="equal">
      <formula>"Towel"</formula>
    </cfRule>
    <cfRule type="cellIs" dxfId="6732" priority="10313" stopIfTrue="1" operator="equal">
      <formula>"Napkin Hs"</formula>
    </cfRule>
  </conditionalFormatting>
  <conditionalFormatting sqref="C42">
    <cfRule type="cellIs" dxfId="6731" priority="10310" stopIfTrue="1" operator="equal">
      <formula>"Towel"</formula>
    </cfRule>
    <cfRule type="cellIs" dxfId="6730" priority="10311" stopIfTrue="1" operator="equal">
      <formula>"Napkin Hs"</formula>
    </cfRule>
  </conditionalFormatting>
  <conditionalFormatting sqref="C42">
    <cfRule type="cellIs" dxfId="6729" priority="10308" stopIfTrue="1" operator="equal">
      <formula>"Towel"</formula>
    </cfRule>
    <cfRule type="cellIs" dxfId="6728" priority="10309" stopIfTrue="1" operator="equal">
      <formula>"Napkin Hs"</formula>
    </cfRule>
  </conditionalFormatting>
  <conditionalFormatting sqref="B42:C42">
    <cfRule type="cellIs" dxfId="6727" priority="10306" stopIfTrue="1" operator="equal">
      <formula>"Towel"</formula>
    </cfRule>
    <cfRule type="cellIs" dxfId="6726" priority="10307" stopIfTrue="1" operator="equal">
      <formula>"Napkin Hs"</formula>
    </cfRule>
  </conditionalFormatting>
  <conditionalFormatting sqref="C42">
    <cfRule type="cellIs" dxfId="6725" priority="10304" stopIfTrue="1" operator="equal">
      <formula>"Towel"</formula>
    </cfRule>
    <cfRule type="cellIs" dxfId="6724" priority="10305" stopIfTrue="1" operator="equal">
      <formula>"Napkin Hs"</formula>
    </cfRule>
  </conditionalFormatting>
  <conditionalFormatting sqref="C42">
    <cfRule type="cellIs" dxfId="6723" priority="10302" stopIfTrue="1" operator="equal">
      <formula>"Towel"</formula>
    </cfRule>
    <cfRule type="cellIs" dxfId="6722" priority="10303" stopIfTrue="1" operator="equal">
      <formula>"Napkin Hs"</formula>
    </cfRule>
  </conditionalFormatting>
  <conditionalFormatting sqref="B42:C42">
    <cfRule type="cellIs" dxfId="6721" priority="10300" stopIfTrue="1" operator="equal">
      <formula>"Towel"</formula>
    </cfRule>
    <cfRule type="cellIs" dxfId="6720" priority="10301" stopIfTrue="1" operator="equal">
      <formula>"Napkin Hs"</formula>
    </cfRule>
  </conditionalFormatting>
  <conditionalFormatting sqref="C42">
    <cfRule type="cellIs" dxfId="6719" priority="10298" stopIfTrue="1" operator="equal">
      <formula>"Towel"</formula>
    </cfRule>
    <cfRule type="cellIs" dxfId="6718" priority="10299" stopIfTrue="1" operator="equal">
      <formula>"Napkin Hs"</formula>
    </cfRule>
  </conditionalFormatting>
  <conditionalFormatting sqref="C42">
    <cfRule type="cellIs" dxfId="6717" priority="10296" stopIfTrue="1" operator="equal">
      <formula>"Towel"</formula>
    </cfRule>
    <cfRule type="cellIs" dxfId="6716" priority="10297" stopIfTrue="1" operator="equal">
      <formula>"Napkin Hs"</formula>
    </cfRule>
  </conditionalFormatting>
  <conditionalFormatting sqref="B42:C42">
    <cfRule type="cellIs" dxfId="6715" priority="10294" stopIfTrue="1" operator="equal">
      <formula>"Towel"</formula>
    </cfRule>
    <cfRule type="cellIs" dxfId="6714" priority="10295" stopIfTrue="1" operator="equal">
      <formula>"Napkin Hs"</formula>
    </cfRule>
  </conditionalFormatting>
  <conditionalFormatting sqref="C42">
    <cfRule type="cellIs" dxfId="6713" priority="10292" stopIfTrue="1" operator="equal">
      <formula>"Towel"</formula>
    </cfRule>
    <cfRule type="cellIs" dxfId="6712" priority="10293" stopIfTrue="1" operator="equal">
      <formula>"Napkin Hs"</formula>
    </cfRule>
  </conditionalFormatting>
  <conditionalFormatting sqref="C42">
    <cfRule type="cellIs" dxfId="6711" priority="10290" stopIfTrue="1" operator="equal">
      <formula>"Towel"</formula>
    </cfRule>
    <cfRule type="cellIs" dxfId="6710" priority="10291" stopIfTrue="1" operator="equal">
      <formula>"Napkin Hs"</formula>
    </cfRule>
  </conditionalFormatting>
  <conditionalFormatting sqref="B42:C42">
    <cfRule type="cellIs" dxfId="6709" priority="10289" stopIfTrue="1" operator="equal">
      <formula>"Napkin Hs"</formula>
    </cfRule>
  </conditionalFormatting>
  <conditionalFormatting sqref="B42:C42">
    <cfRule type="cellIs" dxfId="6708" priority="10288" stopIfTrue="1" operator="equal">
      <formula>"Towel"</formula>
    </cfRule>
  </conditionalFormatting>
  <conditionalFormatting sqref="C42">
    <cfRule type="cellIs" dxfId="6707" priority="10287" stopIfTrue="1" operator="equal">
      <formula>"Napkin Hs"</formula>
    </cfRule>
  </conditionalFormatting>
  <conditionalFormatting sqref="C42">
    <cfRule type="cellIs" dxfId="6706" priority="10284" stopIfTrue="1" operator="equal">
      <formula>"Towel"</formula>
    </cfRule>
    <cfRule type="cellIs" dxfId="6705" priority="10285" stopIfTrue="1" operator="equal">
      <formula>"Napkin Hs"</formula>
    </cfRule>
  </conditionalFormatting>
  <conditionalFormatting sqref="C42">
    <cfRule type="cellIs" dxfId="6704" priority="10286" stopIfTrue="1" operator="equal">
      <formula>"Towel"</formula>
    </cfRule>
  </conditionalFormatting>
  <conditionalFormatting sqref="B42:C42">
    <cfRule type="cellIs" dxfId="6703" priority="10282" stopIfTrue="1" operator="equal">
      <formula>"Towel"</formula>
    </cfRule>
    <cfRule type="cellIs" dxfId="6702" priority="10283" stopIfTrue="1" operator="equal">
      <formula>"Napkin Hs"</formula>
    </cfRule>
  </conditionalFormatting>
  <conditionalFormatting sqref="C42">
    <cfRule type="cellIs" dxfId="6701" priority="10280" stopIfTrue="1" operator="equal">
      <formula>"Towel"</formula>
    </cfRule>
    <cfRule type="cellIs" dxfId="6700" priority="10281" stopIfTrue="1" operator="equal">
      <formula>"Napkin Hs"</formula>
    </cfRule>
  </conditionalFormatting>
  <conditionalFormatting sqref="C42">
    <cfRule type="cellIs" dxfId="6699" priority="10278" stopIfTrue="1" operator="equal">
      <formula>"Towel"</formula>
    </cfRule>
    <cfRule type="cellIs" dxfId="6698" priority="10279" stopIfTrue="1" operator="equal">
      <formula>"Napkin Hs"</formula>
    </cfRule>
  </conditionalFormatting>
  <conditionalFormatting sqref="C42">
    <cfRule type="cellIs" dxfId="6697" priority="10277" stopIfTrue="1" operator="equal">
      <formula>"Napkin Hs"</formula>
    </cfRule>
  </conditionalFormatting>
  <conditionalFormatting sqref="C42">
    <cfRule type="cellIs" dxfId="6696" priority="10276" stopIfTrue="1" operator="equal">
      <formula>"Towel"</formula>
    </cfRule>
  </conditionalFormatting>
  <conditionalFormatting sqref="C42">
    <cfRule type="cellIs" dxfId="6695" priority="10275" stopIfTrue="1" operator="equal">
      <formula>"Napkin Hs"</formula>
    </cfRule>
  </conditionalFormatting>
  <conditionalFormatting sqref="C42">
    <cfRule type="cellIs" dxfId="6694" priority="10272" stopIfTrue="1" operator="equal">
      <formula>"Towel"</formula>
    </cfRule>
    <cfRule type="cellIs" dxfId="6693" priority="10273" stopIfTrue="1" operator="equal">
      <formula>"Napkin Hs"</formula>
    </cfRule>
  </conditionalFormatting>
  <conditionalFormatting sqref="C42">
    <cfRule type="cellIs" dxfId="6692" priority="10274" stopIfTrue="1" operator="equal">
      <formula>"Towel"</formula>
    </cfRule>
  </conditionalFormatting>
  <conditionalFormatting sqref="C42">
    <cfRule type="cellIs" dxfId="6691" priority="10271" stopIfTrue="1" operator="equal">
      <formula>"Napkin Hs"</formula>
    </cfRule>
  </conditionalFormatting>
  <conditionalFormatting sqref="C42">
    <cfRule type="cellIs" dxfId="6690" priority="10270" stopIfTrue="1" operator="equal">
      <formula>"Towel"</formula>
    </cfRule>
  </conditionalFormatting>
  <conditionalFormatting sqref="C42">
    <cfRule type="cellIs" dxfId="6689" priority="10269" stopIfTrue="1" operator="equal">
      <formula>"Napkin Hs"</formula>
    </cfRule>
  </conditionalFormatting>
  <conditionalFormatting sqref="C42">
    <cfRule type="cellIs" dxfId="6688" priority="10266" stopIfTrue="1" operator="equal">
      <formula>"Towel"</formula>
    </cfRule>
    <cfRule type="cellIs" dxfId="6687" priority="10267" stopIfTrue="1" operator="equal">
      <formula>"Napkin Hs"</formula>
    </cfRule>
  </conditionalFormatting>
  <conditionalFormatting sqref="C42">
    <cfRule type="cellIs" dxfId="6686" priority="10268" stopIfTrue="1" operator="equal">
      <formula>"Towel"</formula>
    </cfRule>
  </conditionalFormatting>
  <conditionalFormatting sqref="B42">
    <cfRule type="cellIs" dxfId="6685" priority="10265" stopIfTrue="1" operator="equal">
      <formula>"Napkin Hs"</formula>
    </cfRule>
  </conditionalFormatting>
  <conditionalFormatting sqref="B42">
    <cfRule type="cellIs" dxfId="6684" priority="10264" stopIfTrue="1" operator="equal">
      <formula>"Towel"</formula>
    </cfRule>
  </conditionalFormatting>
  <conditionalFormatting sqref="B48:C48">
    <cfRule type="cellIs" dxfId="6683" priority="10263" stopIfTrue="1" operator="equal">
      <formula>"Napkin Hs"</formula>
    </cfRule>
  </conditionalFormatting>
  <conditionalFormatting sqref="B48:C48">
    <cfRule type="cellIs" dxfId="6682" priority="10262" stopIfTrue="1" operator="equal">
      <formula>"Towel"</formula>
    </cfRule>
  </conditionalFormatting>
  <conditionalFormatting sqref="C48">
    <cfRule type="cellIs" dxfId="6681" priority="10261" stopIfTrue="1" operator="equal">
      <formula>"Napkin Hs"</formula>
    </cfRule>
  </conditionalFormatting>
  <conditionalFormatting sqref="C48">
    <cfRule type="cellIs" dxfId="6680" priority="10260" stopIfTrue="1" operator="equal">
      <formula>"Towel"</formula>
    </cfRule>
  </conditionalFormatting>
  <conditionalFormatting sqref="C48">
    <cfRule type="cellIs" dxfId="6679" priority="10258" stopIfTrue="1" operator="equal">
      <formula>"Towel"</formula>
    </cfRule>
    <cfRule type="cellIs" dxfId="6678" priority="10259" stopIfTrue="1" operator="equal">
      <formula>"Napkin Hs"</formula>
    </cfRule>
  </conditionalFormatting>
  <conditionalFormatting sqref="B48:C48">
    <cfRule type="cellIs" dxfId="6677" priority="10256" stopIfTrue="1" operator="equal">
      <formula>"Towel"</formula>
    </cfRule>
    <cfRule type="cellIs" dxfId="6676" priority="10257" stopIfTrue="1" operator="equal">
      <formula>"Napkin Hs"</formula>
    </cfRule>
  </conditionalFormatting>
  <conditionalFormatting sqref="C48">
    <cfRule type="cellIs" dxfId="6675" priority="10254" stopIfTrue="1" operator="equal">
      <formula>"Towel"</formula>
    </cfRule>
    <cfRule type="cellIs" dxfId="6674" priority="10255" stopIfTrue="1" operator="equal">
      <formula>"Napkin Hs"</formula>
    </cfRule>
  </conditionalFormatting>
  <conditionalFormatting sqref="C48">
    <cfRule type="cellIs" dxfId="6673" priority="10252" stopIfTrue="1" operator="equal">
      <formula>"Towel"</formula>
    </cfRule>
    <cfRule type="cellIs" dxfId="6672" priority="10253" stopIfTrue="1" operator="equal">
      <formula>"Napkin Hs"</formula>
    </cfRule>
  </conditionalFormatting>
  <conditionalFormatting sqref="B48:C48">
    <cfRule type="cellIs" dxfId="6671" priority="10250" stopIfTrue="1" operator="equal">
      <formula>"Towel"</formula>
    </cfRule>
    <cfRule type="cellIs" dxfId="6670" priority="10251" stopIfTrue="1" operator="equal">
      <formula>"Napkin Hs"</formula>
    </cfRule>
  </conditionalFormatting>
  <conditionalFormatting sqref="C48">
    <cfRule type="cellIs" dxfId="6669" priority="10248" stopIfTrue="1" operator="equal">
      <formula>"Towel"</formula>
    </cfRule>
    <cfRule type="cellIs" dxfId="6668" priority="10249" stopIfTrue="1" operator="equal">
      <formula>"Napkin Hs"</formula>
    </cfRule>
  </conditionalFormatting>
  <conditionalFormatting sqref="C48">
    <cfRule type="cellIs" dxfId="6667" priority="10246" stopIfTrue="1" operator="equal">
      <formula>"Towel"</formula>
    </cfRule>
    <cfRule type="cellIs" dxfId="6666" priority="10247" stopIfTrue="1" operator="equal">
      <formula>"Napkin Hs"</formula>
    </cfRule>
  </conditionalFormatting>
  <conditionalFormatting sqref="B48:C48">
    <cfRule type="cellIs" dxfId="6665" priority="10244" stopIfTrue="1" operator="equal">
      <formula>"Towel"</formula>
    </cfRule>
    <cfRule type="cellIs" dxfId="6664" priority="10245" stopIfTrue="1" operator="equal">
      <formula>"Napkin Hs"</formula>
    </cfRule>
  </conditionalFormatting>
  <conditionalFormatting sqref="C48">
    <cfRule type="cellIs" dxfId="6663" priority="10242" stopIfTrue="1" operator="equal">
      <formula>"Towel"</formula>
    </cfRule>
    <cfRule type="cellIs" dxfId="6662" priority="10243" stopIfTrue="1" operator="equal">
      <formula>"Napkin Hs"</formula>
    </cfRule>
  </conditionalFormatting>
  <conditionalFormatting sqref="C48">
    <cfRule type="cellIs" dxfId="6661" priority="10240" stopIfTrue="1" operator="equal">
      <formula>"Towel"</formula>
    </cfRule>
    <cfRule type="cellIs" dxfId="6660" priority="10241" stopIfTrue="1" operator="equal">
      <formula>"Napkin Hs"</formula>
    </cfRule>
  </conditionalFormatting>
  <conditionalFormatting sqref="B48:C48">
    <cfRule type="cellIs" dxfId="6659" priority="10238" stopIfTrue="1" operator="equal">
      <formula>"Towel"</formula>
    </cfRule>
    <cfRule type="cellIs" dxfId="6658" priority="10239" stopIfTrue="1" operator="equal">
      <formula>"Napkin Hs"</formula>
    </cfRule>
  </conditionalFormatting>
  <conditionalFormatting sqref="C48">
    <cfRule type="cellIs" dxfId="6657" priority="10236" stopIfTrue="1" operator="equal">
      <formula>"Towel"</formula>
    </cfRule>
    <cfRule type="cellIs" dxfId="6656" priority="10237" stopIfTrue="1" operator="equal">
      <formula>"Napkin Hs"</formula>
    </cfRule>
  </conditionalFormatting>
  <conditionalFormatting sqref="C48">
    <cfRule type="cellIs" dxfId="6655" priority="10234" stopIfTrue="1" operator="equal">
      <formula>"Towel"</formula>
    </cfRule>
    <cfRule type="cellIs" dxfId="6654" priority="10235" stopIfTrue="1" operator="equal">
      <formula>"Napkin Hs"</formula>
    </cfRule>
  </conditionalFormatting>
  <conditionalFormatting sqref="B48:C48">
    <cfRule type="cellIs" dxfId="6653" priority="10232" stopIfTrue="1" operator="equal">
      <formula>"Towel"</formula>
    </cfRule>
    <cfRule type="cellIs" dxfId="6652" priority="10233" stopIfTrue="1" operator="equal">
      <formula>"Napkin Hs"</formula>
    </cfRule>
  </conditionalFormatting>
  <conditionalFormatting sqref="C48">
    <cfRule type="cellIs" dxfId="6651" priority="10230" stopIfTrue="1" operator="equal">
      <formula>"Towel"</formula>
    </cfRule>
    <cfRule type="cellIs" dxfId="6650" priority="10231" stopIfTrue="1" operator="equal">
      <formula>"Napkin Hs"</formula>
    </cfRule>
  </conditionalFormatting>
  <conditionalFormatting sqref="C48">
    <cfRule type="cellIs" dxfId="6649" priority="10228" stopIfTrue="1" operator="equal">
      <formula>"Towel"</formula>
    </cfRule>
    <cfRule type="cellIs" dxfId="6648" priority="10229" stopIfTrue="1" operator="equal">
      <formula>"Napkin Hs"</formula>
    </cfRule>
  </conditionalFormatting>
  <conditionalFormatting sqref="B48:C48">
    <cfRule type="cellIs" dxfId="6647" priority="10227" stopIfTrue="1" operator="equal">
      <formula>"Napkin Hs"</formula>
    </cfRule>
  </conditionalFormatting>
  <conditionalFormatting sqref="B48:C48">
    <cfRule type="cellIs" dxfId="6646" priority="10226" stopIfTrue="1" operator="equal">
      <formula>"Towel"</formula>
    </cfRule>
  </conditionalFormatting>
  <conditionalFormatting sqref="C48">
    <cfRule type="cellIs" dxfId="6645" priority="10225" stopIfTrue="1" operator="equal">
      <formula>"Napkin Hs"</formula>
    </cfRule>
  </conditionalFormatting>
  <conditionalFormatting sqref="C48">
    <cfRule type="cellIs" dxfId="6644" priority="10222" stopIfTrue="1" operator="equal">
      <formula>"Towel"</formula>
    </cfRule>
    <cfRule type="cellIs" dxfId="6643" priority="10223" stopIfTrue="1" operator="equal">
      <formula>"Napkin Hs"</formula>
    </cfRule>
  </conditionalFormatting>
  <conditionalFormatting sqref="C48">
    <cfRule type="cellIs" dxfId="6642" priority="10224" stopIfTrue="1" operator="equal">
      <formula>"Towel"</formula>
    </cfRule>
  </conditionalFormatting>
  <conditionalFormatting sqref="C48">
    <cfRule type="cellIs" dxfId="6641" priority="10221" stopIfTrue="1" operator="equal">
      <formula>"Napkin Hs"</formula>
    </cfRule>
  </conditionalFormatting>
  <conditionalFormatting sqref="C48">
    <cfRule type="cellIs" dxfId="6640" priority="10220" stopIfTrue="1" operator="equal">
      <formula>"Towel"</formula>
    </cfRule>
  </conditionalFormatting>
  <conditionalFormatting sqref="C48">
    <cfRule type="cellIs" dxfId="6639" priority="10219" stopIfTrue="1" operator="equal">
      <formula>"Napkin Hs"</formula>
    </cfRule>
  </conditionalFormatting>
  <conditionalFormatting sqref="C48">
    <cfRule type="cellIs" dxfId="6638" priority="10216" stopIfTrue="1" operator="equal">
      <formula>"Towel"</formula>
    </cfRule>
    <cfRule type="cellIs" dxfId="6637" priority="10217" stopIfTrue="1" operator="equal">
      <formula>"Napkin Hs"</formula>
    </cfRule>
  </conditionalFormatting>
  <conditionalFormatting sqref="C48">
    <cfRule type="cellIs" dxfId="6636" priority="10218" stopIfTrue="1" operator="equal">
      <formula>"Towel"</formula>
    </cfRule>
  </conditionalFormatting>
  <conditionalFormatting sqref="C48">
    <cfRule type="cellIs" dxfId="6635" priority="10215" stopIfTrue="1" operator="equal">
      <formula>"Napkin Hs"</formula>
    </cfRule>
  </conditionalFormatting>
  <conditionalFormatting sqref="C48">
    <cfRule type="cellIs" dxfId="6634" priority="10214" stopIfTrue="1" operator="equal">
      <formula>"Towel"</formula>
    </cfRule>
  </conditionalFormatting>
  <conditionalFormatting sqref="C48">
    <cfRule type="cellIs" dxfId="6633" priority="10213" stopIfTrue="1" operator="equal">
      <formula>"Napkin Hs"</formula>
    </cfRule>
  </conditionalFormatting>
  <conditionalFormatting sqref="C48">
    <cfRule type="cellIs" dxfId="6632" priority="10210" stopIfTrue="1" operator="equal">
      <formula>"Towel"</formula>
    </cfRule>
    <cfRule type="cellIs" dxfId="6631" priority="10211" stopIfTrue="1" operator="equal">
      <formula>"Napkin Hs"</formula>
    </cfRule>
  </conditionalFormatting>
  <conditionalFormatting sqref="C48">
    <cfRule type="cellIs" dxfId="6630" priority="10212" stopIfTrue="1" operator="equal">
      <formula>"Towel"</formula>
    </cfRule>
  </conditionalFormatting>
  <conditionalFormatting sqref="B48">
    <cfRule type="cellIs" dxfId="6629" priority="10208" stopIfTrue="1" operator="equal">
      <formula>"Towel"</formula>
    </cfRule>
    <cfRule type="cellIs" dxfId="6628" priority="10209" stopIfTrue="1" operator="equal">
      <formula>"Napkin Hs"</formula>
    </cfRule>
  </conditionalFormatting>
  <conditionalFormatting sqref="B48">
    <cfRule type="cellIs" dxfId="6627" priority="10207" stopIfTrue="1" operator="equal">
      <formula>"Napkin Hs"</formula>
    </cfRule>
  </conditionalFormatting>
  <conditionalFormatting sqref="B48">
    <cfRule type="cellIs" dxfId="6626" priority="10206" stopIfTrue="1" operator="equal">
      <formula>"Towel"</formula>
    </cfRule>
  </conditionalFormatting>
  <conditionalFormatting sqref="B46:C46">
    <cfRule type="cellIs" dxfId="6625" priority="10205" stopIfTrue="1" operator="equal">
      <formula>"Napkin Hs"</formula>
    </cfRule>
  </conditionalFormatting>
  <conditionalFormatting sqref="B46:C46">
    <cfRule type="cellIs" dxfId="6624" priority="10204" stopIfTrue="1" operator="equal">
      <formula>"Towel"</formula>
    </cfRule>
  </conditionalFormatting>
  <conditionalFormatting sqref="C46">
    <cfRule type="cellIs" dxfId="6623" priority="10203" stopIfTrue="1" operator="equal">
      <formula>"Napkin Hs"</formula>
    </cfRule>
  </conditionalFormatting>
  <conditionalFormatting sqref="C46">
    <cfRule type="cellIs" dxfId="6622" priority="10202" stopIfTrue="1" operator="equal">
      <formula>"Towel"</formula>
    </cfRule>
  </conditionalFormatting>
  <conditionalFormatting sqref="C46">
    <cfRule type="cellIs" dxfId="6621" priority="10200" stopIfTrue="1" operator="equal">
      <formula>"Towel"</formula>
    </cfRule>
    <cfRule type="cellIs" dxfId="6620" priority="10201" stopIfTrue="1" operator="equal">
      <formula>"Napkin Hs"</formula>
    </cfRule>
  </conditionalFormatting>
  <conditionalFormatting sqref="B46:C46">
    <cfRule type="cellIs" dxfId="6619" priority="10198" stopIfTrue="1" operator="equal">
      <formula>"Towel"</formula>
    </cfRule>
    <cfRule type="cellIs" dxfId="6618" priority="10199" stopIfTrue="1" operator="equal">
      <formula>"Napkin Hs"</formula>
    </cfRule>
  </conditionalFormatting>
  <conditionalFormatting sqref="C46">
    <cfRule type="cellIs" dxfId="6617" priority="10196" stopIfTrue="1" operator="equal">
      <formula>"Towel"</formula>
    </cfRule>
    <cfRule type="cellIs" dxfId="6616" priority="10197" stopIfTrue="1" operator="equal">
      <formula>"Napkin Hs"</formula>
    </cfRule>
  </conditionalFormatting>
  <conditionalFormatting sqref="C46">
    <cfRule type="cellIs" dxfId="6615" priority="10194" stopIfTrue="1" operator="equal">
      <formula>"Towel"</formula>
    </cfRule>
    <cfRule type="cellIs" dxfId="6614" priority="10195" stopIfTrue="1" operator="equal">
      <formula>"Napkin Hs"</formula>
    </cfRule>
  </conditionalFormatting>
  <conditionalFormatting sqref="B46:C46">
    <cfRule type="cellIs" dxfId="6613" priority="10192" stopIfTrue="1" operator="equal">
      <formula>"Towel"</formula>
    </cfRule>
    <cfRule type="cellIs" dxfId="6612" priority="10193" stopIfTrue="1" operator="equal">
      <formula>"Napkin Hs"</formula>
    </cfRule>
  </conditionalFormatting>
  <conditionalFormatting sqref="C46">
    <cfRule type="cellIs" dxfId="6611" priority="10190" stopIfTrue="1" operator="equal">
      <formula>"Towel"</formula>
    </cfRule>
    <cfRule type="cellIs" dxfId="6610" priority="10191" stopIfTrue="1" operator="equal">
      <formula>"Napkin Hs"</formula>
    </cfRule>
  </conditionalFormatting>
  <conditionalFormatting sqref="C46">
    <cfRule type="cellIs" dxfId="6609" priority="10188" stopIfTrue="1" operator="equal">
      <formula>"Towel"</formula>
    </cfRule>
    <cfRule type="cellIs" dxfId="6608" priority="10189" stopIfTrue="1" operator="equal">
      <formula>"Napkin Hs"</formula>
    </cfRule>
  </conditionalFormatting>
  <conditionalFormatting sqref="B46:C46">
    <cfRule type="cellIs" dxfId="6607" priority="10186" stopIfTrue="1" operator="equal">
      <formula>"Towel"</formula>
    </cfRule>
    <cfRule type="cellIs" dxfId="6606" priority="10187" stopIfTrue="1" operator="equal">
      <formula>"Napkin Hs"</formula>
    </cfRule>
  </conditionalFormatting>
  <conditionalFormatting sqref="C46">
    <cfRule type="cellIs" dxfId="6605" priority="10184" stopIfTrue="1" operator="equal">
      <formula>"Towel"</formula>
    </cfRule>
    <cfRule type="cellIs" dxfId="6604" priority="10185" stopIfTrue="1" operator="equal">
      <formula>"Napkin Hs"</formula>
    </cfRule>
  </conditionalFormatting>
  <conditionalFormatting sqref="C46">
    <cfRule type="cellIs" dxfId="6603" priority="10182" stopIfTrue="1" operator="equal">
      <formula>"Towel"</formula>
    </cfRule>
    <cfRule type="cellIs" dxfId="6602" priority="10183" stopIfTrue="1" operator="equal">
      <formula>"Napkin Hs"</formula>
    </cfRule>
  </conditionalFormatting>
  <conditionalFormatting sqref="B46:C46">
    <cfRule type="cellIs" dxfId="6601" priority="10180" stopIfTrue="1" operator="equal">
      <formula>"Towel"</formula>
    </cfRule>
    <cfRule type="cellIs" dxfId="6600" priority="10181" stopIfTrue="1" operator="equal">
      <formula>"Napkin Hs"</formula>
    </cfRule>
  </conditionalFormatting>
  <conditionalFormatting sqref="C46">
    <cfRule type="cellIs" dxfId="6599" priority="10178" stopIfTrue="1" operator="equal">
      <formula>"Towel"</formula>
    </cfRule>
    <cfRule type="cellIs" dxfId="6598" priority="10179" stopIfTrue="1" operator="equal">
      <formula>"Napkin Hs"</formula>
    </cfRule>
  </conditionalFormatting>
  <conditionalFormatting sqref="C46">
    <cfRule type="cellIs" dxfId="6597" priority="10176" stopIfTrue="1" operator="equal">
      <formula>"Towel"</formula>
    </cfRule>
    <cfRule type="cellIs" dxfId="6596" priority="10177" stopIfTrue="1" operator="equal">
      <formula>"Napkin Hs"</formula>
    </cfRule>
  </conditionalFormatting>
  <conditionalFormatting sqref="B46:C46">
    <cfRule type="cellIs" dxfId="6595" priority="10174" stopIfTrue="1" operator="equal">
      <formula>"Towel"</formula>
    </cfRule>
    <cfRule type="cellIs" dxfId="6594" priority="10175" stopIfTrue="1" operator="equal">
      <formula>"Napkin Hs"</formula>
    </cfRule>
  </conditionalFormatting>
  <conditionalFormatting sqref="C46">
    <cfRule type="cellIs" dxfId="6593" priority="10172" stopIfTrue="1" operator="equal">
      <formula>"Towel"</formula>
    </cfRule>
    <cfRule type="cellIs" dxfId="6592" priority="10173" stopIfTrue="1" operator="equal">
      <formula>"Napkin Hs"</formula>
    </cfRule>
  </conditionalFormatting>
  <conditionalFormatting sqref="C46">
    <cfRule type="cellIs" dxfId="6591" priority="10170" stopIfTrue="1" operator="equal">
      <formula>"Towel"</formula>
    </cfRule>
    <cfRule type="cellIs" dxfId="6590" priority="10171" stopIfTrue="1" operator="equal">
      <formula>"Napkin Hs"</formula>
    </cfRule>
  </conditionalFormatting>
  <conditionalFormatting sqref="B46:C46">
    <cfRule type="cellIs" dxfId="6589" priority="10169" stopIfTrue="1" operator="equal">
      <formula>"Napkin Hs"</formula>
    </cfRule>
  </conditionalFormatting>
  <conditionalFormatting sqref="B46:C46">
    <cfRule type="cellIs" dxfId="6588" priority="10168" stopIfTrue="1" operator="equal">
      <formula>"Towel"</formula>
    </cfRule>
  </conditionalFormatting>
  <conditionalFormatting sqref="C46">
    <cfRule type="cellIs" dxfId="6587" priority="10167" stopIfTrue="1" operator="equal">
      <formula>"Napkin Hs"</formula>
    </cfRule>
  </conditionalFormatting>
  <conditionalFormatting sqref="C46">
    <cfRule type="cellIs" dxfId="6586" priority="10164" stopIfTrue="1" operator="equal">
      <formula>"Towel"</formula>
    </cfRule>
    <cfRule type="cellIs" dxfId="6585" priority="10165" stopIfTrue="1" operator="equal">
      <formula>"Napkin Hs"</formula>
    </cfRule>
  </conditionalFormatting>
  <conditionalFormatting sqref="C46">
    <cfRule type="cellIs" dxfId="6584" priority="10166" stopIfTrue="1" operator="equal">
      <formula>"Towel"</formula>
    </cfRule>
  </conditionalFormatting>
  <conditionalFormatting sqref="B46:C46">
    <cfRule type="cellIs" dxfId="6583" priority="10162" stopIfTrue="1" operator="equal">
      <formula>"Towel"</formula>
    </cfRule>
    <cfRule type="cellIs" dxfId="6582" priority="10163" stopIfTrue="1" operator="equal">
      <formula>"Napkin Hs"</formula>
    </cfRule>
  </conditionalFormatting>
  <conditionalFormatting sqref="C46">
    <cfRule type="cellIs" dxfId="6581" priority="10160" stopIfTrue="1" operator="equal">
      <formula>"Towel"</formula>
    </cfRule>
    <cfRule type="cellIs" dxfId="6580" priority="10161" stopIfTrue="1" operator="equal">
      <formula>"Napkin Hs"</formula>
    </cfRule>
  </conditionalFormatting>
  <conditionalFormatting sqref="C46">
    <cfRule type="cellIs" dxfId="6579" priority="10158" stopIfTrue="1" operator="equal">
      <formula>"Towel"</formula>
    </cfRule>
    <cfRule type="cellIs" dxfId="6578" priority="10159" stopIfTrue="1" operator="equal">
      <formula>"Napkin Hs"</formula>
    </cfRule>
  </conditionalFormatting>
  <conditionalFormatting sqref="C46">
    <cfRule type="cellIs" dxfId="6577" priority="10157" stopIfTrue="1" operator="equal">
      <formula>"Napkin Hs"</formula>
    </cfRule>
  </conditionalFormatting>
  <conditionalFormatting sqref="C46">
    <cfRule type="cellIs" dxfId="6576" priority="10156" stopIfTrue="1" operator="equal">
      <formula>"Towel"</formula>
    </cfRule>
  </conditionalFormatting>
  <conditionalFormatting sqref="C46">
    <cfRule type="cellIs" dxfId="6575" priority="10155" stopIfTrue="1" operator="equal">
      <formula>"Napkin Hs"</formula>
    </cfRule>
  </conditionalFormatting>
  <conditionalFormatting sqref="C46">
    <cfRule type="cellIs" dxfId="6574" priority="10152" stopIfTrue="1" operator="equal">
      <formula>"Towel"</formula>
    </cfRule>
    <cfRule type="cellIs" dxfId="6573" priority="10153" stopIfTrue="1" operator="equal">
      <formula>"Napkin Hs"</formula>
    </cfRule>
  </conditionalFormatting>
  <conditionalFormatting sqref="C46">
    <cfRule type="cellIs" dxfId="6572" priority="10154" stopIfTrue="1" operator="equal">
      <formula>"Towel"</formula>
    </cfRule>
  </conditionalFormatting>
  <conditionalFormatting sqref="C46">
    <cfRule type="cellIs" dxfId="6571" priority="10151" stopIfTrue="1" operator="equal">
      <formula>"Napkin Hs"</formula>
    </cfRule>
  </conditionalFormatting>
  <conditionalFormatting sqref="C46">
    <cfRule type="cellIs" dxfId="6570" priority="10150" stopIfTrue="1" operator="equal">
      <formula>"Towel"</formula>
    </cfRule>
  </conditionalFormatting>
  <conditionalFormatting sqref="C46">
    <cfRule type="cellIs" dxfId="6569" priority="10149" stopIfTrue="1" operator="equal">
      <formula>"Napkin Hs"</formula>
    </cfRule>
  </conditionalFormatting>
  <conditionalFormatting sqref="C46">
    <cfRule type="cellIs" dxfId="6568" priority="10146" stopIfTrue="1" operator="equal">
      <formula>"Towel"</formula>
    </cfRule>
    <cfRule type="cellIs" dxfId="6567" priority="10147" stopIfTrue="1" operator="equal">
      <formula>"Napkin Hs"</formula>
    </cfRule>
  </conditionalFormatting>
  <conditionalFormatting sqref="C46">
    <cfRule type="cellIs" dxfId="6566" priority="10148" stopIfTrue="1" operator="equal">
      <formula>"Towel"</formula>
    </cfRule>
  </conditionalFormatting>
  <conditionalFormatting sqref="B46">
    <cfRule type="cellIs" dxfId="6565" priority="10145" stopIfTrue="1" operator="equal">
      <formula>"Napkin Hs"</formula>
    </cfRule>
  </conditionalFormatting>
  <conditionalFormatting sqref="B46">
    <cfRule type="cellIs" dxfId="6564" priority="10144" stopIfTrue="1" operator="equal">
      <formula>"Towel"</formula>
    </cfRule>
  </conditionalFormatting>
  <conditionalFormatting sqref="B47:C47">
    <cfRule type="cellIs" dxfId="6563" priority="10142" stopIfTrue="1" operator="equal">
      <formula>"Towel"</formula>
    </cfRule>
    <cfRule type="cellIs" dxfId="6562" priority="10143" stopIfTrue="1" operator="equal">
      <formula>"Napkin Hs"</formula>
    </cfRule>
  </conditionalFormatting>
  <conditionalFormatting sqref="C47">
    <cfRule type="cellIs" dxfId="6561" priority="10140" stopIfTrue="1" operator="equal">
      <formula>"Towel"</formula>
    </cfRule>
    <cfRule type="cellIs" dxfId="6560" priority="10141" stopIfTrue="1" operator="equal">
      <formula>"Napkin Hs"</formula>
    </cfRule>
  </conditionalFormatting>
  <conditionalFormatting sqref="C47">
    <cfRule type="cellIs" dxfId="6559" priority="10138" stopIfTrue="1" operator="equal">
      <formula>"Towel"</formula>
    </cfRule>
    <cfRule type="cellIs" dxfId="6558" priority="10139" stopIfTrue="1" operator="equal">
      <formula>"Napkin Hs"</formula>
    </cfRule>
  </conditionalFormatting>
  <conditionalFormatting sqref="C47">
    <cfRule type="cellIs" dxfId="6557" priority="10137" stopIfTrue="1" operator="equal">
      <formula>"Napkin Hs"</formula>
    </cfRule>
  </conditionalFormatting>
  <conditionalFormatting sqref="C47">
    <cfRule type="cellIs" dxfId="6556" priority="10136" stopIfTrue="1" operator="equal">
      <formula>"Towel"</formula>
    </cfRule>
  </conditionalFormatting>
  <conditionalFormatting sqref="C47">
    <cfRule type="cellIs" dxfId="6555" priority="10135" stopIfTrue="1" operator="equal">
      <formula>"Napkin Hs"</formula>
    </cfRule>
  </conditionalFormatting>
  <conditionalFormatting sqref="C47">
    <cfRule type="cellIs" dxfId="6554" priority="10132" stopIfTrue="1" operator="equal">
      <formula>"Towel"</formula>
    </cfRule>
    <cfRule type="cellIs" dxfId="6553" priority="10133" stopIfTrue="1" operator="equal">
      <formula>"Napkin Hs"</formula>
    </cfRule>
  </conditionalFormatting>
  <conditionalFormatting sqref="C47">
    <cfRule type="cellIs" dxfId="6552" priority="10134" stopIfTrue="1" operator="equal">
      <formula>"Towel"</formula>
    </cfRule>
  </conditionalFormatting>
  <conditionalFormatting sqref="C47">
    <cfRule type="cellIs" dxfId="6551" priority="10131" stopIfTrue="1" operator="equal">
      <formula>"Napkin Hs"</formula>
    </cfRule>
  </conditionalFormatting>
  <conditionalFormatting sqref="C47">
    <cfRule type="cellIs" dxfId="6550" priority="10130" stopIfTrue="1" operator="equal">
      <formula>"Towel"</formula>
    </cfRule>
  </conditionalFormatting>
  <conditionalFormatting sqref="C47">
    <cfRule type="cellIs" dxfId="6549" priority="10129" stopIfTrue="1" operator="equal">
      <formula>"Napkin Hs"</formula>
    </cfRule>
  </conditionalFormatting>
  <conditionalFormatting sqref="C47">
    <cfRule type="cellIs" dxfId="6548" priority="10126" stopIfTrue="1" operator="equal">
      <formula>"Towel"</formula>
    </cfRule>
    <cfRule type="cellIs" dxfId="6547" priority="10127" stopIfTrue="1" operator="equal">
      <formula>"Napkin Hs"</formula>
    </cfRule>
  </conditionalFormatting>
  <conditionalFormatting sqref="C47">
    <cfRule type="cellIs" dxfId="6546" priority="10128" stopIfTrue="1" operator="equal">
      <formula>"Towel"</formula>
    </cfRule>
  </conditionalFormatting>
  <conditionalFormatting sqref="B47">
    <cfRule type="cellIs" dxfId="6545" priority="10125" stopIfTrue="1" operator="equal">
      <formula>"Napkin Hs"</formula>
    </cfRule>
  </conditionalFormatting>
  <conditionalFormatting sqref="B47">
    <cfRule type="cellIs" dxfId="6544" priority="10124" stopIfTrue="1" operator="equal">
      <formula>"Towel"</formula>
    </cfRule>
  </conditionalFormatting>
  <conditionalFormatting sqref="B54:C54">
    <cfRule type="cellIs" dxfId="6543" priority="9474" stopIfTrue="1" operator="equal">
      <formula>"Towel"</formula>
    </cfRule>
    <cfRule type="cellIs" dxfId="6542" priority="9475" stopIfTrue="1" operator="equal">
      <formula>"Napkin Hs"</formula>
    </cfRule>
  </conditionalFormatting>
  <conditionalFormatting sqref="C54">
    <cfRule type="cellIs" dxfId="6541" priority="9470" stopIfTrue="1" operator="equal">
      <formula>"Towel"</formula>
    </cfRule>
    <cfRule type="cellIs" dxfId="6540" priority="9471" stopIfTrue="1" operator="equal">
      <formula>"Napkin Hs"</formula>
    </cfRule>
  </conditionalFormatting>
  <conditionalFormatting sqref="C54">
    <cfRule type="cellIs" dxfId="6539" priority="9472" stopIfTrue="1" operator="equal">
      <formula>"Towel"</formula>
    </cfRule>
    <cfRule type="cellIs" dxfId="6538" priority="9473" stopIfTrue="1" operator="equal">
      <formula>"Napkin Hs"</formula>
    </cfRule>
  </conditionalFormatting>
  <conditionalFormatting sqref="B54:C54">
    <cfRule type="cellIs" dxfId="6537" priority="9468" stopIfTrue="1" operator="equal">
      <formula>"Towel"</formula>
    </cfRule>
    <cfRule type="cellIs" dxfId="6536" priority="9469" stopIfTrue="1" operator="equal">
      <formula>"Napkin Hs"</formula>
    </cfRule>
  </conditionalFormatting>
  <conditionalFormatting sqref="C54">
    <cfRule type="cellIs" dxfId="6535" priority="9464" stopIfTrue="1" operator="equal">
      <formula>"Towel"</formula>
    </cfRule>
    <cfRule type="cellIs" dxfId="6534" priority="9465" stopIfTrue="1" operator="equal">
      <formula>"Napkin Hs"</formula>
    </cfRule>
  </conditionalFormatting>
  <conditionalFormatting sqref="C54">
    <cfRule type="cellIs" dxfId="6533" priority="9466" stopIfTrue="1" operator="equal">
      <formula>"Towel"</formula>
    </cfRule>
    <cfRule type="cellIs" dxfId="6532" priority="9467" stopIfTrue="1" operator="equal">
      <formula>"Napkin Hs"</formula>
    </cfRule>
  </conditionalFormatting>
  <conditionalFormatting sqref="B54:C54">
    <cfRule type="cellIs" dxfId="6531" priority="9462" stopIfTrue="1" operator="equal">
      <formula>"Towel"</formula>
    </cfRule>
    <cfRule type="cellIs" dxfId="6530" priority="9463" stopIfTrue="1" operator="equal">
      <formula>"Napkin Hs"</formula>
    </cfRule>
  </conditionalFormatting>
  <conditionalFormatting sqref="C54">
    <cfRule type="cellIs" dxfId="6529" priority="9460" stopIfTrue="1" operator="equal">
      <formula>"Towel"</formula>
    </cfRule>
    <cfRule type="cellIs" dxfId="6528" priority="9461" stopIfTrue="1" operator="equal">
      <formula>"Napkin Hs"</formula>
    </cfRule>
  </conditionalFormatting>
  <conditionalFormatting sqref="C54">
    <cfRule type="cellIs" dxfId="6527" priority="9458" stopIfTrue="1" operator="equal">
      <formula>"Towel"</formula>
    </cfRule>
    <cfRule type="cellIs" dxfId="6526" priority="9459" stopIfTrue="1" operator="equal">
      <formula>"Napkin Hs"</formula>
    </cfRule>
  </conditionalFormatting>
  <conditionalFormatting sqref="B54:C54">
    <cfRule type="cellIs" dxfId="6525" priority="9456" stopIfTrue="1" operator="equal">
      <formula>"Towel"</formula>
    </cfRule>
    <cfRule type="cellIs" dxfId="6524" priority="9457" stopIfTrue="1" operator="equal">
      <formula>"Napkin Hs"</formula>
    </cfRule>
  </conditionalFormatting>
  <conditionalFormatting sqref="C54">
    <cfRule type="cellIs" dxfId="6523" priority="9454" stopIfTrue="1" operator="equal">
      <formula>"Towel"</formula>
    </cfRule>
    <cfRule type="cellIs" dxfId="6522" priority="9455" stopIfTrue="1" operator="equal">
      <formula>"Napkin Hs"</formula>
    </cfRule>
  </conditionalFormatting>
  <conditionalFormatting sqref="C54">
    <cfRule type="cellIs" dxfId="6521" priority="9452" stopIfTrue="1" operator="equal">
      <formula>"Towel"</formula>
    </cfRule>
    <cfRule type="cellIs" dxfId="6520" priority="9453" stopIfTrue="1" operator="equal">
      <formula>"Napkin Hs"</formula>
    </cfRule>
  </conditionalFormatting>
  <conditionalFormatting sqref="B54:C54">
    <cfRule type="cellIs" dxfId="6519" priority="9450" stopIfTrue="1" operator="equal">
      <formula>"Towel"</formula>
    </cfRule>
    <cfRule type="cellIs" dxfId="6518" priority="9451" stopIfTrue="1" operator="equal">
      <formula>"Napkin Hs"</formula>
    </cfRule>
  </conditionalFormatting>
  <conditionalFormatting sqref="C54">
    <cfRule type="cellIs" dxfId="6517" priority="9448" stopIfTrue="1" operator="equal">
      <formula>"Towel"</formula>
    </cfRule>
    <cfRule type="cellIs" dxfId="6516" priority="9449" stopIfTrue="1" operator="equal">
      <formula>"Napkin Hs"</formula>
    </cfRule>
  </conditionalFormatting>
  <conditionalFormatting sqref="C54">
    <cfRule type="cellIs" dxfId="6515" priority="9446" stopIfTrue="1" operator="equal">
      <formula>"Towel"</formula>
    </cfRule>
    <cfRule type="cellIs" dxfId="6514" priority="9447" stopIfTrue="1" operator="equal">
      <formula>"Napkin Hs"</formula>
    </cfRule>
  </conditionalFormatting>
  <conditionalFormatting sqref="B54:C54">
    <cfRule type="cellIs" dxfId="6513" priority="9445" stopIfTrue="1" operator="equal">
      <formula>"Napkin Hs"</formula>
    </cfRule>
  </conditionalFormatting>
  <conditionalFormatting sqref="B54:C54">
    <cfRule type="cellIs" dxfId="6512" priority="9444" stopIfTrue="1" operator="equal">
      <formula>"Towel"</formula>
    </cfRule>
  </conditionalFormatting>
  <conditionalFormatting sqref="C54">
    <cfRule type="cellIs" dxfId="6511" priority="9443" stopIfTrue="1" operator="equal">
      <formula>"Napkin Hs"</formula>
    </cfRule>
  </conditionalFormatting>
  <conditionalFormatting sqref="C54">
    <cfRule type="cellIs" dxfId="6510" priority="9440" stopIfTrue="1" operator="equal">
      <formula>"Towel"</formula>
    </cfRule>
    <cfRule type="cellIs" dxfId="6509" priority="9441" stopIfTrue="1" operator="equal">
      <formula>"Napkin Hs"</formula>
    </cfRule>
  </conditionalFormatting>
  <conditionalFormatting sqref="C54">
    <cfRule type="cellIs" dxfId="6508" priority="9442" stopIfTrue="1" operator="equal">
      <formula>"Towel"</formula>
    </cfRule>
  </conditionalFormatting>
  <conditionalFormatting sqref="B53:C53">
    <cfRule type="cellIs" dxfId="6507" priority="9438" stopIfTrue="1" operator="equal">
      <formula>"Towel"</formula>
    </cfRule>
    <cfRule type="cellIs" dxfId="6506" priority="9439" stopIfTrue="1" operator="equal">
      <formula>"Napkin Hs"</formula>
    </cfRule>
  </conditionalFormatting>
  <conditionalFormatting sqref="C53">
    <cfRule type="cellIs" dxfId="6505" priority="9434" stopIfTrue="1" operator="equal">
      <formula>"Towel"</formula>
    </cfRule>
    <cfRule type="cellIs" dxfId="6504" priority="9435" stopIfTrue="1" operator="equal">
      <formula>"Napkin Hs"</formula>
    </cfRule>
  </conditionalFormatting>
  <conditionalFormatting sqref="C53">
    <cfRule type="cellIs" dxfId="6503" priority="9436" stopIfTrue="1" operator="equal">
      <formula>"Towel"</formula>
    </cfRule>
    <cfRule type="cellIs" dxfId="6502" priority="9437" stopIfTrue="1" operator="equal">
      <formula>"Napkin Hs"</formula>
    </cfRule>
  </conditionalFormatting>
  <conditionalFormatting sqref="B53:C53">
    <cfRule type="cellIs" dxfId="6501" priority="9433" stopIfTrue="1" operator="equal">
      <formula>"Napkin Hs"</formula>
    </cfRule>
  </conditionalFormatting>
  <conditionalFormatting sqref="B53:C53">
    <cfRule type="cellIs" dxfId="6500" priority="9432" stopIfTrue="1" operator="equal">
      <formula>"Towel"</formula>
    </cfRule>
  </conditionalFormatting>
  <conditionalFormatting sqref="C53">
    <cfRule type="cellIs" dxfId="6499" priority="9431" stopIfTrue="1" operator="equal">
      <formula>"Napkin Hs"</formula>
    </cfRule>
  </conditionalFormatting>
  <conditionalFormatting sqref="C53">
    <cfRule type="cellIs" dxfId="6498" priority="9430" stopIfTrue="1" operator="equal">
      <formula>"Towel"</formula>
    </cfRule>
  </conditionalFormatting>
  <conditionalFormatting sqref="C53">
    <cfRule type="cellIs" dxfId="6497" priority="9428" stopIfTrue="1" operator="equal">
      <formula>"Towel"</formula>
    </cfRule>
    <cfRule type="cellIs" dxfId="6496" priority="9429" stopIfTrue="1" operator="equal">
      <formula>"Napkin Hs"</formula>
    </cfRule>
  </conditionalFormatting>
  <conditionalFormatting sqref="B53:C53">
    <cfRule type="cellIs" dxfId="6495" priority="9426" stopIfTrue="1" operator="equal">
      <formula>"Towel"</formula>
    </cfRule>
    <cfRule type="cellIs" dxfId="6494" priority="9427" stopIfTrue="1" operator="equal">
      <formula>"Napkin Hs"</formula>
    </cfRule>
  </conditionalFormatting>
  <conditionalFormatting sqref="C53">
    <cfRule type="cellIs" dxfId="6493" priority="9424" stopIfTrue="1" operator="equal">
      <formula>"Towel"</formula>
    </cfRule>
    <cfRule type="cellIs" dxfId="6492" priority="9425" stopIfTrue="1" operator="equal">
      <formula>"Napkin Hs"</formula>
    </cfRule>
  </conditionalFormatting>
  <conditionalFormatting sqref="C53">
    <cfRule type="cellIs" dxfId="6491" priority="9422" stopIfTrue="1" operator="equal">
      <formula>"Towel"</formula>
    </cfRule>
    <cfRule type="cellIs" dxfId="6490" priority="9423" stopIfTrue="1" operator="equal">
      <formula>"Napkin Hs"</formula>
    </cfRule>
  </conditionalFormatting>
  <conditionalFormatting sqref="B53:C53">
    <cfRule type="cellIs" dxfId="6489" priority="9420" stopIfTrue="1" operator="equal">
      <formula>"Towel"</formula>
    </cfRule>
    <cfRule type="cellIs" dxfId="6488" priority="9421" stopIfTrue="1" operator="equal">
      <formula>"Napkin Hs"</formula>
    </cfRule>
  </conditionalFormatting>
  <conditionalFormatting sqref="C53">
    <cfRule type="cellIs" dxfId="6487" priority="9418" stopIfTrue="1" operator="equal">
      <formula>"Towel"</formula>
    </cfRule>
    <cfRule type="cellIs" dxfId="6486" priority="9419" stopIfTrue="1" operator="equal">
      <formula>"Napkin Hs"</formula>
    </cfRule>
  </conditionalFormatting>
  <conditionalFormatting sqref="C53">
    <cfRule type="cellIs" dxfId="6485" priority="9416" stopIfTrue="1" operator="equal">
      <formula>"Towel"</formula>
    </cfRule>
    <cfRule type="cellIs" dxfId="6484" priority="9417" stopIfTrue="1" operator="equal">
      <formula>"Napkin Hs"</formula>
    </cfRule>
  </conditionalFormatting>
  <conditionalFormatting sqref="B53:C53">
    <cfRule type="cellIs" dxfId="6483" priority="9414" stopIfTrue="1" operator="equal">
      <formula>"Towel"</formula>
    </cfRule>
    <cfRule type="cellIs" dxfId="6482" priority="9415" stopIfTrue="1" operator="equal">
      <formula>"Napkin Hs"</formula>
    </cfRule>
  </conditionalFormatting>
  <conditionalFormatting sqref="C53">
    <cfRule type="cellIs" dxfId="6481" priority="9412" stopIfTrue="1" operator="equal">
      <formula>"Towel"</formula>
    </cfRule>
    <cfRule type="cellIs" dxfId="6480" priority="9413" stopIfTrue="1" operator="equal">
      <formula>"Napkin Hs"</formula>
    </cfRule>
  </conditionalFormatting>
  <conditionalFormatting sqref="C53">
    <cfRule type="cellIs" dxfId="6479" priority="9410" stopIfTrue="1" operator="equal">
      <formula>"Towel"</formula>
    </cfRule>
    <cfRule type="cellIs" dxfId="6478" priority="9411" stopIfTrue="1" operator="equal">
      <formula>"Napkin Hs"</formula>
    </cfRule>
  </conditionalFormatting>
  <conditionalFormatting sqref="B53:C53">
    <cfRule type="cellIs" dxfId="6477" priority="9408" stopIfTrue="1" operator="equal">
      <formula>"Towel"</formula>
    </cfRule>
    <cfRule type="cellIs" dxfId="6476" priority="9409" stopIfTrue="1" operator="equal">
      <formula>"Napkin Hs"</formula>
    </cfRule>
  </conditionalFormatting>
  <conditionalFormatting sqref="C53">
    <cfRule type="cellIs" dxfId="6475" priority="9406" stopIfTrue="1" operator="equal">
      <formula>"Towel"</formula>
    </cfRule>
    <cfRule type="cellIs" dxfId="6474" priority="9407" stopIfTrue="1" operator="equal">
      <formula>"Napkin Hs"</formula>
    </cfRule>
  </conditionalFormatting>
  <conditionalFormatting sqref="C53">
    <cfRule type="cellIs" dxfId="6473" priority="9404" stopIfTrue="1" operator="equal">
      <formula>"Towel"</formula>
    </cfRule>
    <cfRule type="cellIs" dxfId="6472" priority="9405" stopIfTrue="1" operator="equal">
      <formula>"Napkin Hs"</formula>
    </cfRule>
  </conditionalFormatting>
  <conditionalFormatting sqref="B53:C53">
    <cfRule type="cellIs" dxfId="6471" priority="9402" stopIfTrue="1" operator="equal">
      <formula>"Towel"</formula>
    </cfRule>
    <cfRule type="cellIs" dxfId="6470" priority="9403" stopIfTrue="1" operator="equal">
      <formula>"Napkin Hs"</formula>
    </cfRule>
  </conditionalFormatting>
  <conditionalFormatting sqref="C53">
    <cfRule type="cellIs" dxfId="6469" priority="9400" stopIfTrue="1" operator="equal">
      <formula>"Towel"</formula>
    </cfRule>
    <cfRule type="cellIs" dxfId="6468" priority="9401" stopIfTrue="1" operator="equal">
      <formula>"Napkin Hs"</formula>
    </cfRule>
  </conditionalFormatting>
  <conditionalFormatting sqref="C53">
    <cfRule type="cellIs" dxfId="6467" priority="9398" stopIfTrue="1" operator="equal">
      <formula>"Towel"</formula>
    </cfRule>
    <cfRule type="cellIs" dxfId="6466" priority="9399" stopIfTrue="1" operator="equal">
      <formula>"Napkin Hs"</formula>
    </cfRule>
  </conditionalFormatting>
  <conditionalFormatting sqref="B53:C53">
    <cfRule type="cellIs" dxfId="6465" priority="9397" stopIfTrue="1" operator="equal">
      <formula>"Napkin Hs"</formula>
    </cfRule>
  </conditionalFormatting>
  <conditionalFormatting sqref="B53:C53">
    <cfRule type="cellIs" dxfId="6464" priority="9396" stopIfTrue="1" operator="equal">
      <formula>"Towel"</formula>
    </cfRule>
  </conditionalFormatting>
  <conditionalFormatting sqref="C53">
    <cfRule type="cellIs" dxfId="6463" priority="9395" stopIfTrue="1" operator="equal">
      <formula>"Napkin Hs"</formula>
    </cfRule>
  </conditionalFormatting>
  <conditionalFormatting sqref="C53">
    <cfRule type="cellIs" dxfId="6462" priority="9392" stopIfTrue="1" operator="equal">
      <formula>"Towel"</formula>
    </cfRule>
    <cfRule type="cellIs" dxfId="6461" priority="9393" stopIfTrue="1" operator="equal">
      <formula>"Napkin Hs"</formula>
    </cfRule>
  </conditionalFormatting>
  <conditionalFormatting sqref="C53">
    <cfRule type="cellIs" dxfId="6460" priority="9394" stopIfTrue="1" operator="equal">
      <formula>"Towel"</formula>
    </cfRule>
  </conditionalFormatting>
  <conditionalFormatting sqref="B52:C52">
    <cfRule type="cellIs" dxfId="6459" priority="9391" stopIfTrue="1" operator="equal">
      <formula>"Napkin Hs"</formula>
    </cfRule>
  </conditionalFormatting>
  <conditionalFormatting sqref="B52:C52">
    <cfRule type="cellIs" dxfId="6458" priority="9390" stopIfTrue="1" operator="equal">
      <formula>"Towel"</formula>
    </cfRule>
  </conditionalFormatting>
  <conditionalFormatting sqref="C52">
    <cfRule type="cellIs" dxfId="6457" priority="9389" stopIfTrue="1" operator="equal">
      <formula>"Napkin Hs"</formula>
    </cfRule>
  </conditionalFormatting>
  <conditionalFormatting sqref="C52">
    <cfRule type="cellIs" dxfId="6456" priority="9388" stopIfTrue="1" operator="equal">
      <formula>"Towel"</formula>
    </cfRule>
  </conditionalFormatting>
  <conditionalFormatting sqref="C52">
    <cfRule type="cellIs" dxfId="6455" priority="9386" stopIfTrue="1" operator="equal">
      <formula>"Towel"</formula>
    </cfRule>
    <cfRule type="cellIs" dxfId="6454" priority="9387" stopIfTrue="1" operator="equal">
      <formula>"Napkin Hs"</formula>
    </cfRule>
  </conditionalFormatting>
  <conditionalFormatting sqref="B52:C52">
    <cfRule type="cellIs" dxfId="6453" priority="9384" stopIfTrue="1" operator="equal">
      <formula>"Towel"</formula>
    </cfRule>
    <cfRule type="cellIs" dxfId="6452" priority="9385" stopIfTrue="1" operator="equal">
      <formula>"Napkin Hs"</formula>
    </cfRule>
  </conditionalFormatting>
  <conditionalFormatting sqref="C52">
    <cfRule type="cellIs" dxfId="6451" priority="9382" stopIfTrue="1" operator="equal">
      <formula>"Towel"</formula>
    </cfRule>
    <cfRule type="cellIs" dxfId="6450" priority="9383" stopIfTrue="1" operator="equal">
      <formula>"Napkin Hs"</formula>
    </cfRule>
  </conditionalFormatting>
  <conditionalFormatting sqref="C52">
    <cfRule type="cellIs" dxfId="6449" priority="9380" stopIfTrue="1" operator="equal">
      <formula>"Towel"</formula>
    </cfRule>
    <cfRule type="cellIs" dxfId="6448" priority="9381" stopIfTrue="1" operator="equal">
      <formula>"Napkin Hs"</formula>
    </cfRule>
  </conditionalFormatting>
  <conditionalFormatting sqref="B52:C52">
    <cfRule type="cellIs" dxfId="6447" priority="9378" stopIfTrue="1" operator="equal">
      <formula>"Towel"</formula>
    </cfRule>
    <cfRule type="cellIs" dxfId="6446" priority="9379" stopIfTrue="1" operator="equal">
      <formula>"Napkin Hs"</formula>
    </cfRule>
  </conditionalFormatting>
  <conditionalFormatting sqref="C52">
    <cfRule type="cellIs" dxfId="6445" priority="9376" stopIfTrue="1" operator="equal">
      <formula>"Towel"</formula>
    </cfRule>
    <cfRule type="cellIs" dxfId="6444" priority="9377" stopIfTrue="1" operator="equal">
      <formula>"Napkin Hs"</formula>
    </cfRule>
  </conditionalFormatting>
  <conditionalFormatting sqref="C52">
    <cfRule type="cellIs" dxfId="6443" priority="9374" stopIfTrue="1" operator="equal">
      <formula>"Towel"</formula>
    </cfRule>
    <cfRule type="cellIs" dxfId="6442" priority="9375" stopIfTrue="1" operator="equal">
      <formula>"Napkin Hs"</formula>
    </cfRule>
  </conditionalFormatting>
  <conditionalFormatting sqref="B52:C52">
    <cfRule type="cellIs" dxfId="6441" priority="9372" stopIfTrue="1" operator="equal">
      <formula>"Towel"</formula>
    </cfRule>
    <cfRule type="cellIs" dxfId="6440" priority="9373" stopIfTrue="1" operator="equal">
      <formula>"Napkin Hs"</formula>
    </cfRule>
  </conditionalFormatting>
  <conditionalFormatting sqref="C52">
    <cfRule type="cellIs" dxfId="6439" priority="9370" stopIfTrue="1" operator="equal">
      <formula>"Towel"</formula>
    </cfRule>
    <cfRule type="cellIs" dxfId="6438" priority="9371" stopIfTrue="1" operator="equal">
      <formula>"Napkin Hs"</formula>
    </cfRule>
  </conditionalFormatting>
  <conditionalFormatting sqref="C52">
    <cfRule type="cellIs" dxfId="6437" priority="9368" stopIfTrue="1" operator="equal">
      <formula>"Towel"</formula>
    </cfRule>
    <cfRule type="cellIs" dxfId="6436" priority="9369" stopIfTrue="1" operator="equal">
      <formula>"Napkin Hs"</formula>
    </cfRule>
  </conditionalFormatting>
  <conditionalFormatting sqref="B52:C52">
    <cfRule type="cellIs" dxfId="6435" priority="9366" stopIfTrue="1" operator="equal">
      <formula>"Towel"</formula>
    </cfRule>
    <cfRule type="cellIs" dxfId="6434" priority="9367" stopIfTrue="1" operator="equal">
      <formula>"Napkin Hs"</formula>
    </cfRule>
  </conditionalFormatting>
  <conditionalFormatting sqref="C52">
    <cfRule type="cellIs" dxfId="6433" priority="9364" stopIfTrue="1" operator="equal">
      <formula>"Towel"</formula>
    </cfRule>
    <cfRule type="cellIs" dxfId="6432" priority="9365" stopIfTrue="1" operator="equal">
      <formula>"Napkin Hs"</formula>
    </cfRule>
  </conditionalFormatting>
  <conditionalFormatting sqref="C52">
    <cfRule type="cellIs" dxfId="6431" priority="9362" stopIfTrue="1" operator="equal">
      <formula>"Towel"</formula>
    </cfRule>
    <cfRule type="cellIs" dxfId="6430" priority="9363" stopIfTrue="1" operator="equal">
      <formula>"Napkin Hs"</formula>
    </cfRule>
  </conditionalFormatting>
  <conditionalFormatting sqref="B52:C52">
    <cfRule type="cellIs" dxfId="6429" priority="9360" stopIfTrue="1" operator="equal">
      <formula>"Towel"</formula>
    </cfRule>
    <cfRule type="cellIs" dxfId="6428" priority="9361" stopIfTrue="1" operator="equal">
      <formula>"Napkin Hs"</formula>
    </cfRule>
  </conditionalFormatting>
  <conditionalFormatting sqref="C52">
    <cfRule type="cellIs" dxfId="6427" priority="9358" stopIfTrue="1" operator="equal">
      <formula>"Towel"</formula>
    </cfRule>
    <cfRule type="cellIs" dxfId="6426" priority="9359" stopIfTrue="1" operator="equal">
      <formula>"Napkin Hs"</formula>
    </cfRule>
  </conditionalFormatting>
  <conditionalFormatting sqref="C52">
    <cfRule type="cellIs" dxfId="6425" priority="9356" stopIfTrue="1" operator="equal">
      <formula>"Towel"</formula>
    </cfRule>
    <cfRule type="cellIs" dxfId="6424" priority="9357" stopIfTrue="1" operator="equal">
      <formula>"Napkin Hs"</formula>
    </cfRule>
  </conditionalFormatting>
  <conditionalFormatting sqref="B52:C52">
    <cfRule type="cellIs" dxfId="6423" priority="9355" stopIfTrue="1" operator="equal">
      <formula>"Napkin Hs"</formula>
    </cfRule>
  </conditionalFormatting>
  <conditionalFormatting sqref="B52:C52">
    <cfRule type="cellIs" dxfId="6422" priority="9354" stopIfTrue="1" operator="equal">
      <formula>"Towel"</formula>
    </cfRule>
  </conditionalFormatting>
  <conditionalFormatting sqref="C52">
    <cfRule type="cellIs" dxfId="6421" priority="9353" stopIfTrue="1" operator="equal">
      <formula>"Napkin Hs"</formula>
    </cfRule>
  </conditionalFormatting>
  <conditionalFormatting sqref="C52">
    <cfRule type="cellIs" dxfId="6420" priority="9350" stopIfTrue="1" operator="equal">
      <formula>"Towel"</formula>
    </cfRule>
    <cfRule type="cellIs" dxfId="6419" priority="9351" stopIfTrue="1" operator="equal">
      <formula>"Napkin Hs"</formula>
    </cfRule>
  </conditionalFormatting>
  <conditionalFormatting sqref="C52">
    <cfRule type="cellIs" dxfId="6418" priority="9352" stopIfTrue="1" operator="equal">
      <formula>"Towel"</formula>
    </cfRule>
  </conditionalFormatting>
  <conditionalFormatting sqref="C52">
    <cfRule type="cellIs" dxfId="6417" priority="9349" stopIfTrue="1" operator="equal">
      <formula>"Napkin Hs"</formula>
    </cfRule>
  </conditionalFormatting>
  <conditionalFormatting sqref="C52">
    <cfRule type="cellIs" dxfId="6416" priority="9348" stopIfTrue="1" operator="equal">
      <formula>"Towel"</formula>
    </cfRule>
  </conditionalFormatting>
  <conditionalFormatting sqref="C52">
    <cfRule type="cellIs" dxfId="6415" priority="9347" stopIfTrue="1" operator="equal">
      <formula>"Napkin Hs"</formula>
    </cfRule>
  </conditionalFormatting>
  <conditionalFormatting sqref="C52">
    <cfRule type="cellIs" dxfId="6414" priority="9344" stopIfTrue="1" operator="equal">
      <formula>"Towel"</formula>
    </cfRule>
    <cfRule type="cellIs" dxfId="6413" priority="9345" stopIfTrue="1" operator="equal">
      <formula>"Napkin Hs"</formula>
    </cfRule>
  </conditionalFormatting>
  <conditionalFormatting sqref="C52">
    <cfRule type="cellIs" dxfId="6412" priority="9346" stopIfTrue="1" operator="equal">
      <formula>"Towel"</formula>
    </cfRule>
  </conditionalFormatting>
  <conditionalFormatting sqref="C52">
    <cfRule type="cellIs" dxfId="6411" priority="9343" stopIfTrue="1" operator="equal">
      <formula>"Napkin Hs"</formula>
    </cfRule>
  </conditionalFormatting>
  <conditionalFormatting sqref="C52">
    <cfRule type="cellIs" dxfId="6410" priority="9342" stopIfTrue="1" operator="equal">
      <formula>"Towel"</formula>
    </cfRule>
  </conditionalFormatting>
  <conditionalFormatting sqref="C52">
    <cfRule type="cellIs" dxfId="6409" priority="9341" stopIfTrue="1" operator="equal">
      <formula>"Napkin Hs"</formula>
    </cfRule>
  </conditionalFormatting>
  <conditionalFormatting sqref="C52">
    <cfRule type="cellIs" dxfId="6408" priority="9338" stopIfTrue="1" operator="equal">
      <formula>"Towel"</formula>
    </cfRule>
    <cfRule type="cellIs" dxfId="6407" priority="9339" stopIfTrue="1" operator="equal">
      <formula>"Napkin Hs"</formula>
    </cfRule>
  </conditionalFormatting>
  <conditionalFormatting sqref="C52">
    <cfRule type="cellIs" dxfId="6406" priority="9340" stopIfTrue="1" operator="equal">
      <formula>"Towel"</formula>
    </cfRule>
  </conditionalFormatting>
  <conditionalFormatting sqref="B52">
    <cfRule type="cellIs" dxfId="6405" priority="9336" stopIfTrue="1" operator="equal">
      <formula>"Towel"</formula>
    </cfRule>
    <cfRule type="cellIs" dxfId="6404" priority="9337" stopIfTrue="1" operator="equal">
      <formula>"Napkin Hs"</formula>
    </cfRule>
  </conditionalFormatting>
  <conditionalFormatting sqref="B52">
    <cfRule type="cellIs" dxfId="6403" priority="9335" stopIfTrue="1" operator="equal">
      <formula>"Napkin Hs"</formula>
    </cfRule>
  </conditionalFormatting>
  <conditionalFormatting sqref="B52">
    <cfRule type="cellIs" dxfId="6402" priority="9334" stopIfTrue="1" operator="equal">
      <formula>"Towel"</formula>
    </cfRule>
  </conditionalFormatting>
  <conditionalFormatting sqref="B51:C51">
    <cfRule type="cellIs" dxfId="6401" priority="9332" stopIfTrue="1" operator="equal">
      <formula>"Towel"</formula>
    </cfRule>
    <cfRule type="cellIs" dxfId="6400" priority="9333" stopIfTrue="1" operator="equal">
      <formula>"Napkin Hs"</formula>
    </cfRule>
  </conditionalFormatting>
  <conditionalFormatting sqref="C51">
    <cfRule type="cellIs" dxfId="6399" priority="9330" stopIfTrue="1" operator="equal">
      <formula>"Towel"</formula>
    </cfRule>
    <cfRule type="cellIs" dxfId="6398" priority="9331" stopIfTrue="1" operator="equal">
      <formula>"Napkin Hs"</formula>
    </cfRule>
  </conditionalFormatting>
  <conditionalFormatting sqref="C51">
    <cfRule type="cellIs" dxfId="6397" priority="9328" stopIfTrue="1" operator="equal">
      <formula>"Towel"</formula>
    </cfRule>
    <cfRule type="cellIs" dxfId="6396" priority="9329" stopIfTrue="1" operator="equal">
      <formula>"Napkin Hs"</formula>
    </cfRule>
  </conditionalFormatting>
  <conditionalFormatting sqref="C51">
    <cfRule type="cellIs" dxfId="6395" priority="9327" stopIfTrue="1" operator="equal">
      <formula>"Napkin Hs"</formula>
    </cfRule>
  </conditionalFormatting>
  <conditionalFormatting sqref="C51">
    <cfRule type="cellIs" dxfId="6394" priority="9326" stopIfTrue="1" operator="equal">
      <formula>"Towel"</formula>
    </cfRule>
  </conditionalFormatting>
  <conditionalFormatting sqref="C51">
    <cfRule type="cellIs" dxfId="6393" priority="9325" stopIfTrue="1" operator="equal">
      <formula>"Napkin Hs"</formula>
    </cfRule>
  </conditionalFormatting>
  <conditionalFormatting sqref="C51">
    <cfRule type="cellIs" dxfId="6392" priority="9322" stopIfTrue="1" operator="equal">
      <formula>"Towel"</formula>
    </cfRule>
    <cfRule type="cellIs" dxfId="6391" priority="9323" stopIfTrue="1" operator="equal">
      <formula>"Napkin Hs"</formula>
    </cfRule>
  </conditionalFormatting>
  <conditionalFormatting sqref="C51">
    <cfRule type="cellIs" dxfId="6390" priority="9324" stopIfTrue="1" operator="equal">
      <formula>"Towel"</formula>
    </cfRule>
  </conditionalFormatting>
  <conditionalFormatting sqref="C51">
    <cfRule type="cellIs" dxfId="6389" priority="9321" stopIfTrue="1" operator="equal">
      <formula>"Napkin Hs"</formula>
    </cfRule>
  </conditionalFormatting>
  <conditionalFormatting sqref="C51">
    <cfRule type="cellIs" dxfId="6388" priority="9320" stopIfTrue="1" operator="equal">
      <formula>"Towel"</formula>
    </cfRule>
  </conditionalFormatting>
  <conditionalFormatting sqref="C51">
    <cfRule type="cellIs" dxfId="6387" priority="9319" stopIfTrue="1" operator="equal">
      <formula>"Napkin Hs"</formula>
    </cfRule>
  </conditionalFormatting>
  <conditionalFormatting sqref="C51">
    <cfRule type="cellIs" dxfId="6386" priority="9316" stopIfTrue="1" operator="equal">
      <formula>"Towel"</formula>
    </cfRule>
    <cfRule type="cellIs" dxfId="6385" priority="9317" stopIfTrue="1" operator="equal">
      <formula>"Napkin Hs"</formula>
    </cfRule>
  </conditionalFormatting>
  <conditionalFormatting sqref="C51">
    <cfRule type="cellIs" dxfId="6384" priority="9318" stopIfTrue="1" operator="equal">
      <formula>"Towel"</formula>
    </cfRule>
  </conditionalFormatting>
  <conditionalFormatting sqref="B51">
    <cfRule type="cellIs" dxfId="6383" priority="9315" stopIfTrue="1" operator="equal">
      <formula>"Napkin Hs"</formula>
    </cfRule>
  </conditionalFormatting>
  <conditionalFormatting sqref="B51">
    <cfRule type="cellIs" dxfId="6382" priority="9314" stopIfTrue="1" operator="equal">
      <formula>"Towel"</formula>
    </cfRule>
  </conditionalFormatting>
  <conditionalFormatting sqref="B50:C50">
    <cfRule type="cellIs" dxfId="6381" priority="9312" stopIfTrue="1" operator="equal">
      <formula>"Towel"</formula>
    </cfRule>
    <cfRule type="cellIs" dxfId="6380" priority="9313" stopIfTrue="1" operator="equal">
      <formula>"Napkin Hs"</formula>
    </cfRule>
  </conditionalFormatting>
  <conditionalFormatting sqref="C50">
    <cfRule type="cellIs" dxfId="6379" priority="9310" stopIfTrue="1" operator="equal">
      <formula>"Towel"</formula>
    </cfRule>
    <cfRule type="cellIs" dxfId="6378" priority="9311" stopIfTrue="1" operator="equal">
      <formula>"Napkin Hs"</formula>
    </cfRule>
  </conditionalFormatting>
  <conditionalFormatting sqref="C50">
    <cfRule type="cellIs" dxfId="6377" priority="9308" stopIfTrue="1" operator="equal">
      <formula>"Towel"</formula>
    </cfRule>
    <cfRule type="cellIs" dxfId="6376" priority="9309" stopIfTrue="1" operator="equal">
      <formula>"Napkin Hs"</formula>
    </cfRule>
  </conditionalFormatting>
  <conditionalFormatting sqref="C50">
    <cfRule type="cellIs" dxfId="6375" priority="9307" stopIfTrue="1" operator="equal">
      <formula>"Napkin Hs"</formula>
    </cfRule>
  </conditionalFormatting>
  <conditionalFormatting sqref="C50">
    <cfRule type="cellIs" dxfId="6374" priority="9306" stopIfTrue="1" operator="equal">
      <formula>"Towel"</formula>
    </cfRule>
  </conditionalFormatting>
  <conditionalFormatting sqref="C50">
    <cfRule type="cellIs" dxfId="6373" priority="9305" stopIfTrue="1" operator="equal">
      <formula>"Napkin Hs"</formula>
    </cfRule>
  </conditionalFormatting>
  <conditionalFormatting sqref="C50">
    <cfRule type="cellIs" dxfId="6372" priority="9302" stopIfTrue="1" operator="equal">
      <formula>"Towel"</formula>
    </cfRule>
    <cfRule type="cellIs" dxfId="6371" priority="9303" stopIfTrue="1" operator="equal">
      <formula>"Napkin Hs"</formula>
    </cfRule>
  </conditionalFormatting>
  <conditionalFormatting sqref="C50">
    <cfRule type="cellIs" dxfId="6370" priority="9304" stopIfTrue="1" operator="equal">
      <formula>"Towel"</formula>
    </cfRule>
  </conditionalFormatting>
  <conditionalFormatting sqref="C50">
    <cfRule type="cellIs" dxfId="6369" priority="9301" stopIfTrue="1" operator="equal">
      <formula>"Napkin Hs"</formula>
    </cfRule>
  </conditionalFormatting>
  <conditionalFormatting sqref="C50">
    <cfRule type="cellIs" dxfId="6368" priority="9300" stopIfTrue="1" operator="equal">
      <formula>"Towel"</formula>
    </cfRule>
  </conditionalFormatting>
  <conditionalFormatting sqref="C50">
    <cfRule type="cellIs" dxfId="6367" priority="9299" stopIfTrue="1" operator="equal">
      <formula>"Napkin Hs"</formula>
    </cfRule>
  </conditionalFormatting>
  <conditionalFormatting sqref="C50">
    <cfRule type="cellIs" dxfId="6366" priority="9296" stopIfTrue="1" operator="equal">
      <formula>"Towel"</formula>
    </cfRule>
    <cfRule type="cellIs" dxfId="6365" priority="9297" stopIfTrue="1" operator="equal">
      <formula>"Napkin Hs"</formula>
    </cfRule>
  </conditionalFormatting>
  <conditionalFormatting sqref="C50">
    <cfRule type="cellIs" dxfId="6364" priority="9298" stopIfTrue="1" operator="equal">
      <formula>"Towel"</formula>
    </cfRule>
  </conditionalFormatting>
  <conditionalFormatting sqref="B50">
    <cfRule type="cellIs" dxfId="6363" priority="9295" stopIfTrue="1" operator="equal">
      <formula>"Napkin Hs"</formula>
    </cfRule>
  </conditionalFormatting>
  <conditionalFormatting sqref="B50">
    <cfRule type="cellIs" dxfId="6362" priority="9294" stopIfTrue="1" operator="equal">
      <formula>"Towel"</formula>
    </cfRule>
  </conditionalFormatting>
  <conditionalFormatting sqref="B59:C59">
    <cfRule type="cellIs" dxfId="6361" priority="9292" stopIfTrue="1" operator="equal">
      <formula>"Towel"</formula>
    </cfRule>
    <cfRule type="cellIs" dxfId="6360" priority="9293" stopIfTrue="1" operator="equal">
      <formula>"Napkin Hs"</formula>
    </cfRule>
  </conditionalFormatting>
  <conditionalFormatting sqref="C59">
    <cfRule type="cellIs" dxfId="6359" priority="9288" stopIfTrue="1" operator="equal">
      <formula>"Towel"</formula>
    </cfRule>
    <cfRule type="cellIs" dxfId="6358" priority="9289" stopIfTrue="1" operator="equal">
      <formula>"Napkin Hs"</formula>
    </cfRule>
  </conditionalFormatting>
  <conditionalFormatting sqref="C59">
    <cfRule type="cellIs" dxfId="6357" priority="9290" stopIfTrue="1" operator="equal">
      <formula>"Towel"</formula>
    </cfRule>
    <cfRule type="cellIs" dxfId="6356" priority="9291" stopIfTrue="1" operator="equal">
      <formula>"Napkin Hs"</formula>
    </cfRule>
  </conditionalFormatting>
  <conditionalFormatting sqref="B59:C59">
    <cfRule type="cellIs" dxfId="6355" priority="9286" stopIfTrue="1" operator="equal">
      <formula>"Towel"</formula>
    </cfRule>
    <cfRule type="cellIs" dxfId="6354" priority="9287" stopIfTrue="1" operator="equal">
      <formula>"Napkin Hs"</formula>
    </cfRule>
  </conditionalFormatting>
  <conditionalFormatting sqref="C59">
    <cfRule type="cellIs" dxfId="6353" priority="9282" stopIfTrue="1" operator="equal">
      <formula>"Towel"</formula>
    </cfRule>
    <cfRule type="cellIs" dxfId="6352" priority="9283" stopIfTrue="1" operator="equal">
      <formula>"Napkin Hs"</formula>
    </cfRule>
  </conditionalFormatting>
  <conditionalFormatting sqref="C59">
    <cfRule type="cellIs" dxfId="6351" priority="9284" stopIfTrue="1" operator="equal">
      <formula>"Towel"</formula>
    </cfRule>
    <cfRule type="cellIs" dxfId="6350" priority="9285" stopIfTrue="1" operator="equal">
      <formula>"Napkin Hs"</formula>
    </cfRule>
  </conditionalFormatting>
  <conditionalFormatting sqref="B59:C59">
    <cfRule type="cellIs" dxfId="6349" priority="9280" stopIfTrue="1" operator="equal">
      <formula>"Towel"</formula>
    </cfRule>
    <cfRule type="cellIs" dxfId="6348" priority="9281" stopIfTrue="1" operator="equal">
      <formula>"Napkin Hs"</formula>
    </cfRule>
  </conditionalFormatting>
  <conditionalFormatting sqref="C59">
    <cfRule type="cellIs" dxfId="6347" priority="9278" stopIfTrue="1" operator="equal">
      <formula>"Towel"</formula>
    </cfRule>
    <cfRule type="cellIs" dxfId="6346" priority="9279" stopIfTrue="1" operator="equal">
      <formula>"Napkin Hs"</formula>
    </cfRule>
  </conditionalFormatting>
  <conditionalFormatting sqref="C59">
    <cfRule type="cellIs" dxfId="6345" priority="9276" stopIfTrue="1" operator="equal">
      <formula>"Towel"</formula>
    </cfRule>
    <cfRule type="cellIs" dxfId="6344" priority="9277" stopIfTrue="1" operator="equal">
      <formula>"Napkin Hs"</formula>
    </cfRule>
  </conditionalFormatting>
  <conditionalFormatting sqref="B59:C59">
    <cfRule type="cellIs" dxfId="6343" priority="9274" stopIfTrue="1" operator="equal">
      <formula>"Towel"</formula>
    </cfRule>
    <cfRule type="cellIs" dxfId="6342" priority="9275" stopIfTrue="1" operator="equal">
      <formula>"Napkin Hs"</formula>
    </cfRule>
  </conditionalFormatting>
  <conditionalFormatting sqref="C59">
    <cfRule type="cellIs" dxfId="6341" priority="9272" stopIfTrue="1" operator="equal">
      <formula>"Towel"</formula>
    </cfRule>
    <cfRule type="cellIs" dxfId="6340" priority="9273" stopIfTrue="1" operator="equal">
      <formula>"Napkin Hs"</formula>
    </cfRule>
  </conditionalFormatting>
  <conditionalFormatting sqref="C59">
    <cfRule type="cellIs" dxfId="6339" priority="9270" stopIfTrue="1" operator="equal">
      <formula>"Towel"</formula>
    </cfRule>
    <cfRule type="cellIs" dxfId="6338" priority="9271" stopIfTrue="1" operator="equal">
      <formula>"Napkin Hs"</formula>
    </cfRule>
  </conditionalFormatting>
  <conditionalFormatting sqref="B59:C59">
    <cfRule type="cellIs" dxfId="6337" priority="9268" stopIfTrue="1" operator="equal">
      <formula>"Towel"</formula>
    </cfRule>
    <cfRule type="cellIs" dxfId="6336" priority="9269" stopIfTrue="1" operator="equal">
      <formula>"Napkin Hs"</formula>
    </cfRule>
  </conditionalFormatting>
  <conditionalFormatting sqref="C59">
    <cfRule type="cellIs" dxfId="6335" priority="9266" stopIfTrue="1" operator="equal">
      <formula>"Towel"</formula>
    </cfRule>
    <cfRule type="cellIs" dxfId="6334" priority="9267" stopIfTrue="1" operator="equal">
      <formula>"Napkin Hs"</formula>
    </cfRule>
  </conditionalFormatting>
  <conditionalFormatting sqref="C59">
    <cfRule type="cellIs" dxfId="6333" priority="9264" stopIfTrue="1" operator="equal">
      <formula>"Towel"</formula>
    </cfRule>
    <cfRule type="cellIs" dxfId="6332" priority="9265" stopIfTrue="1" operator="equal">
      <formula>"Napkin Hs"</formula>
    </cfRule>
  </conditionalFormatting>
  <conditionalFormatting sqref="B59:C59">
    <cfRule type="cellIs" dxfId="6331" priority="9263" stopIfTrue="1" operator="equal">
      <formula>"Napkin Hs"</formula>
    </cfRule>
  </conditionalFormatting>
  <conditionalFormatting sqref="B59:C59">
    <cfRule type="cellIs" dxfId="6330" priority="9262" stopIfTrue="1" operator="equal">
      <formula>"Towel"</formula>
    </cfRule>
  </conditionalFormatting>
  <conditionalFormatting sqref="C59">
    <cfRule type="cellIs" dxfId="6329" priority="9261" stopIfTrue="1" operator="equal">
      <formula>"Napkin Hs"</formula>
    </cfRule>
  </conditionalFormatting>
  <conditionalFormatting sqref="C59">
    <cfRule type="cellIs" dxfId="6328" priority="9258" stopIfTrue="1" operator="equal">
      <formula>"Towel"</formula>
    </cfRule>
    <cfRule type="cellIs" dxfId="6327" priority="9259" stopIfTrue="1" operator="equal">
      <formula>"Napkin Hs"</formula>
    </cfRule>
  </conditionalFormatting>
  <conditionalFormatting sqref="C59">
    <cfRule type="cellIs" dxfId="6326" priority="9260" stopIfTrue="1" operator="equal">
      <formula>"Towel"</formula>
    </cfRule>
  </conditionalFormatting>
  <conditionalFormatting sqref="B58:C58">
    <cfRule type="cellIs" dxfId="6325" priority="9256" stopIfTrue="1" operator="equal">
      <formula>"Towel"</formula>
    </cfRule>
    <cfRule type="cellIs" dxfId="6324" priority="9257" stopIfTrue="1" operator="equal">
      <formula>"Napkin Hs"</formula>
    </cfRule>
  </conditionalFormatting>
  <conditionalFormatting sqref="C58">
    <cfRule type="cellIs" dxfId="6323" priority="9252" stopIfTrue="1" operator="equal">
      <formula>"Towel"</formula>
    </cfRule>
    <cfRule type="cellIs" dxfId="6322" priority="9253" stopIfTrue="1" operator="equal">
      <formula>"Napkin Hs"</formula>
    </cfRule>
  </conditionalFormatting>
  <conditionalFormatting sqref="C58">
    <cfRule type="cellIs" dxfId="6321" priority="9254" stopIfTrue="1" operator="equal">
      <formula>"Towel"</formula>
    </cfRule>
    <cfRule type="cellIs" dxfId="6320" priority="9255" stopIfTrue="1" operator="equal">
      <formula>"Napkin Hs"</formula>
    </cfRule>
  </conditionalFormatting>
  <conditionalFormatting sqref="B58:C58">
    <cfRule type="cellIs" dxfId="6319" priority="9251" stopIfTrue="1" operator="equal">
      <formula>"Napkin Hs"</formula>
    </cfRule>
  </conditionalFormatting>
  <conditionalFormatting sqref="B58:C58">
    <cfRule type="cellIs" dxfId="6318" priority="9250" stopIfTrue="1" operator="equal">
      <formula>"Towel"</formula>
    </cfRule>
  </conditionalFormatting>
  <conditionalFormatting sqref="C58">
    <cfRule type="cellIs" dxfId="6317" priority="9249" stopIfTrue="1" operator="equal">
      <formula>"Napkin Hs"</formula>
    </cfRule>
  </conditionalFormatting>
  <conditionalFormatting sqref="C58">
    <cfRule type="cellIs" dxfId="6316" priority="9248" stopIfTrue="1" operator="equal">
      <formula>"Towel"</formula>
    </cfRule>
  </conditionalFormatting>
  <conditionalFormatting sqref="C58">
    <cfRule type="cellIs" dxfId="6315" priority="9246" stopIfTrue="1" operator="equal">
      <formula>"Towel"</formula>
    </cfRule>
    <cfRule type="cellIs" dxfId="6314" priority="9247" stopIfTrue="1" operator="equal">
      <formula>"Napkin Hs"</formula>
    </cfRule>
  </conditionalFormatting>
  <conditionalFormatting sqref="B58:C58">
    <cfRule type="cellIs" dxfId="6313" priority="9244" stopIfTrue="1" operator="equal">
      <formula>"Towel"</formula>
    </cfRule>
    <cfRule type="cellIs" dxfId="6312" priority="9245" stopIfTrue="1" operator="equal">
      <formula>"Napkin Hs"</formula>
    </cfRule>
  </conditionalFormatting>
  <conditionalFormatting sqref="C58">
    <cfRule type="cellIs" dxfId="6311" priority="9242" stopIfTrue="1" operator="equal">
      <formula>"Towel"</formula>
    </cfRule>
    <cfRule type="cellIs" dxfId="6310" priority="9243" stopIfTrue="1" operator="equal">
      <formula>"Napkin Hs"</formula>
    </cfRule>
  </conditionalFormatting>
  <conditionalFormatting sqref="C58">
    <cfRule type="cellIs" dxfId="6309" priority="9240" stopIfTrue="1" operator="equal">
      <formula>"Towel"</formula>
    </cfRule>
    <cfRule type="cellIs" dxfId="6308" priority="9241" stopIfTrue="1" operator="equal">
      <formula>"Napkin Hs"</formula>
    </cfRule>
  </conditionalFormatting>
  <conditionalFormatting sqref="B58:C58">
    <cfRule type="cellIs" dxfId="6307" priority="9238" stopIfTrue="1" operator="equal">
      <formula>"Towel"</formula>
    </cfRule>
    <cfRule type="cellIs" dxfId="6306" priority="9239" stopIfTrue="1" operator="equal">
      <formula>"Napkin Hs"</formula>
    </cfRule>
  </conditionalFormatting>
  <conditionalFormatting sqref="C58">
    <cfRule type="cellIs" dxfId="6305" priority="9236" stopIfTrue="1" operator="equal">
      <formula>"Towel"</formula>
    </cfRule>
    <cfRule type="cellIs" dxfId="6304" priority="9237" stopIfTrue="1" operator="equal">
      <formula>"Napkin Hs"</formula>
    </cfRule>
  </conditionalFormatting>
  <conditionalFormatting sqref="C58">
    <cfRule type="cellIs" dxfId="6303" priority="9234" stopIfTrue="1" operator="equal">
      <formula>"Towel"</formula>
    </cfRule>
    <cfRule type="cellIs" dxfId="6302" priority="9235" stopIfTrue="1" operator="equal">
      <formula>"Napkin Hs"</formula>
    </cfRule>
  </conditionalFormatting>
  <conditionalFormatting sqref="B58:C58">
    <cfRule type="cellIs" dxfId="6301" priority="9232" stopIfTrue="1" operator="equal">
      <formula>"Towel"</formula>
    </cfRule>
    <cfRule type="cellIs" dxfId="6300" priority="9233" stopIfTrue="1" operator="equal">
      <formula>"Napkin Hs"</formula>
    </cfRule>
  </conditionalFormatting>
  <conditionalFormatting sqref="C58">
    <cfRule type="cellIs" dxfId="6299" priority="9230" stopIfTrue="1" operator="equal">
      <formula>"Towel"</formula>
    </cfRule>
    <cfRule type="cellIs" dxfId="6298" priority="9231" stopIfTrue="1" operator="equal">
      <formula>"Napkin Hs"</formula>
    </cfRule>
  </conditionalFormatting>
  <conditionalFormatting sqref="C58">
    <cfRule type="cellIs" dxfId="6297" priority="9228" stopIfTrue="1" operator="equal">
      <formula>"Towel"</formula>
    </cfRule>
    <cfRule type="cellIs" dxfId="6296" priority="9229" stopIfTrue="1" operator="equal">
      <formula>"Napkin Hs"</formula>
    </cfRule>
  </conditionalFormatting>
  <conditionalFormatting sqref="B58:C58">
    <cfRule type="cellIs" dxfId="6295" priority="9226" stopIfTrue="1" operator="equal">
      <formula>"Towel"</formula>
    </cfRule>
    <cfRule type="cellIs" dxfId="6294" priority="9227" stopIfTrue="1" operator="equal">
      <formula>"Napkin Hs"</formula>
    </cfRule>
  </conditionalFormatting>
  <conditionalFormatting sqref="C58">
    <cfRule type="cellIs" dxfId="6293" priority="9224" stopIfTrue="1" operator="equal">
      <formula>"Towel"</formula>
    </cfRule>
    <cfRule type="cellIs" dxfId="6292" priority="9225" stopIfTrue="1" operator="equal">
      <formula>"Napkin Hs"</formula>
    </cfRule>
  </conditionalFormatting>
  <conditionalFormatting sqref="C58">
    <cfRule type="cellIs" dxfId="6291" priority="9222" stopIfTrue="1" operator="equal">
      <formula>"Towel"</formula>
    </cfRule>
    <cfRule type="cellIs" dxfId="6290" priority="9223" stopIfTrue="1" operator="equal">
      <formula>"Napkin Hs"</formula>
    </cfRule>
  </conditionalFormatting>
  <conditionalFormatting sqref="B58:C58">
    <cfRule type="cellIs" dxfId="6289" priority="9220" stopIfTrue="1" operator="equal">
      <formula>"Towel"</formula>
    </cfRule>
    <cfRule type="cellIs" dxfId="6288" priority="9221" stopIfTrue="1" operator="equal">
      <formula>"Napkin Hs"</formula>
    </cfRule>
  </conditionalFormatting>
  <conditionalFormatting sqref="C58">
    <cfRule type="cellIs" dxfId="6287" priority="9218" stopIfTrue="1" operator="equal">
      <formula>"Towel"</formula>
    </cfRule>
    <cfRule type="cellIs" dxfId="6286" priority="9219" stopIfTrue="1" operator="equal">
      <formula>"Napkin Hs"</formula>
    </cfRule>
  </conditionalFormatting>
  <conditionalFormatting sqref="C58">
    <cfRule type="cellIs" dxfId="6285" priority="9216" stopIfTrue="1" operator="equal">
      <formula>"Towel"</formula>
    </cfRule>
    <cfRule type="cellIs" dxfId="6284" priority="9217" stopIfTrue="1" operator="equal">
      <formula>"Napkin Hs"</formula>
    </cfRule>
  </conditionalFormatting>
  <conditionalFormatting sqref="B58:C58">
    <cfRule type="cellIs" dxfId="6283" priority="9215" stopIfTrue="1" operator="equal">
      <formula>"Napkin Hs"</formula>
    </cfRule>
  </conditionalFormatting>
  <conditionalFormatting sqref="B58:C58">
    <cfRule type="cellIs" dxfId="6282" priority="9214" stopIfTrue="1" operator="equal">
      <formula>"Towel"</formula>
    </cfRule>
  </conditionalFormatting>
  <conditionalFormatting sqref="C58">
    <cfRule type="cellIs" dxfId="6281" priority="9213" stopIfTrue="1" operator="equal">
      <formula>"Napkin Hs"</formula>
    </cfRule>
  </conditionalFormatting>
  <conditionalFormatting sqref="C58">
    <cfRule type="cellIs" dxfId="6280" priority="9210" stopIfTrue="1" operator="equal">
      <formula>"Towel"</formula>
    </cfRule>
    <cfRule type="cellIs" dxfId="6279" priority="9211" stopIfTrue="1" operator="equal">
      <formula>"Napkin Hs"</formula>
    </cfRule>
  </conditionalFormatting>
  <conditionalFormatting sqref="C58">
    <cfRule type="cellIs" dxfId="6278" priority="9212" stopIfTrue="1" operator="equal">
      <formula>"Towel"</formula>
    </cfRule>
  </conditionalFormatting>
  <conditionalFormatting sqref="B57:C57">
    <cfRule type="cellIs" dxfId="6277" priority="9209" stopIfTrue="1" operator="equal">
      <formula>"Napkin Hs"</formula>
    </cfRule>
  </conditionalFormatting>
  <conditionalFormatting sqref="B57:C57">
    <cfRule type="cellIs" dxfId="6276" priority="9208" stopIfTrue="1" operator="equal">
      <formula>"Towel"</formula>
    </cfRule>
  </conditionalFormatting>
  <conditionalFormatting sqref="C57">
    <cfRule type="cellIs" dxfId="6275" priority="9207" stopIfTrue="1" operator="equal">
      <formula>"Napkin Hs"</formula>
    </cfRule>
  </conditionalFormatting>
  <conditionalFormatting sqref="C57">
    <cfRule type="cellIs" dxfId="6274" priority="9206" stopIfTrue="1" operator="equal">
      <formula>"Towel"</formula>
    </cfRule>
  </conditionalFormatting>
  <conditionalFormatting sqref="C57">
    <cfRule type="cellIs" dxfId="6273" priority="9204" stopIfTrue="1" operator="equal">
      <formula>"Towel"</formula>
    </cfRule>
    <cfRule type="cellIs" dxfId="6272" priority="9205" stopIfTrue="1" operator="equal">
      <formula>"Napkin Hs"</formula>
    </cfRule>
  </conditionalFormatting>
  <conditionalFormatting sqref="B57:C57">
    <cfRule type="cellIs" dxfId="6271" priority="9202" stopIfTrue="1" operator="equal">
      <formula>"Towel"</formula>
    </cfRule>
    <cfRule type="cellIs" dxfId="6270" priority="9203" stopIfTrue="1" operator="equal">
      <formula>"Napkin Hs"</formula>
    </cfRule>
  </conditionalFormatting>
  <conditionalFormatting sqref="C57">
    <cfRule type="cellIs" dxfId="6269" priority="9200" stopIfTrue="1" operator="equal">
      <formula>"Towel"</formula>
    </cfRule>
    <cfRule type="cellIs" dxfId="6268" priority="9201" stopIfTrue="1" operator="equal">
      <formula>"Napkin Hs"</formula>
    </cfRule>
  </conditionalFormatting>
  <conditionalFormatting sqref="C57">
    <cfRule type="cellIs" dxfId="6267" priority="9198" stopIfTrue="1" operator="equal">
      <formula>"Towel"</formula>
    </cfRule>
    <cfRule type="cellIs" dxfId="6266" priority="9199" stopIfTrue="1" operator="equal">
      <formula>"Napkin Hs"</formula>
    </cfRule>
  </conditionalFormatting>
  <conditionalFormatting sqref="B57:C57">
    <cfRule type="cellIs" dxfId="6265" priority="9196" stopIfTrue="1" operator="equal">
      <formula>"Towel"</formula>
    </cfRule>
    <cfRule type="cellIs" dxfId="6264" priority="9197" stopIfTrue="1" operator="equal">
      <formula>"Napkin Hs"</formula>
    </cfRule>
  </conditionalFormatting>
  <conditionalFormatting sqref="C57">
    <cfRule type="cellIs" dxfId="6263" priority="9194" stopIfTrue="1" operator="equal">
      <formula>"Towel"</formula>
    </cfRule>
    <cfRule type="cellIs" dxfId="6262" priority="9195" stopIfTrue="1" operator="equal">
      <formula>"Napkin Hs"</formula>
    </cfRule>
  </conditionalFormatting>
  <conditionalFormatting sqref="C57">
    <cfRule type="cellIs" dxfId="6261" priority="9192" stopIfTrue="1" operator="equal">
      <formula>"Towel"</formula>
    </cfRule>
    <cfRule type="cellIs" dxfId="6260" priority="9193" stopIfTrue="1" operator="equal">
      <formula>"Napkin Hs"</formula>
    </cfRule>
  </conditionalFormatting>
  <conditionalFormatting sqref="B57:C57">
    <cfRule type="cellIs" dxfId="6259" priority="9190" stopIfTrue="1" operator="equal">
      <formula>"Towel"</formula>
    </cfRule>
    <cfRule type="cellIs" dxfId="6258" priority="9191" stopIfTrue="1" operator="equal">
      <formula>"Napkin Hs"</formula>
    </cfRule>
  </conditionalFormatting>
  <conditionalFormatting sqref="C57">
    <cfRule type="cellIs" dxfId="6257" priority="9188" stopIfTrue="1" operator="equal">
      <formula>"Towel"</formula>
    </cfRule>
    <cfRule type="cellIs" dxfId="6256" priority="9189" stopIfTrue="1" operator="equal">
      <formula>"Napkin Hs"</formula>
    </cfRule>
  </conditionalFormatting>
  <conditionalFormatting sqref="C57">
    <cfRule type="cellIs" dxfId="6255" priority="9186" stopIfTrue="1" operator="equal">
      <formula>"Towel"</formula>
    </cfRule>
    <cfRule type="cellIs" dxfId="6254" priority="9187" stopIfTrue="1" operator="equal">
      <formula>"Napkin Hs"</formula>
    </cfRule>
  </conditionalFormatting>
  <conditionalFormatting sqref="B57:C57">
    <cfRule type="cellIs" dxfId="6253" priority="9184" stopIfTrue="1" operator="equal">
      <formula>"Towel"</formula>
    </cfRule>
    <cfRule type="cellIs" dxfId="6252" priority="9185" stopIfTrue="1" operator="equal">
      <formula>"Napkin Hs"</formula>
    </cfRule>
  </conditionalFormatting>
  <conditionalFormatting sqref="C57">
    <cfRule type="cellIs" dxfId="6251" priority="9182" stopIfTrue="1" operator="equal">
      <formula>"Towel"</formula>
    </cfRule>
    <cfRule type="cellIs" dxfId="6250" priority="9183" stopIfTrue="1" operator="equal">
      <formula>"Napkin Hs"</formula>
    </cfRule>
  </conditionalFormatting>
  <conditionalFormatting sqref="C57">
    <cfRule type="cellIs" dxfId="6249" priority="9180" stopIfTrue="1" operator="equal">
      <formula>"Towel"</formula>
    </cfRule>
    <cfRule type="cellIs" dxfId="6248" priority="9181" stopIfTrue="1" operator="equal">
      <formula>"Napkin Hs"</formula>
    </cfRule>
  </conditionalFormatting>
  <conditionalFormatting sqref="B57:C57">
    <cfRule type="cellIs" dxfId="6247" priority="9178" stopIfTrue="1" operator="equal">
      <formula>"Towel"</formula>
    </cfRule>
    <cfRule type="cellIs" dxfId="6246" priority="9179" stopIfTrue="1" operator="equal">
      <formula>"Napkin Hs"</formula>
    </cfRule>
  </conditionalFormatting>
  <conditionalFormatting sqref="C57">
    <cfRule type="cellIs" dxfId="6245" priority="9176" stopIfTrue="1" operator="equal">
      <formula>"Towel"</formula>
    </cfRule>
    <cfRule type="cellIs" dxfId="6244" priority="9177" stopIfTrue="1" operator="equal">
      <formula>"Napkin Hs"</formula>
    </cfRule>
  </conditionalFormatting>
  <conditionalFormatting sqref="C57">
    <cfRule type="cellIs" dxfId="6243" priority="9174" stopIfTrue="1" operator="equal">
      <formula>"Towel"</formula>
    </cfRule>
    <cfRule type="cellIs" dxfId="6242" priority="9175" stopIfTrue="1" operator="equal">
      <formula>"Napkin Hs"</formula>
    </cfRule>
  </conditionalFormatting>
  <conditionalFormatting sqref="B57:C57">
    <cfRule type="cellIs" dxfId="6241" priority="9173" stopIfTrue="1" operator="equal">
      <formula>"Napkin Hs"</formula>
    </cfRule>
  </conditionalFormatting>
  <conditionalFormatting sqref="B57:C57">
    <cfRule type="cellIs" dxfId="6240" priority="9172" stopIfTrue="1" operator="equal">
      <formula>"Towel"</formula>
    </cfRule>
  </conditionalFormatting>
  <conditionalFormatting sqref="C57">
    <cfRule type="cellIs" dxfId="6239" priority="9171" stopIfTrue="1" operator="equal">
      <formula>"Napkin Hs"</formula>
    </cfRule>
  </conditionalFormatting>
  <conditionalFormatting sqref="C57">
    <cfRule type="cellIs" dxfId="6238" priority="9168" stopIfTrue="1" operator="equal">
      <formula>"Towel"</formula>
    </cfRule>
    <cfRule type="cellIs" dxfId="6237" priority="9169" stopIfTrue="1" operator="equal">
      <formula>"Napkin Hs"</formula>
    </cfRule>
  </conditionalFormatting>
  <conditionalFormatting sqref="C57">
    <cfRule type="cellIs" dxfId="6236" priority="9170" stopIfTrue="1" operator="equal">
      <formula>"Towel"</formula>
    </cfRule>
  </conditionalFormatting>
  <conditionalFormatting sqref="C57">
    <cfRule type="cellIs" dxfId="6235" priority="9167" stopIfTrue="1" operator="equal">
      <formula>"Napkin Hs"</formula>
    </cfRule>
  </conditionalFormatting>
  <conditionalFormatting sqref="C57">
    <cfRule type="cellIs" dxfId="6234" priority="9166" stopIfTrue="1" operator="equal">
      <formula>"Towel"</formula>
    </cfRule>
  </conditionalFormatting>
  <conditionalFormatting sqref="C57">
    <cfRule type="cellIs" dxfId="6233" priority="9165" stopIfTrue="1" operator="equal">
      <formula>"Napkin Hs"</formula>
    </cfRule>
  </conditionalFormatting>
  <conditionalFormatting sqref="C57">
    <cfRule type="cellIs" dxfId="6232" priority="9162" stopIfTrue="1" operator="equal">
      <formula>"Towel"</formula>
    </cfRule>
    <cfRule type="cellIs" dxfId="6231" priority="9163" stopIfTrue="1" operator="equal">
      <formula>"Napkin Hs"</formula>
    </cfRule>
  </conditionalFormatting>
  <conditionalFormatting sqref="C57">
    <cfRule type="cellIs" dxfId="6230" priority="9164" stopIfTrue="1" operator="equal">
      <formula>"Towel"</formula>
    </cfRule>
  </conditionalFormatting>
  <conditionalFormatting sqref="C57">
    <cfRule type="cellIs" dxfId="6229" priority="9161" stopIfTrue="1" operator="equal">
      <formula>"Napkin Hs"</formula>
    </cfRule>
  </conditionalFormatting>
  <conditionalFormatting sqref="C57">
    <cfRule type="cellIs" dxfId="6228" priority="9160" stopIfTrue="1" operator="equal">
      <formula>"Towel"</formula>
    </cfRule>
  </conditionalFormatting>
  <conditionalFormatting sqref="C57">
    <cfRule type="cellIs" dxfId="6227" priority="9159" stopIfTrue="1" operator="equal">
      <formula>"Napkin Hs"</formula>
    </cfRule>
  </conditionalFormatting>
  <conditionalFormatting sqref="C57">
    <cfRule type="cellIs" dxfId="6226" priority="9156" stopIfTrue="1" operator="equal">
      <formula>"Towel"</formula>
    </cfRule>
    <cfRule type="cellIs" dxfId="6225" priority="9157" stopIfTrue="1" operator="equal">
      <formula>"Napkin Hs"</formula>
    </cfRule>
  </conditionalFormatting>
  <conditionalFormatting sqref="C57">
    <cfRule type="cellIs" dxfId="6224" priority="9158" stopIfTrue="1" operator="equal">
      <formula>"Towel"</formula>
    </cfRule>
  </conditionalFormatting>
  <conditionalFormatting sqref="B57">
    <cfRule type="cellIs" dxfId="6223" priority="9154" stopIfTrue="1" operator="equal">
      <formula>"Towel"</formula>
    </cfRule>
    <cfRule type="cellIs" dxfId="6222" priority="9155" stopIfTrue="1" operator="equal">
      <formula>"Napkin Hs"</formula>
    </cfRule>
  </conditionalFormatting>
  <conditionalFormatting sqref="B57">
    <cfRule type="cellIs" dxfId="6221" priority="9153" stopIfTrue="1" operator="equal">
      <formula>"Napkin Hs"</formula>
    </cfRule>
  </conditionalFormatting>
  <conditionalFormatting sqref="B57">
    <cfRule type="cellIs" dxfId="6220" priority="9152" stopIfTrue="1" operator="equal">
      <formula>"Towel"</formula>
    </cfRule>
  </conditionalFormatting>
  <conditionalFormatting sqref="B56:C56">
    <cfRule type="cellIs" dxfId="6219" priority="9150" stopIfTrue="1" operator="equal">
      <formula>"Towel"</formula>
    </cfRule>
    <cfRule type="cellIs" dxfId="6218" priority="9151" stopIfTrue="1" operator="equal">
      <formula>"Napkin Hs"</formula>
    </cfRule>
  </conditionalFormatting>
  <conditionalFormatting sqref="C56">
    <cfRule type="cellIs" dxfId="6217" priority="9148" stopIfTrue="1" operator="equal">
      <formula>"Towel"</formula>
    </cfRule>
    <cfRule type="cellIs" dxfId="6216" priority="9149" stopIfTrue="1" operator="equal">
      <formula>"Napkin Hs"</formula>
    </cfRule>
  </conditionalFormatting>
  <conditionalFormatting sqref="C56">
    <cfRule type="cellIs" dxfId="6215" priority="9146" stopIfTrue="1" operator="equal">
      <formula>"Towel"</formula>
    </cfRule>
    <cfRule type="cellIs" dxfId="6214" priority="9147" stopIfTrue="1" operator="equal">
      <formula>"Napkin Hs"</formula>
    </cfRule>
  </conditionalFormatting>
  <conditionalFormatting sqref="C56">
    <cfRule type="cellIs" dxfId="6213" priority="9145" stopIfTrue="1" operator="equal">
      <formula>"Napkin Hs"</formula>
    </cfRule>
  </conditionalFormatting>
  <conditionalFormatting sqref="C56">
    <cfRule type="cellIs" dxfId="6212" priority="9144" stopIfTrue="1" operator="equal">
      <formula>"Towel"</formula>
    </cfRule>
  </conditionalFormatting>
  <conditionalFormatting sqref="C56">
    <cfRule type="cellIs" dxfId="6211" priority="9143" stopIfTrue="1" operator="equal">
      <formula>"Napkin Hs"</formula>
    </cfRule>
  </conditionalFormatting>
  <conditionalFormatting sqref="C56">
    <cfRule type="cellIs" dxfId="6210" priority="9140" stopIfTrue="1" operator="equal">
      <formula>"Towel"</formula>
    </cfRule>
    <cfRule type="cellIs" dxfId="6209" priority="9141" stopIfTrue="1" operator="equal">
      <formula>"Napkin Hs"</formula>
    </cfRule>
  </conditionalFormatting>
  <conditionalFormatting sqref="C56">
    <cfRule type="cellIs" dxfId="6208" priority="9142" stopIfTrue="1" operator="equal">
      <formula>"Towel"</formula>
    </cfRule>
  </conditionalFormatting>
  <conditionalFormatting sqref="C56">
    <cfRule type="cellIs" dxfId="6207" priority="9139" stopIfTrue="1" operator="equal">
      <formula>"Napkin Hs"</formula>
    </cfRule>
  </conditionalFormatting>
  <conditionalFormatting sqref="C56">
    <cfRule type="cellIs" dxfId="6206" priority="9138" stopIfTrue="1" operator="equal">
      <formula>"Towel"</formula>
    </cfRule>
  </conditionalFormatting>
  <conditionalFormatting sqref="C56">
    <cfRule type="cellIs" dxfId="6205" priority="9137" stopIfTrue="1" operator="equal">
      <formula>"Napkin Hs"</formula>
    </cfRule>
  </conditionalFormatting>
  <conditionalFormatting sqref="C56">
    <cfRule type="cellIs" dxfId="6204" priority="9134" stopIfTrue="1" operator="equal">
      <formula>"Towel"</formula>
    </cfRule>
    <cfRule type="cellIs" dxfId="6203" priority="9135" stopIfTrue="1" operator="equal">
      <formula>"Napkin Hs"</formula>
    </cfRule>
  </conditionalFormatting>
  <conditionalFormatting sqref="C56">
    <cfRule type="cellIs" dxfId="6202" priority="9136" stopIfTrue="1" operator="equal">
      <formula>"Towel"</formula>
    </cfRule>
  </conditionalFormatting>
  <conditionalFormatting sqref="B56">
    <cfRule type="cellIs" dxfId="6201" priority="9133" stopIfTrue="1" operator="equal">
      <formula>"Napkin Hs"</formula>
    </cfRule>
  </conditionalFormatting>
  <conditionalFormatting sqref="B56">
    <cfRule type="cellIs" dxfId="6200" priority="9132" stopIfTrue="1" operator="equal">
      <formula>"Towel"</formula>
    </cfRule>
  </conditionalFormatting>
  <conditionalFormatting sqref="B55:C55">
    <cfRule type="cellIs" dxfId="6199" priority="9130" stopIfTrue="1" operator="equal">
      <formula>"Towel"</formula>
    </cfRule>
    <cfRule type="cellIs" dxfId="6198" priority="9131" stopIfTrue="1" operator="equal">
      <formula>"Napkin Hs"</formula>
    </cfRule>
  </conditionalFormatting>
  <conditionalFormatting sqref="C55">
    <cfRule type="cellIs" dxfId="6197" priority="9128" stopIfTrue="1" operator="equal">
      <formula>"Towel"</formula>
    </cfRule>
    <cfRule type="cellIs" dxfId="6196" priority="9129" stopIfTrue="1" operator="equal">
      <formula>"Napkin Hs"</formula>
    </cfRule>
  </conditionalFormatting>
  <conditionalFormatting sqref="C55">
    <cfRule type="cellIs" dxfId="6195" priority="9126" stopIfTrue="1" operator="equal">
      <formula>"Towel"</formula>
    </cfRule>
    <cfRule type="cellIs" dxfId="6194" priority="9127" stopIfTrue="1" operator="equal">
      <formula>"Napkin Hs"</formula>
    </cfRule>
  </conditionalFormatting>
  <conditionalFormatting sqref="C55">
    <cfRule type="cellIs" dxfId="6193" priority="9125" stopIfTrue="1" operator="equal">
      <formula>"Napkin Hs"</formula>
    </cfRule>
  </conditionalFormatting>
  <conditionalFormatting sqref="C55">
    <cfRule type="cellIs" dxfId="6192" priority="9124" stopIfTrue="1" operator="equal">
      <formula>"Towel"</formula>
    </cfRule>
  </conditionalFormatting>
  <conditionalFormatting sqref="C55">
    <cfRule type="cellIs" dxfId="6191" priority="9123" stopIfTrue="1" operator="equal">
      <formula>"Napkin Hs"</formula>
    </cfRule>
  </conditionalFormatting>
  <conditionalFormatting sqref="C55">
    <cfRule type="cellIs" dxfId="6190" priority="9120" stopIfTrue="1" operator="equal">
      <formula>"Towel"</formula>
    </cfRule>
    <cfRule type="cellIs" dxfId="6189" priority="9121" stopIfTrue="1" operator="equal">
      <formula>"Napkin Hs"</formula>
    </cfRule>
  </conditionalFormatting>
  <conditionalFormatting sqref="C55">
    <cfRule type="cellIs" dxfId="6188" priority="9122" stopIfTrue="1" operator="equal">
      <formula>"Towel"</formula>
    </cfRule>
  </conditionalFormatting>
  <conditionalFormatting sqref="C55">
    <cfRule type="cellIs" dxfId="6187" priority="9119" stopIfTrue="1" operator="equal">
      <formula>"Napkin Hs"</formula>
    </cfRule>
  </conditionalFormatting>
  <conditionalFormatting sqref="C55">
    <cfRule type="cellIs" dxfId="6186" priority="9118" stopIfTrue="1" operator="equal">
      <formula>"Towel"</formula>
    </cfRule>
  </conditionalFormatting>
  <conditionalFormatting sqref="C55">
    <cfRule type="cellIs" dxfId="6185" priority="9117" stopIfTrue="1" operator="equal">
      <formula>"Napkin Hs"</formula>
    </cfRule>
  </conditionalFormatting>
  <conditionalFormatting sqref="C55">
    <cfRule type="cellIs" dxfId="6184" priority="9114" stopIfTrue="1" operator="equal">
      <formula>"Towel"</formula>
    </cfRule>
    <cfRule type="cellIs" dxfId="6183" priority="9115" stopIfTrue="1" operator="equal">
      <formula>"Napkin Hs"</formula>
    </cfRule>
  </conditionalFormatting>
  <conditionalFormatting sqref="C55">
    <cfRule type="cellIs" dxfId="6182" priority="9116" stopIfTrue="1" operator="equal">
      <formula>"Towel"</formula>
    </cfRule>
  </conditionalFormatting>
  <conditionalFormatting sqref="B55">
    <cfRule type="cellIs" dxfId="6181" priority="9113" stopIfTrue="1" operator="equal">
      <formula>"Napkin Hs"</formula>
    </cfRule>
  </conditionalFormatting>
  <conditionalFormatting sqref="B55">
    <cfRule type="cellIs" dxfId="6180" priority="9112" stopIfTrue="1" operator="equal">
      <formula>"Towel"</formula>
    </cfRule>
  </conditionalFormatting>
  <conditionalFormatting sqref="B56:C56">
    <cfRule type="cellIs" dxfId="6179" priority="9111" stopIfTrue="1" operator="equal">
      <formula>"Napkin Hs"</formula>
    </cfRule>
  </conditionalFormatting>
  <conditionalFormatting sqref="B56:C56">
    <cfRule type="cellIs" dxfId="6178" priority="9110" stopIfTrue="1" operator="equal">
      <formula>"Towel"</formula>
    </cfRule>
  </conditionalFormatting>
  <conditionalFormatting sqref="C56">
    <cfRule type="cellIs" dxfId="6177" priority="9109" stopIfTrue="1" operator="equal">
      <formula>"Napkin Hs"</formula>
    </cfRule>
  </conditionalFormatting>
  <conditionalFormatting sqref="C56">
    <cfRule type="cellIs" dxfId="6176" priority="9108" stopIfTrue="1" operator="equal">
      <formula>"Towel"</formula>
    </cfRule>
  </conditionalFormatting>
  <conditionalFormatting sqref="C56">
    <cfRule type="cellIs" dxfId="6175" priority="9106" stopIfTrue="1" operator="equal">
      <formula>"Towel"</formula>
    </cfRule>
    <cfRule type="cellIs" dxfId="6174" priority="9107" stopIfTrue="1" operator="equal">
      <formula>"Napkin Hs"</formula>
    </cfRule>
  </conditionalFormatting>
  <conditionalFormatting sqref="B56:C56">
    <cfRule type="cellIs" dxfId="6173" priority="9104" stopIfTrue="1" operator="equal">
      <formula>"Towel"</formula>
    </cfRule>
    <cfRule type="cellIs" dxfId="6172" priority="9105" stopIfTrue="1" operator="equal">
      <formula>"Napkin Hs"</formula>
    </cfRule>
  </conditionalFormatting>
  <conditionalFormatting sqref="C56">
    <cfRule type="cellIs" dxfId="6171" priority="9102" stopIfTrue="1" operator="equal">
      <formula>"Towel"</formula>
    </cfRule>
    <cfRule type="cellIs" dxfId="6170" priority="9103" stopIfTrue="1" operator="equal">
      <formula>"Napkin Hs"</formula>
    </cfRule>
  </conditionalFormatting>
  <conditionalFormatting sqref="C56">
    <cfRule type="cellIs" dxfId="6169" priority="9100" stopIfTrue="1" operator="equal">
      <formula>"Towel"</formula>
    </cfRule>
    <cfRule type="cellIs" dxfId="6168" priority="9101" stopIfTrue="1" operator="equal">
      <formula>"Napkin Hs"</formula>
    </cfRule>
  </conditionalFormatting>
  <conditionalFormatting sqref="B56:C56">
    <cfRule type="cellIs" dxfId="6167" priority="9098" stopIfTrue="1" operator="equal">
      <formula>"Towel"</formula>
    </cfRule>
    <cfRule type="cellIs" dxfId="6166" priority="9099" stopIfTrue="1" operator="equal">
      <formula>"Napkin Hs"</formula>
    </cfRule>
  </conditionalFormatting>
  <conditionalFormatting sqref="C56">
    <cfRule type="cellIs" dxfId="6165" priority="9096" stopIfTrue="1" operator="equal">
      <formula>"Towel"</formula>
    </cfRule>
    <cfRule type="cellIs" dxfId="6164" priority="9097" stopIfTrue="1" operator="equal">
      <formula>"Napkin Hs"</formula>
    </cfRule>
  </conditionalFormatting>
  <conditionalFormatting sqref="C56">
    <cfRule type="cellIs" dxfId="6163" priority="9094" stopIfTrue="1" operator="equal">
      <formula>"Towel"</formula>
    </cfRule>
    <cfRule type="cellIs" dxfId="6162" priority="9095" stopIfTrue="1" operator="equal">
      <formula>"Napkin Hs"</formula>
    </cfRule>
  </conditionalFormatting>
  <conditionalFormatting sqref="B56:C56">
    <cfRule type="cellIs" dxfId="6161" priority="9092" stopIfTrue="1" operator="equal">
      <formula>"Towel"</formula>
    </cfRule>
    <cfRule type="cellIs" dxfId="6160" priority="9093" stopIfTrue="1" operator="equal">
      <formula>"Napkin Hs"</formula>
    </cfRule>
  </conditionalFormatting>
  <conditionalFormatting sqref="C56">
    <cfRule type="cellIs" dxfId="6159" priority="9090" stopIfTrue="1" operator="equal">
      <formula>"Towel"</formula>
    </cfRule>
    <cfRule type="cellIs" dxfId="6158" priority="9091" stopIfTrue="1" operator="equal">
      <formula>"Napkin Hs"</formula>
    </cfRule>
  </conditionalFormatting>
  <conditionalFormatting sqref="C56">
    <cfRule type="cellIs" dxfId="6157" priority="9088" stopIfTrue="1" operator="equal">
      <formula>"Towel"</formula>
    </cfRule>
    <cfRule type="cellIs" dxfId="6156" priority="9089" stopIfTrue="1" operator="equal">
      <formula>"Napkin Hs"</formula>
    </cfRule>
  </conditionalFormatting>
  <conditionalFormatting sqref="B56:C56">
    <cfRule type="cellIs" dxfId="6155" priority="9086" stopIfTrue="1" operator="equal">
      <formula>"Towel"</formula>
    </cfRule>
    <cfRule type="cellIs" dxfId="6154" priority="9087" stopIfTrue="1" operator="equal">
      <formula>"Napkin Hs"</formula>
    </cfRule>
  </conditionalFormatting>
  <conditionalFormatting sqref="C56">
    <cfRule type="cellIs" dxfId="6153" priority="9084" stopIfTrue="1" operator="equal">
      <formula>"Towel"</formula>
    </cfRule>
    <cfRule type="cellIs" dxfId="6152" priority="9085" stopIfTrue="1" operator="equal">
      <formula>"Napkin Hs"</formula>
    </cfRule>
  </conditionalFormatting>
  <conditionalFormatting sqref="C56">
    <cfRule type="cellIs" dxfId="6151" priority="9082" stopIfTrue="1" operator="equal">
      <formula>"Towel"</formula>
    </cfRule>
    <cfRule type="cellIs" dxfId="6150" priority="9083" stopIfTrue="1" operator="equal">
      <formula>"Napkin Hs"</formula>
    </cfRule>
  </conditionalFormatting>
  <conditionalFormatting sqref="B56:C56">
    <cfRule type="cellIs" dxfId="6149" priority="9080" stopIfTrue="1" operator="equal">
      <formula>"Towel"</formula>
    </cfRule>
    <cfRule type="cellIs" dxfId="6148" priority="9081" stopIfTrue="1" operator="equal">
      <formula>"Napkin Hs"</formula>
    </cfRule>
  </conditionalFormatting>
  <conditionalFormatting sqref="C56">
    <cfRule type="cellIs" dxfId="6147" priority="9078" stopIfTrue="1" operator="equal">
      <formula>"Towel"</formula>
    </cfRule>
    <cfRule type="cellIs" dxfId="6146" priority="9079" stopIfTrue="1" operator="equal">
      <formula>"Napkin Hs"</formula>
    </cfRule>
  </conditionalFormatting>
  <conditionalFormatting sqref="C56">
    <cfRule type="cellIs" dxfId="6145" priority="9076" stopIfTrue="1" operator="equal">
      <formula>"Towel"</formula>
    </cfRule>
    <cfRule type="cellIs" dxfId="6144" priority="9077" stopIfTrue="1" operator="equal">
      <formula>"Napkin Hs"</formula>
    </cfRule>
  </conditionalFormatting>
  <conditionalFormatting sqref="B56:C56">
    <cfRule type="cellIs" dxfId="6143" priority="9075" stopIfTrue="1" operator="equal">
      <formula>"Napkin Hs"</formula>
    </cfRule>
  </conditionalFormatting>
  <conditionalFormatting sqref="B56:C56">
    <cfRule type="cellIs" dxfId="6142" priority="9074" stopIfTrue="1" operator="equal">
      <formula>"Towel"</formula>
    </cfRule>
  </conditionalFormatting>
  <conditionalFormatting sqref="C56">
    <cfRule type="cellIs" dxfId="6141" priority="9073" stopIfTrue="1" operator="equal">
      <formula>"Napkin Hs"</formula>
    </cfRule>
  </conditionalFormatting>
  <conditionalFormatting sqref="C56">
    <cfRule type="cellIs" dxfId="6140" priority="9070" stopIfTrue="1" operator="equal">
      <formula>"Towel"</formula>
    </cfRule>
    <cfRule type="cellIs" dxfId="6139" priority="9071" stopIfTrue="1" operator="equal">
      <formula>"Napkin Hs"</formula>
    </cfRule>
  </conditionalFormatting>
  <conditionalFormatting sqref="C56">
    <cfRule type="cellIs" dxfId="6138" priority="9072" stopIfTrue="1" operator="equal">
      <formula>"Towel"</formula>
    </cfRule>
  </conditionalFormatting>
  <conditionalFormatting sqref="C56">
    <cfRule type="cellIs" dxfId="6137" priority="9069" stopIfTrue="1" operator="equal">
      <formula>"Napkin Hs"</formula>
    </cfRule>
  </conditionalFormatting>
  <conditionalFormatting sqref="C56">
    <cfRule type="cellIs" dxfId="6136" priority="9068" stopIfTrue="1" operator="equal">
      <formula>"Towel"</formula>
    </cfRule>
  </conditionalFormatting>
  <conditionalFormatting sqref="C56">
    <cfRule type="cellIs" dxfId="6135" priority="9067" stopIfTrue="1" operator="equal">
      <formula>"Napkin Hs"</formula>
    </cfRule>
  </conditionalFormatting>
  <conditionalFormatting sqref="C56">
    <cfRule type="cellIs" dxfId="6134" priority="9064" stopIfTrue="1" operator="equal">
      <formula>"Towel"</formula>
    </cfRule>
    <cfRule type="cellIs" dxfId="6133" priority="9065" stopIfTrue="1" operator="equal">
      <formula>"Napkin Hs"</formula>
    </cfRule>
  </conditionalFormatting>
  <conditionalFormatting sqref="C56">
    <cfRule type="cellIs" dxfId="6132" priority="9066" stopIfTrue="1" operator="equal">
      <formula>"Towel"</formula>
    </cfRule>
  </conditionalFormatting>
  <conditionalFormatting sqref="C56">
    <cfRule type="cellIs" dxfId="6131" priority="9063" stopIfTrue="1" operator="equal">
      <formula>"Napkin Hs"</formula>
    </cfRule>
  </conditionalFormatting>
  <conditionalFormatting sqref="C56">
    <cfRule type="cellIs" dxfId="6130" priority="9062" stopIfTrue="1" operator="equal">
      <formula>"Towel"</formula>
    </cfRule>
  </conditionalFormatting>
  <conditionalFormatting sqref="C56">
    <cfRule type="cellIs" dxfId="6129" priority="9061" stopIfTrue="1" operator="equal">
      <formula>"Napkin Hs"</formula>
    </cfRule>
  </conditionalFormatting>
  <conditionalFormatting sqref="C56">
    <cfRule type="cellIs" dxfId="6128" priority="9058" stopIfTrue="1" operator="equal">
      <formula>"Towel"</formula>
    </cfRule>
    <cfRule type="cellIs" dxfId="6127" priority="9059" stopIfTrue="1" operator="equal">
      <formula>"Napkin Hs"</formula>
    </cfRule>
  </conditionalFormatting>
  <conditionalFormatting sqref="C56">
    <cfRule type="cellIs" dxfId="6126" priority="9060" stopIfTrue="1" operator="equal">
      <formula>"Towel"</formula>
    </cfRule>
  </conditionalFormatting>
  <conditionalFormatting sqref="B56">
    <cfRule type="cellIs" dxfId="6125" priority="9056" stopIfTrue="1" operator="equal">
      <formula>"Towel"</formula>
    </cfRule>
    <cfRule type="cellIs" dxfId="6124" priority="9057" stopIfTrue="1" operator="equal">
      <formula>"Napkin Hs"</formula>
    </cfRule>
  </conditionalFormatting>
  <conditionalFormatting sqref="B56">
    <cfRule type="cellIs" dxfId="6123" priority="9055" stopIfTrue="1" operator="equal">
      <formula>"Napkin Hs"</formula>
    </cfRule>
  </conditionalFormatting>
  <conditionalFormatting sqref="B56">
    <cfRule type="cellIs" dxfId="6122" priority="9054" stopIfTrue="1" operator="equal">
      <formula>"Towel"</formula>
    </cfRule>
  </conditionalFormatting>
  <conditionalFormatting sqref="B55:C55">
    <cfRule type="cellIs" dxfId="6121" priority="9052" stopIfTrue="1" operator="equal">
      <formula>"Towel"</formula>
    </cfRule>
    <cfRule type="cellIs" dxfId="6120" priority="9053" stopIfTrue="1" operator="equal">
      <formula>"Napkin Hs"</formula>
    </cfRule>
  </conditionalFormatting>
  <conditionalFormatting sqref="C55">
    <cfRule type="cellIs" dxfId="6119" priority="9050" stopIfTrue="1" operator="equal">
      <formula>"Towel"</formula>
    </cfRule>
    <cfRule type="cellIs" dxfId="6118" priority="9051" stopIfTrue="1" operator="equal">
      <formula>"Napkin Hs"</formula>
    </cfRule>
  </conditionalFormatting>
  <conditionalFormatting sqref="C55">
    <cfRule type="cellIs" dxfId="6117" priority="9048" stopIfTrue="1" operator="equal">
      <formula>"Towel"</formula>
    </cfRule>
    <cfRule type="cellIs" dxfId="6116" priority="9049" stopIfTrue="1" operator="equal">
      <formula>"Napkin Hs"</formula>
    </cfRule>
  </conditionalFormatting>
  <conditionalFormatting sqref="C55">
    <cfRule type="cellIs" dxfId="6115" priority="9047" stopIfTrue="1" operator="equal">
      <formula>"Napkin Hs"</formula>
    </cfRule>
  </conditionalFormatting>
  <conditionalFormatting sqref="C55">
    <cfRule type="cellIs" dxfId="6114" priority="9046" stopIfTrue="1" operator="equal">
      <formula>"Towel"</formula>
    </cfRule>
  </conditionalFormatting>
  <conditionalFormatting sqref="C55">
    <cfRule type="cellIs" dxfId="6113" priority="9045" stopIfTrue="1" operator="equal">
      <formula>"Napkin Hs"</formula>
    </cfRule>
  </conditionalFormatting>
  <conditionalFormatting sqref="C55">
    <cfRule type="cellIs" dxfId="6112" priority="9042" stopIfTrue="1" operator="equal">
      <formula>"Towel"</formula>
    </cfRule>
    <cfRule type="cellIs" dxfId="6111" priority="9043" stopIfTrue="1" operator="equal">
      <formula>"Napkin Hs"</formula>
    </cfRule>
  </conditionalFormatting>
  <conditionalFormatting sqref="C55">
    <cfRule type="cellIs" dxfId="6110" priority="9044" stopIfTrue="1" operator="equal">
      <formula>"Towel"</formula>
    </cfRule>
  </conditionalFormatting>
  <conditionalFormatting sqref="C55">
    <cfRule type="cellIs" dxfId="6109" priority="9041" stopIfTrue="1" operator="equal">
      <formula>"Napkin Hs"</formula>
    </cfRule>
  </conditionalFormatting>
  <conditionalFormatting sqref="C55">
    <cfRule type="cellIs" dxfId="6108" priority="9040" stopIfTrue="1" operator="equal">
      <formula>"Towel"</formula>
    </cfRule>
  </conditionalFormatting>
  <conditionalFormatting sqref="C55">
    <cfRule type="cellIs" dxfId="6107" priority="9039" stopIfTrue="1" operator="equal">
      <formula>"Napkin Hs"</formula>
    </cfRule>
  </conditionalFormatting>
  <conditionalFormatting sqref="C55">
    <cfRule type="cellIs" dxfId="6106" priority="9036" stopIfTrue="1" operator="equal">
      <formula>"Towel"</formula>
    </cfRule>
    <cfRule type="cellIs" dxfId="6105" priority="9037" stopIfTrue="1" operator="equal">
      <formula>"Napkin Hs"</formula>
    </cfRule>
  </conditionalFormatting>
  <conditionalFormatting sqref="C55">
    <cfRule type="cellIs" dxfId="6104" priority="9038" stopIfTrue="1" operator="equal">
      <formula>"Towel"</formula>
    </cfRule>
  </conditionalFormatting>
  <conditionalFormatting sqref="B55">
    <cfRule type="cellIs" dxfId="6103" priority="9035" stopIfTrue="1" operator="equal">
      <formula>"Napkin Hs"</formula>
    </cfRule>
  </conditionalFormatting>
  <conditionalFormatting sqref="B55">
    <cfRule type="cellIs" dxfId="6102" priority="9034" stopIfTrue="1" operator="equal">
      <formula>"Towel"</formula>
    </cfRule>
  </conditionalFormatting>
  <conditionalFormatting sqref="C64">
    <cfRule type="cellIs" dxfId="6101" priority="8998" stopIfTrue="1" operator="equal">
      <formula>"Towel"</formula>
    </cfRule>
    <cfRule type="cellIs" dxfId="6100" priority="8999" stopIfTrue="1" operator="equal">
      <formula>"Napkin Hs"</formula>
    </cfRule>
  </conditionalFormatting>
  <conditionalFormatting sqref="C64">
    <cfRule type="cellIs" dxfId="6099" priority="8996" stopIfTrue="1" operator="equal">
      <formula>"Towel"</formula>
    </cfRule>
    <cfRule type="cellIs" dxfId="6098" priority="8997" stopIfTrue="1" operator="equal">
      <formula>"Napkin Hs"</formula>
    </cfRule>
  </conditionalFormatting>
  <conditionalFormatting sqref="C64">
    <cfRule type="cellIs" dxfId="6097" priority="8994" stopIfTrue="1" operator="equal">
      <formula>"Towel"</formula>
    </cfRule>
    <cfRule type="cellIs" dxfId="6096" priority="8995" stopIfTrue="1" operator="equal">
      <formula>"Napkin Hs"</formula>
    </cfRule>
  </conditionalFormatting>
  <conditionalFormatting sqref="C64">
    <cfRule type="cellIs" dxfId="6095" priority="8986" stopIfTrue="1" operator="equal">
      <formula>"Towel"</formula>
    </cfRule>
    <cfRule type="cellIs" dxfId="6094" priority="8987" stopIfTrue="1" operator="equal">
      <formula>"Napkin Hs"</formula>
    </cfRule>
  </conditionalFormatting>
  <conditionalFormatting sqref="C64">
    <cfRule type="cellIs" dxfId="6093" priority="9032" stopIfTrue="1" operator="equal">
      <formula>"Towel"</formula>
    </cfRule>
    <cfRule type="cellIs" dxfId="6092" priority="9033" stopIfTrue="1" operator="equal">
      <formula>"Napkin Hs"</formula>
    </cfRule>
  </conditionalFormatting>
  <conditionalFormatting sqref="C64">
    <cfRule type="cellIs" dxfId="6091" priority="9028" stopIfTrue="1" operator="equal">
      <formula>"Towel"</formula>
    </cfRule>
    <cfRule type="cellIs" dxfId="6090" priority="9029" stopIfTrue="1" operator="equal">
      <formula>"Napkin Hs"</formula>
    </cfRule>
  </conditionalFormatting>
  <conditionalFormatting sqref="C64">
    <cfRule type="cellIs" dxfId="6089" priority="9030" stopIfTrue="1" operator="equal">
      <formula>"Towel"</formula>
    </cfRule>
    <cfRule type="cellIs" dxfId="6088" priority="9031" stopIfTrue="1" operator="equal">
      <formula>"Napkin Hs"</formula>
    </cfRule>
  </conditionalFormatting>
  <conditionalFormatting sqref="C64">
    <cfRule type="cellIs" dxfId="6087" priority="9027" stopIfTrue="1" operator="equal">
      <formula>"Napkin Hs"</formula>
    </cfRule>
  </conditionalFormatting>
  <conditionalFormatting sqref="C64">
    <cfRule type="cellIs" dxfId="6086" priority="9026" stopIfTrue="1" operator="equal">
      <formula>"Towel"</formula>
    </cfRule>
  </conditionalFormatting>
  <conditionalFormatting sqref="C64">
    <cfRule type="cellIs" dxfId="6085" priority="9025" stopIfTrue="1" operator="equal">
      <formula>"Napkin Hs"</formula>
    </cfRule>
  </conditionalFormatting>
  <conditionalFormatting sqref="C64">
    <cfRule type="cellIs" dxfId="6084" priority="9024" stopIfTrue="1" operator="equal">
      <formula>"Towel"</formula>
    </cfRule>
  </conditionalFormatting>
  <conditionalFormatting sqref="C64">
    <cfRule type="cellIs" dxfId="6083" priority="9022" stopIfTrue="1" operator="equal">
      <formula>"Towel"</formula>
    </cfRule>
    <cfRule type="cellIs" dxfId="6082" priority="9023" stopIfTrue="1" operator="equal">
      <formula>"Napkin Hs"</formula>
    </cfRule>
  </conditionalFormatting>
  <conditionalFormatting sqref="C64">
    <cfRule type="cellIs" dxfId="6081" priority="9020" stopIfTrue="1" operator="equal">
      <formula>"Towel"</formula>
    </cfRule>
    <cfRule type="cellIs" dxfId="6080" priority="9021" stopIfTrue="1" operator="equal">
      <formula>"Napkin Hs"</formula>
    </cfRule>
  </conditionalFormatting>
  <conditionalFormatting sqref="C64">
    <cfRule type="cellIs" dxfId="6079" priority="9018" stopIfTrue="1" operator="equal">
      <formula>"Towel"</formula>
    </cfRule>
    <cfRule type="cellIs" dxfId="6078" priority="9019" stopIfTrue="1" operator="equal">
      <formula>"Napkin Hs"</formula>
    </cfRule>
  </conditionalFormatting>
  <conditionalFormatting sqref="C64">
    <cfRule type="cellIs" dxfId="6077" priority="9016" stopIfTrue="1" operator="equal">
      <formula>"Towel"</formula>
    </cfRule>
    <cfRule type="cellIs" dxfId="6076" priority="9017" stopIfTrue="1" operator="equal">
      <formula>"Napkin Hs"</formula>
    </cfRule>
  </conditionalFormatting>
  <conditionalFormatting sqref="C64">
    <cfRule type="cellIs" dxfId="6075" priority="9014" stopIfTrue="1" operator="equal">
      <formula>"Towel"</formula>
    </cfRule>
    <cfRule type="cellIs" dxfId="6074" priority="9015" stopIfTrue="1" operator="equal">
      <formula>"Napkin Hs"</formula>
    </cfRule>
  </conditionalFormatting>
  <conditionalFormatting sqref="C64">
    <cfRule type="cellIs" dxfId="6073" priority="9012" stopIfTrue="1" operator="equal">
      <formula>"Towel"</formula>
    </cfRule>
    <cfRule type="cellIs" dxfId="6072" priority="9013" stopIfTrue="1" operator="equal">
      <formula>"Napkin Hs"</formula>
    </cfRule>
  </conditionalFormatting>
  <conditionalFormatting sqref="C64">
    <cfRule type="cellIs" dxfId="6071" priority="9010" stopIfTrue="1" operator="equal">
      <formula>"Towel"</formula>
    </cfRule>
    <cfRule type="cellIs" dxfId="6070" priority="9011" stopIfTrue="1" operator="equal">
      <formula>"Napkin Hs"</formula>
    </cfRule>
  </conditionalFormatting>
  <conditionalFormatting sqref="C64">
    <cfRule type="cellIs" dxfId="6069" priority="9008" stopIfTrue="1" operator="equal">
      <formula>"Towel"</formula>
    </cfRule>
    <cfRule type="cellIs" dxfId="6068" priority="9009" stopIfTrue="1" operator="equal">
      <formula>"Napkin Hs"</formula>
    </cfRule>
  </conditionalFormatting>
  <conditionalFormatting sqref="C64">
    <cfRule type="cellIs" dxfId="6067" priority="9006" stopIfTrue="1" operator="equal">
      <formula>"Towel"</formula>
    </cfRule>
    <cfRule type="cellIs" dxfId="6066" priority="9007" stopIfTrue="1" operator="equal">
      <formula>"Napkin Hs"</formula>
    </cfRule>
  </conditionalFormatting>
  <conditionalFormatting sqref="C64">
    <cfRule type="cellIs" dxfId="6065" priority="9004" stopIfTrue="1" operator="equal">
      <formula>"Towel"</formula>
    </cfRule>
    <cfRule type="cellIs" dxfId="6064" priority="9005" stopIfTrue="1" operator="equal">
      <formula>"Napkin Hs"</formula>
    </cfRule>
  </conditionalFormatting>
  <conditionalFormatting sqref="C64">
    <cfRule type="cellIs" dxfId="6063" priority="9002" stopIfTrue="1" operator="equal">
      <formula>"Towel"</formula>
    </cfRule>
    <cfRule type="cellIs" dxfId="6062" priority="9003" stopIfTrue="1" operator="equal">
      <formula>"Napkin Hs"</formula>
    </cfRule>
  </conditionalFormatting>
  <conditionalFormatting sqref="C64">
    <cfRule type="cellIs" dxfId="6061" priority="9000" stopIfTrue="1" operator="equal">
      <formula>"Towel"</formula>
    </cfRule>
    <cfRule type="cellIs" dxfId="6060" priority="9001" stopIfTrue="1" operator="equal">
      <formula>"Napkin Hs"</formula>
    </cfRule>
  </conditionalFormatting>
  <conditionalFormatting sqref="C64">
    <cfRule type="cellIs" dxfId="6059" priority="8992" stopIfTrue="1" operator="equal">
      <formula>"Towel"</formula>
    </cfRule>
    <cfRule type="cellIs" dxfId="6058" priority="8993" stopIfTrue="1" operator="equal">
      <formula>"Napkin Hs"</formula>
    </cfRule>
  </conditionalFormatting>
  <conditionalFormatting sqref="C64">
    <cfRule type="cellIs" dxfId="6057" priority="8991" stopIfTrue="1" operator="equal">
      <formula>"Napkin Hs"</formula>
    </cfRule>
  </conditionalFormatting>
  <conditionalFormatting sqref="C64">
    <cfRule type="cellIs" dxfId="6056" priority="8990" stopIfTrue="1" operator="equal">
      <formula>"Towel"</formula>
    </cfRule>
  </conditionalFormatting>
  <conditionalFormatting sqref="C64">
    <cfRule type="cellIs" dxfId="6055" priority="8989" stopIfTrue="1" operator="equal">
      <formula>"Napkin Hs"</formula>
    </cfRule>
  </conditionalFormatting>
  <conditionalFormatting sqref="C64">
    <cfRule type="cellIs" dxfId="6054" priority="8988" stopIfTrue="1" operator="equal">
      <formula>"Towel"</formula>
    </cfRule>
  </conditionalFormatting>
  <conditionalFormatting sqref="B63:C63">
    <cfRule type="cellIs" dxfId="6053" priority="8984" stopIfTrue="1" operator="equal">
      <formula>"Towel"</formula>
    </cfRule>
    <cfRule type="cellIs" dxfId="6052" priority="8985" stopIfTrue="1" operator="equal">
      <formula>"Napkin Hs"</formula>
    </cfRule>
  </conditionalFormatting>
  <conditionalFormatting sqref="C63">
    <cfRule type="cellIs" dxfId="6051" priority="8980" stopIfTrue="1" operator="equal">
      <formula>"Towel"</formula>
    </cfRule>
    <cfRule type="cellIs" dxfId="6050" priority="8981" stopIfTrue="1" operator="equal">
      <formula>"Napkin Hs"</formula>
    </cfRule>
  </conditionalFormatting>
  <conditionalFormatting sqref="C63">
    <cfRule type="cellIs" dxfId="6049" priority="8982" stopIfTrue="1" operator="equal">
      <formula>"Towel"</formula>
    </cfRule>
    <cfRule type="cellIs" dxfId="6048" priority="8983" stopIfTrue="1" operator="equal">
      <formula>"Napkin Hs"</formula>
    </cfRule>
  </conditionalFormatting>
  <conditionalFormatting sqref="B63:C63">
    <cfRule type="cellIs" dxfId="6047" priority="8979" stopIfTrue="1" operator="equal">
      <formula>"Napkin Hs"</formula>
    </cfRule>
  </conditionalFormatting>
  <conditionalFormatting sqref="B63:C63">
    <cfRule type="cellIs" dxfId="6046" priority="8978" stopIfTrue="1" operator="equal">
      <formula>"Towel"</formula>
    </cfRule>
  </conditionalFormatting>
  <conditionalFormatting sqref="C63">
    <cfRule type="cellIs" dxfId="6045" priority="8977" stopIfTrue="1" operator="equal">
      <formula>"Napkin Hs"</formula>
    </cfRule>
  </conditionalFormatting>
  <conditionalFormatting sqref="C63">
    <cfRule type="cellIs" dxfId="6044" priority="8976" stopIfTrue="1" operator="equal">
      <formula>"Towel"</formula>
    </cfRule>
  </conditionalFormatting>
  <conditionalFormatting sqref="C63">
    <cfRule type="cellIs" dxfId="6043" priority="8974" stopIfTrue="1" operator="equal">
      <formula>"Towel"</formula>
    </cfRule>
    <cfRule type="cellIs" dxfId="6042" priority="8975" stopIfTrue="1" operator="equal">
      <formula>"Napkin Hs"</formula>
    </cfRule>
  </conditionalFormatting>
  <conditionalFormatting sqref="B63:C63">
    <cfRule type="cellIs" dxfId="6041" priority="8972" stopIfTrue="1" operator="equal">
      <formula>"Towel"</formula>
    </cfRule>
    <cfRule type="cellIs" dxfId="6040" priority="8973" stopIfTrue="1" operator="equal">
      <formula>"Napkin Hs"</formula>
    </cfRule>
  </conditionalFormatting>
  <conditionalFormatting sqref="C63">
    <cfRule type="cellIs" dxfId="6039" priority="8970" stopIfTrue="1" operator="equal">
      <formula>"Towel"</formula>
    </cfRule>
    <cfRule type="cellIs" dxfId="6038" priority="8971" stopIfTrue="1" operator="equal">
      <formula>"Napkin Hs"</formula>
    </cfRule>
  </conditionalFormatting>
  <conditionalFormatting sqref="C63">
    <cfRule type="cellIs" dxfId="6037" priority="8968" stopIfTrue="1" operator="equal">
      <formula>"Towel"</formula>
    </cfRule>
    <cfRule type="cellIs" dxfId="6036" priority="8969" stopIfTrue="1" operator="equal">
      <formula>"Napkin Hs"</formula>
    </cfRule>
  </conditionalFormatting>
  <conditionalFormatting sqref="B63:C63">
    <cfRule type="cellIs" dxfId="6035" priority="8966" stopIfTrue="1" operator="equal">
      <formula>"Towel"</formula>
    </cfRule>
    <cfRule type="cellIs" dxfId="6034" priority="8967" stopIfTrue="1" operator="equal">
      <formula>"Napkin Hs"</formula>
    </cfRule>
  </conditionalFormatting>
  <conditionalFormatting sqref="C63">
    <cfRule type="cellIs" dxfId="6033" priority="8964" stopIfTrue="1" operator="equal">
      <formula>"Towel"</formula>
    </cfRule>
    <cfRule type="cellIs" dxfId="6032" priority="8965" stopIfTrue="1" operator="equal">
      <formula>"Napkin Hs"</formula>
    </cfRule>
  </conditionalFormatting>
  <conditionalFormatting sqref="C63">
    <cfRule type="cellIs" dxfId="6031" priority="8962" stopIfTrue="1" operator="equal">
      <formula>"Towel"</formula>
    </cfRule>
    <cfRule type="cellIs" dxfId="6030" priority="8963" stopIfTrue="1" operator="equal">
      <formula>"Napkin Hs"</formula>
    </cfRule>
  </conditionalFormatting>
  <conditionalFormatting sqref="B63:C63">
    <cfRule type="cellIs" dxfId="6029" priority="8960" stopIfTrue="1" operator="equal">
      <formula>"Towel"</formula>
    </cfRule>
    <cfRule type="cellIs" dxfId="6028" priority="8961" stopIfTrue="1" operator="equal">
      <formula>"Napkin Hs"</formula>
    </cfRule>
  </conditionalFormatting>
  <conditionalFormatting sqref="C63">
    <cfRule type="cellIs" dxfId="6027" priority="8958" stopIfTrue="1" operator="equal">
      <formula>"Towel"</formula>
    </cfRule>
    <cfRule type="cellIs" dxfId="6026" priority="8959" stopIfTrue="1" operator="equal">
      <formula>"Napkin Hs"</formula>
    </cfRule>
  </conditionalFormatting>
  <conditionalFormatting sqref="C63">
    <cfRule type="cellIs" dxfId="6025" priority="8956" stopIfTrue="1" operator="equal">
      <formula>"Towel"</formula>
    </cfRule>
    <cfRule type="cellIs" dxfId="6024" priority="8957" stopIfTrue="1" operator="equal">
      <formula>"Napkin Hs"</formula>
    </cfRule>
  </conditionalFormatting>
  <conditionalFormatting sqref="B63:C63">
    <cfRule type="cellIs" dxfId="6023" priority="8954" stopIfTrue="1" operator="equal">
      <formula>"Towel"</formula>
    </cfRule>
    <cfRule type="cellIs" dxfId="6022" priority="8955" stopIfTrue="1" operator="equal">
      <formula>"Napkin Hs"</formula>
    </cfRule>
  </conditionalFormatting>
  <conditionalFormatting sqref="C63">
    <cfRule type="cellIs" dxfId="6021" priority="8952" stopIfTrue="1" operator="equal">
      <formula>"Towel"</formula>
    </cfRule>
    <cfRule type="cellIs" dxfId="6020" priority="8953" stopIfTrue="1" operator="equal">
      <formula>"Napkin Hs"</formula>
    </cfRule>
  </conditionalFormatting>
  <conditionalFormatting sqref="C63">
    <cfRule type="cellIs" dxfId="6019" priority="8950" stopIfTrue="1" operator="equal">
      <formula>"Towel"</formula>
    </cfRule>
    <cfRule type="cellIs" dxfId="6018" priority="8951" stopIfTrue="1" operator="equal">
      <formula>"Napkin Hs"</formula>
    </cfRule>
  </conditionalFormatting>
  <conditionalFormatting sqref="B63:C63">
    <cfRule type="cellIs" dxfId="6017" priority="8948" stopIfTrue="1" operator="equal">
      <formula>"Towel"</formula>
    </cfRule>
    <cfRule type="cellIs" dxfId="6016" priority="8949" stopIfTrue="1" operator="equal">
      <formula>"Napkin Hs"</formula>
    </cfRule>
  </conditionalFormatting>
  <conditionalFormatting sqref="C63">
    <cfRule type="cellIs" dxfId="6015" priority="8946" stopIfTrue="1" operator="equal">
      <formula>"Towel"</formula>
    </cfRule>
    <cfRule type="cellIs" dxfId="6014" priority="8947" stopIfTrue="1" operator="equal">
      <formula>"Napkin Hs"</formula>
    </cfRule>
  </conditionalFormatting>
  <conditionalFormatting sqref="C63">
    <cfRule type="cellIs" dxfId="6013" priority="8944" stopIfTrue="1" operator="equal">
      <formula>"Towel"</formula>
    </cfRule>
    <cfRule type="cellIs" dxfId="6012" priority="8945" stopIfTrue="1" operator="equal">
      <formula>"Napkin Hs"</formula>
    </cfRule>
  </conditionalFormatting>
  <conditionalFormatting sqref="B63:C63">
    <cfRule type="cellIs" dxfId="6011" priority="8943" stopIfTrue="1" operator="equal">
      <formula>"Napkin Hs"</formula>
    </cfRule>
  </conditionalFormatting>
  <conditionalFormatting sqref="B63:C63">
    <cfRule type="cellIs" dxfId="6010" priority="8942" stopIfTrue="1" operator="equal">
      <formula>"Towel"</formula>
    </cfRule>
  </conditionalFormatting>
  <conditionalFormatting sqref="C63">
    <cfRule type="cellIs" dxfId="6009" priority="8941" stopIfTrue="1" operator="equal">
      <formula>"Napkin Hs"</formula>
    </cfRule>
  </conditionalFormatting>
  <conditionalFormatting sqref="C63">
    <cfRule type="cellIs" dxfId="6008" priority="8938" stopIfTrue="1" operator="equal">
      <formula>"Towel"</formula>
    </cfRule>
    <cfRule type="cellIs" dxfId="6007" priority="8939" stopIfTrue="1" operator="equal">
      <formula>"Napkin Hs"</formula>
    </cfRule>
  </conditionalFormatting>
  <conditionalFormatting sqref="C63">
    <cfRule type="cellIs" dxfId="6006" priority="8940" stopIfTrue="1" operator="equal">
      <formula>"Towel"</formula>
    </cfRule>
  </conditionalFormatting>
  <conditionalFormatting sqref="B60:C62">
    <cfRule type="cellIs" dxfId="6005" priority="8936" stopIfTrue="1" operator="equal">
      <formula>"Towel"</formula>
    </cfRule>
    <cfRule type="cellIs" dxfId="6004" priority="8937" stopIfTrue="1" operator="equal">
      <formula>"Napkin Hs"</formula>
    </cfRule>
  </conditionalFormatting>
  <conditionalFormatting sqref="C60:C62">
    <cfRule type="cellIs" dxfId="6003" priority="8934" stopIfTrue="1" operator="equal">
      <formula>"Towel"</formula>
    </cfRule>
    <cfRule type="cellIs" dxfId="6002" priority="8935" stopIfTrue="1" operator="equal">
      <formula>"Napkin Hs"</formula>
    </cfRule>
  </conditionalFormatting>
  <conditionalFormatting sqref="C60:C62">
    <cfRule type="cellIs" dxfId="6001" priority="8932" stopIfTrue="1" operator="equal">
      <formula>"Towel"</formula>
    </cfRule>
    <cfRule type="cellIs" dxfId="6000" priority="8933" stopIfTrue="1" operator="equal">
      <formula>"Napkin Hs"</formula>
    </cfRule>
  </conditionalFormatting>
  <conditionalFormatting sqref="C60:C62">
    <cfRule type="cellIs" dxfId="5999" priority="8931" stopIfTrue="1" operator="equal">
      <formula>"Napkin Hs"</formula>
    </cfRule>
  </conditionalFormatting>
  <conditionalFormatting sqref="C60:C62">
    <cfRule type="cellIs" dxfId="5998" priority="8930" stopIfTrue="1" operator="equal">
      <formula>"Towel"</formula>
    </cfRule>
  </conditionalFormatting>
  <conditionalFormatting sqref="C60:C62">
    <cfRule type="cellIs" dxfId="5997" priority="8929" stopIfTrue="1" operator="equal">
      <formula>"Napkin Hs"</formula>
    </cfRule>
  </conditionalFormatting>
  <conditionalFormatting sqref="C60:C62">
    <cfRule type="cellIs" dxfId="5996" priority="8926" stopIfTrue="1" operator="equal">
      <formula>"Towel"</formula>
    </cfRule>
    <cfRule type="cellIs" dxfId="5995" priority="8927" stopIfTrue="1" operator="equal">
      <formula>"Napkin Hs"</formula>
    </cfRule>
  </conditionalFormatting>
  <conditionalFormatting sqref="C60:C62">
    <cfRule type="cellIs" dxfId="5994" priority="8928" stopIfTrue="1" operator="equal">
      <formula>"Towel"</formula>
    </cfRule>
  </conditionalFormatting>
  <conditionalFormatting sqref="C60:C62">
    <cfRule type="cellIs" dxfId="5993" priority="8925" stopIfTrue="1" operator="equal">
      <formula>"Napkin Hs"</formula>
    </cfRule>
  </conditionalFormatting>
  <conditionalFormatting sqref="C60:C62">
    <cfRule type="cellIs" dxfId="5992" priority="8924" stopIfTrue="1" operator="equal">
      <formula>"Towel"</formula>
    </cfRule>
  </conditionalFormatting>
  <conditionalFormatting sqref="C60:C62">
    <cfRule type="cellIs" dxfId="5991" priority="8923" stopIfTrue="1" operator="equal">
      <formula>"Napkin Hs"</formula>
    </cfRule>
  </conditionalFormatting>
  <conditionalFormatting sqref="C60:C62">
    <cfRule type="cellIs" dxfId="5990" priority="8920" stopIfTrue="1" operator="equal">
      <formula>"Towel"</formula>
    </cfRule>
    <cfRule type="cellIs" dxfId="5989" priority="8921" stopIfTrue="1" operator="equal">
      <formula>"Napkin Hs"</formula>
    </cfRule>
  </conditionalFormatting>
  <conditionalFormatting sqref="C60:C62">
    <cfRule type="cellIs" dxfId="5988" priority="8922" stopIfTrue="1" operator="equal">
      <formula>"Towel"</formula>
    </cfRule>
  </conditionalFormatting>
  <conditionalFormatting sqref="B60:B62">
    <cfRule type="cellIs" dxfId="5987" priority="8919" stopIfTrue="1" operator="equal">
      <formula>"Napkin Hs"</formula>
    </cfRule>
  </conditionalFormatting>
  <conditionalFormatting sqref="B60:B62">
    <cfRule type="cellIs" dxfId="5986" priority="8918" stopIfTrue="1" operator="equal">
      <formula>"Towel"</formula>
    </cfRule>
  </conditionalFormatting>
  <conditionalFormatting sqref="B60:C62">
    <cfRule type="cellIs" dxfId="5985" priority="8916" stopIfTrue="1" operator="equal">
      <formula>"Towel"</formula>
    </cfRule>
    <cfRule type="cellIs" dxfId="5984" priority="8917" stopIfTrue="1" operator="equal">
      <formula>"Napkin Hs"</formula>
    </cfRule>
  </conditionalFormatting>
  <conditionalFormatting sqref="C60:C62">
    <cfRule type="cellIs" dxfId="5983" priority="8914" stopIfTrue="1" operator="equal">
      <formula>"Towel"</formula>
    </cfRule>
    <cfRule type="cellIs" dxfId="5982" priority="8915" stopIfTrue="1" operator="equal">
      <formula>"Napkin Hs"</formula>
    </cfRule>
  </conditionalFormatting>
  <conditionalFormatting sqref="C60:C62">
    <cfRule type="cellIs" dxfId="5981" priority="8912" stopIfTrue="1" operator="equal">
      <formula>"Towel"</formula>
    </cfRule>
    <cfRule type="cellIs" dxfId="5980" priority="8913" stopIfTrue="1" operator="equal">
      <formula>"Napkin Hs"</formula>
    </cfRule>
  </conditionalFormatting>
  <conditionalFormatting sqref="C60:C62">
    <cfRule type="cellIs" dxfId="5979" priority="8911" stopIfTrue="1" operator="equal">
      <formula>"Napkin Hs"</formula>
    </cfRule>
  </conditionalFormatting>
  <conditionalFormatting sqref="C60:C62">
    <cfRule type="cellIs" dxfId="5978" priority="8910" stopIfTrue="1" operator="equal">
      <formula>"Towel"</formula>
    </cfRule>
  </conditionalFormatting>
  <conditionalFormatting sqref="C60:C62">
    <cfRule type="cellIs" dxfId="5977" priority="8909" stopIfTrue="1" operator="equal">
      <formula>"Napkin Hs"</formula>
    </cfRule>
  </conditionalFormatting>
  <conditionalFormatting sqref="C60:C62">
    <cfRule type="cellIs" dxfId="5976" priority="8906" stopIfTrue="1" operator="equal">
      <formula>"Towel"</formula>
    </cfRule>
    <cfRule type="cellIs" dxfId="5975" priority="8907" stopIfTrue="1" operator="equal">
      <formula>"Napkin Hs"</formula>
    </cfRule>
  </conditionalFormatting>
  <conditionalFormatting sqref="C60:C62">
    <cfRule type="cellIs" dxfId="5974" priority="8908" stopIfTrue="1" operator="equal">
      <formula>"Towel"</formula>
    </cfRule>
  </conditionalFormatting>
  <conditionalFormatting sqref="C60:C62">
    <cfRule type="cellIs" dxfId="5973" priority="8905" stopIfTrue="1" operator="equal">
      <formula>"Napkin Hs"</formula>
    </cfRule>
  </conditionalFormatting>
  <conditionalFormatting sqref="C60:C62">
    <cfRule type="cellIs" dxfId="5972" priority="8904" stopIfTrue="1" operator="equal">
      <formula>"Towel"</formula>
    </cfRule>
  </conditionalFormatting>
  <conditionalFormatting sqref="C60:C62">
    <cfRule type="cellIs" dxfId="5971" priority="8903" stopIfTrue="1" operator="equal">
      <formula>"Napkin Hs"</formula>
    </cfRule>
  </conditionalFormatting>
  <conditionalFormatting sqref="C60:C62">
    <cfRule type="cellIs" dxfId="5970" priority="8900" stopIfTrue="1" operator="equal">
      <formula>"Towel"</formula>
    </cfRule>
    <cfRule type="cellIs" dxfId="5969" priority="8901" stopIfTrue="1" operator="equal">
      <formula>"Napkin Hs"</formula>
    </cfRule>
  </conditionalFormatting>
  <conditionalFormatting sqref="C60:C62">
    <cfRule type="cellIs" dxfId="5968" priority="8902" stopIfTrue="1" operator="equal">
      <formula>"Towel"</formula>
    </cfRule>
  </conditionalFormatting>
  <conditionalFormatting sqref="B60:B62">
    <cfRule type="cellIs" dxfId="5967" priority="8899" stopIfTrue="1" operator="equal">
      <formula>"Napkin Hs"</formula>
    </cfRule>
  </conditionalFormatting>
  <conditionalFormatting sqref="B60:B62">
    <cfRule type="cellIs" dxfId="5966" priority="8898" stopIfTrue="1" operator="equal">
      <formula>"Towel"</formula>
    </cfRule>
  </conditionalFormatting>
  <conditionalFormatting sqref="B64">
    <cfRule type="cellIs" dxfId="5965" priority="8896" stopIfTrue="1" operator="equal">
      <formula>"Towel"</formula>
    </cfRule>
    <cfRule type="cellIs" dxfId="5964" priority="8897" stopIfTrue="1" operator="equal">
      <formula>"Napkin Hs"</formula>
    </cfRule>
  </conditionalFormatting>
  <conditionalFormatting sqref="B64">
    <cfRule type="cellIs" dxfId="5963" priority="8895" stopIfTrue="1" operator="equal">
      <formula>"Napkin Hs"</formula>
    </cfRule>
  </conditionalFormatting>
  <conditionalFormatting sqref="B64">
    <cfRule type="cellIs" dxfId="5962" priority="8894" stopIfTrue="1" operator="equal">
      <formula>"Towel"</formula>
    </cfRule>
  </conditionalFormatting>
  <conditionalFormatting sqref="B64">
    <cfRule type="cellIs" dxfId="5961" priority="8892" stopIfTrue="1" operator="equal">
      <formula>"Towel"</formula>
    </cfRule>
    <cfRule type="cellIs" dxfId="5960" priority="8893" stopIfTrue="1" operator="equal">
      <formula>"Napkin Hs"</formula>
    </cfRule>
  </conditionalFormatting>
  <conditionalFormatting sqref="B64">
    <cfRule type="cellIs" dxfId="5959" priority="8891" stopIfTrue="1" operator="equal">
      <formula>"Napkin Hs"</formula>
    </cfRule>
  </conditionalFormatting>
  <conditionalFormatting sqref="B64">
    <cfRule type="cellIs" dxfId="5958" priority="8890" stopIfTrue="1" operator="equal">
      <formula>"Towel"</formula>
    </cfRule>
  </conditionalFormatting>
  <conditionalFormatting sqref="B67:B68">
    <cfRule type="cellIs" dxfId="5957" priority="8888" stopIfTrue="1" operator="equal">
      <formula>"Towel"</formula>
    </cfRule>
    <cfRule type="cellIs" dxfId="5956" priority="8889" stopIfTrue="1" operator="equal">
      <formula>"Napkin Hs"</formula>
    </cfRule>
  </conditionalFormatting>
  <conditionalFormatting sqref="B67:B68">
    <cfRule type="cellIs" dxfId="5955" priority="8887" stopIfTrue="1" operator="equal">
      <formula>"Napkin Hs"</formula>
    </cfRule>
  </conditionalFormatting>
  <conditionalFormatting sqref="B67:B68">
    <cfRule type="cellIs" dxfId="5954" priority="8886" stopIfTrue="1" operator="equal">
      <formula>"Towel"</formula>
    </cfRule>
  </conditionalFormatting>
  <conditionalFormatting sqref="B67:B68">
    <cfRule type="cellIs" dxfId="5953" priority="8884" stopIfTrue="1" operator="equal">
      <formula>"Towel"</formula>
    </cfRule>
    <cfRule type="cellIs" dxfId="5952" priority="8885" stopIfTrue="1" operator="equal">
      <formula>"Napkin Hs"</formula>
    </cfRule>
  </conditionalFormatting>
  <conditionalFormatting sqref="B67:B68">
    <cfRule type="cellIs" dxfId="5951" priority="8883" stopIfTrue="1" operator="equal">
      <formula>"Napkin Hs"</formula>
    </cfRule>
  </conditionalFormatting>
  <conditionalFormatting sqref="B67:B68">
    <cfRule type="cellIs" dxfId="5950" priority="8882" stopIfTrue="1" operator="equal">
      <formula>"Towel"</formula>
    </cfRule>
  </conditionalFormatting>
  <conditionalFormatting sqref="B72:C73">
    <cfRule type="cellIs" dxfId="5949" priority="8881" stopIfTrue="1" operator="equal">
      <formula>"Napkin Hs"</formula>
    </cfRule>
  </conditionalFormatting>
  <conditionalFormatting sqref="B72:C73">
    <cfRule type="cellIs" dxfId="5948" priority="8880" stopIfTrue="1" operator="equal">
      <formula>"Towel"</formula>
    </cfRule>
  </conditionalFormatting>
  <conditionalFormatting sqref="C72:C73">
    <cfRule type="cellIs" dxfId="5947" priority="8879" stopIfTrue="1" operator="equal">
      <formula>"Napkin Hs"</formula>
    </cfRule>
  </conditionalFormatting>
  <conditionalFormatting sqref="C72:C73">
    <cfRule type="cellIs" dxfId="5946" priority="8878" stopIfTrue="1" operator="equal">
      <formula>"Towel"</formula>
    </cfRule>
  </conditionalFormatting>
  <conditionalFormatting sqref="C72:C73">
    <cfRule type="cellIs" dxfId="5945" priority="8876" stopIfTrue="1" operator="equal">
      <formula>"Towel"</formula>
    </cfRule>
    <cfRule type="cellIs" dxfId="5944" priority="8877" stopIfTrue="1" operator="equal">
      <formula>"Napkin Hs"</formula>
    </cfRule>
  </conditionalFormatting>
  <conditionalFormatting sqref="B72:C73">
    <cfRule type="cellIs" dxfId="5943" priority="8874" stopIfTrue="1" operator="equal">
      <formula>"Towel"</formula>
    </cfRule>
    <cfRule type="cellIs" dxfId="5942" priority="8875" stopIfTrue="1" operator="equal">
      <formula>"Napkin Hs"</formula>
    </cfRule>
  </conditionalFormatting>
  <conditionalFormatting sqref="C72:C73">
    <cfRule type="cellIs" dxfId="5941" priority="8872" stopIfTrue="1" operator="equal">
      <formula>"Towel"</formula>
    </cfRule>
    <cfRule type="cellIs" dxfId="5940" priority="8873" stopIfTrue="1" operator="equal">
      <formula>"Napkin Hs"</formula>
    </cfRule>
  </conditionalFormatting>
  <conditionalFormatting sqref="C72:C73">
    <cfRule type="cellIs" dxfId="5939" priority="8870" stopIfTrue="1" operator="equal">
      <formula>"Towel"</formula>
    </cfRule>
    <cfRule type="cellIs" dxfId="5938" priority="8871" stopIfTrue="1" operator="equal">
      <formula>"Napkin Hs"</formula>
    </cfRule>
  </conditionalFormatting>
  <conditionalFormatting sqref="B72:C73">
    <cfRule type="cellIs" dxfId="5937" priority="8868" stopIfTrue="1" operator="equal">
      <formula>"Towel"</formula>
    </cfRule>
    <cfRule type="cellIs" dxfId="5936" priority="8869" stopIfTrue="1" operator="equal">
      <formula>"Napkin Hs"</formula>
    </cfRule>
  </conditionalFormatting>
  <conditionalFormatting sqref="C72:C73">
    <cfRule type="cellIs" dxfId="5935" priority="8866" stopIfTrue="1" operator="equal">
      <formula>"Towel"</formula>
    </cfRule>
    <cfRule type="cellIs" dxfId="5934" priority="8867" stopIfTrue="1" operator="equal">
      <formula>"Napkin Hs"</formula>
    </cfRule>
  </conditionalFormatting>
  <conditionalFormatting sqref="C72:C73">
    <cfRule type="cellIs" dxfId="5933" priority="8864" stopIfTrue="1" operator="equal">
      <formula>"Towel"</formula>
    </cfRule>
    <cfRule type="cellIs" dxfId="5932" priority="8865" stopIfTrue="1" operator="equal">
      <formula>"Napkin Hs"</formula>
    </cfRule>
  </conditionalFormatting>
  <conditionalFormatting sqref="B72:C73">
    <cfRule type="cellIs" dxfId="5931" priority="8862" stopIfTrue="1" operator="equal">
      <formula>"Towel"</formula>
    </cfRule>
    <cfRule type="cellIs" dxfId="5930" priority="8863" stopIfTrue="1" operator="equal">
      <formula>"Napkin Hs"</formula>
    </cfRule>
  </conditionalFormatting>
  <conditionalFormatting sqref="C72:C73">
    <cfRule type="cellIs" dxfId="5929" priority="8860" stopIfTrue="1" operator="equal">
      <formula>"Towel"</formula>
    </cfRule>
    <cfRule type="cellIs" dxfId="5928" priority="8861" stopIfTrue="1" operator="equal">
      <formula>"Napkin Hs"</formula>
    </cfRule>
  </conditionalFormatting>
  <conditionalFormatting sqref="C72:C73">
    <cfRule type="cellIs" dxfId="5927" priority="8858" stopIfTrue="1" operator="equal">
      <formula>"Towel"</formula>
    </cfRule>
    <cfRule type="cellIs" dxfId="5926" priority="8859" stopIfTrue="1" operator="equal">
      <formula>"Napkin Hs"</formula>
    </cfRule>
  </conditionalFormatting>
  <conditionalFormatting sqref="B72:C73">
    <cfRule type="cellIs" dxfId="5925" priority="8856" stopIfTrue="1" operator="equal">
      <formula>"Towel"</formula>
    </cfRule>
    <cfRule type="cellIs" dxfId="5924" priority="8857" stopIfTrue="1" operator="equal">
      <formula>"Napkin Hs"</formula>
    </cfRule>
  </conditionalFormatting>
  <conditionalFormatting sqref="C72:C73">
    <cfRule type="cellIs" dxfId="5923" priority="8854" stopIfTrue="1" operator="equal">
      <formula>"Towel"</formula>
    </cfRule>
    <cfRule type="cellIs" dxfId="5922" priority="8855" stopIfTrue="1" operator="equal">
      <formula>"Napkin Hs"</formula>
    </cfRule>
  </conditionalFormatting>
  <conditionalFormatting sqref="C72:C73">
    <cfRule type="cellIs" dxfId="5921" priority="8852" stopIfTrue="1" operator="equal">
      <formula>"Towel"</formula>
    </cfRule>
    <cfRule type="cellIs" dxfId="5920" priority="8853" stopIfTrue="1" operator="equal">
      <formula>"Napkin Hs"</formula>
    </cfRule>
  </conditionalFormatting>
  <conditionalFormatting sqref="B72:C73">
    <cfRule type="cellIs" dxfId="5919" priority="8850" stopIfTrue="1" operator="equal">
      <formula>"Towel"</formula>
    </cfRule>
    <cfRule type="cellIs" dxfId="5918" priority="8851" stopIfTrue="1" operator="equal">
      <formula>"Napkin Hs"</formula>
    </cfRule>
  </conditionalFormatting>
  <conditionalFormatting sqref="C72:C73">
    <cfRule type="cellIs" dxfId="5917" priority="8848" stopIfTrue="1" operator="equal">
      <formula>"Towel"</formula>
    </cfRule>
    <cfRule type="cellIs" dxfId="5916" priority="8849" stopIfTrue="1" operator="equal">
      <formula>"Napkin Hs"</formula>
    </cfRule>
  </conditionalFormatting>
  <conditionalFormatting sqref="C72:C73">
    <cfRule type="cellIs" dxfId="5915" priority="8846" stopIfTrue="1" operator="equal">
      <formula>"Towel"</formula>
    </cfRule>
    <cfRule type="cellIs" dxfId="5914" priority="8847" stopIfTrue="1" operator="equal">
      <formula>"Napkin Hs"</formula>
    </cfRule>
  </conditionalFormatting>
  <conditionalFormatting sqref="B72:C73">
    <cfRule type="cellIs" dxfId="5913" priority="8845" stopIfTrue="1" operator="equal">
      <formula>"Napkin Hs"</formula>
    </cfRule>
  </conditionalFormatting>
  <conditionalFormatting sqref="B72:C73">
    <cfRule type="cellIs" dxfId="5912" priority="8844" stopIfTrue="1" operator="equal">
      <formula>"Towel"</formula>
    </cfRule>
  </conditionalFormatting>
  <conditionalFormatting sqref="C72:C73">
    <cfRule type="cellIs" dxfId="5911" priority="8843" stopIfTrue="1" operator="equal">
      <formula>"Napkin Hs"</formula>
    </cfRule>
  </conditionalFormatting>
  <conditionalFormatting sqref="C72:C73">
    <cfRule type="cellIs" dxfId="5910" priority="8840" stopIfTrue="1" operator="equal">
      <formula>"Towel"</formula>
    </cfRule>
    <cfRule type="cellIs" dxfId="5909" priority="8841" stopIfTrue="1" operator="equal">
      <formula>"Napkin Hs"</formula>
    </cfRule>
  </conditionalFormatting>
  <conditionalFormatting sqref="C72:C73">
    <cfRule type="cellIs" dxfId="5908" priority="8842" stopIfTrue="1" operator="equal">
      <formula>"Towel"</formula>
    </cfRule>
  </conditionalFormatting>
  <conditionalFormatting sqref="C72:C73">
    <cfRule type="cellIs" dxfId="5907" priority="8839" stopIfTrue="1" operator="equal">
      <formula>"Napkin Hs"</formula>
    </cfRule>
  </conditionalFormatting>
  <conditionalFormatting sqref="C72:C73">
    <cfRule type="cellIs" dxfId="5906" priority="8838" stopIfTrue="1" operator="equal">
      <formula>"Towel"</formula>
    </cfRule>
  </conditionalFormatting>
  <conditionalFormatting sqref="C72:C73">
    <cfRule type="cellIs" dxfId="5905" priority="8837" stopIfTrue="1" operator="equal">
      <formula>"Napkin Hs"</formula>
    </cfRule>
  </conditionalFormatting>
  <conditionalFormatting sqref="C72:C73">
    <cfRule type="cellIs" dxfId="5904" priority="8834" stopIfTrue="1" operator="equal">
      <formula>"Towel"</formula>
    </cfRule>
    <cfRule type="cellIs" dxfId="5903" priority="8835" stopIfTrue="1" operator="equal">
      <formula>"Napkin Hs"</formula>
    </cfRule>
  </conditionalFormatting>
  <conditionalFormatting sqref="C72:C73">
    <cfRule type="cellIs" dxfId="5902" priority="8836" stopIfTrue="1" operator="equal">
      <formula>"Towel"</formula>
    </cfRule>
  </conditionalFormatting>
  <conditionalFormatting sqref="C72:C73">
    <cfRule type="cellIs" dxfId="5901" priority="8833" stopIfTrue="1" operator="equal">
      <formula>"Napkin Hs"</formula>
    </cfRule>
  </conditionalFormatting>
  <conditionalFormatting sqref="C72:C73">
    <cfRule type="cellIs" dxfId="5900" priority="8832" stopIfTrue="1" operator="equal">
      <formula>"Towel"</formula>
    </cfRule>
  </conditionalFormatting>
  <conditionalFormatting sqref="C72:C73">
    <cfRule type="cellIs" dxfId="5899" priority="8831" stopIfTrue="1" operator="equal">
      <formula>"Napkin Hs"</formula>
    </cfRule>
  </conditionalFormatting>
  <conditionalFormatting sqref="C72:C73">
    <cfRule type="cellIs" dxfId="5898" priority="8828" stopIfTrue="1" operator="equal">
      <formula>"Towel"</formula>
    </cfRule>
    <cfRule type="cellIs" dxfId="5897" priority="8829" stopIfTrue="1" operator="equal">
      <formula>"Napkin Hs"</formula>
    </cfRule>
  </conditionalFormatting>
  <conditionalFormatting sqref="C72:C73">
    <cfRule type="cellIs" dxfId="5896" priority="8830" stopIfTrue="1" operator="equal">
      <formula>"Towel"</formula>
    </cfRule>
  </conditionalFormatting>
  <conditionalFormatting sqref="B72:B73">
    <cfRule type="cellIs" dxfId="5895" priority="8826" stopIfTrue="1" operator="equal">
      <formula>"Towel"</formula>
    </cfRule>
    <cfRule type="cellIs" dxfId="5894" priority="8827" stopIfTrue="1" operator="equal">
      <formula>"Napkin Hs"</formula>
    </cfRule>
  </conditionalFormatting>
  <conditionalFormatting sqref="B72:B73">
    <cfRule type="cellIs" dxfId="5893" priority="8825" stopIfTrue="1" operator="equal">
      <formula>"Napkin Hs"</formula>
    </cfRule>
  </conditionalFormatting>
  <conditionalFormatting sqref="B72:B73">
    <cfRule type="cellIs" dxfId="5892" priority="8824" stopIfTrue="1" operator="equal">
      <formula>"Towel"</formula>
    </cfRule>
  </conditionalFormatting>
  <conditionalFormatting sqref="B70:C70">
    <cfRule type="cellIs" dxfId="5891" priority="8820" stopIfTrue="1" operator="equal">
      <formula>"Towel"</formula>
    </cfRule>
    <cfRule type="cellIs" dxfId="5890" priority="8821" stopIfTrue="1" operator="equal">
      <formula>"Napkin Hs"</formula>
    </cfRule>
  </conditionalFormatting>
  <conditionalFormatting sqref="C70">
    <cfRule type="cellIs" dxfId="5889" priority="8822" stopIfTrue="1" operator="equal">
      <formula>"Towel"</formula>
    </cfRule>
    <cfRule type="cellIs" dxfId="5888" priority="8823" stopIfTrue="1" operator="equal">
      <formula>"Napkin Hs"</formula>
    </cfRule>
  </conditionalFormatting>
  <conditionalFormatting sqref="C70">
    <cfRule type="cellIs" dxfId="5887" priority="8818" stopIfTrue="1" operator="equal">
      <formula>"Towel"</formula>
    </cfRule>
    <cfRule type="cellIs" dxfId="5886" priority="8819" stopIfTrue="1" operator="equal">
      <formula>"Napkin Hs"</formula>
    </cfRule>
  </conditionalFormatting>
  <conditionalFormatting sqref="B71:C71">
    <cfRule type="cellIs" dxfId="5885" priority="8816" stopIfTrue="1" operator="equal">
      <formula>"Towel"</formula>
    </cfRule>
    <cfRule type="cellIs" dxfId="5884" priority="8817" stopIfTrue="1" operator="equal">
      <formula>"Napkin Hs"</formula>
    </cfRule>
  </conditionalFormatting>
  <conditionalFormatting sqref="C71">
    <cfRule type="cellIs" dxfId="5883" priority="8812" stopIfTrue="1" operator="equal">
      <formula>"Towel"</formula>
    </cfRule>
    <cfRule type="cellIs" dxfId="5882" priority="8813" stopIfTrue="1" operator="equal">
      <formula>"Napkin Hs"</formula>
    </cfRule>
  </conditionalFormatting>
  <conditionalFormatting sqref="C71">
    <cfRule type="cellIs" dxfId="5881" priority="8814" stopIfTrue="1" operator="equal">
      <formula>"Towel"</formula>
    </cfRule>
    <cfRule type="cellIs" dxfId="5880" priority="8815" stopIfTrue="1" operator="equal">
      <formula>"Napkin Hs"</formula>
    </cfRule>
  </conditionalFormatting>
  <conditionalFormatting sqref="B71:C71">
    <cfRule type="cellIs" dxfId="5879" priority="8810" stopIfTrue="1" operator="equal">
      <formula>"Towel"</formula>
    </cfRule>
    <cfRule type="cellIs" dxfId="5878" priority="8811" stopIfTrue="1" operator="equal">
      <formula>"Napkin Hs"</formula>
    </cfRule>
  </conditionalFormatting>
  <conditionalFormatting sqref="C71">
    <cfRule type="cellIs" dxfId="5877" priority="8806" stopIfTrue="1" operator="equal">
      <formula>"Towel"</formula>
    </cfRule>
    <cfRule type="cellIs" dxfId="5876" priority="8807" stopIfTrue="1" operator="equal">
      <formula>"Napkin Hs"</formula>
    </cfRule>
  </conditionalFormatting>
  <conditionalFormatting sqref="C71">
    <cfRule type="cellIs" dxfId="5875" priority="8808" stopIfTrue="1" operator="equal">
      <formula>"Towel"</formula>
    </cfRule>
    <cfRule type="cellIs" dxfId="5874" priority="8809" stopIfTrue="1" operator="equal">
      <formula>"Napkin Hs"</formula>
    </cfRule>
  </conditionalFormatting>
  <conditionalFormatting sqref="B71:C71">
    <cfRule type="cellIs" dxfId="5873" priority="8804" stopIfTrue="1" operator="equal">
      <formula>"Towel"</formula>
    </cfRule>
    <cfRule type="cellIs" dxfId="5872" priority="8805" stopIfTrue="1" operator="equal">
      <formula>"Napkin Hs"</formula>
    </cfRule>
  </conditionalFormatting>
  <conditionalFormatting sqref="C71">
    <cfRule type="cellIs" dxfId="5871" priority="8802" stopIfTrue="1" operator="equal">
      <formula>"Towel"</formula>
    </cfRule>
    <cfRule type="cellIs" dxfId="5870" priority="8803" stopIfTrue="1" operator="equal">
      <formula>"Napkin Hs"</formula>
    </cfRule>
  </conditionalFormatting>
  <conditionalFormatting sqref="C71">
    <cfRule type="cellIs" dxfId="5869" priority="8800" stopIfTrue="1" operator="equal">
      <formula>"Towel"</formula>
    </cfRule>
    <cfRule type="cellIs" dxfId="5868" priority="8801" stopIfTrue="1" operator="equal">
      <formula>"Napkin Hs"</formula>
    </cfRule>
  </conditionalFormatting>
  <conditionalFormatting sqref="B71:C71">
    <cfRule type="cellIs" dxfId="5867" priority="8798" stopIfTrue="1" operator="equal">
      <formula>"Towel"</formula>
    </cfRule>
    <cfRule type="cellIs" dxfId="5866" priority="8799" stopIfTrue="1" operator="equal">
      <formula>"Napkin Hs"</formula>
    </cfRule>
  </conditionalFormatting>
  <conditionalFormatting sqref="C71">
    <cfRule type="cellIs" dxfId="5865" priority="8796" stopIfTrue="1" operator="equal">
      <formula>"Towel"</formula>
    </cfRule>
    <cfRule type="cellIs" dxfId="5864" priority="8797" stopIfTrue="1" operator="equal">
      <formula>"Napkin Hs"</formula>
    </cfRule>
  </conditionalFormatting>
  <conditionalFormatting sqref="C71">
    <cfRule type="cellIs" dxfId="5863" priority="8794" stopIfTrue="1" operator="equal">
      <formula>"Towel"</formula>
    </cfRule>
    <cfRule type="cellIs" dxfId="5862" priority="8795" stopIfTrue="1" operator="equal">
      <formula>"Napkin Hs"</formula>
    </cfRule>
  </conditionalFormatting>
  <conditionalFormatting sqref="B71:C71">
    <cfRule type="cellIs" dxfId="5861" priority="8792" stopIfTrue="1" operator="equal">
      <formula>"Towel"</formula>
    </cfRule>
    <cfRule type="cellIs" dxfId="5860" priority="8793" stopIfTrue="1" operator="equal">
      <formula>"Napkin Hs"</formula>
    </cfRule>
  </conditionalFormatting>
  <conditionalFormatting sqref="C71">
    <cfRule type="cellIs" dxfId="5859" priority="8790" stopIfTrue="1" operator="equal">
      <formula>"Towel"</formula>
    </cfRule>
    <cfRule type="cellIs" dxfId="5858" priority="8791" stopIfTrue="1" operator="equal">
      <formula>"Napkin Hs"</formula>
    </cfRule>
  </conditionalFormatting>
  <conditionalFormatting sqref="C71">
    <cfRule type="cellIs" dxfId="5857" priority="8788" stopIfTrue="1" operator="equal">
      <formula>"Towel"</formula>
    </cfRule>
    <cfRule type="cellIs" dxfId="5856" priority="8789" stopIfTrue="1" operator="equal">
      <formula>"Napkin Hs"</formula>
    </cfRule>
  </conditionalFormatting>
  <conditionalFormatting sqref="B71:C71">
    <cfRule type="cellIs" dxfId="5855" priority="8787" stopIfTrue="1" operator="equal">
      <formula>"Napkin Hs"</formula>
    </cfRule>
  </conditionalFormatting>
  <conditionalFormatting sqref="B71:C71">
    <cfRule type="cellIs" dxfId="5854" priority="8786" stopIfTrue="1" operator="equal">
      <formula>"Towel"</formula>
    </cfRule>
  </conditionalFormatting>
  <conditionalFormatting sqref="C71">
    <cfRule type="cellIs" dxfId="5853" priority="8785" stopIfTrue="1" operator="equal">
      <formula>"Napkin Hs"</formula>
    </cfRule>
  </conditionalFormatting>
  <conditionalFormatting sqref="C71">
    <cfRule type="cellIs" dxfId="5852" priority="8782" stopIfTrue="1" operator="equal">
      <formula>"Towel"</formula>
    </cfRule>
    <cfRule type="cellIs" dxfId="5851" priority="8783" stopIfTrue="1" operator="equal">
      <formula>"Napkin Hs"</formula>
    </cfRule>
  </conditionalFormatting>
  <conditionalFormatting sqref="C71">
    <cfRule type="cellIs" dxfId="5850" priority="8784" stopIfTrue="1" operator="equal">
      <formula>"Towel"</formula>
    </cfRule>
  </conditionalFormatting>
  <conditionalFormatting sqref="C87">
    <cfRule type="cellIs" dxfId="5849" priority="7454" stopIfTrue="1" operator="equal">
      <formula>"Towel"</formula>
    </cfRule>
    <cfRule type="cellIs" dxfId="5848" priority="7455" stopIfTrue="1" operator="equal">
      <formula>"Napkin Hs"</formula>
    </cfRule>
  </conditionalFormatting>
  <conditionalFormatting sqref="C88">
    <cfRule type="cellIs" dxfId="5847" priority="7466" stopIfTrue="1" operator="equal">
      <formula>"Towel"</formula>
    </cfRule>
    <cfRule type="cellIs" dxfId="5846" priority="7467" stopIfTrue="1" operator="equal">
      <formula>"Napkin Hs"</formula>
    </cfRule>
  </conditionalFormatting>
  <conditionalFormatting sqref="C87">
    <cfRule type="cellIs" dxfId="5845" priority="7460" stopIfTrue="1" operator="equal">
      <formula>"Towel"</formula>
    </cfRule>
    <cfRule type="cellIs" dxfId="5844" priority="7461" stopIfTrue="1" operator="equal">
      <formula>"Napkin Hs"</formula>
    </cfRule>
  </conditionalFormatting>
  <conditionalFormatting sqref="C87">
    <cfRule type="cellIs" dxfId="5843" priority="7456" stopIfTrue="1" operator="equal">
      <formula>"Towel"</formula>
    </cfRule>
    <cfRule type="cellIs" dxfId="5842" priority="7457" stopIfTrue="1" operator="equal">
      <formula>"Napkin Hs"</formula>
    </cfRule>
  </conditionalFormatting>
  <conditionalFormatting sqref="B87:C87">
    <cfRule type="cellIs" dxfId="5841" priority="7464" stopIfTrue="1" operator="equal">
      <formula>"Towel"</formula>
    </cfRule>
    <cfRule type="cellIs" dxfId="5840" priority="7465" stopIfTrue="1" operator="equal">
      <formula>"Napkin Hs"</formula>
    </cfRule>
  </conditionalFormatting>
  <conditionalFormatting sqref="C87">
    <cfRule type="cellIs" dxfId="5839" priority="7462" stopIfTrue="1" operator="equal">
      <formula>"Towel"</formula>
    </cfRule>
    <cfRule type="cellIs" dxfId="5838" priority="7463" stopIfTrue="1" operator="equal">
      <formula>"Napkin Hs"</formula>
    </cfRule>
  </conditionalFormatting>
  <conditionalFormatting sqref="C88">
    <cfRule type="cellIs" dxfId="5837" priority="7468" stopIfTrue="1" operator="equal">
      <formula>"Towel"</formula>
    </cfRule>
    <cfRule type="cellIs" dxfId="5836" priority="7469" stopIfTrue="1" operator="equal">
      <formula>"Napkin Hs"</formula>
    </cfRule>
  </conditionalFormatting>
  <conditionalFormatting sqref="B87:C87">
    <cfRule type="cellIs" dxfId="5835" priority="7458" stopIfTrue="1" operator="equal">
      <formula>"Towel"</formula>
    </cfRule>
    <cfRule type="cellIs" dxfId="5834" priority="7459" stopIfTrue="1" operator="equal">
      <formula>"Napkin Hs"</formula>
    </cfRule>
  </conditionalFormatting>
  <conditionalFormatting sqref="B87:C87">
    <cfRule type="cellIs" dxfId="5833" priority="7452" stopIfTrue="1" operator="equal">
      <formula>"Towel"</formula>
    </cfRule>
    <cfRule type="cellIs" dxfId="5832" priority="7453" stopIfTrue="1" operator="equal">
      <formula>"Napkin Hs"</formula>
    </cfRule>
  </conditionalFormatting>
  <conditionalFormatting sqref="C110">
    <cfRule type="cellIs" dxfId="5831" priority="8030" stopIfTrue="1" operator="equal">
      <formula>"Towel"</formula>
    </cfRule>
    <cfRule type="cellIs" dxfId="5830" priority="8031" stopIfTrue="1" operator="equal">
      <formula>"Napkin Hs"</formula>
    </cfRule>
  </conditionalFormatting>
  <conditionalFormatting sqref="C110">
    <cfRule type="cellIs" dxfId="5829" priority="8026" stopIfTrue="1" operator="equal">
      <formula>"Towel"</formula>
    </cfRule>
    <cfRule type="cellIs" dxfId="5828" priority="8027" stopIfTrue="1" operator="equal">
      <formula>"Napkin Hs"</formula>
    </cfRule>
  </conditionalFormatting>
  <conditionalFormatting sqref="B110:C110">
    <cfRule type="cellIs" dxfId="5827" priority="8028" stopIfTrue="1" operator="equal">
      <formula>"Towel"</formula>
    </cfRule>
    <cfRule type="cellIs" dxfId="5826" priority="8029" stopIfTrue="1" operator="equal">
      <formula>"Napkin Hs"</formula>
    </cfRule>
  </conditionalFormatting>
  <conditionalFormatting sqref="C110">
    <cfRule type="cellIs" dxfId="5825" priority="8024" stopIfTrue="1" operator="equal">
      <formula>"Towel"</formula>
    </cfRule>
    <cfRule type="cellIs" dxfId="5824" priority="8025" stopIfTrue="1" operator="equal">
      <formula>"Napkin Hs"</formula>
    </cfRule>
  </conditionalFormatting>
  <conditionalFormatting sqref="C110">
    <cfRule type="cellIs" dxfId="5823" priority="8018" stopIfTrue="1" operator="equal">
      <formula>"Towel"</formula>
    </cfRule>
    <cfRule type="cellIs" dxfId="5822" priority="8019" stopIfTrue="1" operator="equal">
      <formula>"Napkin Hs"</formula>
    </cfRule>
  </conditionalFormatting>
  <conditionalFormatting sqref="B110:C110">
    <cfRule type="cellIs" dxfId="5821" priority="8016" stopIfTrue="1" operator="equal">
      <formula>"Towel"</formula>
    </cfRule>
    <cfRule type="cellIs" dxfId="5820" priority="8017" stopIfTrue="1" operator="equal">
      <formula>"Napkin Hs"</formula>
    </cfRule>
  </conditionalFormatting>
  <conditionalFormatting sqref="C110">
    <cfRule type="cellIs" dxfId="5819" priority="8014" stopIfTrue="1" operator="equal">
      <formula>"Towel"</formula>
    </cfRule>
    <cfRule type="cellIs" dxfId="5818" priority="8015" stopIfTrue="1" operator="equal">
      <formula>"Napkin Hs"</formula>
    </cfRule>
  </conditionalFormatting>
  <conditionalFormatting sqref="C110">
    <cfRule type="cellIs" dxfId="5817" priority="8012" stopIfTrue="1" operator="equal">
      <formula>"Towel"</formula>
    </cfRule>
    <cfRule type="cellIs" dxfId="5816" priority="8013" stopIfTrue="1" operator="equal">
      <formula>"Napkin Hs"</formula>
    </cfRule>
  </conditionalFormatting>
  <conditionalFormatting sqref="B110:C110">
    <cfRule type="cellIs" dxfId="5815" priority="8010" stopIfTrue="1" operator="equal">
      <formula>"Towel"</formula>
    </cfRule>
    <cfRule type="cellIs" dxfId="5814" priority="8011" stopIfTrue="1" operator="equal">
      <formula>"Napkin Hs"</formula>
    </cfRule>
  </conditionalFormatting>
  <conditionalFormatting sqref="C110">
    <cfRule type="cellIs" dxfId="5813" priority="8008" stopIfTrue="1" operator="equal">
      <formula>"Towel"</formula>
    </cfRule>
    <cfRule type="cellIs" dxfId="5812" priority="8009" stopIfTrue="1" operator="equal">
      <formula>"Napkin Hs"</formula>
    </cfRule>
  </conditionalFormatting>
  <conditionalFormatting sqref="C110">
    <cfRule type="cellIs" dxfId="5811" priority="8002" stopIfTrue="1" operator="equal">
      <formula>"Towel"</formula>
    </cfRule>
    <cfRule type="cellIs" dxfId="5810" priority="8003" stopIfTrue="1" operator="equal">
      <formula>"Napkin Hs"</formula>
    </cfRule>
  </conditionalFormatting>
  <conditionalFormatting sqref="C110">
    <cfRule type="cellIs" dxfId="5809" priority="8000" stopIfTrue="1" operator="equal">
      <formula>"Towel"</formula>
    </cfRule>
    <cfRule type="cellIs" dxfId="5808" priority="8001" stopIfTrue="1" operator="equal">
      <formula>"Napkin Hs"</formula>
    </cfRule>
  </conditionalFormatting>
  <conditionalFormatting sqref="C110">
    <cfRule type="cellIs" dxfId="5807" priority="7996" stopIfTrue="1" operator="equal">
      <formula>"Towel"</formula>
    </cfRule>
    <cfRule type="cellIs" dxfId="5806" priority="7997" stopIfTrue="1" operator="equal">
      <formula>"Napkin Hs"</formula>
    </cfRule>
  </conditionalFormatting>
  <conditionalFormatting sqref="B110:C110">
    <cfRule type="cellIs" dxfId="5805" priority="7998" stopIfTrue="1" operator="equal">
      <formula>"Towel"</formula>
    </cfRule>
    <cfRule type="cellIs" dxfId="5804" priority="7999" stopIfTrue="1" operator="equal">
      <formula>"Napkin Hs"</formula>
    </cfRule>
  </conditionalFormatting>
  <conditionalFormatting sqref="C110">
    <cfRule type="cellIs" dxfId="5803" priority="7990" stopIfTrue="1" operator="equal">
      <formula>"Towel"</formula>
    </cfRule>
    <cfRule type="cellIs" dxfId="5802" priority="7991" stopIfTrue="1" operator="equal">
      <formula>"Napkin Hs"</formula>
    </cfRule>
  </conditionalFormatting>
  <conditionalFormatting sqref="C110">
    <cfRule type="cellIs" dxfId="5801" priority="7988" stopIfTrue="1" operator="equal">
      <formula>"Towel"</formula>
    </cfRule>
    <cfRule type="cellIs" dxfId="5800" priority="7989" stopIfTrue="1" operator="equal">
      <formula>"Napkin Hs"</formula>
    </cfRule>
  </conditionalFormatting>
  <conditionalFormatting sqref="C110">
    <cfRule type="cellIs" dxfId="5799" priority="7982" stopIfTrue="1" operator="equal">
      <formula>"Towel"</formula>
    </cfRule>
    <cfRule type="cellIs" dxfId="5798" priority="7983" stopIfTrue="1" operator="equal">
      <formula>"Napkin Hs"</formula>
    </cfRule>
  </conditionalFormatting>
  <conditionalFormatting sqref="C76">
    <cfRule type="cellIs" dxfId="5797" priority="7668" stopIfTrue="1" operator="equal">
      <formula>"Towel"</formula>
    </cfRule>
    <cfRule type="cellIs" dxfId="5796" priority="7669" stopIfTrue="1" operator="equal">
      <formula>"Napkin Hs"</formula>
    </cfRule>
  </conditionalFormatting>
  <conditionalFormatting sqref="C76">
    <cfRule type="cellIs" dxfId="5795" priority="7666" stopIfTrue="1" operator="equal">
      <formula>"Towel"</formula>
    </cfRule>
    <cfRule type="cellIs" dxfId="5794" priority="7667" stopIfTrue="1" operator="equal">
      <formula>"Napkin Hs"</formula>
    </cfRule>
  </conditionalFormatting>
  <conditionalFormatting sqref="B76:C76">
    <cfRule type="cellIs" dxfId="5793" priority="7664" stopIfTrue="1" operator="equal">
      <formula>"Towel"</formula>
    </cfRule>
    <cfRule type="cellIs" dxfId="5792" priority="7665" stopIfTrue="1" operator="equal">
      <formula>"Napkin Hs"</formula>
    </cfRule>
  </conditionalFormatting>
  <conditionalFormatting sqref="B83:C83">
    <cfRule type="cellIs" dxfId="5791" priority="7480" stopIfTrue="1" operator="equal">
      <formula>"Towel"</formula>
    </cfRule>
    <cfRule type="cellIs" dxfId="5790" priority="7481" stopIfTrue="1" operator="equal">
      <formula>"Napkin Hs"</formula>
    </cfRule>
  </conditionalFormatting>
  <conditionalFormatting sqref="C83">
    <cfRule type="cellIs" dxfId="5789" priority="7478" stopIfTrue="1" operator="equal">
      <formula>"Towel"</formula>
    </cfRule>
    <cfRule type="cellIs" dxfId="5788" priority="7479" stopIfTrue="1" operator="equal">
      <formula>"Napkin Hs"</formula>
    </cfRule>
  </conditionalFormatting>
  <conditionalFormatting sqref="C83:C84">
    <cfRule type="cellIs" dxfId="5787" priority="7476" stopIfTrue="1" operator="equal">
      <formula>"Towel"</formula>
    </cfRule>
    <cfRule type="cellIs" dxfId="5786" priority="7477" stopIfTrue="1" operator="equal">
      <formula>"Napkin Hs"</formula>
    </cfRule>
  </conditionalFormatting>
  <conditionalFormatting sqref="B84:C84">
    <cfRule type="cellIs" dxfId="5785" priority="7474" stopIfTrue="1" operator="equal">
      <formula>"Towel"</formula>
    </cfRule>
    <cfRule type="cellIs" dxfId="5784" priority="7475" stopIfTrue="1" operator="equal">
      <formula>"Napkin Hs"</formula>
    </cfRule>
  </conditionalFormatting>
  <conditionalFormatting sqref="C84">
    <cfRule type="cellIs" dxfId="5783" priority="7472" stopIfTrue="1" operator="equal">
      <formula>"Towel"</formula>
    </cfRule>
    <cfRule type="cellIs" dxfId="5782" priority="7473" stopIfTrue="1" operator="equal">
      <formula>"Napkin Hs"</formula>
    </cfRule>
  </conditionalFormatting>
  <conditionalFormatting sqref="B88:C88">
    <cfRule type="cellIs" dxfId="5781" priority="7470" stopIfTrue="1" operator="equal">
      <formula>"Towel"</formula>
    </cfRule>
    <cfRule type="cellIs" dxfId="5780" priority="7471" stopIfTrue="1" operator="equal">
      <formula>"Napkin Hs"</formula>
    </cfRule>
  </conditionalFormatting>
  <conditionalFormatting sqref="C87">
    <cfRule type="cellIs" dxfId="5779" priority="7448" stopIfTrue="1" operator="equal">
      <formula>"Towel"</formula>
    </cfRule>
    <cfRule type="cellIs" dxfId="5778" priority="7449" stopIfTrue="1" operator="equal">
      <formula>"Napkin Hs"</formula>
    </cfRule>
  </conditionalFormatting>
  <conditionalFormatting sqref="B87:C87">
    <cfRule type="cellIs" dxfId="5777" priority="7446" stopIfTrue="1" operator="equal">
      <formula>"Towel"</formula>
    </cfRule>
    <cfRule type="cellIs" dxfId="5776" priority="7447" stopIfTrue="1" operator="equal">
      <formula>"Napkin Hs"</formula>
    </cfRule>
  </conditionalFormatting>
  <conditionalFormatting sqref="C87">
    <cfRule type="cellIs" dxfId="5775" priority="7442" stopIfTrue="1" operator="equal">
      <formula>"Towel"</formula>
    </cfRule>
    <cfRule type="cellIs" dxfId="5774" priority="7443" stopIfTrue="1" operator="equal">
      <formula>"Napkin Hs"</formula>
    </cfRule>
  </conditionalFormatting>
  <conditionalFormatting sqref="C87">
    <cfRule type="cellIs" dxfId="5773" priority="7444" stopIfTrue="1" operator="equal">
      <formula>"Towel"</formula>
    </cfRule>
    <cfRule type="cellIs" dxfId="5772" priority="7445" stopIfTrue="1" operator="equal">
      <formula>"Napkin Hs"</formula>
    </cfRule>
  </conditionalFormatting>
  <conditionalFormatting sqref="C87">
    <cfRule type="cellIs" dxfId="5771" priority="7436" stopIfTrue="1" operator="equal">
      <formula>"Towel"</formula>
    </cfRule>
    <cfRule type="cellIs" dxfId="5770" priority="7437" stopIfTrue="1" operator="equal">
      <formula>"Napkin Hs"</formula>
    </cfRule>
  </conditionalFormatting>
  <conditionalFormatting sqref="C87">
    <cfRule type="cellIs" dxfId="5769" priority="7430" stopIfTrue="1" operator="equal">
      <formula>"Towel"</formula>
    </cfRule>
    <cfRule type="cellIs" dxfId="5768" priority="7431" stopIfTrue="1" operator="equal">
      <formula>"Napkin Hs"</formula>
    </cfRule>
  </conditionalFormatting>
  <conditionalFormatting sqref="B86:C86">
    <cfRule type="cellIs" dxfId="5767" priority="7428" stopIfTrue="1" operator="equal">
      <formula>"Towel"</formula>
    </cfRule>
    <cfRule type="cellIs" dxfId="5766" priority="7429" stopIfTrue="1" operator="equal">
      <formula>"Napkin Hs"</formula>
    </cfRule>
  </conditionalFormatting>
  <conditionalFormatting sqref="C86">
    <cfRule type="cellIs" dxfId="5765" priority="7426" stopIfTrue="1" operator="equal">
      <formula>"Towel"</formula>
    </cfRule>
    <cfRule type="cellIs" dxfId="5764" priority="7427" stopIfTrue="1" operator="equal">
      <formula>"Napkin Hs"</formula>
    </cfRule>
  </conditionalFormatting>
  <conditionalFormatting sqref="C86">
    <cfRule type="cellIs" dxfId="5763" priority="7424" stopIfTrue="1" operator="equal">
      <formula>"Towel"</formula>
    </cfRule>
    <cfRule type="cellIs" dxfId="5762" priority="7425" stopIfTrue="1" operator="equal">
      <formula>"Napkin Hs"</formula>
    </cfRule>
  </conditionalFormatting>
  <conditionalFormatting sqref="C86">
    <cfRule type="cellIs" dxfId="5761" priority="7418" stopIfTrue="1" operator="equal">
      <formula>"Towel"</formula>
    </cfRule>
    <cfRule type="cellIs" dxfId="5760" priority="7419" stopIfTrue="1" operator="equal">
      <formula>"Napkin Hs"</formula>
    </cfRule>
  </conditionalFormatting>
  <conditionalFormatting sqref="B86:C86">
    <cfRule type="cellIs" dxfId="5759" priority="7416" stopIfTrue="1" operator="equal">
      <formula>"Towel"</formula>
    </cfRule>
    <cfRule type="cellIs" dxfId="5758" priority="7417" stopIfTrue="1" operator="equal">
      <formula>"Napkin Hs"</formula>
    </cfRule>
  </conditionalFormatting>
  <conditionalFormatting sqref="C86">
    <cfRule type="cellIs" dxfId="5757" priority="7414" stopIfTrue="1" operator="equal">
      <formula>"Towel"</formula>
    </cfRule>
    <cfRule type="cellIs" dxfId="5756" priority="7415" stopIfTrue="1" operator="equal">
      <formula>"Napkin Hs"</formula>
    </cfRule>
  </conditionalFormatting>
  <conditionalFormatting sqref="C86">
    <cfRule type="cellIs" dxfId="5755" priority="7412" stopIfTrue="1" operator="equal">
      <formula>"Towel"</formula>
    </cfRule>
    <cfRule type="cellIs" dxfId="5754" priority="7413" stopIfTrue="1" operator="equal">
      <formula>"Napkin Hs"</formula>
    </cfRule>
  </conditionalFormatting>
  <conditionalFormatting sqref="B86:C86">
    <cfRule type="cellIs" dxfId="5753" priority="7410" stopIfTrue="1" operator="equal">
      <formula>"Towel"</formula>
    </cfRule>
    <cfRule type="cellIs" dxfId="5752" priority="7411" stopIfTrue="1" operator="equal">
      <formula>"Napkin Hs"</formula>
    </cfRule>
  </conditionalFormatting>
  <conditionalFormatting sqref="C86">
    <cfRule type="cellIs" dxfId="5751" priority="7408" stopIfTrue="1" operator="equal">
      <formula>"Towel"</formula>
    </cfRule>
    <cfRule type="cellIs" dxfId="5750" priority="7409" stopIfTrue="1" operator="equal">
      <formula>"Napkin Hs"</formula>
    </cfRule>
  </conditionalFormatting>
  <conditionalFormatting sqref="C86">
    <cfRule type="cellIs" dxfId="5749" priority="7406" stopIfTrue="1" operator="equal">
      <formula>"Towel"</formula>
    </cfRule>
    <cfRule type="cellIs" dxfId="5748" priority="7407" stopIfTrue="1" operator="equal">
      <formula>"Napkin Hs"</formula>
    </cfRule>
  </conditionalFormatting>
  <conditionalFormatting sqref="C86">
    <cfRule type="cellIs" dxfId="5747" priority="7400" stopIfTrue="1" operator="equal">
      <formula>"Towel"</formula>
    </cfRule>
    <cfRule type="cellIs" dxfId="5746" priority="7401" stopIfTrue="1" operator="equal">
      <formula>"Napkin Hs"</formula>
    </cfRule>
  </conditionalFormatting>
  <conditionalFormatting sqref="B110:C110">
    <cfRule type="cellIs" dxfId="5745" priority="8035" stopIfTrue="1" operator="equal">
      <formula>"Napkin Hs"</formula>
    </cfRule>
  </conditionalFormatting>
  <conditionalFormatting sqref="B110:C110">
    <cfRule type="cellIs" dxfId="5744" priority="8034" stopIfTrue="1" operator="equal">
      <formula>"Towel"</formula>
    </cfRule>
  </conditionalFormatting>
  <conditionalFormatting sqref="C110">
    <cfRule type="cellIs" dxfId="5743" priority="8033" stopIfTrue="1" operator="equal">
      <formula>"Napkin Hs"</formula>
    </cfRule>
  </conditionalFormatting>
  <conditionalFormatting sqref="C110">
    <cfRule type="cellIs" dxfId="5742" priority="8032" stopIfTrue="1" operator="equal">
      <formula>"Towel"</formula>
    </cfRule>
  </conditionalFormatting>
  <conditionalFormatting sqref="B110:C110">
    <cfRule type="cellIs" dxfId="5741" priority="8023" stopIfTrue="1" operator="equal">
      <formula>"Napkin Hs"</formula>
    </cfRule>
  </conditionalFormatting>
  <conditionalFormatting sqref="B110:C110">
    <cfRule type="cellIs" dxfId="5740" priority="8022" stopIfTrue="1" operator="equal">
      <formula>"Towel"</formula>
    </cfRule>
  </conditionalFormatting>
  <conditionalFormatting sqref="C110">
    <cfRule type="cellIs" dxfId="5739" priority="8021" stopIfTrue="1" operator="equal">
      <formula>"Napkin Hs"</formula>
    </cfRule>
  </conditionalFormatting>
  <conditionalFormatting sqref="C110">
    <cfRule type="cellIs" dxfId="5738" priority="8020" stopIfTrue="1" operator="equal">
      <formula>"Towel"</formula>
    </cfRule>
  </conditionalFormatting>
  <conditionalFormatting sqref="C110">
    <cfRule type="cellIs" dxfId="5737" priority="8006" stopIfTrue="1" operator="equal">
      <formula>"Towel"</formula>
    </cfRule>
    <cfRule type="cellIs" dxfId="5736" priority="8007" stopIfTrue="1" operator="equal">
      <formula>"Napkin Hs"</formula>
    </cfRule>
  </conditionalFormatting>
  <conditionalFormatting sqref="B110:C110">
    <cfRule type="cellIs" dxfId="5735" priority="8004" stopIfTrue="1" operator="equal">
      <formula>"Towel"</formula>
    </cfRule>
    <cfRule type="cellIs" dxfId="5734" priority="8005" stopIfTrue="1" operator="equal">
      <formula>"Napkin Hs"</formula>
    </cfRule>
  </conditionalFormatting>
  <conditionalFormatting sqref="C110">
    <cfRule type="cellIs" dxfId="5733" priority="7994" stopIfTrue="1" operator="equal">
      <formula>"Towel"</formula>
    </cfRule>
    <cfRule type="cellIs" dxfId="5732" priority="7995" stopIfTrue="1" operator="equal">
      <formula>"Napkin Hs"</formula>
    </cfRule>
  </conditionalFormatting>
  <conditionalFormatting sqref="B110:C110">
    <cfRule type="cellIs" dxfId="5731" priority="7992" stopIfTrue="1" operator="equal">
      <formula>"Towel"</formula>
    </cfRule>
    <cfRule type="cellIs" dxfId="5730" priority="7993" stopIfTrue="1" operator="equal">
      <formula>"Napkin Hs"</formula>
    </cfRule>
  </conditionalFormatting>
  <conditionalFormatting sqref="B110:C110">
    <cfRule type="cellIs" dxfId="5729" priority="7987" stopIfTrue="1" operator="equal">
      <formula>"Napkin Hs"</formula>
    </cfRule>
  </conditionalFormatting>
  <conditionalFormatting sqref="B110:C110">
    <cfRule type="cellIs" dxfId="5728" priority="7986" stopIfTrue="1" operator="equal">
      <formula>"Towel"</formula>
    </cfRule>
  </conditionalFormatting>
  <conditionalFormatting sqref="C110">
    <cfRule type="cellIs" dxfId="5727" priority="7985" stopIfTrue="1" operator="equal">
      <formula>"Napkin Hs"</formula>
    </cfRule>
  </conditionalFormatting>
  <conditionalFormatting sqref="C110">
    <cfRule type="cellIs" dxfId="5726" priority="7984" stopIfTrue="1" operator="equal">
      <formula>"Towel"</formula>
    </cfRule>
  </conditionalFormatting>
  <conditionalFormatting sqref="B77:C78">
    <cfRule type="cellIs" dxfId="5725" priority="7741" stopIfTrue="1" operator="equal">
      <formula>"Napkin Hs"</formula>
    </cfRule>
  </conditionalFormatting>
  <conditionalFormatting sqref="B77:C78">
    <cfRule type="cellIs" dxfId="5724" priority="7740" stopIfTrue="1" operator="equal">
      <formula>"Towel"</formula>
    </cfRule>
  </conditionalFormatting>
  <conditionalFormatting sqref="C77:C78">
    <cfRule type="cellIs" dxfId="5723" priority="7739" stopIfTrue="1" operator="equal">
      <formula>"Napkin Hs"</formula>
    </cfRule>
  </conditionalFormatting>
  <conditionalFormatting sqref="C77:C78">
    <cfRule type="cellIs" dxfId="5722" priority="7738" stopIfTrue="1" operator="equal">
      <formula>"Towel"</formula>
    </cfRule>
  </conditionalFormatting>
  <conditionalFormatting sqref="C77:C78">
    <cfRule type="cellIs" dxfId="5721" priority="7736" stopIfTrue="1" operator="equal">
      <formula>"Towel"</formula>
    </cfRule>
    <cfRule type="cellIs" dxfId="5720" priority="7737" stopIfTrue="1" operator="equal">
      <formula>"Napkin Hs"</formula>
    </cfRule>
  </conditionalFormatting>
  <conditionalFormatting sqref="B77:C78">
    <cfRule type="cellIs" dxfId="5719" priority="7734" stopIfTrue="1" operator="equal">
      <formula>"Towel"</formula>
    </cfRule>
    <cfRule type="cellIs" dxfId="5718" priority="7735" stopIfTrue="1" operator="equal">
      <formula>"Napkin Hs"</formula>
    </cfRule>
  </conditionalFormatting>
  <conditionalFormatting sqref="C77:C78">
    <cfRule type="cellIs" dxfId="5717" priority="7732" stopIfTrue="1" operator="equal">
      <formula>"Towel"</formula>
    </cfRule>
    <cfRule type="cellIs" dxfId="5716" priority="7733" stopIfTrue="1" operator="equal">
      <formula>"Napkin Hs"</formula>
    </cfRule>
  </conditionalFormatting>
  <conditionalFormatting sqref="C77:C78">
    <cfRule type="cellIs" dxfId="5715" priority="7730" stopIfTrue="1" operator="equal">
      <formula>"Towel"</formula>
    </cfRule>
    <cfRule type="cellIs" dxfId="5714" priority="7731" stopIfTrue="1" operator="equal">
      <formula>"Napkin Hs"</formula>
    </cfRule>
  </conditionalFormatting>
  <conditionalFormatting sqref="B77:C78">
    <cfRule type="cellIs" dxfId="5713" priority="7728" stopIfTrue="1" operator="equal">
      <formula>"Towel"</formula>
    </cfRule>
    <cfRule type="cellIs" dxfId="5712" priority="7729" stopIfTrue="1" operator="equal">
      <formula>"Napkin Hs"</formula>
    </cfRule>
  </conditionalFormatting>
  <conditionalFormatting sqref="C77:C78">
    <cfRule type="cellIs" dxfId="5711" priority="7726" stopIfTrue="1" operator="equal">
      <formula>"Towel"</formula>
    </cfRule>
    <cfRule type="cellIs" dxfId="5710" priority="7727" stopIfTrue="1" operator="equal">
      <formula>"Napkin Hs"</formula>
    </cfRule>
  </conditionalFormatting>
  <conditionalFormatting sqref="C77:C78">
    <cfRule type="cellIs" dxfId="5709" priority="7724" stopIfTrue="1" operator="equal">
      <formula>"Towel"</formula>
    </cfRule>
    <cfRule type="cellIs" dxfId="5708" priority="7725" stopIfTrue="1" operator="equal">
      <formula>"Napkin Hs"</formula>
    </cfRule>
  </conditionalFormatting>
  <conditionalFormatting sqref="B77:C78">
    <cfRule type="cellIs" dxfId="5707" priority="7722" stopIfTrue="1" operator="equal">
      <formula>"Towel"</formula>
    </cfRule>
    <cfRule type="cellIs" dxfId="5706" priority="7723" stopIfTrue="1" operator="equal">
      <formula>"Napkin Hs"</formula>
    </cfRule>
  </conditionalFormatting>
  <conditionalFormatting sqref="C77:C78">
    <cfRule type="cellIs" dxfId="5705" priority="7720" stopIfTrue="1" operator="equal">
      <formula>"Towel"</formula>
    </cfRule>
    <cfRule type="cellIs" dxfId="5704" priority="7721" stopIfTrue="1" operator="equal">
      <formula>"Napkin Hs"</formula>
    </cfRule>
  </conditionalFormatting>
  <conditionalFormatting sqref="C77:C78">
    <cfRule type="cellIs" dxfId="5703" priority="7718" stopIfTrue="1" operator="equal">
      <formula>"Towel"</formula>
    </cfRule>
    <cfRule type="cellIs" dxfId="5702" priority="7719" stopIfTrue="1" operator="equal">
      <formula>"Napkin Hs"</formula>
    </cfRule>
  </conditionalFormatting>
  <conditionalFormatting sqref="B77:C78">
    <cfRule type="cellIs" dxfId="5701" priority="7716" stopIfTrue="1" operator="equal">
      <formula>"Towel"</formula>
    </cfRule>
    <cfRule type="cellIs" dxfId="5700" priority="7717" stopIfTrue="1" operator="equal">
      <formula>"Napkin Hs"</formula>
    </cfRule>
  </conditionalFormatting>
  <conditionalFormatting sqref="C77:C78">
    <cfRule type="cellIs" dxfId="5699" priority="7714" stopIfTrue="1" operator="equal">
      <formula>"Towel"</formula>
    </cfRule>
    <cfRule type="cellIs" dxfId="5698" priority="7715" stopIfTrue="1" operator="equal">
      <formula>"Napkin Hs"</formula>
    </cfRule>
  </conditionalFormatting>
  <conditionalFormatting sqref="C77:C78">
    <cfRule type="cellIs" dxfId="5697" priority="7712" stopIfTrue="1" operator="equal">
      <formula>"Towel"</formula>
    </cfRule>
    <cfRule type="cellIs" dxfId="5696" priority="7713" stopIfTrue="1" operator="equal">
      <formula>"Napkin Hs"</formula>
    </cfRule>
  </conditionalFormatting>
  <conditionalFormatting sqref="B77:C78">
    <cfRule type="cellIs" dxfId="5695" priority="7710" stopIfTrue="1" operator="equal">
      <formula>"Towel"</formula>
    </cfRule>
    <cfRule type="cellIs" dxfId="5694" priority="7711" stopIfTrue="1" operator="equal">
      <formula>"Napkin Hs"</formula>
    </cfRule>
  </conditionalFormatting>
  <conditionalFormatting sqref="C77:C78">
    <cfRule type="cellIs" dxfId="5693" priority="7708" stopIfTrue="1" operator="equal">
      <formula>"Towel"</formula>
    </cfRule>
    <cfRule type="cellIs" dxfId="5692" priority="7709" stopIfTrue="1" operator="equal">
      <formula>"Napkin Hs"</formula>
    </cfRule>
  </conditionalFormatting>
  <conditionalFormatting sqref="C77:C78">
    <cfRule type="cellIs" dxfId="5691" priority="7706" stopIfTrue="1" operator="equal">
      <formula>"Towel"</formula>
    </cfRule>
    <cfRule type="cellIs" dxfId="5690" priority="7707" stopIfTrue="1" operator="equal">
      <formula>"Napkin Hs"</formula>
    </cfRule>
  </conditionalFormatting>
  <conditionalFormatting sqref="B77:C78">
    <cfRule type="cellIs" dxfId="5689" priority="7705" stopIfTrue="1" operator="equal">
      <formula>"Napkin Hs"</formula>
    </cfRule>
  </conditionalFormatting>
  <conditionalFormatting sqref="B77:C78">
    <cfRule type="cellIs" dxfId="5688" priority="7704" stopIfTrue="1" operator="equal">
      <formula>"Towel"</formula>
    </cfRule>
  </conditionalFormatting>
  <conditionalFormatting sqref="C77:C78">
    <cfRule type="cellIs" dxfId="5687" priority="7703" stopIfTrue="1" operator="equal">
      <formula>"Napkin Hs"</formula>
    </cfRule>
  </conditionalFormatting>
  <conditionalFormatting sqref="C77:C78">
    <cfRule type="cellIs" dxfId="5686" priority="7700" stopIfTrue="1" operator="equal">
      <formula>"Towel"</formula>
    </cfRule>
    <cfRule type="cellIs" dxfId="5685" priority="7701" stopIfTrue="1" operator="equal">
      <formula>"Napkin Hs"</formula>
    </cfRule>
  </conditionalFormatting>
  <conditionalFormatting sqref="C77:C78">
    <cfRule type="cellIs" dxfId="5684" priority="7702" stopIfTrue="1" operator="equal">
      <formula>"Towel"</formula>
    </cfRule>
  </conditionalFormatting>
  <conditionalFormatting sqref="C77:C78">
    <cfRule type="cellIs" dxfId="5683" priority="7699" stopIfTrue="1" operator="equal">
      <formula>"Napkin Hs"</formula>
    </cfRule>
  </conditionalFormatting>
  <conditionalFormatting sqref="C77:C78">
    <cfRule type="cellIs" dxfId="5682" priority="7698" stopIfTrue="1" operator="equal">
      <formula>"Towel"</formula>
    </cfRule>
  </conditionalFormatting>
  <conditionalFormatting sqref="C77:C78">
    <cfRule type="cellIs" dxfId="5681" priority="7697" stopIfTrue="1" operator="equal">
      <formula>"Napkin Hs"</formula>
    </cfRule>
  </conditionalFormatting>
  <conditionalFormatting sqref="C77:C78">
    <cfRule type="cellIs" dxfId="5680" priority="7694" stopIfTrue="1" operator="equal">
      <formula>"Towel"</formula>
    </cfRule>
    <cfRule type="cellIs" dxfId="5679" priority="7695" stopIfTrue="1" operator="equal">
      <formula>"Napkin Hs"</formula>
    </cfRule>
  </conditionalFormatting>
  <conditionalFormatting sqref="C77:C78">
    <cfRule type="cellIs" dxfId="5678" priority="7696" stopIfTrue="1" operator="equal">
      <formula>"Towel"</formula>
    </cfRule>
  </conditionalFormatting>
  <conditionalFormatting sqref="C77:C78">
    <cfRule type="cellIs" dxfId="5677" priority="7693" stopIfTrue="1" operator="equal">
      <formula>"Napkin Hs"</formula>
    </cfRule>
  </conditionalFormatting>
  <conditionalFormatting sqref="C77:C78">
    <cfRule type="cellIs" dxfId="5676" priority="7692" stopIfTrue="1" operator="equal">
      <formula>"Towel"</formula>
    </cfRule>
  </conditionalFormatting>
  <conditionalFormatting sqref="C77:C78">
    <cfRule type="cellIs" dxfId="5675" priority="7691" stopIfTrue="1" operator="equal">
      <formula>"Napkin Hs"</formula>
    </cfRule>
  </conditionalFormatting>
  <conditionalFormatting sqref="C77:C78">
    <cfRule type="cellIs" dxfId="5674" priority="7688" stopIfTrue="1" operator="equal">
      <formula>"Towel"</formula>
    </cfRule>
    <cfRule type="cellIs" dxfId="5673" priority="7689" stopIfTrue="1" operator="equal">
      <formula>"Napkin Hs"</formula>
    </cfRule>
  </conditionalFormatting>
  <conditionalFormatting sqref="C77:C78">
    <cfRule type="cellIs" dxfId="5672" priority="7690" stopIfTrue="1" operator="equal">
      <formula>"Towel"</formula>
    </cfRule>
  </conditionalFormatting>
  <conditionalFormatting sqref="B77:B78">
    <cfRule type="cellIs" dxfId="5671" priority="7686" stopIfTrue="1" operator="equal">
      <formula>"Towel"</formula>
    </cfRule>
    <cfRule type="cellIs" dxfId="5670" priority="7687" stopIfTrue="1" operator="equal">
      <formula>"Napkin Hs"</formula>
    </cfRule>
  </conditionalFormatting>
  <conditionalFormatting sqref="B77:B78">
    <cfRule type="cellIs" dxfId="5669" priority="7685" stopIfTrue="1" operator="equal">
      <formula>"Napkin Hs"</formula>
    </cfRule>
  </conditionalFormatting>
  <conditionalFormatting sqref="B77:B78">
    <cfRule type="cellIs" dxfId="5668" priority="7684" stopIfTrue="1" operator="equal">
      <formula>"Towel"</formula>
    </cfRule>
  </conditionalFormatting>
  <conditionalFormatting sqref="B76:C76">
    <cfRule type="cellIs" dxfId="5667" priority="7682" stopIfTrue="1" operator="equal">
      <formula>"Towel"</formula>
    </cfRule>
    <cfRule type="cellIs" dxfId="5666" priority="7683" stopIfTrue="1" operator="equal">
      <formula>"Napkin Hs"</formula>
    </cfRule>
  </conditionalFormatting>
  <conditionalFormatting sqref="C76">
    <cfRule type="cellIs" dxfId="5665" priority="7678" stopIfTrue="1" operator="equal">
      <formula>"Towel"</formula>
    </cfRule>
    <cfRule type="cellIs" dxfId="5664" priority="7679" stopIfTrue="1" operator="equal">
      <formula>"Napkin Hs"</formula>
    </cfRule>
  </conditionalFormatting>
  <conditionalFormatting sqref="C76">
    <cfRule type="cellIs" dxfId="5663" priority="7680" stopIfTrue="1" operator="equal">
      <formula>"Towel"</formula>
    </cfRule>
    <cfRule type="cellIs" dxfId="5662" priority="7681" stopIfTrue="1" operator="equal">
      <formula>"Napkin Hs"</formula>
    </cfRule>
  </conditionalFormatting>
  <conditionalFormatting sqref="B76:C76">
    <cfRule type="cellIs" dxfId="5661" priority="7676" stopIfTrue="1" operator="equal">
      <formula>"Towel"</formula>
    </cfRule>
    <cfRule type="cellIs" dxfId="5660" priority="7677" stopIfTrue="1" operator="equal">
      <formula>"Napkin Hs"</formula>
    </cfRule>
  </conditionalFormatting>
  <conditionalFormatting sqref="C76">
    <cfRule type="cellIs" dxfId="5659" priority="7672" stopIfTrue="1" operator="equal">
      <formula>"Towel"</formula>
    </cfRule>
    <cfRule type="cellIs" dxfId="5658" priority="7673" stopIfTrue="1" operator="equal">
      <formula>"Napkin Hs"</formula>
    </cfRule>
  </conditionalFormatting>
  <conditionalFormatting sqref="C76">
    <cfRule type="cellIs" dxfId="5657" priority="7674" stopIfTrue="1" operator="equal">
      <formula>"Towel"</formula>
    </cfRule>
    <cfRule type="cellIs" dxfId="5656" priority="7675" stopIfTrue="1" operator="equal">
      <formula>"Napkin Hs"</formula>
    </cfRule>
  </conditionalFormatting>
  <conditionalFormatting sqref="B76:C76">
    <cfRule type="cellIs" dxfId="5655" priority="7670" stopIfTrue="1" operator="equal">
      <formula>"Towel"</formula>
    </cfRule>
    <cfRule type="cellIs" dxfId="5654" priority="7671" stopIfTrue="1" operator="equal">
      <formula>"Napkin Hs"</formula>
    </cfRule>
  </conditionalFormatting>
  <conditionalFormatting sqref="C76">
    <cfRule type="cellIs" dxfId="5653" priority="7662" stopIfTrue="1" operator="equal">
      <formula>"Towel"</formula>
    </cfRule>
    <cfRule type="cellIs" dxfId="5652" priority="7663" stopIfTrue="1" operator="equal">
      <formula>"Napkin Hs"</formula>
    </cfRule>
  </conditionalFormatting>
  <conditionalFormatting sqref="C76">
    <cfRule type="cellIs" dxfId="5651" priority="7660" stopIfTrue="1" operator="equal">
      <formula>"Towel"</formula>
    </cfRule>
    <cfRule type="cellIs" dxfId="5650" priority="7661" stopIfTrue="1" operator="equal">
      <formula>"Napkin Hs"</formula>
    </cfRule>
  </conditionalFormatting>
  <conditionalFormatting sqref="B76:C76">
    <cfRule type="cellIs" dxfId="5649" priority="7658" stopIfTrue="1" operator="equal">
      <formula>"Towel"</formula>
    </cfRule>
    <cfRule type="cellIs" dxfId="5648" priority="7659" stopIfTrue="1" operator="equal">
      <formula>"Napkin Hs"</formula>
    </cfRule>
  </conditionalFormatting>
  <conditionalFormatting sqref="C76">
    <cfRule type="cellIs" dxfId="5647" priority="7656" stopIfTrue="1" operator="equal">
      <formula>"Towel"</formula>
    </cfRule>
    <cfRule type="cellIs" dxfId="5646" priority="7657" stopIfTrue="1" operator="equal">
      <formula>"Napkin Hs"</formula>
    </cfRule>
  </conditionalFormatting>
  <conditionalFormatting sqref="C76">
    <cfRule type="cellIs" dxfId="5645" priority="7654" stopIfTrue="1" operator="equal">
      <formula>"Towel"</formula>
    </cfRule>
    <cfRule type="cellIs" dxfId="5644" priority="7655" stopIfTrue="1" operator="equal">
      <formula>"Napkin Hs"</formula>
    </cfRule>
  </conditionalFormatting>
  <conditionalFormatting sqref="B76:C76">
    <cfRule type="cellIs" dxfId="5643" priority="7653" stopIfTrue="1" operator="equal">
      <formula>"Napkin Hs"</formula>
    </cfRule>
  </conditionalFormatting>
  <conditionalFormatting sqref="B76:C76">
    <cfRule type="cellIs" dxfId="5642" priority="7652" stopIfTrue="1" operator="equal">
      <formula>"Towel"</formula>
    </cfRule>
  </conditionalFormatting>
  <conditionalFormatting sqref="C76">
    <cfRule type="cellIs" dxfId="5641" priority="7651" stopIfTrue="1" operator="equal">
      <formula>"Napkin Hs"</formula>
    </cfRule>
  </conditionalFormatting>
  <conditionalFormatting sqref="C76">
    <cfRule type="cellIs" dxfId="5640" priority="7648" stopIfTrue="1" operator="equal">
      <formula>"Towel"</formula>
    </cfRule>
    <cfRule type="cellIs" dxfId="5639" priority="7649" stopIfTrue="1" operator="equal">
      <formula>"Napkin Hs"</formula>
    </cfRule>
  </conditionalFormatting>
  <conditionalFormatting sqref="C76">
    <cfRule type="cellIs" dxfId="5638" priority="7650" stopIfTrue="1" operator="equal">
      <formula>"Towel"</formula>
    </cfRule>
  </conditionalFormatting>
  <conditionalFormatting sqref="B75:C75">
    <cfRule type="cellIs" dxfId="5637" priority="7646" stopIfTrue="1" operator="equal">
      <formula>"Towel"</formula>
    </cfRule>
    <cfRule type="cellIs" dxfId="5636" priority="7647" stopIfTrue="1" operator="equal">
      <formula>"Napkin Hs"</formula>
    </cfRule>
  </conditionalFormatting>
  <conditionalFormatting sqref="C75">
    <cfRule type="cellIs" dxfId="5635" priority="7642" stopIfTrue="1" operator="equal">
      <formula>"Towel"</formula>
    </cfRule>
    <cfRule type="cellIs" dxfId="5634" priority="7643" stopIfTrue="1" operator="equal">
      <formula>"Napkin Hs"</formula>
    </cfRule>
  </conditionalFormatting>
  <conditionalFormatting sqref="C75">
    <cfRule type="cellIs" dxfId="5633" priority="7644" stopIfTrue="1" operator="equal">
      <formula>"Towel"</formula>
    </cfRule>
    <cfRule type="cellIs" dxfId="5632" priority="7645" stopIfTrue="1" operator="equal">
      <formula>"Napkin Hs"</formula>
    </cfRule>
  </conditionalFormatting>
  <conditionalFormatting sqref="B75:C75">
    <cfRule type="cellIs" dxfId="5631" priority="7640" stopIfTrue="1" operator="equal">
      <formula>"Towel"</formula>
    </cfRule>
    <cfRule type="cellIs" dxfId="5630" priority="7641" stopIfTrue="1" operator="equal">
      <formula>"Napkin Hs"</formula>
    </cfRule>
  </conditionalFormatting>
  <conditionalFormatting sqref="C75">
    <cfRule type="cellIs" dxfId="5629" priority="7636" stopIfTrue="1" operator="equal">
      <formula>"Towel"</formula>
    </cfRule>
    <cfRule type="cellIs" dxfId="5628" priority="7637" stopIfTrue="1" operator="equal">
      <formula>"Napkin Hs"</formula>
    </cfRule>
  </conditionalFormatting>
  <conditionalFormatting sqref="C75">
    <cfRule type="cellIs" dxfId="5627" priority="7638" stopIfTrue="1" operator="equal">
      <formula>"Towel"</formula>
    </cfRule>
    <cfRule type="cellIs" dxfId="5626" priority="7639" stopIfTrue="1" operator="equal">
      <formula>"Napkin Hs"</formula>
    </cfRule>
  </conditionalFormatting>
  <conditionalFormatting sqref="B75:C75">
    <cfRule type="cellIs" dxfId="5625" priority="7634" stopIfTrue="1" operator="equal">
      <formula>"Towel"</formula>
    </cfRule>
    <cfRule type="cellIs" dxfId="5624" priority="7635" stopIfTrue="1" operator="equal">
      <formula>"Napkin Hs"</formula>
    </cfRule>
  </conditionalFormatting>
  <conditionalFormatting sqref="C75">
    <cfRule type="cellIs" dxfId="5623" priority="7632" stopIfTrue="1" operator="equal">
      <formula>"Towel"</formula>
    </cfRule>
    <cfRule type="cellIs" dxfId="5622" priority="7633" stopIfTrue="1" operator="equal">
      <formula>"Napkin Hs"</formula>
    </cfRule>
  </conditionalFormatting>
  <conditionalFormatting sqref="C75">
    <cfRule type="cellIs" dxfId="5621" priority="7630" stopIfTrue="1" operator="equal">
      <formula>"Towel"</formula>
    </cfRule>
    <cfRule type="cellIs" dxfId="5620" priority="7631" stopIfTrue="1" operator="equal">
      <formula>"Napkin Hs"</formula>
    </cfRule>
  </conditionalFormatting>
  <conditionalFormatting sqref="B75:C75">
    <cfRule type="cellIs" dxfId="5619" priority="7628" stopIfTrue="1" operator="equal">
      <formula>"Towel"</formula>
    </cfRule>
    <cfRule type="cellIs" dxfId="5618" priority="7629" stopIfTrue="1" operator="equal">
      <formula>"Napkin Hs"</formula>
    </cfRule>
  </conditionalFormatting>
  <conditionalFormatting sqref="C75">
    <cfRule type="cellIs" dxfId="5617" priority="7626" stopIfTrue="1" operator="equal">
      <formula>"Towel"</formula>
    </cfRule>
    <cfRule type="cellIs" dxfId="5616" priority="7627" stopIfTrue="1" operator="equal">
      <formula>"Napkin Hs"</formula>
    </cfRule>
  </conditionalFormatting>
  <conditionalFormatting sqref="C75">
    <cfRule type="cellIs" dxfId="5615" priority="7624" stopIfTrue="1" operator="equal">
      <formula>"Towel"</formula>
    </cfRule>
    <cfRule type="cellIs" dxfId="5614" priority="7625" stopIfTrue="1" operator="equal">
      <formula>"Napkin Hs"</formula>
    </cfRule>
  </conditionalFormatting>
  <conditionalFormatting sqref="B75:C75">
    <cfRule type="cellIs" dxfId="5613" priority="7622" stopIfTrue="1" operator="equal">
      <formula>"Towel"</formula>
    </cfRule>
    <cfRule type="cellIs" dxfId="5612" priority="7623" stopIfTrue="1" operator="equal">
      <formula>"Napkin Hs"</formula>
    </cfRule>
  </conditionalFormatting>
  <conditionalFormatting sqref="C75">
    <cfRule type="cellIs" dxfId="5611" priority="7620" stopIfTrue="1" operator="equal">
      <formula>"Towel"</formula>
    </cfRule>
    <cfRule type="cellIs" dxfId="5610" priority="7621" stopIfTrue="1" operator="equal">
      <formula>"Napkin Hs"</formula>
    </cfRule>
  </conditionalFormatting>
  <conditionalFormatting sqref="C75">
    <cfRule type="cellIs" dxfId="5609" priority="7618" stopIfTrue="1" operator="equal">
      <formula>"Towel"</formula>
    </cfRule>
    <cfRule type="cellIs" dxfId="5608" priority="7619" stopIfTrue="1" operator="equal">
      <formula>"Napkin Hs"</formula>
    </cfRule>
  </conditionalFormatting>
  <conditionalFormatting sqref="B75:C75">
    <cfRule type="cellIs" dxfId="5607" priority="7617" stopIfTrue="1" operator="equal">
      <formula>"Napkin Hs"</formula>
    </cfRule>
  </conditionalFormatting>
  <conditionalFormatting sqref="B75:C75">
    <cfRule type="cellIs" dxfId="5606" priority="7616" stopIfTrue="1" operator="equal">
      <formula>"Towel"</formula>
    </cfRule>
  </conditionalFormatting>
  <conditionalFormatting sqref="C75">
    <cfRule type="cellIs" dxfId="5605" priority="7615" stopIfTrue="1" operator="equal">
      <formula>"Napkin Hs"</formula>
    </cfRule>
  </conditionalFormatting>
  <conditionalFormatting sqref="C75">
    <cfRule type="cellIs" dxfId="5604" priority="7612" stopIfTrue="1" operator="equal">
      <formula>"Towel"</formula>
    </cfRule>
    <cfRule type="cellIs" dxfId="5603" priority="7613" stopIfTrue="1" operator="equal">
      <formula>"Napkin Hs"</formula>
    </cfRule>
  </conditionalFormatting>
  <conditionalFormatting sqref="C75">
    <cfRule type="cellIs" dxfId="5602" priority="7614" stopIfTrue="1" operator="equal">
      <formula>"Towel"</formula>
    </cfRule>
  </conditionalFormatting>
  <conditionalFormatting sqref="B83:C83">
    <cfRule type="cellIs" dxfId="5601" priority="6937" stopIfTrue="1" operator="equal">
      <formula>"Napkin Hs"</formula>
    </cfRule>
  </conditionalFormatting>
  <conditionalFormatting sqref="B83:C83">
    <cfRule type="cellIs" dxfId="5600" priority="6936" stopIfTrue="1" operator="equal">
      <formula>"Towel"</formula>
    </cfRule>
  </conditionalFormatting>
  <conditionalFormatting sqref="C83">
    <cfRule type="cellIs" dxfId="5599" priority="6935" stopIfTrue="1" operator="equal">
      <formula>"Napkin Hs"</formula>
    </cfRule>
  </conditionalFormatting>
  <conditionalFormatting sqref="C83">
    <cfRule type="cellIs" dxfId="5598" priority="6934" stopIfTrue="1" operator="equal">
      <formula>"Towel"</formula>
    </cfRule>
  </conditionalFormatting>
  <conditionalFormatting sqref="C83">
    <cfRule type="cellIs" dxfId="5597" priority="6932" stopIfTrue="1" operator="equal">
      <formula>"Towel"</formula>
    </cfRule>
    <cfRule type="cellIs" dxfId="5596" priority="6933" stopIfTrue="1" operator="equal">
      <formula>"Napkin Hs"</formula>
    </cfRule>
  </conditionalFormatting>
  <conditionalFormatting sqref="C82">
    <cfRule type="cellIs" dxfId="5595" priority="6930" stopIfTrue="1" operator="equal">
      <formula>"Towel"</formula>
    </cfRule>
    <cfRule type="cellIs" dxfId="5594" priority="6931" stopIfTrue="1" operator="equal">
      <formula>"Napkin Hs"</formula>
    </cfRule>
  </conditionalFormatting>
  <conditionalFormatting sqref="B82:C82">
    <cfRule type="cellIs" dxfId="5593" priority="6928" stopIfTrue="1" operator="equal">
      <formula>"Towel"</formula>
    </cfRule>
    <cfRule type="cellIs" dxfId="5592" priority="6929" stopIfTrue="1" operator="equal">
      <formula>"Napkin Hs"</formula>
    </cfRule>
  </conditionalFormatting>
  <conditionalFormatting sqref="C82">
    <cfRule type="cellIs" dxfId="5591" priority="6926" stopIfTrue="1" operator="equal">
      <formula>"Towel"</formula>
    </cfRule>
    <cfRule type="cellIs" dxfId="5590" priority="6927" stopIfTrue="1" operator="equal">
      <formula>"Napkin Hs"</formula>
    </cfRule>
  </conditionalFormatting>
  <conditionalFormatting sqref="B82:C82">
    <cfRule type="cellIs" dxfId="5589" priority="6924" stopIfTrue="1" operator="equal">
      <formula>"Towel"</formula>
    </cfRule>
    <cfRule type="cellIs" dxfId="5588" priority="6925" stopIfTrue="1" operator="equal">
      <formula>"Napkin Hs"</formula>
    </cfRule>
  </conditionalFormatting>
  <conditionalFormatting sqref="C82">
    <cfRule type="cellIs" dxfId="5587" priority="6922" stopIfTrue="1" operator="equal">
      <formula>"Towel"</formula>
    </cfRule>
    <cfRule type="cellIs" dxfId="5586" priority="6923" stopIfTrue="1" operator="equal">
      <formula>"Napkin Hs"</formula>
    </cfRule>
  </conditionalFormatting>
  <conditionalFormatting sqref="C82">
    <cfRule type="cellIs" dxfId="5585" priority="6920" stopIfTrue="1" operator="equal">
      <formula>"Towel"</formula>
    </cfRule>
    <cfRule type="cellIs" dxfId="5584" priority="6921" stopIfTrue="1" operator="equal">
      <formula>"Napkin Hs"</formula>
    </cfRule>
  </conditionalFormatting>
  <conditionalFormatting sqref="B82:C82">
    <cfRule type="cellIs" dxfId="5583" priority="6918" stopIfTrue="1" operator="equal">
      <formula>"Towel"</formula>
    </cfRule>
    <cfRule type="cellIs" dxfId="5582" priority="6919" stopIfTrue="1" operator="equal">
      <formula>"Napkin Hs"</formula>
    </cfRule>
  </conditionalFormatting>
  <conditionalFormatting sqref="C82">
    <cfRule type="cellIs" dxfId="5581" priority="6916" stopIfTrue="1" operator="equal">
      <formula>"Towel"</formula>
    </cfRule>
    <cfRule type="cellIs" dxfId="5580" priority="6917" stopIfTrue="1" operator="equal">
      <formula>"Napkin Hs"</formula>
    </cfRule>
  </conditionalFormatting>
  <conditionalFormatting sqref="C82">
    <cfRule type="cellIs" dxfId="5579" priority="6914" stopIfTrue="1" operator="equal">
      <formula>"Towel"</formula>
    </cfRule>
    <cfRule type="cellIs" dxfId="5578" priority="6915" stopIfTrue="1" operator="equal">
      <formula>"Napkin Hs"</formula>
    </cfRule>
  </conditionalFormatting>
  <conditionalFormatting sqref="B82:C82">
    <cfRule type="cellIs" dxfId="5577" priority="6912" stopIfTrue="1" operator="equal">
      <formula>"Towel"</formula>
    </cfRule>
    <cfRule type="cellIs" dxfId="5576" priority="6913" stopIfTrue="1" operator="equal">
      <formula>"Napkin Hs"</formula>
    </cfRule>
  </conditionalFormatting>
  <conditionalFormatting sqref="C82">
    <cfRule type="cellIs" dxfId="5575" priority="6910" stopIfTrue="1" operator="equal">
      <formula>"Towel"</formula>
    </cfRule>
    <cfRule type="cellIs" dxfId="5574" priority="6911" stopIfTrue="1" operator="equal">
      <formula>"Napkin Hs"</formula>
    </cfRule>
  </conditionalFormatting>
  <conditionalFormatting sqref="C82">
    <cfRule type="cellIs" dxfId="5573" priority="6908" stopIfTrue="1" operator="equal">
      <formula>"Towel"</formula>
    </cfRule>
    <cfRule type="cellIs" dxfId="5572" priority="6909" stopIfTrue="1" operator="equal">
      <formula>"Napkin Hs"</formula>
    </cfRule>
  </conditionalFormatting>
  <conditionalFormatting sqref="B82:C82">
    <cfRule type="cellIs" dxfId="5571" priority="6906" stopIfTrue="1" operator="equal">
      <formula>"Towel"</formula>
    </cfRule>
    <cfRule type="cellIs" dxfId="5570" priority="6907" stopIfTrue="1" operator="equal">
      <formula>"Napkin Hs"</formula>
    </cfRule>
  </conditionalFormatting>
  <conditionalFormatting sqref="C82">
    <cfRule type="cellIs" dxfId="5569" priority="6904" stopIfTrue="1" operator="equal">
      <formula>"Towel"</formula>
    </cfRule>
    <cfRule type="cellIs" dxfId="5568" priority="6905" stopIfTrue="1" operator="equal">
      <formula>"Napkin Hs"</formula>
    </cfRule>
  </conditionalFormatting>
  <conditionalFormatting sqref="C82">
    <cfRule type="cellIs" dxfId="5567" priority="6902" stopIfTrue="1" operator="equal">
      <formula>"Towel"</formula>
    </cfRule>
    <cfRule type="cellIs" dxfId="5566" priority="6903" stopIfTrue="1" operator="equal">
      <formula>"Napkin Hs"</formula>
    </cfRule>
  </conditionalFormatting>
  <conditionalFormatting sqref="C82">
    <cfRule type="cellIs" dxfId="5565" priority="6896" stopIfTrue="1" operator="equal">
      <formula>"Towel"</formula>
    </cfRule>
    <cfRule type="cellIs" dxfId="5564" priority="6897" stopIfTrue="1" operator="equal">
      <formula>"Napkin Hs"</formula>
    </cfRule>
  </conditionalFormatting>
  <conditionalFormatting sqref="B82:C82">
    <cfRule type="cellIs" dxfId="5563" priority="6895" stopIfTrue="1" operator="equal">
      <formula>"Napkin Hs"</formula>
    </cfRule>
  </conditionalFormatting>
  <conditionalFormatting sqref="B82:C82">
    <cfRule type="cellIs" dxfId="5562" priority="6894" stopIfTrue="1" operator="equal">
      <formula>"Towel"</formula>
    </cfRule>
  </conditionalFormatting>
  <conditionalFormatting sqref="C82">
    <cfRule type="cellIs" dxfId="5561" priority="6893" stopIfTrue="1" operator="equal">
      <formula>"Napkin Hs"</formula>
    </cfRule>
  </conditionalFormatting>
  <conditionalFormatting sqref="C82">
    <cfRule type="cellIs" dxfId="5560" priority="6890" stopIfTrue="1" operator="equal">
      <formula>"Towel"</formula>
    </cfRule>
    <cfRule type="cellIs" dxfId="5559" priority="6891" stopIfTrue="1" operator="equal">
      <formula>"Napkin Hs"</formula>
    </cfRule>
  </conditionalFormatting>
  <conditionalFormatting sqref="C82">
    <cfRule type="cellIs" dxfId="5558" priority="6892" stopIfTrue="1" operator="equal">
      <formula>"Towel"</formula>
    </cfRule>
  </conditionalFormatting>
  <conditionalFormatting sqref="B84:C84">
    <cfRule type="cellIs" dxfId="5557" priority="6884" stopIfTrue="1" operator="equal">
      <formula>"Towel"</formula>
    </cfRule>
    <cfRule type="cellIs" dxfId="5556" priority="6885" stopIfTrue="1" operator="equal">
      <formula>"Napkin Hs"</formula>
    </cfRule>
  </conditionalFormatting>
  <conditionalFormatting sqref="C84">
    <cfRule type="cellIs" dxfId="5555" priority="6882" stopIfTrue="1" operator="equal">
      <formula>"Towel"</formula>
    </cfRule>
    <cfRule type="cellIs" dxfId="5554" priority="6883" stopIfTrue="1" operator="equal">
      <formula>"Napkin Hs"</formula>
    </cfRule>
  </conditionalFormatting>
  <conditionalFormatting sqref="B84:C84">
    <cfRule type="cellIs" dxfId="5553" priority="6878" stopIfTrue="1" operator="equal">
      <formula>"Towel"</formula>
    </cfRule>
    <cfRule type="cellIs" dxfId="5552" priority="6879" stopIfTrue="1" operator="equal">
      <formula>"Napkin Hs"</formula>
    </cfRule>
  </conditionalFormatting>
  <conditionalFormatting sqref="C84">
    <cfRule type="cellIs" dxfId="5551" priority="6874" stopIfTrue="1" operator="equal">
      <formula>"Towel"</formula>
    </cfRule>
    <cfRule type="cellIs" dxfId="5550" priority="6875" stopIfTrue="1" operator="equal">
      <formula>"Napkin Hs"</formula>
    </cfRule>
  </conditionalFormatting>
  <conditionalFormatting sqref="C84">
    <cfRule type="cellIs" dxfId="5549" priority="6876" stopIfTrue="1" operator="equal">
      <formula>"Towel"</formula>
    </cfRule>
    <cfRule type="cellIs" dxfId="5548" priority="6877" stopIfTrue="1" operator="equal">
      <formula>"Napkin Hs"</formula>
    </cfRule>
  </conditionalFormatting>
  <conditionalFormatting sqref="B84:C84">
    <cfRule type="cellIs" dxfId="5547" priority="6872" stopIfTrue="1" operator="equal">
      <formula>"Towel"</formula>
    </cfRule>
    <cfRule type="cellIs" dxfId="5546" priority="6873" stopIfTrue="1" operator="equal">
      <formula>"Napkin Hs"</formula>
    </cfRule>
  </conditionalFormatting>
  <conditionalFormatting sqref="C84">
    <cfRule type="cellIs" dxfId="5545" priority="6868" stopIfTrue="1" operator="equal">
      <formula>"Towel"</formula>
    </cfRule>
    <cfRule type="cellIs" dxfId="5544" priority="6869" stopIfTrue="1" operator="equal">
      <formula>"Napkin Hs"</formula>
    </cfRule>
  </conditionalFormatting>
  <conditionalFormatting sqref="C84">
    <cfRule type="cellIs" dxfId="5543" priority="6870" stopIfTrue="1" operator="equal">
      <formula>"Towel"</formula>
    </cfRule>
    <cfRule type="cellIs" dxfId="5542" priority="6871" stopIfTrue="1" operator="equal">
      <formula>"Napkin Hs"</formula>
    </cfRule>
  </conditionalFormatting>
  <conditionalFormatting sqref="B84:C84">
    <cfRule type="cellIs" dxfId="5541" priority="6866" stopIfTrue="1" operator="equal">
      <formula>"Towel"</formula>
    </cfRule>
    <cfRule type="cellIs" dxfId="5540" priority="6867" stopIfTrue="1" operator="equal">
      <formula>"Napkin Hs"</formula>
    </cfRule>
  </conditionalFormatting>
  <conditionalFormatting sqref="C84">
    <cfRule type="cellIs" dxfId="5539" priority="6864" stopIfTrue="1" operator="equal">
      <formula>"Towel"</formula>
    </cfRule>
    <cfRule type="cellIs" dxfId="5538" priority="6865" stopIfTrue="1" operator="equal">
      <formula>"Napkin Hs"</formula>
    </cfRule>
  </conditionalFormatting>
  <conditionalFormatting sqref="C84">
    <cfRule type="cellIs" dxfId="5537" priority="6862" stopIfTrue="1" operator="equal">
      <formula>"Towel"</formula>
    </cfRule>
    <cfRule type="cellIs" dxfId="5536" priority="6863" stopIfTrue="1" operator="equal">
      <formula>"Napkin Hs"</formula>
    </cfRule>
  </conditionalFormatting>
  <conditionalFormatting sqref="B84:C84">
    <cfRule type="cellIs" dxfId="5535" priority="6860" stopIfTrue="1" operator="equal">
      <formula>"Towel"</formula>
    </cfRule>
    <cfRule type="cellIs" dxfId="5534" priority="6861" stopIfTrue="1" operator="equal">
      <formula>"Napkin Hs"</formula>
    </cfRule>
  </conditionalFormatting>
  <conditionalFormatting sqref="C84">
    <cfRule type="cellIs" dxfId="5533" priority="6858" stopIfTrue="1" operator="equal">
      <formula>"Towel"</formula>
    </cfRule>
    <cfRule type="cellIs" dxfId="5532" priority="6859" stopIfTrue="1" operator="equal">
      <formula>"Napkin Hs"</formula>
    </cfRule>
  </conditionalFormatting>
  <conditionalFormatting sqref="C84">
    <cfRule type="cellIs" dxfId="5531" priority="6856" stopIfTrue="1" operator="equal">
      <formula>"Towel"</formula>
    </cfRule>
    <cfRule type="cellIs" dxfId="5530" priority="6857" stopIfTrue="1" operator="equal">
      <formula>"Napkin Hs"</formula>
    </cfRule>
  </conditionalFormatting>
  <conditionalFormatting sqref="C84">
    <cfRule type="cellIs" dxfId="5529" priority="6850" stopIfTrue="1" operator="equal">
      <formula>"Towel"</formula>
    </cfRule>
    <cfRule type="cellIs" dxfId="5528" priority="6851" stopIfTrue="1" operator="equal">
      <formula>"Napkin Hs"</formula>
    </cfRule>
  </conditionalFormatting>
  <conditionalFormatting sqref="C83">
    <cfRule type="cellIs" dxfId="5527" priority="6844" stopIfTrue="1" operator="equal">
      <formula>"Towel"</formula>
    </cfRule>
    <cfRule type="cellIs" dxfId="5526" priority="6845" stopIfTrue="1" operator="equal">
      <formula>"Napkin Hs"</formula>
    </cfRule>
  </conditionalFormatting>
  <conditionalFormatting sqref="B83:C83">
    <cfRule type="cellIs" dxfId="5525" priority="6842" stopIfTrue="1" operator="equal">
      <formula>"Towel"</formula>
    </cfRule>
    <cfRule type="cellIs" dxfId="5524" priority="6843" stopIfTrue="1" operator="equal">
      <formula>"Napkin Hs"</formula>
    </cfRule>
  </conditionalFormatting>
  <conditionalFormatting sqref="C83">
    <cfRule type="cellIs" dxfId="5523" priority="6838" stopIfTrue="1" operator="equal">
      <formula>"Towel"</formula>
    </cfRule>
    <cfRule type="cellIs" dxfId="5522" priority="6839" stopIfTrue="1" operator="equal">
      <formula>"Napkin Hs"</formula>
    </cfRule>
  </conditionalFormatting>
  <conditionalFormatting sqref="C83">
    <cfRule type="cellIs" dxfId="5521" priority="6840" stopIfTrue="1" operator="equal">
      <formula>"Towel"</formula>
    </cfRule>
    <cfRule type="cellIs" dxfId="5520" priority="6841" stopIfTrue="1" operator="equal">
      <formula>"Napkin Hs"</formula>
    </cfRule>
  </conditionalFormatting>
  <conditionalFormatting sqref="B83:C83">
    <cfRule type="cellIs" dxfId="5519" priority="6836" stopIfTrue="1" operator="equal">
      <formula>"Towel"</formula>
    </cfRule>
    <cfRule type="cellIs" dxfId="5518" priority="6837" stopIfTrue="1" operator="equal">
      <formula>"Napkin Hs"</formula>
    </cfRule>
  </conditionalFormatting>
  <conditionalFormatting sqref="C83">
    <cfRule type="cellIs" dxfId="5517" priority="6832" stopIfTrue="1" operator="equal">
      <formula>"Towel"</formula>
    </cfRule>
    <cfRule type="cellIs" dxfId="5516" priority="6833" stopIfTrue="1" operator="equal">
      <formula>"Napkin Hs"</formula>
    </cfRule>
  </conditionalFormatting>
  <conditionalFormatting sqref="C83">
    <cfRule type="cellIs" dxfId="5515" priority="6834" stopIfTrue="1" operator="equal">
      <formula>"Towel"</formula>
    </cfRule>
    <cfRule type="cellIs" dxfId="5514" priority="6835" stopIfTrue="1" operator="equal">
      <formula>"Napkin Hs"</formula>
    </cfRule>
  </conditionalFormatting>
  <conditionalFormatting sqref="B83:C83">
    <cfRule type="cellIs" dxfId="5513" priority="6830" stopIfTrue="1" operator="equal">
      <formula>"Towel"</formula>
    </cfRule>
    <cfRule type="cellIs" dxfId="5512" priority="6831" stopIfTrue="1" operator="equal">
      <formula>"Napkin Hs"</formula>
    </cfRule>
  </conditionalFormatting>
  <conditionalFormatting sqref="C83">
    <cfRule type="cellIs" dxfId="5511" priority="6828" stopIfTrue="1" operator="equal">
      <formula>"Towel"</formula>
    </cfRule>
    <cfRule type="cellIs" dxfId="5510" priority="6829" stopIfTrue="1" operator="equal">
      <formula>"Napkin Hs"</formula>
    </cfRule>
  </conditionalFormatting>
  <conditionalFormatting sqref="C83">
    <cfRule type="cellIs" dxfId="5509" priority="6826" stopIfTrue="1" operator="equal">
      <formula>"Towel"</formula>
    </cfRule>
    <cfRule type="cellIs" dxfId="5508" priority="6827" stopIfTrue="1" operator="equal">
      <formula>"Napkin Hs"</formula>
    </cfRule>
  </conditionalFormatting>
  <conditionalFormatting sqref="B83:C83">
    <cfRule type="cellIs" dxfId="5507" priority="6824" stopIfTrue="1" operator="equal">
      <formula>"Towel"</formula>
    </cfRule>
    <cfRule type="cellIs" dxfId="5506" priority="6825" stopIfTrue="1" operator="equal">
      <formula>"Napkin Hs"</formula>
    </cfRule>
  </conditionalFormatting>
  <conditionalFormatting sqref="C83">
    <cfRule type="cellIs" dxfId="5505" priority="6822" stopIfTrue="1" operator="equal">
      <formula>"Towel"</formula>
    </cfRule>
    <cfRule type="cellIs" dxfId="5504" priority="6823" stopIfTrue="1" operator="equal">
      <formula>"Napkin Hs"</formula>
    </cfRule>
  </conditionalFormatting>
  <conditionalFormatting sqref="C83">
    <cfRule type="cellIs" dxfId="5503" priority="6820" stopIfTrue="1" operator="equal">
      <formula>"Towel"</formula>
    </cfRule>
    <cfRule type="cellIs" dxfId="5502" priority="6821" stopIfTrue="1" operator="equal">
      <formula>"Napkin Hs"</formula>
    </cfRule>
  </conditionalFormatting>
  <conditionalFormatting sqref="B83:C83">
    <cfRule type="cellIs" dxfId="5501" priority="6818" stopIfTrue="1" operator="equal">
      <formula>"Towel"</formula>
    </cfRule>
    <cfRule type="cellIs" dxfId="5500" priority="6819" stopIfTrue="1" operator="equal">
      <formula>"Napkin Hs"</formula>
    </cfRule>
  </conditionalFormatting>
  <conditionalFormatting sqref="C83">
    <cfRule type="cellIs" dxfId="5499" priority="6816" stopIfTrue="1" operator="equal">
      <formula>"Towel"</formula>
    </cfRule>
    <cfRule type="cellIs" dxfId="5498" priority="6817" stopIfTrue="1" operator="equal">
      <formula>"Napkin Hs"</formula>
    </cfRule>
  </conditionalFormatting>
  <conditionalFormatting sqref="C83">
    <cfRule type="cellIs" dxfId="5497" priority="6814" stopIfTrue="1" operator="equal">
      <formula>"Towel"</formula>
    </cfRule>
    <cfRule type="cellIs" dxfId="5496" priority="6815" stopIfTrue="1" operator="equal">
      <formula>"Napkin Hs"</formula>
    </cfRule>
  </conditionalFormatting>
  <conditionalFormatting sqref="B83:C83">
    <cfRule type="cellIs" dxfId="5495" priority="6813" stopIfTrue="1" operator="equal">
      <formula>"Napkin Hs"</formula>
    </cfRule>
  </conditionalFormatting>
  <conditionalFormatting sqref="B83:C83">
    <cfRule type="cellIs" dxfId="5494" priority="6812" stopIfTrue="1" operator="equal">
      <formula>"Towel"</formula>
    </cfRule>
  </conditionalFormatting>
  <conditionalFormatting sqref="C83">
    <cfRule type="cellIs" dxfId="5493" priority="6811" stopIfTrue="1" operator="equal">
      <formula>"Napkin Hs"</formula>
    </cfRule>
  </conditionalFormatting>
  <conditionalFormatting sqref="C83">
    <cfRule type="cellIs" dxfId="5492" priority="6808" stopIfTrue="1" operator="equal">
      <formula>"Towel"</formula>
    </cfRule>
    <cfRule type="cellIs" dxfId="5491" priority="6809" stopIfTrue="1" operator="equal">
      <formula>"Napkin Hs"</formula>
    </cfRule>
  </conditionalFormatting>
  <conditionalFormatting sqref="C83">
    <cfRule type="cellIs" dxfId="5490" priority="6810" stopIfTrue="1" operator="equal">
      <formula>"Towel"</formula>
    </cfRule>
  </conditionalFormatting>
  <conditionalFormatting sqref="C87">
    <cfRule type="cellIs" dxfId="5489" priority="7450" stopIfTrue="1" operator="equal">
      <formula>"Towel"</formula>
    </cfRule>
    <cfRule type="cellIs" dxfId="5488" priority="7451" stopIfTrue="1" operator="equal">
      <formula>"Napkin Hs"</formula>
    </cfRule>
  </conditionalFormatting>
  <conditionalFormatting sqref="B87:C87">
    <cfRule type="cellIs" dxfId="5487" priority="7440" stopIfTrue="1" operator="equal">
      <formula>"Towel"</formula>
    </cfRule>
    <cfRule type="cellIs" dxfId="5486" priority="7441" stopIfTrue="1" operator="equal">
      <formula>"Napkin Hs"</formula>
    </cfRule>
  </conditionalFormatting>
  <conditionalFormatting sqref="C87">
    <cfRule type="cellIs" dxfId="5485" priority="7438" stopIfTrue="1" operator="equal">
      <formula>"Towel"</formula>
    </cfRule>
    <cfRule type="cellIs" dxfId="5484" priority="7439" stopIfTrue="1" operator="equal">
      <formula>"Napkin Hs"</formula>
    </cfRule>
  </conditionalFormatting>
  <conditionalFormatting sqref="B87:C87">
    <cfRule type="cellIs" dxfId="5483" priority="7435" stopIfTrue="1" operator="equal">
      <formula>"Napkin Hs"</formula>
    </cfRule>
  </conditionalFormatting>
  <conditionalFormatting sqref="B87:C87">
    <cfRule type="cellIs" dxfId="5482" priority="7434" stopIfTrue="1" operator="equal">
      <formula>"Towel"</formula>
    </cfRule>
  </conditionalFormatting>
  <conditionalFormatting sqref="C87">
    <cfRule type="cellIs" dxfId="5481" priority="7433" stopIfTrue="1" operator="equal">
      <formula>"Napkin Hs"</formula>
    </cfRule>
  </conditionalFormatting>
  <conditionalFormatting sqref="C87">
    <cfRule type="cellIs" dxfId="5480" priority="7432" stopIfTrue="1" operator="equal">
      <formula>"Towel"</formula>
    </cfRule>
  </conditionalFormatting>
  <conditionalFormatting sqref="B86:C86">
    <cfRule type="cellIs" dxfId="5479" priority="7423" stopIfTrue="1" operator="equal">
      <formula>"Napkin Hs"</formula>
    </cfRule>
  </conditionalFormatting>
  <conditionalFormatting sqref="B86:C86">
    <cfRule type="cellIs" dxfId="5478" priority="7422" stopIfTrue="1" operator="equal">
      <formula>"Towel"</formula>
    </cfRule>
  </conditionalFormatting>
  <conditionalFormatting sqref="C86">
    <cfRule type="cellIs" dxfId="5477" priority="7421" stopIfTrue="1" operator="equal">
      <formula>"Napkin Hs"</formula>
    </cfRule>
  </conditionalFormatting>
  <conditionalFormatting sqref="C86">
    <cfRule type="cellIs" dxfId="5476" priority="7420" stopIfTrue="1" operator="equal">
      <formula>"Towel"</formula>
    </cfRule>
  </conditionalFormatting>
  <conditionalFormatting sqref="B86:C86">
    <cfRule type="cellIs" dxfId="5475" priority="7404" stopIfTrue="1" operator="equal">
      <formula>"Towel"</formula>
    </cfRule>
    <cfRule type="cellIs" dxfId="5474" priority="7405" stopIfTrue="1" operator="equal">
      <formula>"Napkin Hs"</formula>
    </cfRule>
  </conditionalFormatting>
  <conditionalFormatting sqref="C86">
    <cfRule type="cellIs" dxfId="5473" priority="7402" stopIfTrue="1" operator="equal">
      <formula>"Towel"</formula>
    </cfRule>
    <cfRule type="cellIs" dxfId="5472" priority="7403" stopIfTrue="1" operator="equal">
      <formula>"Napkin Hs"</formula>
    </cfRule>
  </conditionalFormatting>
  <conditionalFormatting sqref="B86:C86">
    <cfRule type="cellIs" dxfId="5471" priority="7398" stopIfTrue="1" operator="equal">
      <formula>"Towel"</formula>
    </cfRule>
    <cfRule type="cellIs" dxfId="5470" priority="7399" stopIfTrue="1" operator="equal">
      <formula>"Napkin Hs"</formula>
    </cfRule>
  </conditionalFormatting>
  <conditionalFormatting sqref="C86">
    <cfRule type="cellIs" dxfId="5469" priority="7396" stopIfTrue="1" operator="equal">
      <formula>"Towel"</formula>
    </cfRule>
    <cfRule type="cellIs" dxfId="5468" priority="7397" stopIfTrue="1" operator="equal">
      <formula>"Napkin Hs"</formula>
    </cfRule>
  </conditionalFormatting>
  <conditionalFormatting sqref="C86">
    <cfRule type="cellIs" dxfId="5467" priority="7394" stopIfTrue="1" operator="equal">
      <formula>"Towel"</formula>
    </cfRule>
    <cfRule type="cellIs" dxfId="5466" priority="7395" stopIfTrue="1" operator="equal">
      <formula>"Napkin Hs"</formula>
    </cfRule>
  </conditionalFormatting>
  <conditionalFormatting sqref="B86:C86">
    <cfRule type="cellIs" dxfId="5465" priority="7392" stopIfTrue="1" operator="equal">
      <formula>"Towel"</formula>
    </cfRule>
    <cfRule type="cellIs" dxfId="5464" priority="7393" stopIfTrue="1" operator="equal">
      <formula>"Napkin Hs"</formula>
    </cfRule>
  </conditionalFormatting>
  <conditionalFormatting sqref="C86">
    <cfRule type="cellIs" dxfId="5463" priority="7390" stopIfTrue="1" operator="equal">
      <formula>"Towel"</formula>
    </cfRule>
    <cfRule type="cellIs" dxfId="5462" priority="7391" stopIfTrue="1" operator="equal">
      <formula>"Napkin Hs"</formula>
    </cfRule>
  </conditionalFormatting>
  <conditionalFormatting sqref="C86">
    <cfRule type="cellIs" dxfId="5461" priority="7388" stopIfTrue="1" operator="equal">
      <formula>"Towel"</formula>
    </cfRule>
    <cfRule type="cellIs" dxfId="5460" priority="7389" stopIfTrue="1" operator="equal">
      <formula>"Napkin Hs"</formula>
    </cfRule>
  </conditionalFormatting>
  <conditionalFormatting sqref="B86:C86">
    <cfRule type="cellIs" dxfId="5459" priority="7387" stopIfTrue="1" operator="equal">
      <formula>"Napkin Hs"</formula>
    </cfRule>
  </conditionalFormatting>
  <conditionalFormatting sqref="B86:C86">
    <cfRule type="cellIs" dxfId="5458" priority="7386" stopIfTrue="1" operator="equal">
      <formula>"Towel"</formula>
    </cfRule>
  </conditionalFormatting>
  <conditionalFormatting sqref="C86">
    <cfRule type="cellIs" dxfId="5457" priority="7385" stopIfTrue="1" operator="equal">
      <formula>"Napkin Hs"</formula>
    </cfRule>
  </conditionalFormatting>
  <conditionalFormatting sqref="C86">
    <cfRule type="cellIs" dxfId="5456" priority="7382" stopIfTrue="1" operator="equal">
      <formula>"Towel"</formula>
    </cfRule>
    <cfRule type="cellIs" dxfId="5455" priority="7383" stopIfTrue="1" operator="equal">
      <formula>"Napkin Hs"</formula>
    </cfRule>
  </conditionalFormatting>
  <conditionalFormatting sqref="C86">
    <cfRule type="cellIs" dxfId="5454" priority="7384" stopIfTrue="1" operator="equal">
      <formula>"Towel"</formula>
    </cfRule>
  </conditionalFormatting>
  <conditionalFormatting sqref="B85:C85">
    <cfRule type="cellIs" dxfId="5453" priority="7380" stopIfTrue="1" operator="equal">
      <formula>"Towel"</formula>
    </cfRule>
    <cfRule type="cellIs" dxfId="5452" priority="7381" stopIfTrue="1" operator="equal">
      <formula>"Napkin Hs"</formula>
    </cfRule>
  </conditionalFormatting>
  <conditionalFormatting sqref="C85">
    <cfRule type="cellIs" dxfId="5451" priority="7376" stopIfTrue="1" operator="equal">
      <formula>"Towel"</formula>
    </cfRule>
    <cfRule type="cellIs" dxfId="5450" priority="7377" stopIfTrue="1" operator="equal">
      <formula>"Napkin Hs"</formula>
    </cfRule>
  </conditionalFormatting>
  <conditionalFormatting sqref="C85">
    <cfRule type="cellIs" dxfId="5449" priority="7378" stopIfTrue="1" operator="equal">
      <formula>"Towel"</formula>
    </cfRule>
    <cfRule type="cellIs" dxfId="5448" priority="7379" stopIfTrue="1" operator="equal">
      <formula>"Napkin Hs"</formula>
    </cfRule>
  </conditionalFormatting>
  <conditionalFormatting sqref="B85:C85">
    <cfRule type="cellIs" dxfId="5447" priority="7375" stopIfTrue="1" operator="equal">
      <formula>"Napkin Hs"</formula>
    </cfRule>
  </conditionalFormatting>
  <conditionalFormatting sqref="B85:C85">
    <cfRule type="cellIs" dxfId="5446" priority="7374" stopIfTrue="1" operator="equal">
      <formula>"Towel"</formula>
    </cfRule>
  </conditionalFormatting>
  <conditionalFormatting sqref="C85">
    <cfRule type="cellIs" dxfId="5445" priority="7373" stopIfTrue="1" operator="equal">
      <formula>"Napkin Hs"</formula>
    </cfRule>
  </conditionalFormatting>
  <conditionalFormatting sqref="C85">
    <cfRule type="cellIs" dxfId="5444" priority="7372" stopIfTrue="1" operator="equal">
      <formula>"Towel"</formula>
    </cfRule>
  </conditionalFormatting>
  <conditionalFormatting sqref="C85">
    <cfRule type="cellIs" dxfId="5443" priority="7370" stopIfTrue="1" operator="equal">
      <formula>"Towel"</formula>
    </cfRule>
    <cfRule type="cellIs" dxfId="5442" priority="7371" stopIfTrue="1" operator="equal">
      <formula>"Napkin Hs"</formula>
    </cfRule>
  </conditionalFormatting>
  <conditionalFormatting sqref="B85:C85">
    <cfRule type="cellIs" dxfId="5441" priority="7368" stopIfTrue="1" operator="equal">
      <formula>"Towel"</formula>
    </cfRule>
    <cfRule type="cellIs" dxfId="5440" priority="7369" stopIfTrue="1" operator="equal">
      <formula>"Napkin Hs"</formula>
    </cfRule>
  </conditionalFormatting>
  <conditionalFormatting sqref="C85">
    <cfRule type="cellIs" dxfId="5439" priority="7366" stopIfTrue="1" operator="equal">
      <formula>"Towel"</formula>
    </cfRule>
    <cfRule type="cellIs" dxfId="5438" priority="7367" stopIfTrue="1" operator="equal">
      <formula>"Napkin Hs"</formula>
    </cfRule>
  </conditionalFormatting>
  <conditionalFormatting sqref="C85">
    <cfRule type="cellIs" dxfId="5437" priority="7364" stopIfTrue="1" operator="equal">
      <formula>"Towel"</formula>
    </cfRule>
    <cfRule type="cellIs" dxfId="5436" priority="7365" stopIfTrue="1" operator="equal">
      <formula>"Napkin Hs"</formula>
    </cfRule>
  </conditionalFormatting>
  <conditionalFormatting sqref="B85:C85">
    <cfRule type="cellIs" dxfId="5435" priority="7362" stopIfTrue="1" operator="equal">
      <formula>"Towel"</formula>
    </cfRule>
    <cfRule type="cellIs" dxfId="5434" priority="7363" stopIfTrue="1" operator="equal">
      <formula>"Napkin Hs"</formula>
    </cfRule>
  </conditionalFormatting>
  <conditionalFormatting sqref="C85">
    <cfRule type="cellIs" dxfId="5433" priority="7360" stopIfTrue="1" operator="equal">
      <formula>"Towel"</formula>
    </cfRule>
    <cfRule type="cellIs" dxfId="5432" priority="7361" stopIfTrue="1" operator="equal">
      <formula>"Napkin Hs"</formula>
    </cfRule>
  </conditionalFormatting>
  <conditionalFormatting sqref="C85">
    <cfRule type="cellIs" dxfId="5431" priority="7358" stopIfTrue="1" operator="equal">
      <formula>"Towel"</formula>
    </cfRule>
    <cfRule type="cellIs" dxfId="5430" priority="7359" stopIfTrue="1" operator="equal">
      <formula>"Napkin Hs"</formula>
    </cfRule>
  </conditionalFormatting>
  <conditionalFormatting sqref="B85:C85">
    <cfRule type="cellIs" dxfId="5429" priority="7356" stopIfTrue="1" operator="equal">
      <formula>"Towel"</formula>
    </cfRule>
    <cfRule type="cellIs" dxfId="5428" priority="7357" stopIfTrue="1" operator="equal">
      <formula>"Napkin Hs"</formula>
    </cfRule>
  </conditionalFormatting>
  <conditionalFormatting sqref="C85">
    <cfRule type="cellIs" dxfId="5427" priority="7354" stopIfTrue="1" operator="equal">
      <formula>"Towel"</formula>
    </cfRule>
    <cfRule type="cellIs" dxfId="5426" priority="7355" stopIfTrue="1" operator="equal">
      <formula>"Napkin Hs"</formula>
    </cfRule>
  </conditionalFormatting>
  <conditionalFormatting sqref="C85">
    <cfRule type="cellIs" dxfId="5425" priority="7352" stopIfTrue="1" operator="equal">
      <formula>"Towel"</formula>
    </cfRule>
    <cfRule type="cellIs" dxfId="5424" priority="7353" stopIfTrue="1" operator="equal">
      <formula>"Napkin Hs"</formula>
    </cfRule>
  </conditionalFormatting>
  <conditionalFormatting sqref="B85:C85">
    <cfRule type="cellIs" dxfId="5423" priority="7350" stopIfTrue="1" operator="equal">
      <formula>"Towel"</formula>
    </cfRule>
    <cfRule type="cellIs" dxfId="5422" priority="7351" stopIfTrue="1" operator="equal">
      <formula>"Napkin Hs"</formula>
    </cfRule>
  </conditionalFormatting>
  <conditionalFormatting sqref="C85">
    <cfRule type="cellIs" dxfId="5421" priority="7348" stopIfTrue="1" operator="equal">
      <formula>"Towel"</formula>
    </cfRule>
    <cfRule type="cellIs" dxfId="5420" priority="7349" stopIfTrue="1" operator="equal">
      <formula>"Napkin Hs"</formula>
    </cfRule>
  </conditionalFormatting>
  <conditionalFormatting sqref="C85">
    <cfRule type="cellIs" dxfId="5419" priority="7346" stopIfTrue="1" operator="equal">
      <formula>"Towel"</formula>
    </cfRule>
    <cfRule type="cellIs" dxfId="5418" priority="7347" stopIfTrue="1" operator="equal">
      <formula>"Napkin Hs"</formula>
    </cfRule>
  </conditionalFormatting>
  <conditionalFormatting sqref="B85:C85">
    <cfRule type="cellIs" dxfId="5417" priority="7344" stopIfTrue="1" operator="equal">
      <formula>"Towel"</formula>
    </cfRule>
    <cfRule type="cellIs" dxfId="5416" priority="7345" stopIfTrue="1" operator="equal">
      <formula>"Napkin Hs"</formula>
    </cfRule>
  </conditionalFormatting>
  <conditionalFormatting sqref="C85">
    <cfRule type="cellIs" dxfId="5415" priority="7342" stopIfTrue="1" operator="equal">
      <formula>"Towel"</formula>
    </cfRule>
    <cfRule type="cellIs" dxfId="5414" priority="7343" stopIfTrue="1" operator="equal">
      <formula>"Napkin Hs"</formula>
    </cfRule>
  </conditionalFormatting>
  <conditionalFormatting sqref="C85">
    <cfRule type="cellIs" dxfId="5413" priority="7340" stopIfTrue="1" operator="equal">
      <formula>"Towel"</formula>
    </cfRule>
    <cfRule type="cellIs" dxfId="5412" priority="7341" stopIfTrue="1" operator="equal">
      <formula>"Napkin Hs"</formula>
    </cfRule>
  </conditionalFormatting>
  <conditionalFormatting sqref="B85:C85">
    <cfRule type="cellIs" dxfId="5411" priority="7339" stopIfTrue="1" operator="equal">
      <formula>"Napkin Hs"</formula>
    </cfRule>
  </conditionalFormatting>
  <conditionalFormatting sqref="B85:C85">
    <cfRule type="cellIs" dxfId="5410" priority="7338" stopIfTrue="1" operator="equal">
      <formula>"Towel"</formula>
    </cfRule>
  </conditionalFormatting>
  <conditionalFormatting sqref="C85">
    <cfRule type="cellIs" dxfId="5409" priority="7337" stopIfTrue="1" operator="equal">
      <formula>"Napkin Hs"</formula>
    </cfRule>
  </conditionalFormatting>
  <conditionalFormatting sqref="C85">
    <cfRule type="cellIs" dxfId="5408" priority="7334" stopIfTrue="1" operator="equal">
      <formula>"Towel"</formula>
    </cfRule>
    <cfRule type="cellIs" dxfId="5407" priority="7335" stopIfTrue="1" operator="equal">
      <formula>"Napkin Hs"</formula>
    </cfRule>
  </conditionalFormatting>
  <conditionalFormatting sqref="C85">
    <cfRule type="cellIs" dxfId="5406" priority="7336" stopIfTrue="1" operator="equal">
      <formula>"Towel"</formula>
    </cfRule>
  </conditionalFormatting>
  <conditionalFormatting sqref="B94:C94">
    <cfRule type="cellIs" dxfId="5405" priority="6306" stopIfTrue="1" operator="equal">
      <formula>"Towel"</formula>
    </cfRule>
    <cfRule type="cellIs" dxfId="5404" priority="6307" stopIfTrue="1" operator="equal">
      <formula>"Napkin Hs"</formula>
    </cfRule>
  </conditionalFormatting>
  <conditionalFormatting sqref="C94">
    <cfRule type="cellIs" dxfId="5403" priority="6304" stopIfTrue="1" operator="equal">
      <formula>"Towel"</formula>
    </cfRule>
    <cfRule type="cellIs" dxfId="5402" priority="6305" stopIfTrue="1" operator="equal">
      <formula>"Napkin Hs"</formula>
    </cfRule>
  </conditionalFormatting>
  <conditionalFormatting sqref="C94">
    <cfRule type="cellIs" dxfId="5401" priority="6302" stopIfTrue="1" operator="equal">
      <formula>"Towel"</formula>
    </cfRule>
    <cfRule type="cellIs" dxfId="5400" priority="6303" stopIfTrue="1" operator="equal">
      <formula>"Napkin Hs"</formula>
    </cfRule>
  </conditionalFormatting>
  <conditionalFormatting sqref="C94">
    <cfRule type="cellIs" dxfId="5399" priority="6292" stopIfTrue="1" operator="equal">
      <formula>"Towel"</formula>
    </cfRule>
    <cfRule type="cellIs" dxfId="5398" priority="6293" stopIfTrue="1" operator="equal">
      <formula>"Napkin Hs"</formula>
    </cfRule>
  </conditionalFormatting>
  <conditionalFormatting sqref="B81:C81">
    <cfRule type="cellIs" dxfId="5397" priority="7201" stopIfTrue="1" operator="equal">
      <formula>"Napkin Hs"</formula>
    </cfRule>
  </conditionalFormatting>
  <conditionalFormatting sqref="B81:C81">
    <cfRule type="cellIs" dxfId="5396" priority="7200" stopIfTrue="1" operator="equal">
      <formula>"Towel"</formula>
    </cfRule>
  </conditionalFormatting>
  <conditionalFormatting sqref="C81">
    <cfRule type="cellIs" dxfId="5395" priority="7199" stopIfTrue="1" operator="equal">
      <formula>"Napkin Hs"</formula>
    </cfRule>
  </conditionalFormatting>
  <conditionalFormatting sqref="C81">
    <cfRule type="cellIs" dxfId="5394" priority="7198" stopIfTrue="1" operator="equal">
      <formula>"Towel"</formula>
    </cfRule>
  </conditionalFormatting>
  <conditionalFormatting sqref="C81">
    <cfRule type="cellIs" dxfId="5393" priority="7196" stopIfTrue="1" operator="equal">
      <formula>"Towel"</formula>
    </cfRule>
    <cfRule type="cellIs" dxfId="5392" priority="7197" stopIfTrue="1" operator="equal">
      <formula>"Napkin Hs"</formula>
    </cfRule>
  </conditionalFormatting>
  <conditionalFormatting sqref="B81:C81">
    <cfRule type="cellIs" dxfId="5391" priority="7194" stopIfTrue="1" operator="equal">
      <formula>"Towel"</formula>
    </cfRule>
    <cfRule type="cellIs" dxfId="5390" priority="7195" stopIfTrue="1" operator="equal">
      <formula>"Napkin Hs"</formula>
    </cfRule>
  </conditionalFormatting>
  <conditionalFormatting sqref="C81">
    <cfRule type="cellIs" dxfId="5389" priority="7192" stopIfTrue="1" operator="equal">
      <formula>"Towel"</formula>
    </cfRule>
    <cfRule type="cellIs" dxfId="5388" priority="7193" stopIfTrue="1" operator="equal">
      <formula>"Napkin Hs"</formula>
    </cfRule>
  </conditionalFormatting>
  <conditionalFormatting sqref="C81">
    <cfRule type="cellIs" dxfId="5387" priority="7190" stopIfTrue="1" operator="equal">
      <formula>"Towel"</formula>
    </cfRule>
    <cfRule type="cellIs" dxfId="5386" priority="7191" stopIfTrue="1" operator="equal">
      <formula>"Napkin Hs"</formula>
    </cfRule>
  </conditionalFormatting>
  <conditionalFormatting sqref="B81:C81">
    <cfRule type="cellIs" dxfId="5385" priority="7188" stopIfTrue="1" operator="equal">
      <formula>"Towel"</formula>
    </cfRule>
    <cfRule type="cellIs" dxfId="5384" priority="7189" stopIfTrue="1" operator="equal">
      <formula>"Napkin Hs"</formula>
    </cfRule>
  </conditionalFormatting>
  <conditionalFormatting sqref="C81">
    <cfRule type="cellIs" dxfId="5383" priority="7186" stopIfTrue="1" operator="equal">
      <formula>"Towel"</formula>
    </cfRule>
    <cfRule type="cellIs" dxfId="5382" priority="7187" stopIfTrue="1" operator="equal">
      <formula>"Napkin Hs"</formula>
    </cfRule>
  </conditionalFormatting>
  <conditionalFormatting sqref="C81">
    <cfRule type="cellIs" dxfId="5381" priority="7184" stopIfTrue="1" operator="equal">
      <formula>"Towel"</formula>
    </cfRule>
    <cfRule type="cellIs" dxfId="5380" priority="7185" stopIfTrue="1" operator="equal">
      <formula>"Napkin Hs"</formula>
    </cfRule>
  </conditionalFormatting>
  <conditionalFormatting sqref="B81:C81">
    <cfRule type="cellIs" dxfId="5379" priority="7182" stopIfTrue="1" operator="equal">
      <formula>"Towel"</formula>
    </cfRule>
    <cfRule type="cellIs" dxfId="5378" priority="7183" stopIfTrue="1" operator="equal">
      <formula>"Napkin Hs"</formula>
    </cfRule>
  </conditionalFormatting>
  <conditionalFormatting sqref="C81">
    <cfRule type="cellIs" dxfId="5377" priority="7180" stopIfTrue="1" operator="equal">
      <formula>"Towel"</formula>
    </cfRule>
    <cfRule type="cellIs" dxfId="5376" priority="7181" stopIfTrue="1" operator="equal">
      <formula>"Napkin Hs"</formula>
    </cfRule>
  </conditionalFormatting>
  <conditionalFormatting sqref="C81">
    <cfRule type="cellIs" dxfId="5375" priority="7178" stopIfTrue="1" operator="equal">
      <formula>"Towel"</formula>
    </cfRule>
    <cfRule type="cellIs" dxfId="5374" priority="7179" stopIfTrue="1" operator="equal">
      <formula>"Napkin Hs"</formula>
    </cfRule>
  </conditionalFormatting>
  <conditionalFormatting sqref="B81:C81">
    <cfRule type="cellIs" dxfId="5373" priority="7176" stopIfTrue="1" operator="equal">
      <formula>"Towel"</formula>
    </cfRule>
    <cfRule type="cellIs" dxfId="5372" priority="7177" stopIfTrue="1" operator="equal">
      <formula>"Napkin Hs"</formula>
    </cfRule>
  </conditionalFormatting>
  <conditionalFormatting sqref="C81">
    <cfRule type="cellIs" dxfId="5371" priority="7174" stopIfTrue="1" operator="equal">
      <formula>"Towel"</formula>
    </cfRule>
    <cfRule type="cellIs" dxfId="5370" priority="7175" stopIfTrue="1" operator="equal">
      <formula>"Napkin Hs"</formula>
    </cfRule>
  </conditionalFormatting>
  <conditionalFormatting sqref="C81">
    <cfRule type="cellIs" dxfId="5369" priority="7172" stopIfTrue="1" operator="equal">
      <formula>"Towel"</formula>
    </cfRule>
    <cfRule type="cellIs" dxfId="5368" priority="7173" stopIfTrue="1" operator="equal">
      <formula>"Napkin Hs"</formula>
    </cfRule>
  </conditionalFormatting>
  <conditionalFormatting sqref="B81:C81">
    <cfRule type="cellIs" dxfId="5367" priority="7170" stopIfTrue="1" operator="equal">
      <formula>"Towel"</formula>
    </cfRule>
    <cfRule type="cellIs" dxfId="5366" priority="7171" stopIfTrue="1" operator="equal">
      <formula>"Napkin Hs"</formula>
    </cfRule>
  </conditionalFormatting>
  <conditionalFormatting sqref="C81">
    <cfRule type="cellIs" dxfId="5365" priority="7168" stopIfTrue="1" operator="equal">
      <formula>"Towel"</formula>
    </cfRule>
    <cfRule type="cellIs" dxfId="5364" priority="7169" stopIfTrue="1" operator="equal">
      <formula>"Napkin Hs"</formula>
    </cfRule>
  </conditionalFormatting>
  <conditionalFormatting sqref="C81">
    <cfRule type="cellIs" dxfId="5363" priority="7166" stopIfTrue="1" operator="equal">
      <formula>"Towel"</formula>
    </cfRule>
    <cfRule type="cellIs" dxfId="5362" priority="7167" stopIfTrue="1" operator="equal">
      <formula>"Napkin Hs"</formula>
    </cfRule>
  </conditionalFormatting>
  <conditionalFormatting sqref="B81:C81">
    <cfRule type="cellIs" dxfId="5361" priority="7165" stopIfTrue="1" operator="equal">
      <formula>"Napkin Hs"</formula>
    </cfRule>
  </conditionalFormatting>
  <conditionalFormatting sqref="B81:C81">
    <cfRule type="cellIs" dxfId="5360" priority="7164" stopIfTrue="1" operator="equal">
      <formula>"Towel"</formula>
    </cfRule>
  </conditionalFormatting>
  <conditionalFormatting sqref="C81">
    <cfRule type="cellIs" dxfId="5359" priority="7163" stopIfTrue="1" operator="equal">
      <formula>"Napkin Hs"</formula>
    </cfRule>
  </conditionalFormatting>
  <conditionalFormatting sqref="C81">
    <cfRule type="cellIs" dxfId="5358" priority="7160" stopIfTrue="1" operator="equal">
      <formula>"Towel"</formula>
    </cfRule>
    <cfRule type="cellIs" dxfId="5357" priority="7161" stopIfTrue="1" operator="equal">
      <formula>"Napkin Hs"</formula>
    </cfRule>
  </conditionalFormatting>
  <conditionalFormatting sqref="C81">
    <cfRule type="cellIs" dxfId="5356" priority="7162" stopIfTrue="1" operator="equal">
      <formula>"Towel"</formula>
    </cfRule>
  </conditionalFormatting>
  <conditionalFormatting sqref="C81">
    <cfRule type="cellIs" dxfId="5355" priority="7159" stopIfTrue="1" operator="equal">
      <formula>"Napkin Hs"</formula>
    </cfRule>
  </conditionalFormatting>
  <conditionalFormatting sqref="C81">
    <cfRule type="cellIs" dxfId="5354" priority="7158" stopIfTrue="1" operator="equal">
      <formula>"Towel"</formula>
    </cfRule>
  </conditionalFormatting>
  <conditionalFormatting sqref="C81">
    <cfRule type="cellIs" dxfId="5353" priority="7157" stopIfTrue="1" operator="equal">
      <formula>"Napkin Hs"</formula>
    </cfRule>
  </conditionalFormatting>
  <conditionalFormatting sqref="C81">
    <cfRule type="cellIs" dxfId="5352" priority="7154" stopIfTrue="1" operator="equal">
      <formula>"Towel"</formula>
    </cfRule>
    <cfRule type="cellIs" dxfId="5351" priority="7155" stopIfTrue="1" operator="equal">
      <formula>"Napkin Hs"</formula>
    </cfRule>
  </conditionalFormatting>
  <conditionalFormatting sqref="C81">
    <cfRule type="cellIs" dxfId="5350" priority="7156" stopIfTrue="1" operator="equal">
      <formula>"Towel"</formula>
    </cfRule>
  </conditionalFormatting>
  <conditionalFormatting sqref="C81">
    <cfRule type="cellIs" dxfId="5349" priority="7153" stopIfTrue="1" operator="equal">
      <formula>"Napkin Hs"</formula>
    </cfRule>
  </conditionalFormatting>
  <conditionalFormatting sqref="C81">
    <cfRule type="cellIs" dxfId="5348" priority="7152" stopIfTrue="1" operator="equal">
      <formula>"Towel"</formula>
    </cfRule>
  </conditionalFormatting>
  <conditionalFormatting sqref="C81">
    <cfRule type="cellIs" dxfId="5347" priority="7151" stopIfTrue="1" operator="equal">
      <formula>"Napkin Hs"</formula>
    </cfRule>
  </conditionalFormatting>
  <conditionalFormatting sqref="C81">
    <cfRule type="cellIs" dxfId="5346" priority="7148" stopIfTrue="1" operator="equal">
      <formula>"Towel"</formula>
    </cfRule>
    <cfRule type="cellIs" dxfId="5345" priority="7149" stopIfTrue="1" operator="equal">
      <formula>"Napkin Hs"</formula>
    </cfRule>
  </conditionalFormatting>
  <conditionalFormatting sqref="C81">
    <cfRule type="cellIs" dxfId="5344" priority="7150" stopIfTrue="1" operator="equal">
      <formula>"Towel"</formula>
    </cfRule>
  </conditionalFormatting>
  <conditionalFormatting sqref="B81">
    <cfRule type="cellIs" dxfId="5343" priority="7146" stopIfTrue="1" operator="equal">
      <formula>"Towel"</formula>
    </cfRule>
    <cfRule type="cellIs" dxfId="5342" priority="7147" stopIfTrue="1" operator="equal">
      <formula>"Napkin Hs"</formula>
    </cfRule>
  </conditionalFormatting>
  <conditionalFormatting sqref="B81">
    <cfRule type="cellIs" dxfId="5341" priority="7145" stopIfTrue="1" operator="equal">
      <formula>"Napkin Hs"</formula>
    </cfRule>
  </conditionalFormatting>
  <conditionalFormatting sqref="B81">
    <cfRule type="cellIs" dxfId="5340" priority="7144" stopIfTrue="1" operator="equal">
      <formula>"Towel"</formula>
    </cfRule>
  </conditionalFormatting>
  <conditionalFormatting sqref="B80:C80">
    <cfRule type="cellIs" dxfId="5339" priority="7142" stopIfTrue="1" operator="equal">
      <formula>"Towel"</formula>
    </cfRule>
    <cfRule type="cellIs" dxfId="5338" priority="7143" stopIfTrue="1" operator="equal">
      <formula>"Napkin Hs"</formula>
    </cfRule>
  </conditionalFormatting>
  <conditionalFormatting sqref="C80">
    <cfRule type="cellIs" dxfId="5337" priority="7138" stopIfTrue="1" operator="equal">
      <formula>"Towel"</formula>
    </cfRule>
    <cfRule type="cellIs" dxfId="5336" priority="7139" stopIfTrue="1" operator="equal">
      <formula>"Napkin Hs"</formula>
    </cfRule>
  </conditionalFormatting>
  <conditionalFormatting sqref="C80">
    <cfRule type="cellIs" dxfId="5335" priority="7140" stopIfTrue="1" operator="equal">
      <formula>"Towel"</formula>
    </cfRule>
    <cfRule type="cellIs" dxfId="5334" priority="7141" stopIfTrue="1" operator="equal">
      <formula>"Napkin Hs"</formula>
    </cfRule>
  </conditionalFormatting>
  <conditionalFormatting sqref="B80:C80">
    <cfRule type="cellIs" dxfId="5333" priority="7136" stopIfTrue="1" operator="equal">
      <formula>"Towel"</formula>
    </cfRule>
    <cfRule type="cellIs" dxfId="5332" priority="7137" stopIfTrue="1" operator="equal">
      <formula>"Napkin Hs"</formula>
    </cfRule>
  </conditionalFormatting>
  <conditionalFormatting sqref="C80">
    <cfRule type="cellIs" dxfId="5331" priority="7132" stopIfTrue="1" operator="equal">
      <formula>"Towel"</formula>
    </cfRule>
    <cfRule type="cellIs" dxfId="5330" priority="7133" stopIfTrue="1" operator="equal">
      <formula>"Napkin Hs"</formula>
    </cfRule>
  </conditionalFormatting>
  <conditionalFormatting sqref="C80">
    <cfRule type="cellIs" dxfId="5329" priority="7134" stopIfTrue="1" operator="equal">
      <formula>"Towel"</formula>
    </cfRule>
    <cfRule type="cellIs" dxfId="5328" priority="7135" stopIfTrue="1" operator="equal">
      <formula>"Napkin Hs"</formula>
    </cfRule>
  </conditionalFormatting>
  <conditionalFormatting sqref="B80:C80">
    <cfRule type="cellIs" dxfId="5327" priority="7130" stopIfTrue="1" operator="equal">
      <formula>"Towel"</formula>
    </cfRule>
    <cfRule type="cellIs" dxfId="5326" priority="7131" stopIfTrue="1" operator="equal">
      <formula>"Napkin Hs"</formula>
    </cfRule>
  </conditionalFormatting>
  <conditionalFormatting sqref="C80">
    <cfRule type="cellIs" dxfId="5325" priority="7128" stopIfTrue="1" operator="equal">
      <formula>"Towel"</formula>
    </cfRule>
    <cfRule type="cellIs" dxfId="5324" priority="7129" stopIfTrue="1" operator="equal">
      <formula>"Napkin Hs"</formula>
    </cfRule>
  </conditionalFormatting>
  <conditionalFormatting sqref="C80">
    <cfRule type="cellIs" dxfId="5323" priority="7126" stopIfTrue="1" operator="equal">
      <formula>"Towel"</formula>
    </cfRule>
    <cfRule type="cellIs" dxfId="5322" priority="7127" stopIfTrue="1" operator="equal">
      <formula>"Napkin Hs"</formula>
    </cfRule>
  </conditionalFormatting>
  <conditionalFormatting sqref="B80:C80">
    <cfRule type="cellIs" dxfId="5321" priority="7124" stopIfTrue="1" operator="equal">
      <formula>"Towel"</formula>
    </cfRule>
    <cfRule type="cellIs" dxfId="5320" priority="7125" stopIfTrue="1" operator="equal">
      <formula>"Napkin Hs"</formula>
    </cfRule>
  </conditionalFormatting>
  <conditionalFormatting sqref="C80">
    <cfRule type="cellIs" dxfId="5319" priority="7122" stopIfTrue="1" operator="equal">
      <formula>"Towel"</formula>
    </cfRule>
    <cfRule type="cellIs" dxfId="5318" priority="7123" stopIfTrue="1" operator="equal">
      <formula>"Napkin Hs"</formula>
    </cfRule>
  </conditionalFormatting>
  <conditionalFormatting sqref="C80">
    <cfRule type="cellIs" dxfId="5317" priority="7120" stopIfTrue="1" operator="equal">
      <formula>"Towel"</formula>
    </cfRule>
    <cfRule type="cellIs" dxfId="5316" priority="7121" stopIfTrue="1" operator="equal">
      <formula>"Napkin Hs"</formula>
    </cfRule>
  </conditionalFormatting>
  <conditionalFormatting sqref="B80:C80">
    <cfRule type="cellIs" dxfId="5315" priority="7118" stopIfTrue="1" operator="equal">
      <formula>"Towel"</formula>
    </cfRule>
    <cfRule type="cellIs" dxfId="5314" priority="7119" stopIfTrue="1" operator="equal">
      <formula>"Napkin Hs"</formula>
    </cfRule>
  </conditionalFormatting>
  <conditionalFormatting sqref="C80">
    <cfRule type="cellIs" dxfId="5313" priority="7116" stopIfTrue="1" operator="equal">
      <formula>"Towel"</formula>
    </cfRule>
    <cfRule type="cellIs" dxfId="5312" priority="7117" stopIfTrue="1" operator="equal">
      <formula>"Napkin Hs"</formula>
    </cfRule>
  </conditionalFormatting>
  <conditionalFormatting sqref="C80">
    <cfRule type="cellIs" dxfId="5311" priority="7114" stopIfTrue="1" operator="equal">
      <formula>"Towel"</formula>
    </cfRule>
    <cfRule type="cellIs" dxfId="5310" priority="7115" stopIfTrue="1" operator="equal">
      <formula>"Napkin Hs"</formula>
    </cfRule>
  </conditionalFormatting>
  <conditionalFormatting sqref="B80:C80">
    <cfRule type="cellIs" dxfId="5309" priority="7113" stopIfTrue="1" operator="equal">
      <formula>"Napkin Hs"</formula>
    </cfRule>
  </conditionalFormatting>
  <conditionalFormatting sqref="B80:C80">
    <cfRule type="cellIs" dxfId="5308" priority="7112" stopIfTrue="1" operator="equal">
      <formula>"Towel"</formula>
    </cfRule>
  </conditionalFormatting>
  <conditionalFormatting sqref="C80">
    <cfRule type="cellIs" dxfId="5307" priority="7111" stopIfTrue="1" operator="equal">
      <formula>"Napkin Hs"</formula>
    </cfRule>
  </conditionalFormatting>
  <conditionalFormatting sqref="C80">
    <cfRule type="cellIs" dxfId="5306" priority="7108" stopIfTrue="1" operator="equal">
      <formula>"Towel"</formula>
    </cfRule>
    <cfRule type="cellIs" dxfId="5305" priority="7109" stopIfTrue="1" operator="equal">
      <formula>"Napkin Hs"</formula>
    </cfRule>
  </conditionalFormatting>
  <conditionalFormatting sqref="C80">
    <cfRule type="cellIs" dxfId="5304" priority="7110" stopIfTrue="1" operator="equal">
      <formula>"Towel"</formula>
    </cfRule>
  </conditionalFormatting>
  <conditionalFormatting sqref="B79:C79">
    <cfRule type="cellIs" dxfId="5303" priority="7106" stopIfTrue="1" operator="equal">
      <formula>"Towel"</formula>
    </cfRule>
    <cfRule type="cellIs" dxfId="5302" priority="7107" stopIfTrue="1" operator="equal">
      <formula>"Napkin Hs"</formula>
    </cfRule>
  </conditionalFormatting>
  <conditionalFormatting sqref="C79">
    <cfRule type="cellIs" dxfId="5301" priority="7102" stopIfTrue="1" operator="equal">
      <formula>"Towel"</formula>
    </cfRule>
    <cfRule type="cellIs" dxfId="5300" priority="7103" stopIfTrue="1" operator="equal">
      <formula>"Napkin Hs"</formula>
    </cfRule>
  </conditionalFormatting>
  <conditionalFormatting sqref="C79">
    <cfRule type="cellIs" dxfId="5299" priority="7104" stopIfTrue="1" operator="equal">
      <formula>"Towel"</formula>
    </cfRule>
    <cfRule type="cellIs" dxfId="5298" priority="7105" stopIfTrue="1" operator="equal">
      <formula>"Napkin Hs"</formula>
    </cfRule>
  </conditionalFormatting>
  <conditionalFormatting sqref="B79:C79">
    <cfRule type="cellIs" dxfId="5297" priority="7100" stopIfTrue="1" operator="equal">
      <formula>"Towel"</formula>
    </cfRule>
    <cfRule type="cellIs" dxfId="5296" priority="7101" stopIfTrue="1" operator="equal">
      <formula>"Napkin Hs"</formula>
    </cfRule>
  </conditionalFormatting>
  <conditionalFormatting sqref="C79">
    <cfRule type="cellIs" dxfId="5295" priority="7096" stopIfTrue="1" operator="equal">
      <formula>"Towel"</formula>
    </cfRule>
    <cfRule type="cellIs" dxfId="5294" priority="7097" stopIfTrue="1" operator="equal">
      <formula>"Napkin Hs"</formula>
    </cfRule>
  </conditionalFormatting>
  <conditionalFormatting sqref="C79">
    <cfRule type="cellIs" dxfId="5293" priority="7098" stopIfTrue="1" operator="equal">
      <formula>"Towel"</formula>
    </cfRule>
    <cfRule type="cellIs" dxfId="5292" priority="7099" stopIfTrue="1" operator="equal">
      <formula>"Napkin Hs"</formula>
    </cfRule>
  </conditionalFormatting>
  <conditionalFormatting sqref="B79:C79">
    <cfRule type="cellIs" dxfId="5291" priority="7094" stopIfTrue="1" operator="equal">
      <formula>"Towel"</formula>
    </cfRule>
    <cfRule type="cellIs" dxfId="5290" priority="7095" stopIfTrue="1" operator="equal">
      <formula>"Napkin Hs"</formula>
    </cfRule>
  </conditionalFormatting>
  <conditionalFormatting sqref="C79">
    <cfRule type="cellIs" dxfId="5289" priority="7092" stopIfTrue="1" operator="equal">
      <formula>"Towel"</formula>
    </cfRule>
    <cfRule type="cellIs" dxfId="5288" priority="7093" stopIfTrue="1" operator="equal">
      <formula>"Napkin Hs"</formula>
    </cfRule>
  </conditionalFormatting>
  <conditionalFormatting sqref="C79">
    <cfRule type="cellIs" dxfId="5287" priority="7090" stopIfTrue="1" operator="equal">
      <formula>"Towel"</formula>
    </cfRule>
    <cfRule type="cellIs" dxfId="5286" priority="7091" stopIfTrue="1" operator="equal">
      <formula>"Napkin Hs"</formula>
    </cfRule>
  </conditionalFormatting>
  <conditionalFormatting sqref="B79:C79">
    <cfRule type="cellIs" dxfId="5285" priority="7088" stopIfTrue="1" operator="equal">
      <formula>"Towel"</formula>
    </cfRule>
    <cfRule type="cellIs" dxfId="5284" priority="7089" stopIfTrue="1" operator="equal">
      <formula>"Napkin Hs"</formula>
    </cfRule>
  </conditionalFormatting>
  <conditionalFormatting sqref="C79">
    <cfRule type="cellIs" dxfId="5283" priority="7086" stopIfTrue="1" operator="equal">
      <formula>"Towel"</formula>
    </cfRule>
    <cfRule type="cellIs" dxfId="5282" priority="7087" stopIfTrue="1" operator="equal">
      <formula>"Napkin Hs"</formula>
    </cfRule>
  </conditionalFormatting>
  <conditionalFormatting sqref="C79">
    <cfRule type="cellIs" dxfId="5281" priority="7084" stopIfTrue="1" operator="equal">
      <formula>"Towel"</formula>
    </cfRule>
    <cfRule type="cellIs" dxfId="5280" priority="7085" stopIfTrue="1" operator="equal">
      <formula>"Napkin Hs"</formula>
    </cfRule>
  </conditionalFormatting>
  <conditionalFormatting sqref="B79:C79">
    <cfRule type="cellIs" dxfId="5279" priority="7082" stopIfTrue="1" operator="equal">
      <formula>"Towel"</formula>
    </cfRule>
    <cfRule type="cellIs" dxfId="5278" priority="7083" stopIfTrue="1" operator="equal">
      <formula>"Napkin Hs"</formula>
    </cfRule>
  </conditionalFormatting>
  <conditionalFormatting sqref="C79">
    <cfRule type="cellIs" dxfId="5277" priority="7080" stopIfTrue="1" operator="equal">
      <formula>"Towel"</formula>
    </cfRule>
    <cfRule type="cellIs" dxfId="5276" priority="7081" stopIfTrue="1" operator="equal">
      <formula>"Napkin Hs"</formula>
    </cfRule>
  </conditionalFormatting>
  <conditionalFormatting sqref="C79">
    <cfRule type="cellIs" dxfId="5275" priority="7078" stopIfTrue="1" operator="equal">
      <formula>"Towel"</formula>
    </cfRule>
    <cfRule type="cellIs" dxfId="5274" priority="7079" stopIfTrue="1" operator="equal">
      <formula>"Napkin Hs"</formula>
    </cfRule>
  </conditionalFormatting>
  <conditionalFormatting sqref="B79:C79">
    <cfRule type="cellIs" dxfId="5273" priority="7077" stopIfTrue="1" operator="equal">
      <formula>"Napkin Hs"</formula>
    </cfRule>
  </conditionalFormatting>
  <conditionalFormatting sqref="B79:C79">
    <cfRule type="cellIs" dxfId="5272" priority="7076" stopIfTrue="1" operator="equal">
      <formula>"Towel"</formula>
    </cfRule>
  </conditionalFormatting>
  <conditionalFormatting sqref="C79">
    <cfRule type="cellIs" dxfId="5271" priority="7075" stopIfTrue="1" operator="equal">
      <formula>"Napkin Hs"</formula>
    </cfRule>
  </conditionalFormatting>
  <conditionalFormatting sqref="C79">
    <cfRule type="cellIs" dxfId="5270" priority="7072" stopIfTrue="1" operator="equal">
      <formula>"Towel"</formula>
    </cfRule>
    <cfRule type="cellIs" dxfId="5269" priority="7073" stopIfTrue="1" operator="equal">
      <formula>"Napkin Hs"</formula>
    </cfRule>
  </conditionalFormatting>
  <conditionalFormatting sqref="C79">
    <cfRule type="cellIs" dxfId="5268" priority="7074" stopIfTrue="1" operator="equal">
      <formula>"Towel"</formula>
    </cfRule>
  </conditionalFormatting>
  <conditionalFormatting sqref="B87:C87">
    <cfRule type="cellIs" dxfId="5267" priority="7070" stopIfTrue="1" operator="equal">
      <formula>"Towel"</formula>
    </cfRule>
    <cfRule type="cellIs" dxfId="5266" priority="7071" stopIfTrue="1" operator="equal">
      <formula>"Napkin Hs"</formula>
    </cfRule>
  </conditionalFormatting>
  <conditionalFormatting sqref="B88:C88">
    <cfRule type="cellIs" dxfId="5265" priority="7064" stopIfTrue="1" operator="equal">
      <formula>"Towel"</formula>
    </cfRule>
    <cfRule type="cellIs" dxfId="5264" priority="7065" stopIfTrue="1" operator="equal">
      <formula>"Napkin Hs"</formula>
    </cfRule>
  </conditionalFormatting>
  <conditionalFormatting sqref="C87">
    <cfRule type="cellIs" dxfId="5263" priority="7068" stopIfTrue="1" operator="equal">
      <formula>"Towel"</formula>
    </cfRule>
    <cfRule type="cellIs" dxfId="5262" priority="7069" stopIfTrue="1" operator="equal">
      <formula>"Napkin Hs"</formula>
    </cfRule>
  </conditionalFormatting>
  <conditionalFormatting sqref="C87:C88">
    <cfRule type="cellIs" dxfId="5261" priority="7066" stopIfTrue="1" operator="equal">
      <formula>"Towel"</formula>
    </cfRule>
    <cfRule type="cellIs" dxfId="5260" priority="7067" stopIfTrue="1" operator="equal">
      <formula>"Napkin Hs"</formula>
    </cfRule>
  </conditionalFormatting>
  <conditionalFormatting sqref="C88">
    <cfRule type="cellIs" dxfId="5259" priority="7062" stopIfTrue="1" operator="equal">
      <formula>"Towel"</formula>
    </cfRule>
    <cfRule type="cellIs" dxfId="5258" priority="7063" stopIfTrue="1" operator="equal">
      <formula>"Napkin Hs"</formula>
    </cfRule>
  </conditionalFormatting>
  <conditionalFormatting sqref="B85:C86">
    <cfRule type="cellIs" dxfId="5257" priority="7061" stopIfTrue="1" operator="equal">
      <formula>"Napkin Hs"</formula>
    </cfRule>
  </conditionalFormatting>
  <conditionalFormatting sqref="B85:C86">
    <cfRule type="cellIs" dxfId="5256" priority="7060" stopIfTrue="1" operator="equal">
      <formula>"Towel"</formula>
    </cfRule>
  </conditionalFormatting>
  <conditionalFormatting sqref="C85:C86">
    <cfRule type="cellIs" dxfId="5255" priority="7059" stopIfTrue="1" operator="equal">
      <formula>"Napkin Hs"</formula>
    </cfRule>
  </conditionalFormatting>
  <conditionalFormatting sqref="C85:C86">
    <cfRule type="cellIs" dxfId="5254" priority="7058" stopIfTrue="1" operator="equal">
      <formula>"Towel"</formula>
    </cfRule>
  </conditionalFormatting>
  <conditionalFormatting sqref="C85:C86">
    <cfRule type="cellIs" dxfId="5253" priority="7056" stopIfTrue="1" operator="equal">
      <formula>"Towel"</formula>
    </cfRule>
    <cfRule type="cellIs" dxfId="5252" priority="7057" stopIfTrue="1" operator="equal">
      <formula>"Napkin Hs"</formula>
    </cfRule>
  </conditionalFormatting>
  <conditionalFormatting sqref="B85:C86">
    <cfRule type="cellIs" dxfId="5251" priority="7054" stopIfTrue="1" operator="equal">
      <formula>"Towel"</formula>
    </cfRule>
    <cfRule type="cellIs" dxfId="5250" priority="7055" stopIfTrue="1" operator="equal">
      <formula>"Napkin Hs"</formula>
    </cfRule>
  </conditionalFormatting>
  <conditionalFormatting sqref="C85:C86">
    <cfRule type="cellIs" dxfId="5249" priority="7052" stopIfTrue="1" operator="equal">
      <formula>"Towel"</formula>
    </cfRule>
    <cfRule type="cellIs" dxfId="5248" priority="7053" stopIfTrue="1" operator="equal">
      <formula>"Napkin Hs"</formula>
    </cfRule>
  </conditionalFormatting>
  <conditionalFormatting sqref="C85:C86">
    <cfRule type="cellIs" dxfId="5247" priority="7050" stopIfTrue="1" operator="equal">
      <formula>"Towel"</formula>
    </cfRule>
    <cfRule type="cellIs" dxfId="5246" priority="7051" stopIfTrue="1" operator="equal">
      <formula>"Napkin Hs"</formula>
    </cfRule>
  </conditionalFormatting>
  <conditionalFormatting sqref="B85:C86">
    <cfRule type="cellIs" dxfId="5245" priority="7048" stopIfTrue="1" operator="equal">
      <formula>"Towel"</formula>
    </cfRule>
    <cfRule type="cellIs" dxfId="5244" priority="7049" stopIfTrue="1" operator="equal">
      <formula>"Napkin Hs"</formula>
    </cfRule>
  </conditionalFormatting>
  <conditionalFormatting sqref="C85:C86">
    <cfRule type="cellIs" dxfId="5243" priority="7046" stopIfTrue="1" operator="equal">
      <formula>"Towel"</formula>
    </cfRule>
    <cfRule type="cellIs" dxfId="5242" priority="7047" stopIfTrue="1" operator="equal">
      <formula>"Napkin Hs"</formula>
    </cfRule>
  </conditionalFormatting>
  <conditionalFormatting sqref="C85:C86">
    <cfRule type="cellIs" dxfId="5241" priority="7044" stopIfTrue="1" operator="equal">
      <formula>"Towel"</formula>
    </cfRule>
    <cfRule type="cellIs" dxfId="5240" priority="7045" stopIfTrue="1" operator="equal">
      <formula>"Napkin Hs"</formula>
    </cfRule>
  </conditionalFormatting>
  <conditionalFormatting sqref="B85:C86">
    <cfRule type="cellIs" dxfId="5239" priority="7042" stopIfTrue="1" operator="equal">
      <formula>"Towel"</formula>
    </cfRule>
    <cfRule type="cellIs" dxfId="5238" priority="7043" stopIfTrue="1" operator="equal">
      <formula>"Napkin Hs"</formula>
    </cfRule>
  </conditionalFormatting>
  <conditionalFormatting sqref="C85:C86">
    <cfRule type="cellIs" dxfId="5237" priority="7040" stopIfTrue="1" operator="equal">
      <formula>"Towel"</formula>
    </cfRule>
    <cfRule type="cellIs" dxfId="5236" priority="7041" stopIfTrue="1" operator="equal">
      <formula>"Napkin Hs"</formula>
    </cfRule>
  </conditionalFormatting>
  <conditionalFormatting sqref="C85:C86">
    <cfRule type="cellIs" dxfId="5235" priority="7038" stopIfTrue="1" operator="equal">
      <formula>"Towel"</formula>
    </cfRule>
    <cfRule type="cellIs" dxfId="5234" priority="7039" stopIfTrue="1" operator="equal">
      <formula>"Napkin Hs"</formula>
    </cfRule>
  </conditionalFormatting>
  <conditionalFormatting sqref="B85:C86">
    <cfRule type="cellIs" dxfId="5233" priority="7036" stopIfTrue="1" operator="equal">
      <formula>"Towel"</formula>
    </cfRule>
    <cfRule type="cellIs" dxfId="5232" priority="7037" stopIfTrue="1" operator="equal">
      <formula>"Napkin Hs"</formula>
    </cfRule>
  </conditionalFormatting>
  <conditionalFormatting sqref="C85:C86">
    <cfRule type="cellIs" dxfId="5231" priority="7034" stopIfTrue="1" operator="equal">
      <formula>"Towel"</formula>
    </cfRule>
    <cfRule type="cellIs" dxfId="5230" priority="7035" stopIfTrue="1" operator="equal">
      <formula>"Napkin Hs"</formula>
    </cfRule>
  </conditionalFormatting>
  <conditionalFormatting sqref="C85:C86">
    <cfRule type="cellIs" dxfId="5229" priority="7032" stopIfTrue="1" operator="equal">
      <formula>"Towel"</formula>
    </cfRule>
    <cfRule type="cellIs" dxfId="5228" priority="7033" stopIfTrue="1" operator="equal">
      <formula>"Napkin Hs"</formula>
    </cfRule>
  </conditionalFormatting>
  <conditionalFormatting sqref="B85:C86">
    <cfRule type="cellIs" dxfId="5227" priority="7030" stopIfTrue="1" operator="equal">
      <formula>"Towel"</formula>
    </cfRule>
    <cfRule type="cellIs" dxfId="5226" priority="7031" stopIfTrue="1" operator="equal">
      <formula>"Napkin Hs"</formula>
    </cfRule>
  </conditionalFormatting>
  <conditionalFormatting sqref="C85:C86">
    <cfRule type="cellIs" dxfId="5225" priority="7028" stopIfTrue="1" operator="equal">
      <formula>"Towel"</formula>
    </cfRule>
    <cfRule type="cellIs" dxfId="5224" priority="7029" stopIfTrue="1" operator="equal">
      <formula>"Napkin Hs"</formula>
    </cfRule>
  </conditionalFormatting>
  <conditionalFormatting sqref="C85:C86">
    <cfRule type="cellIs" dxfId="5223" priority="7026" stopIfTrue="1" operator="equal">
      <formula>"Towel"</formula>
    </cfRule>
    <cfRule type="cellIs" dxfId="5222" priority="7027" stopIfTrue="1" operator="equal">
      <formula>"Napkin Hs"</formula>
    </cfRule>
  </conditionalFormatting>
  <conditionalFormatting sqref="B85:C86">
    <cfRule type="cellIs" dxfId="5221" priority="7025" stopIfTrue="1" operator="equal">
      <formula>"Napkin Hs"</formula>
    </cfRule>
  </conditionalFormatting>
  <conditionalFormatting sqref="B85:C86">
    <cfRule type="cellIs" dxfId="5220" priority="7024" stopIfTrue="1" operator="equal">
      <formula>"Towel"</formula>
    </cfRule>
  </conditionalFormatting>
  <conditionalFormatting sqref="C85:C86">
    <cfRule type="cellIs" dxfId="5219" priority="7023" stopIfTrue="1" operator="equal">
      <formula>"Napkin Hs"</formula>
    </cfRule>
  </conditionalFormatting>
  <conditionalFormatting sqref="C85:C86">
    <cfRule type="cellIs" dxfId="5218" priority="7020" stopIfTrue="1" operator="equal">
      <formula>"Towel"</formula>
    </cfRule>
    <cfRule type="cellIs" dxfId="5217" priority="7021" stopIfTrue="1" operator="equal">
      <formula>"Napkin Hs"</formula>
    </cfRule>
  </conditionalFormatting>
  <conditionalFormatting sqref="C85:C86">
    <cfRule type="cellIs" dxfId="5216" priority="7022" stopIfTrue="1" operator="equal">
      <formula>"Towel"</formula>
    </cfRule>
  </conditionalFormatting>
  <conditionalFormatting sqref="C85:C86">
    <cfRule type="cellIs" dxfId="5215" priority="7019" stopIfTrue="1" operator="equal">
      <formula>"Napkin Hs"</formula>
    </cfRule>
  </conditionalFormatting>
  <conditionalFormatting sqref="C85:C86">
    <cfRule type="cellIs" dxfId="5214" priority="7018" stopIfTrue="1" operator="equal">
      <formula>"Towel"</formula>
    </cfRule>
  </conditionalFormatting>
  <conditionalFormatting sqref="C85:C86">
    <cfRule type="cellIs" dxfId="5213" priority="7017" stopIfTrue="1" operator="equal">
      <formula>"Napkin Hs"</formula>
    </cfRule>
  </conditionalFormatting>
  <conditionalFormatting sqref="C85:C86">
    <cfRule type="cellIs" dxfId="5212" priority="7014" stopIfTrue="1" operator="equal">
      <formula>"Towel"</formula>
    </cfRule>
    <cfRule type="cellIs" dxfId="5211" priority="7015" stopIfTrue="1" operator="equal">
      <formula>"Napkin Hs"</formula>
    </cfRule>
  </conditionalFormatting>
  <conditionalFormatting sqref="C85:C86">
    <cfRule type="cellIs" dxfId="5210" priority="7016" stopIfTrue="1" operator="equal">
      <formula>"Towel"</formula>
    </cfRule>
  </conditionalFormatting>
  <conditionalFormatting sqref="C85:C86">
    <cfRule type="cellIs" dxfId="5209" priority="7013" stopIfTrue="1" operator="equal">
      <formula>"Napkin Hs"</formula>
    </cfRule>
  </conditionalFormatting>
  <conditionalFormatting sqref="C85:C86">
    <cfRule type="cellIs" dxfId="5208" priority="7012" stopIfTrue="1" operator="equal">
      <formula>"Towel"</formula>
    </cfRule>
  </conditionalFormatting>
  <conditionalFormatting sqref="C85:C86">
    <cfRule type="cellIs" dxfId="5207" priority="7011" stopIfTrue="1" operator="equal">
      <formula>"Napkin Hs"</formula>
    </cfRule>
  </conditionalFormatting>
  <conditionalFormatting sqref="C85:C86">
    <cfRule type="cellIs" dxfId="5206" priority="7008" stopIfTrue="1" operator="equal">
      <formula>"Towel"</formula>
    </cfRule>
    <cfRule type="cellIs" dxfId="5205" priority="7009" stopIfTrue="1" operator="equal">
      <formula>"Napkin Hs"</formula>
    </cfRule>
  </conditionalFormatting>
  <conditionalFormatting sqref="C85:C86">
    <cfRule type="cellIs" dxfId="5204" priority="7010" stopIfTrue="1" operator="equal">
      <formula>"Towel"</formula>
    </cfRule>
  </conditionalFormatting>
  <conditionalFormatting sqref="B85:B86">
    <cfRule type="cellIs" dxfId="5203" priority="7006" stopIfTrue="1" operator="equal">
      <formula>"Towel"</formula>
    </cfRule>
    <cfRule type="cellIs" dxfId="5202" priority="7007" stopIfTrue="1" operator="equal">
      <formula>"Napkin Hs"</formula>
    </cfRule>
  </conditionalFormatting>
  <conditionalFormatting sqref="B85:B86">
    <cfRule type="cellIs" dxfId="5201" priority="7005" stopIfTrue="1" operator="equal">
      <formula>"Napkin Hs"</formula>
    </cfRule>
  </conditionalFormatting>
  <conditionalFormatting sqref="B85:B86">
    <cfRule type="cellIs" dxfId="5200" priority="7004" stopIfTrue="1" operator="equal">
      <formula>"Towel"</formula>
    </cfRule>
  </conditionalFormatting>
  <conditionalFormatting sqref="B84:C84">
    <cfRule type="cellIs" dxfId="5199" priority="7002" stopIfTrue="1" operator="equal">
      <formula>"Towel"</formula>
    </cfRule>
    <cfRule type="cellIs" dxfId="5198" priority="7003" stopIfTrue="1" operator="equal">
      <formula>"Napkin Hs"</formula>
    </cfRule>
  </conditionalFormatting>
  <conditionalFormatting sqref="C84">
    <cfRule type="cellIs" dxfId="5197" priority="6998" stopIfTrue="1" operator="equal">
      <formula>"Towel"</formula>
    </cfRule>
    <cfRule type="cellIs" dxfId="5196" priority="6999" stopIfTrue="1" operator="equal">
      <formula>"Napkin Hs"</formula>
    </cfRule>
  </conditionalFormatting>
  <conditionalFormatting sqref="C84">
    <cfRule type="cellIs" dxfId="5195" priority="7000" stopIfTrue="1" operator="equal">
      <formula>"Towel"</formula>
    </cfRule>
    <cfRule type="cellIs" dxfId="5194" priority="7001" stopIfTrue="1" operator="equal">
      <formula>"Napkin Hs"</formula>
    </cfRule>
  </conditionalFormatting>
  <conditionalFormatting sqref="B84:C84">
    <cfRule type="cellIs" dxfId="5193" priority="6996" stopIfTrue="1" operator="equal">
      <formula>"Towel"</formula>
    </cfRule>
    <cfRule type="cellIs" dxfId="5192" priority="6997" stopIfTrue="1" operator="equal">
      <formula>"Napkin Hs"</formula>
    </cfRule>
  </conditionalFormatting>
  <conditionalFormatting sqref="C84">
    <cfRule type="cellIs" dxfId="5191" priority="6992" stopIfTrue="1" operator="equal">
      <formula>"Towel"</formula>
    </cfRule>
    <cfRule type="cellIs" dxfId="5190" priority="6993" stopIfTrue="1" operator="equal">
      <formula>"Napkin Hs"</formula>
    </cfRule>
  </conditionalFormatting>
  <conditionalFormatting sqref="C84">
    <cfRule type="cellIs" dxfId="5189" priority="6994" stopIfTrue="1" operator="equal">
      <formula>"Towel"</formula>
    </cfRule>
    <cfRule type="cellIs" dxfId="5188" priority="6995" stopIfTrue="1" operator="equal">
      <formula>"Napkin Hs"</formula>
    </cfRule>
  </conditionalFormatting>
  <conditionalFormatting sqref="B84:C84">
    <cfRule type="cellIs" dxfId="5187" priority="6990" stopIfTrue="1" operator="equal">
      <formula>"Towel"</formula>
    </cfRule>
    <cfRule type="cellIs" dxfId="5186" priority="6991" stopIfTrue="1" operator="equal">
      <formula>"Napkin Hs"</formula>
    </cfRule>
  </conditionalFormatting>
  <conditionalFormatting sqref="C84">
    <cfRule type="cellIs" dxfId="5185" priority="6988" stopIfTrue="1" operator="equal">
      <formula>"Towel"</formula>
    </cfRule>
    <cfRule type="cellIs" dxfId="5184" priority="6989" stopIfTrue="1" operator="equal">
      <formula>"Napkin Hs"</formula>
    </cfRule>
  </conditionalFormatting>
  <conditionalFormatting sqref="C84">
    <cfRule type="cellIs" dxfId="5183" priority="6986" stopIfTrue="1" operator="equal">
      <formula>"Towel"</formula>
    </cfRule>
    <cfRule type="cellIs" dxfId="5182" priority="6987" stopIfTrue="1" operator="equal">
      <formula>"Napkin Hs"</formula>
    </cfRule>
  </conditionalFormatting>
  <conditionalFormatting sqref="B84:C84">
    <cfRule type="cellIs" dxfId="5181" priority="6984" stopIfTrue="1" operator="equal">
      <formula>"Towel"</formula>
    </cfRule>
    <cfRule type="cellIs" dxfId="5180" priority="6985" stopIfTrue="1" operator="equal">
      <formula>"Napkin Hs"</formula>
    </cfRule>
  </conditionalFormatting>
  <conditionalFormatting sqref="C84">
    <cfRule type="cellIs" dxfId="5179" priority="6982" stopIfTrue="1" operator="equal">
      <formula>"Towel"</formula>
    </cfRule>
    <cfRule type="cellIs" dxfId="5178" priority="6983" stopIfTrue="1" operator="equal">
      <formula>"Napkin Hs"</formula>
    </cfRule>
  </conditionalFormatting>
  <conditionalFormatting sqref="C84">
    <cfRule type="cellIs" dxfId="5177" priority="6980" stopIfTrue="1" operator="equal">
      <formula>"Towel"</formula>
    </cfRule>
    <cfRule type="cellIs" dxfId="5176" priority="6981" stopIfTrue="1" operator="equal">
      <formula>"Napkin Hs"</formula>
    </cfRule>
  </conditionalFormatting>
  <conditionalFormatting sqref="B84:C84">
    <cfRule type="cellIs" dxfId="5175" priority="6978" stopIfTrue="1" operator="equal">
      <formula>"Towel"</formula>
    </cfRule>
    <cfRule type="cellIs" dxfId="5174" priority="6979" stopIfTrue="1" operator="equal">
      <formula>"Napkin Hs"</formula>
    </cfRule>
  </conditionalFormatting>
  <conditionalFormatting sqref="C84">
    <cfRule type="cellIs" dxfId="5173" priority="6976" stopIfTrue="1" operator="equal">
      <formula>"Towel"</formula>
    </cfRule>
    <cfRule type="cellIs" dxfId="5172" priority="6977" stopIfTrue="1" operator="equal">
      <formula>"Napkin Hs"</formula>
    </cfRule>
  </conditionalFormatting>
  <conditionalFormatting sqref="C84">
    <cfRule type="cellIs" dxfId="5171" priority="6974" stopIfTrue="1" operator="equal">
      <formula>"Towel"</formula>
    </cfRule>
    <cfRule type="cellIs" dxfId="5170" priority="6975" stopIfTrue="1" operator="equal">
      <formula>"Napkin Hs"</formula>
    </cfRule>
  </conditionalFormatting>
  <conditionalFormatting sqref="B84:C84">
    <cfRule type="cellIs" dxfId="5169" priority="6973" stopIfTrue="1" operator="equal">
      <formula>"Napkin Hs"</formula>
    </cfRule>
  </conditionalFormatting>
  <conditionalFormatting sqref="B84:C84">
    <cfRule type="cellIs" dxfId="5168" priority="6972" stopIfTrue="1" operator="equal">
      <formula>"Towel"</formula>
    </cfRule>
  </conditionalFormatting>
  <conditionalFormatting sqref="C84">
    <cfRule type="cellIs" dxfId="5167" priority="6971" stopIfTrue="1" operator="equal">
      <formula>"Napkin Hs"</formula>
    </cfRule>
  </conditionalFormatting>
  <conditionalFormatting sqref="C84">
    <cfRule type="cellIs" dxfId="5166" priority="6968" stopIfTrue="1" operator="equal">
      <formula>"Towel"</formula>
    </cfRule>
    <cfRule type="cellIs" dxfId="5165" priority="6969" stopIfTrue="1" operator="equal">
      <formula>"Napkin Hs"</formula>
    </cfRule>
  </conditionalFormatting>
  <conditionalFormatting sqref="C84">
    <cfRule type="cellIs" dxfId="5164" priority="6970" stopIfTrue="1" operator="equal">
      <formula>"Towel"</formula>
    </cfRule>
  </conditionalFormatting>
  <conditionalFormatting sqref="B83:C83">
    <cfRule type="cellIs" dxfId="5163" priority="6966" stopIfTrue="1" operator="equal">
      <formula>"Towel"</formula>
    </cfRule>
    <cfRule type="cellIs" dxfId="5162" priority="6967" stopIfTrue="1" operator="equal">
      <formula>"Napkin Hs"</formula>
    </cfRule>
  </conditionalFormatting>
  <conditionalFormatting sqref="C83">
    <cfRule type="cellIs" dxfId="5161" priority="6962" stopIfTrue="1" operator="equal">
      <formula>"Towel"</formula>
    </cfRule>
    <cfRule type="cellIs" dxfId="5160" priority="6963" stopIfTrue="1" operator="equal">
      <formula>"Napkin Hs"</formula>
    </cfRule>
  </conditionalFormatting>
  <conditionalFormatting sqref="C83">
    <cfRule type="cellIs" dxfId="5159" priority="6964" stopIfTrue="1" operator="equal">
      <formula>"Towel"</formula>
    </cfRule>
    <cfRule type="cellIs" dxfId="5158" priority="6965" stopIfTrue="1" operator="equal">
      <formula>"Napkin Hs"</formula>
    </cfRule>
  </conditionalFormatting>
  <conditionalFormatting sqref="B83:C83">
    <cfRule type="cellIs" dxfId="5157" priority="6960" stopIfTrue="1" operator="equal">
      <formula>"Towel"</formula>
    </cfRule>
    <cfRule type="cellIs" dxfId="5156" priority="6961" stopIfTrue="1" operator="equal">
      <formula>"Napkin Hs"</formula>
    </cfRule>
  </conditionalFormatting>
  <conditionalFormatting sqref="C83">
    <cfRule type="cellIs" dxfId="5155" priority="6956" stopIfTrue="1" operator="equal">
      <formula>"Towel"</formula>
    </cfRule>
    <cfRule type="cellIs" dxfId="5154" priority="6957" stopIfTrue="1" operator="equal">
      <formula>"Napkin Hs"</formula>
    </cfRule>
  </conditionalFormatting>
  <conditionalFormatting sqref="C83">
    <cfRule type="cellIs" dxfId="5153" priority="6958" stopIfTrue="1" operator="equal">
      <formula>"Towel"</formula>
    </cfRule>
    <cfRule type="cellIs" dxfId="5152" priority="6959" stopIfTrue="1" operator="equal">
      <formula>"Napkin Hs"</formula>
    </cfRule>
  </conditionalFormatting>
  <conditionalFormatting sqref="B83:C83">
    <cfRule type="cellIs" dxfId="5151" priority="6954" stopIfTrue="1" operator="equal">
      <formula>"Towel"</formula>
    </cfRule>
    <cfRule type="cellIs" dxfId="5150" priority="6955" stopIfTrue="1" operator="equal">
      <formula>"Napkin Hs"</formula>
    </cfRule>
  </conditionalFormatting>
  <conditionalFormatting sqref="C83">
    <cfRule type="cellIs" dxfId="5149" priority="6952" stopIfTrue="1" operator="equal">
      <formula>"Towel"</formula>
    </cfRule>
    <cfRule type="cellIs" dxfId="5148" priority="6953" stopIfTrue="1" operator="equal">
      <formula>"Napkin Hs"</formula>
    </cfRule>
  </conditionalFormatting>
  <conditionalFormatting sqref="C83">
    <cfRule type="cellIs" dxfId="5147" priority="6950" stopIfTrue="1" operator="equal">
      <formula>"Towel"</formula>
    </cfRule>
    <cfRule type="cellIs" dxfId="5146" priority="6951" stopIfTrue="1" operator="equal">
      <formula>"Napkin Hs"</formula>
    </cfRule>
  </conditionalFormatting>
  <conditionalFormatting sqref="B83:C83">
    <cfRule type="cellIs" dxfId="5145" priority="6948" stopIfTrue="1" operator="equal">
      <formula>"Towel"</formula>
    </cfRule>
    <cfRule type="cellIs" dxfId="5144" priority="6949" stopIfTrue="1" operator="equal">
      <formula>"Napkin Hs"</formula>
    </cfRule>
  </conditionalFormatting>
  <conditionalFormatting sqref="C83">
    <cfRule type="cellIs" dxfId="5143" priority="6946" stopIfTrue="1" operator="equal">
      <formula>"Towel"</formula>
    </cfRule>
    <cfRule type="cellIs" dxfId="5142" priority="6947" stopIfTrue="1" operator="equal">
      <formula>"Napkin Hs"</formula>
    </cfRule>
  </conditionalFormatting>
  <conditionalFormatting sqref="C83">
    <cfRule type="cellIs" dxfId="5141" priority="6944" stopIfTrue="1" operator="equal">
      <formula>"Towel"</formula>
    </cfRule>
    <cfRule type="cellIs" dxfId="5140" priority="6945" stopIfTrue="1" operator="equal">
      <formula>"Napkin Hs"</formula>
    </cfRule>
  </conditionalFormatting>
  <conditionalFormatting sqref="B83:C83">
    <cfRule type="cellIs" dxfId="5139" priority="6942" stopIfTrue="1" operator="equal">
      <formula>"Towel"</formula>
    </cfRule>
    <cfRule type="cellIs" dxfId="5138" priority="6943" stopIfTrue="1" operator="equal">
      <formula>"Napkin Hs"</formula>
    </cfRule>
  </conditionalFormatting>
  <conditionalFormatting sqref="C83">
    <cfRule type="cellIs" dxfId="5137" priority="6940" stopIfTrue="1" operator="equal">
      <formula>"Towel"</formula>
    </cfRule>
    <cfRule type="cellIs" dxfId="5136" priority="6941" stopIfTrue="1" operator="equal">
      <formula>"Napkin Hs"</formula>
    </cfRule>
  </conditionalFormatting>
  <conditionalFormatting sqref="C83">
    <cfRule type="cellIs" dxfId="5135" priority="6938" stopIfTrue="1" operator="equal">
      <formula>"Towel"</formula>
    </cfRule>
    <cfRule type="cellIs" dxfId="5134" priority="6939" stopIfTrue="1" operator="equal">
      <formula>"Napkin Hs"</formula>
    </cfRule>
  </conditionalFormatting>
  <conditionalFormatting sqref="B82:C82">
    <cfRule type="cellIs" dxfId="5133" priority="6900" stopIfTrue="1" operator="equal">
      <formula>"Towel"</formula>
    </cfRule>
    <cfRule type="cellIs" dxfId="5132" priority="6901" stopIfTrue="1" operator="equal">
      <formula>"Napkin Hs"</formula>
    </cfRule>
  </conditionalFormatting>
  <conditionalFormatting sqref="C82">
    <cfRule type="cellIs" dxfId="5131" priority="6898" stopIfTrue="1" operator="equal">
      <formula>"Towel"</formula>
    </cfRule>
    <cfRule type="cellIs" dxfId="5130" priority="6899" stopIfTrue="1" operator="equal">
      <formula>"Napkin Hs"</formula>
    </cfRule>
  </conditionalFormatting>
  <conditionalFormatting sqref="B84:C84">
    <cfRule type="cellIs" dxfId="5129" priority="6888" stopIfTrue="1" operator="equal">
      <formula>"Towel"</formula>
    </cfRule>
    <cfRule type="cellIs" dxfId="5128" priority="6889" stopIfTrue="1" operator="equal">
      <formula>"Napkin Hs"</formula>
    </cfRule>
  </conditionalFormatting>
  <conditionalFormatting sqref="C84">
    <cfRule type="cellIs" dxfId="5127" priority="6886" stopIfTrue="1" operator="equal">
      <formula>"Towel"</formula>
    </cfRule>
    <cfRule type="cellIs" dxfId="5126" priority="6887" stopIfTrue="1" operator="equal">
      <formula>"Napkin Hs"</formula>
    </cfRule>
  </conditionalFormatting>
  <conditionalFormatting sqref="C84">
    <cfRule type="cellIs" dxfId="5125" priority="6880" stopIfTrue="1" operator="equal">
      <formula>"Towel"</formula>
    </cfRule>
    <cfRule type="cellIs" dxfId="5124" priority="6881" stopIfTrue="1" operator="equal">
      <formula>"Napkin Hs"</formula>
    </cfRule>
  </conditionalFormatting>
  <conditionalFormatting sqref="B84:C84">
    <cfRule type="cellIs" dxfId="5123" priority="6855" stopIfTrue="1" operator="equal">
      <formula>"Napkin Hs"</formula>
    </cfRule>
  </conditionalFormatting>
  <conditionalFormatting sqref="B84:C84">
    <cfRule type="cellIs" dxfId="5122" priority="6854" stopIfTrue="1" operator="equal">
      <formula>"Towel"</formula>
    </cfRule>
  </conditionalFormatting>
  <conditionalFormatting sqref="C84">
    <cfRule type="cellIs" dxfId="5121" priority="6853" stopIfTrue="1" operator="equal">
      <formula>"Napkin Hs"</formula>
    </cfRule>
  </conditionalFormatting>
  <conditionalFormatting sqref="C84">
    <cfRule type="cellIs" dxfId="5120" priority="6852" stopIfTrue="1" operator="equal">
      <formula>"Towel"</formula>
    </cfRule>
  </conditionalFormatting>
  <conditionalFormatting sqref="B83:C83">
    <cfRule type="cellIs" dxfId="5119" priority="6846" stopIfTrue="1" operator="equal">
      <formula>"Towel"</formula>
    </cfRule>
    <cfRule type="cellIs" dxfId="5118" priority="6847" stopIfTrue="1" operator="equal">
      <formula>"Napkin Hs"</formula>
    </cfRule>
  </conditionalFormatting>
  <conditionalFormatting sqref="C83">
    <cfRule type="cellIs" dxfId="5117" priority="6848" stopIfTrue="1" operator="equal">
      <formula>"Towel"</formula>
    </cfRule>
    <cfRule type="cellIs" dxfId="5116" priority="6849" stopIfTrue="1" operator="equal">
      <formula>"Napkin Hs"</formula>
    </cfRule>
  </conditionalFormatting>
  <conditionalFormatting sqref="B95:C95">
    <cfRule type="cellIs" dxfId="5115" priority="6764" stopIfTrue="1" operator="equal">
      <formula>"Towel"</formula>
    </cfRule>
    <cfRule type="cellIs" dxfId="5114" priority="6765" stopIfTrue="1" operator="equal">
      <formula>"Napkin Hs"</formula>
    </cfRule>
  </conditionalFormatting>
  <conditionalFormatting sqref="C95">
    <cfRule type="cellIs" dxfId="5113" priority="6760" stopIfTrue="1" operator="equal">
      <formula>"Towel"</formula>
    </cfRule>
    <cfRule type="cellIs" dxfId="5112" priority="6761" stopIfTrue="1" operator="equal">
      <formula>"Napkin Hs"</formula>
    </cfRule>
  </conditionalFormatting>
  <conditionalFormatting sqref="C95">
    <cfRule type="cellIs" dxfId="5111" priority="6762" stopIfTrue="1" operator="equal">
      <formula>"Towel"</formula>
    </cfRule>
    <cfRule type="cellIs" dxfId="5110" priority="6763" stopIfTrue="1" operator="equal">
      <formula>"Napkin Hs"</formula>
    </cfRule>
  </conditionalFormatting>
  <conditionalFormatting sqref="B95:C95">
    <cfRule type="cellIs" dxfId="5109" priority="6759" stopIfTrue="1" operator="equal">
      <formula>"Napkin Hs"</formula>
    </cfRule>
  </conditionalFormatting>
  <conditionalFormatting sqref="B95:C95">
    <cfRule type="cellIs" dxfId="5108" priority="6758" stopIfTrue="1" operator="equal">
      <formula>"Towel"</formula>
    </cfRule>
  </conditionalFormatting>
  <conditionalFormatting sqref="C95">
    <cfRule type="cellIs" dxfId="5107" priority="6757" stopIfTrue="1" operator="equal">
      <formula>"Napkin Hs"</formula>
    </cfRule>
  </conditionalFormatting>
  <conditionalFormatting sqref="C95">
    <cfRule type="cellIs" dxfId="5106" priority="6756" stopIfTrue="1" operator="equal">
      <formula>"Towel"</formula>
    </cfRule>
  </conditionalFormatting>
  <conditionalFormatting sqref="C95">
    <cfRule type="cellIs" dxfId="5105" priority="6754" stopIfTrue="1" operator="equal">
      <formula>"Towel"</formula>
    </cfRule>
    <cfRule type="cellIs" dxfId="5104" priority="6755" stopIfTrue="1" operator="equal">
      <formula>"Napkin Hs"</formula>
    </cfRule>
  </conditionalFormatting>
  <conditionalFormatting sqref="B95:C95">
    <cfRule type="cellIs" dxfId="5103" priority="6752" stopIfTrue="1" operator="equal">
      <formula>"Towel"</formula>
    </cfRule>
    <cfRule type="cellIs" dxfId="5102" priority="6753" stopIfTrue="1" operator="equal">
      <formula>"Napkin Hs"</formula>
    </cfRule>
  </conditionalFormatting>
  <conditionalFormatting sqref="C95">
    <cfRule type="cellIs" dxfId="5101" priority="6750" stopIfTrue="1" operator="equal">
      <formula>"Towel"</formula>
    </cfRule>
    <cfRule type="cellIs" dxfId="5100" priority="6751" stopIfTrue="1" operator="equal">
      <formula>"Napkin Hs"</formula>
    </cfRule>
  </conditionalFormatting>
  <conditionalFormatting sqref="C95">
    <cfRule type="cellIs" dxfId="5099" priority="6748" stopIfTrue="1" operator="equal">
      <formula>"Towel"</formula>
    </cfRule>
    <cfRule type="cellIs" dxfId="5098" priority="6749" stopIfTrue="1" operator="equal">
      <formula>"Napkin Hs"</formula>
    </cfRule>
  </conditionalFormatting>
  <conditionalFormatting sqref="B95:C95">
    <cfRule type="cellIs" dxfId="5097" priority="6746" stopIfTrue="1" operator="equal">
      <formula>"Towel"</formula>
    </cfRule>
    <cfRule type="cellIs" dxfId="5096" priority="6747" stopIfTrue="1" operator="equal">
      <formula>"Napkin Hs"</formula>
    </cfRule>
  </conditionalFormatting>
  <conditionalFormatting sqref="C95">
    <cfRule type="cellIs" dxfId="5095" priority="6744" stopIfTrue="1" operator="equal">
      <formula>"Towel"</formula>
    </cfRule>
    <cfRule type="cellIs" dxfId="5094" priority="6745" stopIfTrue="1" operator="equal">
      <formula>"Napkin Hs"</formula>
    </cfRule>
  </conditionalFormatting>
  <conditionalFormatting sqref="C95">
    <cfRule type="cellIs" dxfId="5093" priority="6742" stopIfTrue="1" operator="equal">
      <formula>"Towel"</formula>
    </cfRule>
    <cfRule type="cellIs" dxfId="5092" priority="6743" stopIfTrue="1" operator="equal">
      <formula>"Napkin Hs"</formula>
    </cfRule>
  </conditionalFormatting>
  <conditionalFormatting sqref="B95:C95">
    <cfRule type="cellIs" dxfId="5091" priority="6740" stopIfTrue="1" operator="equal">
      <formula>"Towel"</formula>
    </cfRule>
    <cfRule type="cellIs" dxfId="5090" priority="6741" stopIfTrue="1" operator="equal">
      <formula>"Napkin Hs"</formula>
    </cfRule>
  </conditionalFormatting>
  <conditionalFormatting sqref="C95">
    <cfRule type="cellIs" dxfId="5089" priority="6738" stopIfTrue="1" operator="equal">
      <formula>"Towel"</formula>
    </cfRule>
    <cfRule type="cellIs" dxfId="5088" priority="6739" stopIfTrue="1" operator="equal">
      <formula>"Napkin Hs"</formula>
    </cfRule>
  </conditionalFormatting>
  <conditionalFormatting sqref="C95">
    <cfRule type="cellIs" dxfId="5087" priority="6736" stopIfTrue="1" operator="equal">
      <formula>"Towel"</formula>
    </cfRule>
    <cfRule type="cellIs" dxfId="5086" priority="6737" stopIfTrue="1" operator="equal">
      <formula>"Napkin Hs"</formula>
    </cfRule>
  </conditionalFormatting>
  <conditionalFormatting sqref="B95:C95">
    <cfRule type="cellIs" dxfId="5085" priority="6734" stopIfTrue="1" operator="equal">
      <formula>"Towel"</formula>
    </cfRule>
    <cfRule type="cellIs" dxfId="5084" priority="6735" stopIfTrue="1" operator="equal">
      <formula>"Napkin Hs"</formula>
    </cfRule>
  </conditionalFormatting>
  <conditionalFormatting sqref="C95">
    <cfRule type="cellIs" dxfId="5083" priority="6732" stopIfTrue="1" operator="equal">
      <formula>"Towel"</formula>
    </cfRule>
    <cfRule type="cellIs" dxfId="5082" priority="6733" stopIfTrue="1" operator="equal">
      <formula>"Napkin Hs"</formula>
    </cfRule>
  </conditionalFormatting>
  <conditionalFormatting sqref="C95">
    <cfRule type="cellIs" dxfId="5081" priority="6730" stopIfTrue="1" operator="equal">
      <formula>"Towel"</formula>
    </cfRule>
    <cfRule type="cellIs" dxfId="5080" priority="6731" stopIfTrue="1" operator="equal">
      <formula>"Napkin Hs"</formula>
    </cfRule>
  </conditionalFormatting>
  <conditionalFormatting sqref="B95:C95">
    <cfRule type="cellIs" dxfId="5079" priority="6728" stopIfTrue="1" operator="equal">
      <formula>"Towel"</formula>
    </cfRule>
    <cfRule type="cellIs" dxfId="5078" priority="6729" stopIfTrue="1" operator="equal">
      <formula>"Napkin Hs"</formula>
    </cfRule>
  </conditionalFormatting>
  <conditionalFormatting sqref="C95">
    <cfRule type="cellIs" dxfId="5077" priority="6726" stopIfTrue="1" operator="equal">
      <formula>"Towel"</formula>
    </cfRule>
    <cfRule type="cellIs" dxfId="5076" priority="6727" stopIfTrue="1" operator="equal">
      <formula>"Napkin Hs"</formula>
    </cfRule>
  </conditionalFormatting>
  <conditionalFormatting sqref="C95">
    <cfRule type="cellIs" dxfId="5075" priority="6724" stopIfTrue="1" operator="equal">
      <formula>"Towel"</formula>
    </cfRule>
    <cfRule type="cellIs" dxfId="5074" priority="6725" stopIfTrue="1" operator="equal">
      <formula>"Napkin Hs"</formula>
    </cfRule>
  </conditionalFormatting>
  <conditionalFormatting sqref="B95:C95">
    <cfRule type="cellIs" dxfId="5073" priority="6723" stopIfTrue="1" operator="equal">
      <formula>"Napkin Hs"</formula>
    </cfRule>
  </conditionalFormatting>
  <conditionalFormatting sqref="B95:C95">
    <cfRule type="cellIs" dxfId="5072" priority="6722" stopIfTrue="1" operator="equal">
      <formula>"Towel"</formula>
    </cfRule>
  </conditionalFormatting>
  <conditionalFormatting sqref="C95">
    <cfRule type="cellIs" dxfId="5071" priority="6721" stopIfTrue="1" operator="equal">
      <formula>"Napkin Hs"</formula>
    </cfRule>
  </conditionalFormatting>
  <conditionalFormatting sqref="C95">
    <cfRule type="cellIs" dxfId="5070" priority="6718" stopIfTrue="1" operator="equal">
      <formula>"Towel"</formula>
    </cfRule>
    <cfRule type="cellIs" dxfId="5069" priority="6719" stopIfTrue="1" operator="equal">
      <formula>"Napkin Hs"</formula>
    </cfRule>
  </conditionalFormatting>
  <conditionalFormatting sqref="C95">
    <cfRule type="cellIs" dxfId="5068" priority="6720" stopIfTrue="1" operator="equal">
      <formula>"Towel"</formula>
    </cfRule>
  </conditionalFormatting>
  <conditionalFormatting sqref="B94:C94">
    <cfRule type="cellIs" dxfId="5067" priority="6301" stopIfTrue="1" operator="equal">
      <formula>"Napkin Hs"</formula>
    </cfRule>
  </conditionalFormatting>
  <conditionalFormatting sqref="B94:C94">
    <cfRule type="cellIs" dxfId="5066" priority="6300" stopIfTrue="1" operator="equal">
      <formula>"Towel"</formula>
    </cfRule>
  </conditionalFormatting>
  <conditionalFormatting sqref="C94">
    <cfRule type="cellIs" dxfId="5065" priority="6299" stopIfTrue="1" operator="equal">
      <formula>"Napkin Hs"</formula>
    </cfRule>
  </conditionalFormatting>
  <conditionalFormatting sqref="C94">
    <cfRule type="cellIs" dxfId="5064" priority="6298" stopIfTrue="1" operator="equal">
      <formula>"Towel"</formula>
    </cfRule>
  </conditionalFormatting>
  <conditionalFormatting sqref="C94">
    <cfRule type="cellIs" dxfId="5063" priority="6296" stopIfTrue="1" operator="equal">
      <formula>"Towel"</formula>
    </cfRule>
    <cfRule type="cellIs" dxfId="5062" priority="6297" stopIfTrue="1" operator="equal">
      <formula>"Napkin Hs"</formula>
    </cfRule>
  </conditionalFormatting>
  <conditionalFormatting sqref="B94:C94">
    <cfRule type="cellIs" dxfId="5061" priority="6294" stopIfTrue="1" operator="equal">
      <formula>"Towel"</formula>
    </cfRule>
    <cfRule type="cellIs" dxfId="5060" priority="6295" stopIfTrue="1" operator="equal">
      <formula>"Napkin Hs"</formula>
    </cfRule>
  </conditionalFormatting>
  <conditionalFormatting sqref="C94">
    <cfRule type="cellIs" dxfId="5059" priority="6290" stopIfTrue="1" operator="equal">
      <formula>"Towel"</formula>
    </cfRule>
    <cfRule type="cellIs" dxfId="5058" priority="6291" stopIfTrue="1" operator="equal">
      <formula>"Napkin Hs"</formula>
    </cfRule>
  </conditionalFormatting>
  <conditionalFormatting sqref="B94:C94">
    <cfRule type="cellIs" dxfId="5057" priority="6288" stopIfTrue="1" operator="equal">
      <formula>"Towel"</formula>
    </cfRule>
    <cfRule type="cellIs" dxfId="5056" priority="6289" stopIfTrue="1" operator="equal">
      <formula>"Napkin Hs"</formula>
    </cfRule>
  </conditionalFormatting>
  <conditionalFormatting sqref="C94">
    <cfRule type="cellIs" dxfId="5055" priority="6286" stopIfTrue="1" operator="equal">
      <formula>"Towel"</formula>
    </cfRule>
    <cfRule type="cellIs" dxfId="5054" priority="6287" stopIfTrue="1" operator="equal">
      <formula>"Napkin Hs"</formula>
    </cfRule>
  </conditionalFormatting>
  <conditionalFormatting sqref="C94">
    <cfRule type="cellIs" dxfId="5053" priority="6284" stopIfTrue="1" operator="equal">
      <formula>"Towel"</formula>
    </cfRule>
    <cfRule type="cellIs" dxfId="5052" priority="6285" stopIfTrue="1" operator="equal">
      <formula>"Napkin Hs"</formula>
    </cfRule>
  </conditionalFormatting>
  <conditionalFormatting sqref="B94:C94">
    <cfRule type="cellIs" dxfId="5051" priority="6282" stopIfTrue="1" operator="equal">
      <formula>"Towel"</formula>
    </cfRule>
    <cfRule type="cellIs" dxfId="5050" priority="6283" stopIfTrue="1" operator="equal">
      <formula>"Napkin Hs"</formula>
    </cfRule>
  </conditionalFormatting>
  <conditionalFormatting sqref="C94">
    <cfRule type="cellIs" dxfId="5049" priority="6280" stopIfTrue="1" operator="equal">
      <formula>"Towel"</formula>
    </cfRule>
    <cfRule type="cellIs" dxfId="5048" priority="6281" stopIfTrue="1" operator="equal">
      <formula>"Napkin Hs"</formula>
    </cfRule>
  </conditionalFormatting>
  <conditionalFormatting sqref="C94">
    <cfRule type="cellIs" dxfId="5047" priority="6278" stopIfTrue="1" operator="equal">
      <formula>"Towel"</formula>
    </cfRule>
    <cfRule type="cellIs" dxfId="5046" priority="6279" stopIfTrue="1" operator="equal">
      <formula>"Napkin Hs"</formula>
    </cfRule>
  </conditionalFormatting>
  <conditionalFormatting sqref="B94:C94">
    <cfRule type="cellIs" dxfId="5045" priority="6276" stopIfTrue="1" operator="equal">
      <formula>"Towel"</formula>
    </cfRule>
    <cfRule type="cellIs" dxfId="5044" priority="6277" stopIfTrue="1" operator="equal">
      <formula>"Napkin Hs"</formula>
    </cfRule>
  </conditionalFormatting>
  <conditionalFormatting sqref="C94">
    <cfRule type="cellIs" dxfId="5043" priority="6274" stopIfTrue="1" operator="equal">
      <formula>"Towel"</formula>
    </cfRule>
    <cfRule type="cellIs" dxfId="5042" priority="6275" stopIfTrue="1" operator="equal">
      <formula>"Napkin Hs"</formula>
    </cfRule>
  </conditionalFormatting>
  <conditionalFormatting sqref="C94">
    <cfRule type="cellIs" dxfId="5041" priority="6272" stopIfTrue="1" operator="equal">
      <formula>"Towel"</formula>
    </cfRule>
    <cfRule type="cellIs" dxfId="5040" priority="6273" stopIfTrue="1" operator="equal">
      <formula>"Napkin Hs"</formula>
    </cfRule>
  </conditionalFormatting>
  <conditionalFormatting sqref="B94:C94">
    <cfRule type="cellIs" dxfId="5039" priority="6270" stopIfTrue="1" operator="equal">
      <formula>"Towel"</formula>
    </cfRule>
    <cfRule type="cellIs" dxfId="5038" priority="6271" stopIfTrue="1" operator="equal">
      <formula>"Napkin Hs"</formula>
    </cfRule>
  </conditionalFormatting>
  <conditionalFormatting sqref="C94">
    <cfRule type="cellIs" dxfId="5037" priority="6268" stopIfTrue="1" operator="equal">
      <formula>"Towel"</formula>
    </cfRule>
    <cfRule type="cellIs" dxfId="5036" priority="6269" stopIfTrue="1" operator="equal">
      <formula>"Napkin Hs"</formula>
    </cfRule>
  </conditionalFormatting>
  <conditionalFormatting sqref="C94">
    <cfRule type="cellIs" dxfId="5035" priority="6266" stopIfTrue="1" operator="equal">
      <formula>"Towel"</formula>
    </cfRule>
    <cfRule type="cellIs" dxfId="5034" priority="6267" stopIfTrue="1" operator="equal">
      <formula>"Napkin Hs"</formula>
    </cfRule>
  </conditionalFormatting>
  <conditionalFormatting sqref="B94:C94">
    <cfRule type="cellIs" dxfId="5033" priority="6265" stopIfTrue="1" operator="equal">
      <formula>"Napkin Hs"</formula>
    </cfRule>
  </conditionalFormatting>
  <conditionalFormatting sqref="B94:C94">
    <cfRule type="cellIs" dxfId="5032" priority="6264" stopIfTrue="1" operator="equal">
      <formula>"Towel"</formula>
    </cfRule>
  </conditionalFormatting>
  <conditionalFormatting sqref="C94">
    <cfRule type="cellIs" dxfId="5031" priority="6263" stopIfTrue="1" operator="equal">
      <formula>"Napkin Hs"</formula>
    </cfRule>
  </conditionalFormatting>
  <conditionalFormatting sqref="C94">
    <cfRule type="cellIs" dxfId="5030" priority="6260" stopIfTrue="1" operator="equal">
      <formula>"Towel"</formula>
    </cfRule>
    <cfRule type="cellIs" dxfId="5029" priority="6261" stopIfTrue="1" operator="equal">
      <formula>"Napkin Hs"</formula>
    </cfRule>
  </conditionalFormatting>
  <conditionalFormatting sqref="C94">
    <cfRule type="cellIs" dxfId="5028" priority="6262" stopIfTrue="1" operator="equal">
      <formula>"Towel"</formula>
    </cfRule>
  </conditionalFormatting>
  <conditionalFormatting sqref="B93:C93">
    <cfRule type="cellIs" dxfId="5027" priority="6258" stopIfTrue="1" operator="equal">
      <formula>"Towel"</formula>
    </cfRule>
    <cfRule type="cellIs" dxfId="5026" priority="6259" stopIfTrue="1" operator="equal">
      <formula>"Napkin Hs"</formula>
    </cfRule>
  </conditionalFormatting>
  <conditionalFormatting sqref="C93">
    <cfRule type="cellIs" dxfId="5025" priority="6254" stopIfTrue="1" operator="equal">
      <formula>"Towel"</formula>
    </cfRule>
    <cfRule type="cellIs" dxfId="5024" priority="6255" stopIfTrue="1" operator="equal">
      <formula>"Napkin Hs"</formula>
    </cfRule>
  </conditionalFormatting>
  <conditionalFormatting sqref="C93">
    <cfRule type="cellIs" dxfId="5023" priority="6256" stopIfTrue="1" operator="equal">
      <formula>"Towel"</formula>
    </cfRule>
    <cfRule type="cellIs" dxfId="5022" priority="6257" stopIfTrue="1" operator="equal">
      <formula>"Napkin Hs"</formula>
    </cfRule>
  </conditionalFormatting>
  <conditionalFormatting sqref="B93:C93">
    <cfRule type="cellIs" dxfId="5021" priority="6252" stopIfTrue="1" operator="equal">
      <formula>"Towel"</formula>
    </cfRule>
    <cfRule type="cellIs" dxfId="5020" priority="6253" stopIfTrue="1" operator="equal">
      <formula>"Napkin Hs"</formula>
    </cfRule>
  </conditionalFormatting>
  <conditionalFormatting sqref="C93">
    <cfRule type="cellIs" dxfId="5019" priority="6248" stopIfTrue="1" operator="equal">
      <formula>"Towel"</formula>
    </cfRule>
    <cfRule type="cellIs" dxfId="5018" priority="6249" stopIfTrue="1" operator="equal">
      <formula>"Napkin Hs"</formula>
    </cfRule>
  </conditionalFormatting>
  <conditionalFormatting sqref="C93">
    <cfRule type="cellIs" dxfId="5017" priority="6250" stopIfTrue="1" operator="equal">
      <formula>"Towel"</formula>
    </cfRule>
    <cfRule type="cellIs" dxfId="5016" priority="6251" stopIfTrue="1" operator="equal">
      <formula>"Napkin Hs"</formula>
    </cfRule>
  </conditionalFormatting>
  <conditionalFormatting sqref="B93:C93">
    <cfRule type="cellIs" dxfId="5015" priority="6246" stopIfTrue="1" operator="equal">
      <formula>"Towel"</formula>
    </cfRule>
    <cfRule type="cellIs" dxfId="5014" priority="6247" stopIfTrue="1" operator="equal">
      <formula>"Napkin Hs"</formula>
    </cfRule>
  </conditionalFormatting>
  <conditionalFormatting sqref="C93">
    <cfRule type="cellIs" dxfId="5013" priority="6244" stopIfTrue="1" operator="equal">
      <formula>"Towel"</formula>
    </cfRule>
    <cfRule type="cellIs" dxfId="5012" priority="6245" stopIfTrue="1" operator="equal">
      <formula>"Napkin Hs"</formula>
    </cfRule>
  </conditionalFormatting>
  <conditionalFormatting sqref="C93">
    <cfRule type="cellIs" dxfId="5011" priority="6242" stopIfTrue="1" operator="equal">
      <formula>"Towel"</formula>
    </cfRule>
    <cfRule type="cellIs" dxfId="5010" priority="6243" stopIfTrue="1" operator="equal">
      <formula>"Napkin Hs"</formula>
    </cfRule>
  </conditionalFormatting>
  <conditionalFormatting sqref="B93:C93">
    <cfRule type="cellIs" dxfId="5009" priority="6240" stopIfTrue="1" operator="equal">
      <formula>"Towel"</formula>
    </cfRule>
    <cfRule type="cellIs" dxfId="5008" priority="6241" stopIfTrue="1" operator="equal">
      <formula>"Napkin Hs"</formula>
    </cfRule>
  </conditionalFormatting>
  <conditionalFormatting sqref="C93">
    <cfRule type="cellIs" dxfId="5007" priority="6238" stopIfTrue="1" operator="equal">
      <formula>"Towel"</formula>
    </cfRule>
    <cfRule type="cellIs" dxfId="5006" priority="6239" stopIfTrue="1" operator="equal">
      <formula>"Napkin Hs"</formula>
    </cfRule>
  </conditionalFormatting>
  <conditionalFormatting sqref="C93">
    <cfRule type="cellIs" dxfId="5005" priority="6236" stopIfTrue="1" operator="equal">
      <formula>"Towel"</formula>
    </cfRule>
    <cfRule type="cellIs" dxfId="5004" priority="6237" stopIfTrue="1" operator="equal">
      <formula>"Napkin Hs"</formula>
    </cfRule>
  </conditionalFormatting>
  <conditionalFormatting sqref="B93:C93">
    <cfRule type="cellIs" dxfId="5003" priority="6234" stopIfTrue="1" operator="equal">
      <formula>"Towel"</formula>
    </cfRule>
    <cfRule type="cellIs" dxfId="5002" priority="6235" stopIfTrue="1" operator="equal">
      <formula>"Napkin Hs"</formula>
    </cfRule>
  </conditionalFormatting>
  <conditionalFormatting sqref="C93">
    <cfRule type="cellIs" dxfId="5001" priority="6232" stopIfTrue="1" operator="equal">
      <formula>"Towel"</formula>
    </cfRule>
    <cfRule type="cellIs" dxfId="5000" priority="6233" stopIfTrue="1" operator="equal">
      <formula>"Napkin Hs"</formula>
    </cfRule>
  </conditionalFormatting>
  <conditionalFormatting sqref="C93">
    <cfRule type="cellIs" dxfId="4999" priority="6230" stopIfTrue="1" operator="equal">
      <formula>"Towel"</formula>
    </cfRule>
    <cfRule type="cellIs" dxfId="4998" priority="6231" stopIfTrue="1" operator="equal">
      <formula>"Napkin Hs"</formula>
    </cfRule>
  </conditionalFormatting>
  <conditionalFormatting sqref="B93:C93">
    <cfRule type="cellIs" dxfId="4997" priority="6229" stopIfTrue="1" operator="equal">
      <formula>"Napkin Hs"</formula>
    </cfRule>
  </conditionalFormatting>
  <conditionalFormatting sqref="B93:C93">
    <cfRule type="cellIs" dxfId="4996" priority="6228" stopIfTrue="1" operator="equal">
      <formula>"Towel"</formula>
    </cfRule>
  </conditionalFormatting>
  <conditionalFormatting sqref="C93">
    <cfRule type="cellIs" dxfId="4995" priority="6227" stopIfTrue="1" operator="equal">
      <formula>"Napkin Hs"</formula>
    </cfRule>
  </conditionalFormatting>
  <conditionalFormatting sqref="C93">
    <cfRule type="cellIs" dxfId="4994" priority="6224" stopIfTrue="1" operator="equal">
      <formula>"Towel"</formula>
    </cfRule>
    <cfRule type="cellIs" dxfId="4993" priority="6225" stopIfTrue="1" operator="equal">
      <formula>"Napkin Hs"</formula>
    </cfRule>
  </conditionalFormatting>
  <conditionalFormatting sqref="C93">
    <cfRule type="cellIs" dxfId="4992" priority="6226" stopIfTrue="1" operator="equal">
      <formula>"Towel"</formula>
    </cfRule>
  </conditionalFormatting>
  <conditionalFormatting sqref="B92:C92">
    <cfRule type="cellIs" dxfId="4991" priority="6222" stopIfTrue="1" operator="equal">
      <formula>"Towel"</formula>
    </cfRule>
    <cfRule type="cellIs" dxfId="4990" priority="6223" stopIfTrue="1" operator="equal">
      <formula>"Napkin Hs"</formula>
    </cfRule>
  </conditionalFormatting>
  <conditionalFormatting sqref="C92">
    <cfRule type="cellIs" dxfId="4989" priority="6218" stopIfTrue="1" operator="equal">
      <formula>"Towel"</formula>
    </cfRule>
    <cfRule type="cellIs" dxfId="4988" priority="6219" stopIfTrue="1" operator="equal">
      <formula>"Napkin Hs"</formula>
    </cfRule>
  </conditionalFormatting>
  <conditionalFormatting sqref="C92">
    <cfRule type="cellIs" dxfId="4987" priority="6220" stopIfTrue="1" operator="equal">
      <formula>"Towel"</formula>
    </cfRule>
    <cfRule type="cellIs" dxfId="4986" priority="6221" stopIfTrue="1" operator="equal">
      <formula>"Napkin Hs"</formula>
    </cfRule>
  </conditionalFormatting>
  <conditionalFormatting sqref="B92:C92">
    <cfRule type="cellIs" dxfId="4985" priority="6217" stopIfTrue="1" operator="equal">
      <formula>"Napkin Hs"</formula>
    </cfRule>
  </conditionalFormatting>
  <conditionalFormatting sqref="B92:C92">
    <cfRule type="cellIs" dxfId="4984" priority="6216" stopIfTrue="1" operator="equal">
      <formula>"Towel"</formula>
    </cfRule>
  </conditionalFormatting>
  <conditionalFormatting sqref="C92">
    <cfRule type="cellIs" dxfId="4983" priority="6215" stopIfTrue="1" operator="equal">
      <formula>"Napkin Hs"</formula>
    </cfRule>
  </conditionalFormatting>
  <conditionalFormatting sqref="C92">
    <cfRule type="cellIs" dxfId="4982" priority="6214" stopIfTrue="1" operator="equal">
      <formula>"Towel"</formula>
    </cfRule>
  </conditionalFormatting>
  <conditionalFormatting sqref="C92">
    <cfRule type="cellIs" dxfId="4981" priority="6212" stopIfTrue="1" operator="equal">
      <formula>"Towel"</formula>
    </cfRule>
    <cfRule type="cellIs" dxfId="4980" priority="6213" stopIfTrue="1" operator="equal">
      <formula>"Napkin Hs"</formula>
    </cfRule>
  </conditionalFormatting>
  <conditionalFormatting sqref="B92:C92">
    <cfRule type="cellIs" dxfId="4979" priority="6210" stopIfTrue="1" operator="equal">
      <formula>"Towel"</formula>
    </cfRule>
    <cfRule type="cellIs" dxfId="4978" priority="6211" stopIfTrue="1" operator="equal">
      <formula>"Napkin Hs"</formula>
    </cfRule>
  </conditionalFormatting>
  <conditionalFormatting sqref="C92">
    <cfRule type="cellIs" dxfId="4977" priority="6208" stopIfTrue="1" operator="equal">
      <formula>"Towel"</formula>
    </cfRule>
    <cfRule type="cellIs" dxfId="4976" priority="6209" stopIfTrue="1" operator="equal">
      <formula>"Napkin Hs"</formula>
    </cfRule>
  </conditionalFormatting>
  <conditionalFormatting sqref="C92">
    <cfRule type="cellIs" dxfId="4975" priority="6206" stopIfTrue="1" operator="equal">
      <formula>"Towel"</formula>
    </cfRule>
    <cfRule type="cellIs" dxfId="4974" priority="6207" stopIfTrue="1" operator="equal">
      <formula>"Napkin Hs"</formula>
    </cfRule>
  </conditionalFormatting>
  <conditionalFormatting sqref="B92:C92">
    <cfRule type="cellIs" dxfId="4973" priority="6204" stopIfTrue="1" operator="equal">
      <formula>"Towel"</formula>
    </cfRule>
    <cfRule type="cellIs" dxfId="4972" priority="6205" stopIfTrue="1" operator="equal">
      <formula>"Napkin Hs"</formula>
    </cfRule>
  </conditionalFormatting>
  <conditionalFormatting sqref="C92">
    <cfRule type="cellIs" dxfId="4971" priority="6202" stopIfTrue="1" operator="equal">
      <formula>"Towel"</formula>
    </cfRule>
    <cfRule type="cellIs" dxfId="4970" priority="6203" stopIfTrue="1" operator="equal">
      <formula>"Napkin Hs"</formula>
    </cfRule>
  </conditionalFormatting>
  <conditionalFormatting sqref="C92">
    <cfRule type="cellIs" dxfId="4969" priority="6200" stopIfTrue="1" operator="equal">
      <formula>"Towel"</formula>
    </cfRule>
    <cfRule type="cellIs" dxfId="4968" priority="6201" stopIfTrue="1" operator="equal">
      <formula>"Napkin Hs"</formula>
    </cfRule>
  </conditionalFormatting>
  <conditionalFormatting sqref="B92:C92">
    <cfRule type="cellIs" dxfId="4967" priority="6198" stopIfTrue="1" operator="equal">
      <formula>"Towel"</formula>
    </cfRule>
    <cfRule type="cellIs" dxfId="4966" priority="6199" stopIfTrue="1" operator="equal">
      <formula>"Napkin Hs"</formula>
    </cfRule>
  </conditionalFormatting>
  <conditionalFormatting sqref="C92">
    <cfRule type="cellIs" dxfId="4965" priority="6196" stopIfTrue="1" operator="equal">
      <formula>"Towel"</formula>
    </cfRule>
    <cfRule type="cellIs" dxfId="4964" priority="6197" stopIfTrue="1" operator="equal">
      <formula>"Napkin Hs"</formula>
    </cfRule>
  </conditionalFormatting>
  <conditionalFormatting sqref="C92">
    <cfRule type="cellIs" dxfId="4963" priority="6194" stopIfTrue="1" operator="equal">
      <formula>"Towel"</formula>
    </cfRule>
    <cfRule type="cellIs" dxfId="4962" priority="6195" stopIfTrue="1" operator="equal">
      <formula>"Napkin Hs"</formula>
    </cfRule>
  </conditionalFormatting>
  <conditionalFormatting sqref="B92:C92">
    <cfRule type="cellIs" dxfId="4961" priority="6192" stopIfTrue="1" operator="equal">
      <formula>"Towel"</formula>
    </cfRule>
    <cfRule type="cellIs" dxfId="4960" priority="6193" stopIfTrue="1" operator="equal">
      <formula>"Napkin Hs"</formula>
    </cfRule>
  </conditionalFormatting>
  <conditionalFormatting sqref="C92">
    <cfRule type="cellIs" dxfId="4959" priority="6190" stopIfTrue="1" operator="equal">
      <formula>"Towel"</formula>
    </cfRule>
    <cfRule type="cellIs" dxfId="4958" priority="6191" stopIfTrue="1" operator="equal">
      <formula>"Napkin Hs"</formula>
    </cfRule>
  </conditionalFormatting>
  <conditionalFormatting sqref="C92">
    <cfRule type="cellIs" dxfId="4957" priority="6188" stopIfTrue="1" operator="equal">
      <formula>"Towel"</formula>
    </cfRule>
    <cfRule type="cellIs" dxfId="4956" priority="6189" stopIfTrue="1" operator="equal">
      <formula>"Napkin Hs"</formula>
    </cfRule>
  </conditionalFormatting>
  <conditionalFormatting sqref="B92:C92">
    <cfRule type="cellIs" dxfId="4955" priority="6186" stopIfTrue="1" operator="equal">
      <formula>"Towel"</formula>
    </cfRule>
    <cfRule type="cellIs" dxfId="4954" priority="6187" stopIfTrue="1" operator="equal">
      <formula>"Napkin Hs"</formula>
    </cfRule>
  </conditionalFormatting>
  <conditionalFormatting sqref="C92">
    <cfRule type="cellIs" dxfId="4953" priority="6184" stopIfTrue="1" operator="equal">
      <formula>"Towel"</formula>
    </cfRule>
    <cfRule type="cellIs" dxfId="4952" priority="6185" stopIfTrue="1" operator="equal">
      <formula>"Napkin Hs"</formula>
    </cfRule>
  </conditionalFormatting>
  <conditionalFormatting sqref="C92">
    <cfRule type="cellIs" dxfId="4951" priority="6182" stopIfTrue="1" operator="equal">
      <formula>"Towel"</formula>
    </cfRule>
    <cfRule type="cellIs" dxfId="4950" priority="6183" stopIfTrue="1" operator="equal">
      <formula>"Napkin Hs"</formula>
    </cfRule>
  </conditionalFormatting>
  <conditionalFormatting sqref="B92:C92">
    <cfRule type="cellIs" dxfId="4949" priority="6181" stopIfTrue="1" operator="equal">
      <formula>"Napkin Hs"</formula>
    </cfRule>
  </conditionalFormatting>
  <conditionalFormatting sqref="B92:C92">
    <cfRule type="cellIs" dxfId="4948" priority="6180" stopIfTrue="1" operator="equal">
      <formula>"Towel"</formula>
    </cfRule>
  </conditionalFormatting>
  <conditionalFormatting sqref="C92">
    <cfRule type="cellIs" dxfId="4947" priority="6179" stopIfTrue="1" operator="equal">
      <formula>"Napkin Hs"</formula>
    </cfRule>
  </conditionalFormatting>
  <conditionalFormatting sqref="C92">
    <cfRule type="cellIs" dxfId="4946" priority="6176" stopIfTrue="1" operator="equal">
      <formula>"Towel"</formula>
    </cfRule>
    <cfRule type="cellIs" dxfId="4945" priority="6177" stopIfTrue="1" operator="equal">
      <formula>"Napkin Hs"</formula>
    </cfRule>
  </conditionalFormatting>
  <conditionalFormatting sqref="C92">
    <cfRule type="cellIs" dxfId="4944" priority="6178" stopIfTrue="1" operator="equal">
      <formula>"Towel"</formula>
    </cfRule>
  </conditionalFormatting>
  <conditionalFormatting sqref="B91:C91">
    <cfRule type="cellIs" dxfId="4943" priority="6174" stopIfTrue="1" operator="equal">
      <formula>"Towel"</formula>
    </cfRule>
    <cfRule type="cellIs" dxfId="4942" priority="6175" stopIfTrue="1" operator="equal">
      <formula>"Napkin Hs"</formula>
    </cfRule>
  </conditionalFormatting>
  <conditionalFormatting sqref="C91">
    <cfRule type="cellIs" dxfId="4941" priority="6170" stopIfTrue="1" operator="equal">
      <formula>"Towel"</formula>
    </cfRule>
    <cfRule type="cellIs" dxfId="4940" priority="6171" stopIfTrue="1" operator="equal">
      <formula>"Napkin Hs"</formula>
    </cfRule>
  </conditionalFormatting>
  <conditionalFormatting sqref="C91">
    <cfRule type="cellIs" dxfId="4939" priority="6172" stopIfTrue="1" operator="equal">
      <formula>"Towel"</formula>
    </cfRule>
    <cfRule type="cellIs" dxfId="4938" priority="6173" stopIfTrue="1" operator="equal">
      <formula>"Napkin Hs"</formula>
    </cfRule>
  </conditionalFormatting>
  <conditionalFormatting sqref="B91:C91">
    <cfRule type="cellIs" dxfId="4937" priority="6169" stopIfTrue="1" operator="equal">
      <formula>"Napkin Hs"</formula>
    </cfRule>
  </conditionalFormatting>
  <conditionalFormatting sqref="B91:C91">
    <cfRule type="cellIs" dxfId="4936" priority="6168" stopIfTrue="1" operator="equal">
      <formula>"Towel"</formula>
    </cfRule>
  </conditionalFormatting>
  <conditionalFormatting sqref="C91">
    <cfRule type="cellIs" dxfId="4935" priority="6167" stopIfTrue="1" operator="equal">
      <formula>"Napkin Hs"</formula>
    </cfRule>
  </conditionalFormatting>
  <conditionalFormatting sqref="C91">
    <cfRule type="cellIs" dxfId="4934" priority="6166" stopIfTrue="1" operator="equal">
      <formula>"Towel"</formula>
    </cfRule>
  </conditionalFormatting>
  <conditionalFormatting sqref="C91">
    <cfRule type="cellIs" dxfId="4933" priority="6164" stopIfTrue="1" operator="equal">
      <formula>"Towel"</formula>
    </cfRule>
    <cfRule type="cellIs" dxfId="4932" priority="6165" stopIfTrue="1" operator="equal">
      <formula>"Napkin Hs"</formula>
    </cfRule>
  </conditionalFormatting>
  <conditionalFormatting sqref="B91:C91">
    <cfRule type="cellIs" dxfId="4931" priority="6162" stopIfTrue="1" operator="equal">
      <formula>"Towel"</formula>
    </cfRule>
    <cfRule type="cellIs" dxfId="4930" priority="6163" stopIfTrue="1" operator="equal">
      <formula>"Napkin Hs"</formula>
    </cfRule>
  </conditionalFormatting>
  <conditionalFormatting sqref="C91">
    <cfRule type="cellIs" dxfId="4929" priority="6160" stopIfTrue="1" operator="equal">
      <formula>"Towel"</formula>
    </cfRule>
    <cfRule type="cellIs" dxfId="4928" priority="6161" stopIfTrue="1" operator="equal">
      <formula>"Napkin Hs"</formula>
    </cfRule>
  </conditionalFormatting>
  <conditionalFormatting sqref="C91">
    <cfRule type="cellIs" dxfId="4927" priority="6158" stopIfTrue="1" operator="equal">
      <formula>"Towel"</formula>
    </cfRule>
    <cfRule type="cellIs" dxfId="4926" priority="6159" stopIfTrue="1" operator="equal">
      <formula>"Napkin Hs"</formula>
    </cfRule>
  </conditionalFormatting>
  <conditionalFormatting sqref="B91:C91">
    <cfRule type="cellIs" dxfId="4925" priority="6156" stopIfTrue="1" operator="equal">
      <formula>"Towel"</formula>
    </cfRule>
    <cfRule type="cellIs" dxfId="4924" priority="6157" stopIfTrue="1" operator="equal">
      <formula>"Napkin Hs"</formula>
    </cfRule>
  </conditionalFormatting>
  <conditionalFormatting sqref="C91">
    <cfRule type="cellIs" dxfId="4923" priority="6154" stopIfTrue="1" operator="equal">
      <formula>"Towel"</formula>
    </cfRule>
    <cfRule type="cellIs" dxfId="4922" priority="6155" stopIfTrue="1" operator="equal">
      <formula>"Napkin Hs"</formula>
    </cfRule>
  </conditionalFormatting>
  <conditionalFormatting sqref="C91">
    <cfRule type="cellIs" dxfId="4921" priority="6152" stopIfTrue="1" operator="equal">
      <formula>"Towel"</formula>
    </cfRule>
    <cfRule type="cellIs" dxfId="4920" priority="6153" stopIfTrue="1" operator="equal">
      <formula>"Napkin Hs"</formula>
    </cfRule>
  </conditionalFormatting>
  <conditionalFormatting sqref="B91:C91">
    <cfRule type="cellIs" dxfId="4919" priority="6150" stopIfTrue="1" operator="equal">
      <formula>"Towel"</formula>
    </cfRule>
    <cfRule type="cellIs" dxfId="4918" priority="6151" stopIfTrue="1" operator="equal">
      <formula>"Napkin Hs"</formula>
    </cfRule>
  </conditionalFormatting>
  <conditionalFormatting sqref="C91">
    <cfRule type="cellIs" dxfId="4917" priority="6148" stopIfTrue="1" operator="equal">
      <formula>"Towel"</formula>
    </cfRule>
    <cfRule type="cellIs" dxfId="4916" priority="6149" stopIfTrue="1" operator="equal">
      <formula>"Napkin Hs"</formula>
    </cfRule>
  </conditionalFormatting>
  <conditionalFormatting sqref="C91">
    <cfRule type="cellIs" dxfId="4915" priority="6146" stopIfTrue="1" operator="equal">
      <formula>"Towel"</formula>
    </cfRule>
    <cfRule type="cellIs" dxfId="4914" priority="6147" stopIfTrue="1" operator="equal">
      <formula>"Napkin Hs"</formula>
    </cfRule>
  </conditionalFormatting>
  <conditionalFormatting sqref="B91:C91">
    <cfRule type="cellIs" dxfId="4913" priority="6144" stopIfTrue="1" operator="equal">
      <formula>"Towel"</formula>
    </cfRule>
    <cfRule type="cellIs" dxfId="4912" priority="6145" stopIfTrue="1" operator="equal">
      <formula>"Napkin Hs"</formula>
    </cfRule>
  </conditionalFormatting>
  <conditionalFormatting sqref="C91">
    <cfRule type="cellIs" dxfId="4911" priority="6142" stopIfTrue="1" operator="equal">
      <formula>"Towel"</formula>
    </cfRule>
    <cfRule type="cellIs" dxfId="4910" priority="6143" stopIfTrue="1" operator="equal">
      <formula>"Napkin Hs"</formula>
    </cfRule>
  </conditionalFormatting>
  <conditionalFormatting sqref="C91">
    <cfRule type="cellIs" dxfId="4909" priority="6140" stopIfTrue="1" operator="equal">
      <formula>"Towel"</formula>
    </cfRule>
    <cfRule type="cellIs" dxfId="4908" priority="6141" stopIfTrue="1" operator="equal">
      <formula>"Napkin Hs"</formula>
    </cfRule>
  </conditionalFormatting>
  <conditionalFormatting sqref="B91:C91">
    <cfRule type="cellIs" dxfId="4907" priority="6138" stopIfTrue="1" operator="equal">
      <formula>"Towel"</formula>
    </cfRule>
    <cfRule type="cellIs" dxfId="4906" priority="6139" stopIfTrue="1" operator="equal">
      <formula>"Napkin Hs"</formula>
    </cfRule>
  </conditionalFormatting>
  <conditionalFormatting sqref="C91">
    <cfRule type="cellIs" dxfId="4905" priority="6136" stopIfTrue="1" operator="equal">
      <formula>"Towel"</formula>
    </cfRule>
    <cfRule type="cellIs" dxfId="4904" priority="6137" stopIfTrue="1" operator="equal">
      <formula>"Napkin Hs"</formula>
    </cfRule>
  </conditionalFormatting>
  <conditionalFormatting sqref="C91">
    <cfRule type="cellIs" dxfId="4903" priority="6134" stopIfTrue="1" operator="equal">
      <formula>"Towel"</formula>
    </cfRule>
    <cfRule type="cellIs" dxfId="4902" priority="6135" stopIfTrue="1" operator="equal">
      <formula>"Napkin Hs"</formula>
    </cfRule>
  </conditionalFormatting>
  <conditionalFormatting sqref="B91:C91">
    <cfRule type="cellIs" dxfId="4901" priority="6133" stopIfTrue="1" operator="equal">
      <formula>"Napkin Hs"</formula>
    </cfRule>
  </conditionalFormatting>
  <conditionalFormatting sqref="B91:C91">
    <cfRule type="cellIs" dxfId="4900" priority="6132" stopIfTrue="1" operator="equal">
      <formula>"Towel"</formula>
    </cfRule>
  </conditionalFormatting>
  <conditionalFormatting sqref="C91">
    <cfRule type="cellIs" dxfId="4899" priority="6131" stopIfTrue="1" operator="equal">
      <formula>"Napkin Hs"</formula>
    </cfRule>
  </conditionalFormatting>
  <conditionalFormatting sqref="C91">
    <cfRule type="cellIs" dxfId="4898" priority="6128" stopIfTrue="1" operator="equal">
      <formula>"Towel"</formula>
    </cfRule>
    <cfRule type="cellIs" dxfId="4897" priority="6129" stopIfTrue="1" operator="equal">
      <formula>"Napkin Hs"</formula>
    </cfRule>
  </conditionalFormatting>
  <conditionalFormatting sqref="C91">
    <cfRule type="cellIs" dxfId="4896" priority="6130" stopIfTrue="1" operator="equal">
      <formula>"Towel"</formula>
    </cfRule>
  </conditionalFormatting>
  <conditionalFormatting sqref="B93:C93">
    <cfRule type="cellIs" dxfId="4895" priority="6126" stopIfTrue="1" operator="equal">
      <formula>"Towel"</formula>
    </cfRule>
    <cfRule type="cellIs" dxfId="4894" priority="6127" stopIfTrue="1" operator="equal">
      <formula>"Napkin Hs"</formula>
    </cfRule>
  </conditionalFormatting>
  <conditionalFormatting sqref="C93">
    <cfRule type="cellIs" dxfId="4893" priority="6124" stopIfTrue="1" operator="equal">
      <formula>"Towel"</formula>
    </cfRule>
    <cfRule type="cellIs" dxfId="4892" priority="6125" stopIfTrue="1" operator="equal">
      <formula>"Napkin Hs"</formula>
    </cfRule>
  </conditionalFormatting>
  <conditionalFormatting sqref="C93">
    <cfRule type="cellIs" dxfId="4891" priority="6122" stopIfTrue="1" operator="equal">
      <formula>"Towel"</formula>
    </cfRule>
    <cfRule type="cellIs" dxfId="4890" priority="6123" stopIfTrue="1" operator="equal">
      <formula>"Napkin Hs"</formula>
    </cfRule>
  </conditionalFormatting>
  <conditionalFormatting sqref="B91:C92">
    <cfRule type="cellIs" dxfId="4889" priority="6121" stopIfTrue="1" operator="equal">
      <formula>"Napkin Hs"</formula>
    </cfRule>
  </conditionalFormatting>
  <conditionalFormatting sqref="B91:C92">
    <cfRule type="cellIs" dxfId="4888" priority="6120" stopIfTrue="1" operator="equal">
      <formula>"Towel"</formula>
    </cfRule>
  </conditionalFormatting>
  <conditionalFormatting sqref="C91:C92">
    <cfRule type="cellIs" dxfId="4887" priority="6119" stopIfTrue="1" operator="equal">
      <formula>"Napkin Hs"</formula>
    </cfRule>
  </conditionalFormatting>
  <conditionalFormatting sqref="C91:C92">
    <cfRule type="cellIs" dxfId="4886" priority="6118" stopIfTrue="1" operator="equal">
      <formula>"Towel"</formula>
    </cfRule>
  </conditionalFormatting>
  <conditionalFormatting sqref="C91:C92">
    <cfRule type="cellIs" dxfId="4885" priority="6116" stopIfTrue="1" operator="equal">
      <formula>"Towel"</formula>
    </cfRule>
    <cfRule type="cellIs" dxfId="4884" priority="6117" stopIfTrue="1" operator="equal">
      <formula>"Napkin Hs"</formula>
    </cfRule>
  </conditionalFormatting>
  <conditionalFormatting sqref="B91:C92">
    <cfRule type="cellIs" dxfId="4883" priority="6114" stopIfTrue="1" operator="equal">
      <formula>"Towel"</formula>
    </cfRule>
    <cfRule type="cellIs" dxfId="4882" priority="6115" stopIfTrue="1" operator="equal">
      <formula>"Napkin Hs"</formula>
    </cfRule>
  </conditionalFormatting>
  <conditionalFormatting sqref="C91:C92">
    <cfRule type="cellIs" dxfId="4881" priority="6112" stopIfTrue="1" operator="equal">
      <formula>"Towel"</formula>
    </cfRule>
    <cfRule type="cellIs" dxfId="4880" priority="6113" stopIfTrue="1" operator="equal">
      <formula>"Napkin Hs"</formula>
    </cfRule>
  </conditionalFormatting>
  <conditionalFormatting sqref="C91:C92">
    <cfRule type="cellIs" dxfId="4879" priority="6110" stopIfTrue="1" operator="equal">
      <formula>"Towel"</formula>
    </cfRule>
    <cfRule type="cellIs" dxfId="4878" priority="6111" stopIfTrue="1" operator="equal">
      <formula>"Napkin Hs"</formula>
    </cfRule>
  </conditionalFormatting>
  <conditionalFormatting sqref="B91:C92">
    <cfRule type="cellIs" dxfId="4877" priority="6108" stopIfTrue="1" operator="equal">
      <formula>"Towel"</formula>
    </cfRule>
    <cfRule type="cellIs" dxfId="4876" priority="6109" stopIfTrue="1" operator="equal">
      <formula>"Napkin Hs"</formula>
    </cfRule>
  </conditionalFormatting>
  <conditionalFormatting sqref="C91:C92">
    <cfRule type="cellIs" dxfId="4875" priority="6106" stopIfTrue="1" operator="equal">
      <formula>"Towel"</formula>
    </cfRule>
    <cfRule type="cellIs" dxfId="4874" priority="6107" stopIfTrue="1" operator="equal">
      <formula>"Napkin Hs"</formula>
    </cfRule>
  </conditionalFormatting>
  <conditionalFormatting sqref="C91:C92">
    <cfRule type="cellIs" dxfId="4873" priority="6104" stopIfTrue="1" operator="equal">
      <formula>"Towel"</formula>
    </cfRule>
    <cfRule type="cellIs" dxfId="4872" priority="6105" stopIfTrue="1" operator="equal">
      <formula>"Napkin Hs"</formula>
    </cfRule>
  </conditionalFormatting>
  <conditionalFormatting sqref="B91:C92">
    <cfRule type="cellIs" dxfId="4871" priority="6102" stopIfTrue="1" operator="equal">
      <formula>"Towel"</formula>
    </cfRule>
    <cfRule type="cellIs" dxfId="4870" priority="6103" stopIfTrue="1" operator="equal">
      <formula>"Napkin Hs"</formula>
    </cfRule>
  </conditionalFormatting>
  <conditionalFormatting sqref="C91:C92">
    <cfRule type="cellIs" dxfId="4869" priority="6100" stopIfTrue="1" operator="equal">
      <formula>"Towel"</formula>
    </cfRule>
    <cfRule type="cellIs" dxfId="4868" priority="6101" stopIfTrue="1" operator="equal">
      <formula>"Napkin Hs"</formula>
    </cfRule>
  </conditionalFormatting>
  <conditionalFormatting sqref="C91:C92">
    <cfRule type="cellIs" dxfId="4867" priority="6098" stopIfTrue="1" operator="equal">
      <formula>"Towel"</formula>
    </cfRule>
    <cfRule type="cellIs" dxfId="4866" priority="6099" stopIfTrue="1" operator="equal">
      <formula>"Napkin Hs"</formula>
    </cfRule>
  </conditionalFormatting>
  <conditionalFormatting sqref="B91:C92">
    <cfRule type="cellIs" dxfId="4865" priority="6096" stopIfTrue="1" operator="equal">
      <formula>"Towel"</formula>
    </cfRule>
    <cfRule type="cellIs" dxfId="4864" priority="6097" stopIfTrue="1" operator="equal">
      <formula>"Napkin Hs"</formula>
    </cfRule>
  </conditionalFormatting>
  <conditionalFormatting sqref="C91:C92">
    <cfRule type="cellIs" dxfId="4863" priority="6094" stopIfTrue="1" operator="equal">
      <formula>"Towel"</formula>
    </cfRule>
    <cfRule type="cellIs" dxfId="4862" priority="6095" stopIfTrue="1" operator="equal">
      <formula>"Napkin Hs"</formula>
    </cfRule>
  </conditionalFormatting>
  <conditionalFormatting sqref="C91:C92">
    <cfRule type="cellIs" dxfId="4861" priority="6092" stopIfTrue="1" operator="equal">
      <formula>"Towel"</formula>
    </cfRule>
    <cfRule type="cellIs" dxfId="4860" priority="6093" stopIfTrue="1" operator="equal">
      <formula>"Napkin Hs"</formula>
    </cfRule>
  </conditionalFormatting>
  <conditionalFormatting sqref="B91:C92">
    <cfRule type="cellIs" dxfId="4859" priority="6090" stopIfTrue="1" operator="equal">
      <formula>"Towel"</formula>
    </cfRule>
    <cfRule type="cellIs" dxfId="4858" priority="6091" stopIfTrue="1" operator="equal">
      <formula>"Napkin Hs"</formula>
    </cfRule>
  </conditionalFormatting>
  <conditionalFormatting sqref="C91:C92">
    <cfRule type="cellIs" dxfId="4857" priority="6088" stopIfTrue="1" operator="equal">
      <formula>"Towel"</formula>
    </cfRule>
    <cfRule type="cellIs" dxfId="4856" priority="6089" stopIfTrue="1" operator="equal">
      <formula>"Napkin Hs"</formula>
    </cfRule>
  </conditionalFormatting>
  <conditionalFormatting sqref="C91:C92">
    <cfRule type="cellIs" dxfId="4855" priority="6086" stopIfTrue="1" operator="equal">
      <formula>"Towel"</formula>
    </cfRule>
    <cfRule type="cellIs" dxfId="4854" priority="6087" stopIfTrue="1" operator="equal">
      <formula>"Napkin Hs"</formula>
    </cfRule>
  </conditionalFormatting>
  <conditionalFormatting sqref="B91:C92">
    <cfRule type="cellIs" dxfId="4853" priority="6085" stopIfTrue="1" operator="equal">
      <formula>"Napkin Hs"</formula>
    </cfRule>
  </conditionalFormatting>
  <conditionalFormatting sqref="B91:C92">
    <cfRule type="cellIs" dxfId="4852" priority="6084" stopIfTrue="1" operator="equal">
      <formula>"Towel"</formula>
    </cfRule>
  </conditionalFormatting>
  <conditionalFormatting sqref="C91:C92">
    <cfRule type="cellIs" dxfId="4851" priority="6083" stopIfTrue="1" operator="equal">
      <formula>"Napkin Hs"</formula>
    </cfRule>
  </conditionalFormatting>
  <conditionalFormatting sqref="C91:C92">
    <cfRule type="cellIs" dxfId="4850" priority="6080" stopIfTrue="1" operator="equal">
      <formula>"Towel"</formula>
    </cfRule>
    <cfRule type="cellIs" dxfId="4849" priority="6081" stopIfTrue="1" operator="equal">
      <formula>"Napkin Hs"</formula>
    </cfRule>
  </conditionalFormatting>
  <conditionalFormatting sqref="C91:C92">
    <cfRule type="cellIs" dxfId="4848" priority="6082" stopIfTrue="1" operator="equal">
      <formula>"Towel"</formula>
    </cfRule>
  </conditionalFormatting>
  <conditionalFormatting sqref="C91:C92">
    <cfRule type="cellIs" dxfId="4847" priority="6079" stopIfTrue="1" operator="equal">
      <formula>"Napkin Hs"</formula>
    </cfRule>
  </conditionalFormatting>
  <conditionalFormatting sqref="C91:C92">
    <cfRule type="cellIs" dxfId="4846" priority="6078" stopIfTrue="1" operator="equal">
      <formula>"Towel"</formula>
    </cfRule>
  </conditionalFormatting>
  <conditionalFormatting sqref="C91:C92">
    <cfRule type="cellIs" dxfId="4845" priority="6077" stopIfTrue="1" operator="equal">
      <formula>"Napkin Hs"</formula>
    </cfRule>
  </conditionalFormatting>
  <conditionalFormatting sqref="C91:C92">
    <cfRule type="cellIs" dxfId="4844" priority="6074" stopIfTrue="1" operator="equal">
      <formula>"Towel"</formula>
    </cfRule>
    <cfRule type="cellIs" dxfId="4843" priority="6075" stopIfTrue="1" operator="equal">
      <formula>"Napkin Hs"</formula>
    </cfRule>
  </conditionalFormatting>
  <conditionalFormatting sqref="C91:C92">
    <cfRule type="cellIs" dxfId="4842" priority="6076" stopIfTrue="1" operator="equal">
      <formula>"Towel"</formula>
    </cfRule>
  </conditionalFormatting>
  <conditionalFormatting sqref="C91:C92">
    <cfRule type="cellIs" dxfId="4841" priority="6073" stopIfTrue="1" operator="equal">
      <formula>"Napkin Hs"</formula>
    </cfRule>
  </conditionalFormatting>
  <conditionalFormatting sqref="C91:C92">
    <cfRule type="cellIs" dxfId="4840" priority="6072" stopIfTrue="1" operator="equal">
      <formula>"Towel"</formula>
    </cfRule>
  </conditionalFormatting>
  <conditionalFormatting sqref="C91:C92">
    <cfRule type="cellIs" dxfId="4839" priority="6071" stopIfTrue="1" operator="equal">
      <formula>"Napkin Hs"</formula>
    </cfRule>
  </conditionalFormatting>
  <conditionalFormatting sqref="C91:C92">
    <cfRule type="cellIs" dxfId="4838" priority="6068" stopIfTrue="1" operator="equal">
      <formula>"Towel"</formula>
    </cfRule>
    <cfRule type="cellIs" dxfId="4837" priority="6069" stopIfTrue="1" operator="equal">
      <formula>"Napkin Hs"</formula>
    </cfRule>
  </conditionalFormatting>
  <conditionalFormatting sqref="C91:C92">
    <cfRule type="cellIs" dxfId="4836" priority="6070" stopIfTrue="1" operator="equal">
      <formula>"Towel"</formula>
    </cfRule>
  </conditionalFormatting>
  <conditionalFormatting sqref="B91:B92">
    <cfRule type="cellIs" dxfId="4835" priority="6066" stopIfTrue="1" operator="equal">
      <formula>"Towel"</formula>
    </cfRule>
    <cfRule type="cellIs" dxfId="4834" priority="6067" stopIfTrue="1" operator="equal">
      <formula>"Napkin Hs"</formula>
    </cfRule>
  </conditionalFormatting>
  <conditionalFormatting sqref="B91:B92">
    <cfRule type="cellIs" dxfId="4833" priority="6065" stopIfTrue="1" operator="equal">
      <formula>"Napkin Hs"</formula>
    </cfRule>
  </conditionalFormatting>
  <conditionalFormatting sqref="B91:B92">
    <cfRule type="cellIs" dxfId="4832" priority="6064" stopIfTrue="1" operator="equal">
      <formula>"Towel"</formula>
    </cfRule>
  </conditionalFormatting>
  <conditionalFormatting sqref="B89:C89">
    <cfRule type="cellIs" dxfId="4831" priority="6060" stopIfTrue="1" operator="equal">
      <formula>"Towel"</formula>
    </cfRule>
    <cfRule type="cellIs" dxfId="4830" priority="6061" stopIfTrue="1" operator="equal">
      <formula>"Napkin Hs"</formula>
    </cfRule>
  </conditionalFormatting>
  <conditionalFormatting sqref="C89">
    <cfRule type="cellIs" dxfId="4829" priority="6062" stopIfTrue="1" operator="equal">
      <formula>"Towel"</formula>
    </cfRule>
    <cfRule type="cellIs" dxfId="4828" priority="6063" stopIfTrue="1" operator="equal">
      <formula>"Napkin Hs"</formula>
    </cfRule>
  </conditionalFormatting>
  <conditionalFormatting sqref="C89">
    <cfRule type="cellIs" dxfId="4827" priority="6058" stopIfTrue="1" operator="equal">
      <formula>"Towel"</formula>
    </cfRule>
    <cfRule type="cellIs" dxfId="4826" priority="6059" stopIfTrue="1" operator="equal">
      <formula>"Napkin Hs"</formula>
    </cfRule>
  </conditionalFormatting>
  <conditionalFormatting sqref="B89:C89">
    <cfRule type="cellIs" dxfId="4825" priority="6056" stopIfTrue="1" operator="equal">
      <formula>"Towel"</formula>
    </cfRule>
    <cfRule type="cellIs" dxfId="4824" priority="6057" stopIfTrue="1" operator="equal">
      <formula>"Napkin Hs"</formula>
    </cfRule>
  </conditionalFormatting>
  <conditionalFormatting sqref="C89">
    <cfRule type="cellIs" dxfId="4823" priority="6052" stopIfTrue="1" operator="equal">
      <formula>"Towel"</formula>
    </cfRule>
    <cfRule type="cellIs" dxfId="4822" priority="6053" stopIfTrue="1" operator="equal">
      <formula>"Napkin Hs"</formula>
    </cfRule>
  </conditionalFormatting>
  <conditionalFormatting sqref="C89">
    <cfRule type="cellIs" dxfId="4821" priority="6054" stopIfTrue="1" operator="equal">
      <formula>"Towel"</formula>
    </cfRule>
    <cfRule type="cellIs" dxfId="4820" priority="6055" stopIfTrue="1" operator="equal">
      <formula>"Napkin Hs"</formula>
    </cfRule>
  </conditionalFormatting>
  <conditionalFormatting sqref="B89:C89">
    <cfRule type="cellIs" dxfId="4819" priority="6050" stopIfTrue="1" operator="equal">
      <formula>"Towel"</formula>
    </cfRule>
    <cfRule type="cellIs" dxfId="4818" priority="6051" stopIfTrue="1" operator="equal">
      <formula>"Napkin Hs"</formula>
    </cfRule>
  </conditionalFormatting>
  <conditionalFormatting sqref="C89">
    <cfRule type="cellIs" dxfId="4817" priority="6046" stopIfTrue="1" operator="equal">
      <formula>"Towel"</formula>
    </cfRule>
    <cfRule type="cellIs" dxfId="4816" priority="6047" stopIfTrue="1" operator="equal">
      <formula>"Napkin Hs"</formula>
    </cfRule>
  </conditionalFormatting>
  <conditionalFormatting sqref="C89">
    <cfRule type="cellIs" dxfId="4815" priority="6048" stopIfTrue="1" operator="equal">
      <formula>"Towel"</formula>
    </cfRule>
    <cfRule type="cellIs" dxfId="4814" priority="6049" stopIfTrue="1" operator="equal">
      <formula>"Napkin Hs"</formula>
    </cfRule>
  </conditionalFormatting>
  <conditionalFormatting sqref="B89:C89">
    <cfRule type="cellIs" dxfId="4813" priority="6044" stopIfTrue="1" operator="equal">
      <formula>"Towel"</formula>
    </cfRule>
    <cfRule type="cellIs" dxfId="4812" priority="6045" stopIfTrue="1" operator="equal">
      <formula>"Napkin Hs"</formula>
    </cfRule>
  </conditionalFormatting>
  <conditionalFormatting sqref="C89">
    <cfRule type="cellIs" dxfId="4811" priority="6042" stopIfTrue="1" operator="equal">
      <formula>"Towel"</formula>
    </cfRule>
    <cfRule type="cellIs" dxfId="4810" priority="6043" stopIfTrue="1" operator="equal">
      <formula>"Napkin Hs"</formula>
    </cfRule>
  </conditionalFormatting>
  <conditionalFormatting sqref="C89">
    <cfRule type="cellIs" dxfId="4809" priority="6040" stopIfTrue="1" operator="equal">
      <formula>"Towel"</formula>
    </cfRule>
    <cfRule type="cellIs" dxfId="4808" priority="6041" stopIfTrue="1" operator="equal">
      <formula>"Napkin Hs"</formula>
    </cfRule>
  </conditionalFormatting>
  <conditionalFormatting sqref="B89:C89">
    <cfRule type="cellIs" dxfId="4807" priority="6038" stopIfTrue="1" operator="equal">
      <formula>"Towel"</formula>
    </cfRule>
    <cfRule type="cellIs" dxfId="4806" priority="6039" stopIfTrue="1" operator="equal">
      <formula>"Napkin Hs"</formula>
    </cfRule>
  </conditionalFormatting>
  <conditionalFormatting sqref="C89">
    <cfRule type="cellIs" dxfId="4805" priority="6036" stopIfTrue="1" operator="equal">
      <formula>"Towel"</formula>
    </cfRule>
    <cfRule type="cellIs" dxfId="4804" priority="6037" stopIfTrue="1" operator="equal">
      <formula>"Napkin Hs"</formula>
    </cfRule>
  </conditionalFormatting>
  <conditionalFormatting sqref="C89">
    <cfRule type="cellIs" dxfId="4803" priority="6034" stopIfTrue="1" operator="equal">
      <formula>"Towel"</formula>
    </cfRule>
    <cfRule type="cellIs" dxfId="4802" priority="6035" stopIfTrue="1" operator="equal">
      <formula>"Napkin Hs"</formula>
    </cfRule>
  </conditionalFormatting>
  <conditionalFormatting sqref="B89:C89">
    <cfRule type="cellIs" dxfId="4801" priority="6032" stopIfTrue="1" operator="equal">
      <formula>"Towel"</formula>
    </cfRule>
    <cfRule type="cellIs" dxfId="4800" priority="6033" stopIfTrue="1" operator="equal">
      <formula>"Napkin Hs"</formula>
    </cfRule>
  </conditionalFormatting>
  <conditionalFormatting sqref="C89">
    <cfRule type="cellIs" dxfId="4799" priority="6030" stopIfTrue="1" operator="equal">
      <formula>"Towel"</formula>
    </cfRule>
    <cfRule type="cellIs" dxfId="4798" priority="6031" stopIfTrue="1" operator="equal">
      <formula>"Napkin Hs"</formula>
    </cfRule>
  </conditionalFormatting>
  <conditionalFormatting sqref="C89">
    <cfRule type="cellIs" dxfId="4797" priority="6028" stopIfTrue="1" operator="equal">
      <formula>"Towel"</formula>
    </cfRule>
    <cfRule type="cellIs" dxfId="4796" priority="6029" stopIfTrue="1" operator="equal">
      <formula>"Napkin Hs"</formula>
    </cfRule>
  </conditionalFormatting>
  <conditionalFormatting sqref="B89:C89">
    <cfRule type="cellIs" dxfId="4795" priority="6027" stopIfTrue="1" operator="equal">
      <formula>"Napkin Hs"</formula>
    </cfRule>
  </conditionalFormatting>
  <conditionalFormatting sqref="B89:C89">
    <cfRule type="cellIs" dxfId="4794" priority="6026" stopIfTrue="1" operator="equal">
      <formula>"Towel"</formula>
    </cfRule>
  </conditionalFormatting>
  <conditionalFormatting sqref="C89">
    <cfRule type="cellIs" dxfId="4793" priority="6025" stopIfTrue="1" operator="equal">
      <formula>"Napkin Hs"</formula>
    </cfRule>
  </conditionalFormatting>
  <conditionalFormatting sqref="C89">
    <cfRule type="cellIs" dxfId="4792" priority="6022" stopIfTrue="1" operator="equal">
      <formula>"Towel"</formula>
    </cfRule>
    <cfRule type="cellIs" dxfId="4791" priority="6023" stopIfTrue="1" operator="equal">
      <formula>"Napkin Hs"</formula>
    </cfRule>
  </conditionalFormatting>
  <conditionalFormatting sqref="C89">
    <cfRule type="cellIs" dxfId="4790" priority="6024" stopIfTrue="1" operator="equal">
      <formula>"Towel"</formula>
    </cfRule>
  </conditionalFormatting>
  <conditionalFormatting sqref="B89:C89">
    <cfRule type="cellIs" dxfId="4789" priority="6020" stopIfTrue="1" operator="equal">
      <formula>"Towel"</formula>
    </cfRule>
    <cfRule type="cellIs" dxfId="4788" priority="6021" stopIfTrue="1" operator="equal">
      <formula>"Napkin Hs"</formula>
    </cfRule>
  </conditionalFormatting>
  <conditionalFormatting sqref="C89">
    <cfRule type="cellIs" dxfId="4787" priority="6018" stopIfTrue="1" operator="equal">
      <formula>"Towel"</formula>
    </cfRule>
    <cfRule type="cellIs" dxfId="4786" priority="6019" stopIfTrue="1" operator="equal">
      <formula>"Napkin Hs"</formula>
    </cfRule>
  </conditionalFormatting>
  <conditionalFormatting sqref="B89:C89">
    <cfRule type="cellIs" dxfId="4785" priority="6016" stopIfTrue="1" operator="equal">
      <formula>"Towel"</formula>
    </cfRule>
    <cfRule type="cellIs" dxfId="4784" priority="6017" stopIfTrue="1" operator="equal">
      <formula>"Napkin Hs"</formula>
    </cfRule>
  </conditionalFormatting>
  <conditionalFormatting sqref="C89">
    <cfRule type="cellIs" dxfId="4783" priority="6012" stopIfTrue="1" operator="equal">
      <formula>"Towel"</formula>
    </cfRule>
    <cfRule type="cellIs" dxfId="4782" priority="6013" stopIfTrue="1" operator="equal">
      <formula>"Napkin Hs"</formula>
    </cfRule>
  </conditionalFormatting>
  <conditionalFormatting sqref="C89">
    <cfRule type="cellIs" dxfId="4781" priority="6014" stopIfTrue="1" operator="equal">
      <formula>"Towel"</formula>
    </cfRule>
    <cfRule type="cellIs" dxfId="4780" priority="6015" stopIfTrue="1" operator="equal">
      <formula>"Napkin Hs"</formula>
    </cfRule>
  </conditionalFormatting>
  <conditionalFormatting sqref="B89:C89">
    <cfRule type="cellIs" dxfId="4779" priority="6010" stopIfTrue="1" operator="equal">
      <formula>"Towel"</formula>
    </cfRule>
    <cfRule type="cellIs" dxfId="4778" priority="6011" stopIfTrue="1" operator="equal">
      <formula>"Napkin Hs"</formula>
    </cfRule>
  </conditionalFormatting>
  <conditionalFormatting sqref="C89">
    <cfRule type="cellIs" dxfId="4777" priority="6006" stopIfTrue="1" operator="equal">
      <formula>"Towel"</formula>
    </cfRule>
    <cfRule type="cellIs" dxfId="4776" priority="6007" stopIfTrue="1" operator="equal">
      <formula>"Napkin Hs"</formula>
    </cfRule>
  </conditionalFormatting>
  <conditionalFormatting sqref="C89">
    <cfRule type="cellIs" dxfId="4775" priority="6008" stopIfTrue="1" operator="equal">
      <formula>"Towel"</formula>
    </cfRule>
    <cfRule type="cellIs" dxfId="4774" priority="6009" stopIfTrue="1" operator="equal">
      <formula>"Napkin Hs"</formula>
    </cfRule>
  </conditionalFormatting>
  <conditionalFormatting sqref="B89:C89">
    <cfRule type="cellIs" dxfId="4773" priority="6004" stopIfTrue="1" operator="equal">
      <formula>"Towel"</formula>
    </cfRule>
    <cfRule type="cellIs" dxfId="4772" priority="6005" stopIfTrue="1" operator="equal">
      <formula>"Napkin Hs"</formula>
    </cfRule>
  </conditionalFormatting>
  <conditionalFormatting sqref="C89">
    <cfRule type="cellIs" dxfId="4771" priority="6002" stopIfTrue="1" operator="equal">
      <formula>"Towel"</formula>
    </cfRule>
    <cfRule type="cellIs" dxfId="4770" priority="6003" stopIfTrue="1" operator="equal">
      <formula>"Napkin Hs"</formula>
    </cfRule>
  </conditionalFormatting>
  <conditionalFormatting sqref="C89">
    <cfRule type="cellIs" dxfId="4769" priority="6000" stopIfTrue="1" operator="equal">
      <formula>"Towel"</formula>
    </cfRule>
    <cfRule type="cellIs" dxfId="4768" priority="6001" stopIfTrue="1" operator="equal">
      <formula>"Napkin Hs"</formula>
    </cfRule>
  </conditionalFormatting>
  <conditionalFormatting sqref="B89:C89">
    <cfRule type="cellIs" dxfId="4767" priority="5998" stopIfTrue="1" operator="equal">
      <formula>"Towel"</formula>
    </cfRule>
    <cfRule type="cellIs" dxfId="4766" priority="5999" stopIfTrue="1" operator="equal">
      <formula>"Napkin Hs"</formula>
    </cfRule>
  </conditionalFormatting>
  <conditionalFormatting sqref="C89">
    <cfRule type="cellIs" dxfId="4765" priority="5996" stopIfTrue="1" operator="equal">
      <formula>"Towel"</formula>
    </cfRule>
    <cfRule type="cellIs" dxfId="4764" priority="5997" stopIfTrue="1" operator="equal">
      <formula>"Napkin Hs"</formula>
    </cfRule>
  </conditionalFormatting>
  <conditionalFormatting sqref="C89">
    <cfRule type="cellIs" dxfId="4763" priority="5994" stopIfTrue="1" operator="equal">
      <formula>"Towel"</formula>
    </cfRule>
    <cfRule type="cellIs" dxfId="4762" priority="5995" stopIfTrue="1" operator="equal">
      <formula>"Napkin Hs"</formula>
    </cfRule>
  </conditionalFormatting>
  <conditionalFormatting sqref="B89:C89">
    <cfRule type="cellIs" dxfId="4761" priority="5992" stopIfTrue="1" operator="equal">
      <formula>"Towel"</formula>
    </cfRule>
    <cfRule type="cellIs" dxfId="4760" priority="5993" stopIfTrue="1" operator="equal">
      <formula>"Napkin Hs"</formula>
    </cfRule>
  </conditionalFormatting>
  <conditionalFormatting sqref="C89">
    <cfRule type="cellIs" dxfId="4759" priority="5990" stopIfTrue="1" operator="equal">
      <formula>"Towel"</formula>
    </cfRule>
    <cfRule type="cellIs" dxfId="4758" priority="5991" stopIfTrue="1" operator="equal">
      <formula>"Napkin Hs"</formula>
    </cfRule>
  </conditionalFormatting>
  <conditionalFormatting sqref="C89">
    <cfRule type="cellIs" dxfId="4757" priority="5988" stopIfTrue="1" operator="equal">
      <formula>"Towel"</formula>
    </cfRule>
    <cfRule type="cellIs" dxfId="4756" priority="5989" stopIfTrue="1" operator="equal">
      <formula>"Napkin Hs"</formula>
    </cfRule>
  </conditionalFormatting>
  <conditionalFormatting sqref="B89:C89">
    <cfRule type="cellIs" dxfId="4755" priority="5987" stopIfTrue="1" operator="equal">
      <formula>"Napkin Hs"</formula>
    </cfRule>
  </conditionalFormatting>
  <conditionalFormatting sqref="B89:C89">
    <cfRule type="cellIs" dxfId="4754" priority="5986" stopIfTrue="1" operator="equal">
      <formula>"Towel"</formula>
    </cfRule>
  </conditionalFormatting>
  <conditionalFormatting sqref="C89">
    <cfRule type="cellIs" dxfId="4753" priority="5985" stopIfTrue="1" operator="equal">
      <formula>"Napkin Hs"</formula>
    </cfRule>
  </conditionalFormatting>
  <conditionalFormatting sqref="C89">
    <cfRule type="cellIs" dxfId="4752" priority="5982" stopIfTrue="1" operator="equal">
      <formula>"Towel"</formula>
    </cfRule>
    <cfRule type="cellIs" dxfId="4751" priority="5983" stopIfTrue="1" operator="equal">
      <formula>"Napkin Hs"</formula>
    </cfRule>
  </conditionalFormatting>
  <conditionalFormatting sqref="C89">
    <cfRule type="cellIs" dxfId="4750" priority="5984" stopIfTrue="1" operator="equal">
      <formula>"Towel"</formula>
    </cfRule>
  </conditionalFormatting>
  <conditionalFormatting sqref="B90:C90">
    <cfRule type="cellIs" dxfId="4749" priority="5980" stopIfTrue="1" operator="equal">
      <formula>"Towel"</formula>
    </cfRule>
    <cfRule type="cellIs" dxfId="4748" priority="5981" stopIfTrue="1" operator="equal">
      <formula>"Napkin Hs"</formula>
    </cfRule>
  </conditionalFormatting>
  <conditionalFormatting sqref="C90">
    <cfRule type="cellIs" dxfId="4747" priority="5978" stopIfTrue="1" operator="equal">
      <formula>"Towel"</formula>
    </cfRule>
    <cfRule type="cellIs" dxfId="4746" priority="5979" stopIfTrue="1" operator="equal">
      <formula>"Napkin Hs"</formula>
    </cfRule>
  </conditionalFormatting>
  <conditionalFormatting sqref="C90">
    <cfRule type="cellIs" dxfId="4745" priority="5976" stopIfTrue="1" operator="equal">
      <formula>"Towel"</formula>
    </cfRule>
    <cfRule type="cellIs" dxfId="4744" priority="5977" stopIfTrue="1" operator="equal">
      <formula>"Napkin Hs"</formula>
    </cfRule>
  </conditionalFormatting>
  <conditionalFormatting sqref="B90:C90">
    <cfRule type="cellIs" dxfId="4743" priority="5974" stopIfTrue="1" operator="equal">
      <formula>"Towel"</formula>
    </cfRule>
    <cfRule type="cellIs" dxfId="4742" priority="5975" stopIfTrue="1" operator="equal">
      <formula>"Napkin Hs"</formula>
    </cfRule>
  </conditionalFormatting>
  <conditionalFormatting sqref="C90">
    <cfRule type="cellIs" dxfId="4741" priority="5970" stopIfTrue="1" operator="equal">
      <formula>"Towel"</formula>
    </cfRule>
    <cfRule type="cellIs" dxfId="4740" priority="5971" stopIfTrue="1" operator="equal">
      <formula>"Napkin Hs"</formula>
    </cfRule>
  </conditionalFormatting>
  <conditionalFormatting sqref="C90">
    <cfRule type="cellIs" dxfId="4739" priority="5972" stopIfTrue="1" operator="equal">
      <formula>"Towel"</formula>
    </cfRule>
    <cfRule type="cellIs" dxfId="4738" priority="5973" stopIfTrue="1" operator="equal">
      <formula>"Napkin Hs"</formula>
    </cfRule>
  </conditionalFormatting>
  <conditionalFormatting sqref="B90:C90">
    <cfRule type="cellIs" dxfId="4737" priority="5968" stopIfTrue="1" operator="equal">
      <formula>"Towel"</formula>
    </cfRule>
    <cfRule type="cellIs" dxfId="4736" priority="5969" stopIfTrue="1" operator="equal">
      <formula>"Napkin Hs"</formula>
    </cfRule>
  </conditionalFormatting>
  <conditionalFormatting sqref="C90">
    <cfRule type="cellIs" dxfId="4735" priority="5964" stopIfTrue="1" operator="equal">
      <formula>"Towel"</formula>
    </cfRule>
    <cfRule type="cellIs" dxfId="4734" priority="5965" stopIfTrue="1" operator="equal">
      <formula>"Napkin Hs"</formula>
    </cfRule>
  </conditionalFormatting>
  <conditionalFormatting sqref="C90">
    <cfRule type="cellIs" dxfId="4733" priority="5966" stopIfTrue="1" operator="equal">
      <formula>"Towel"</formula>
    </cfRule>
    <cfRule type="cellIs" dxfId="4732" priority="5967" stopIfTrue="1" operator="equal">
      <formula>"Napkin Hs"</formula>
    </cfRule>
  </conditionalFormatting>
  <conditionalFormatting sqref="B90:C90">
    <cfRule type="cellIs" dxfId="4731" priority="5962" stopIfTrue="1" operator="equal">
      <formula>"Towel"</formula>
    </cfRule>
    <cfRule type="cellIs" dxfId="4730" priority="5963" stopIfTrue="1" operator="equal">
      <formula>"Napkin Hs"</formula>
    </cfRule>
  </conditionalFormatting>
  <conditionalFormatting sqref="C90">
    <cfRule type="cellIs" dxfId="4729" priority="5960" stopIfTrue="1" operator="equal">
      <formula>"Towel"</formula>
    </cfRule>
    <cfRule type="cellIs" dxfId="4728" priority="5961" stopIfTrue="1" operator="equal">
      <formula>"Napkin Hs"</formula>
    </cfRule>
  </conditionalFormatting>
  <conditionalFormatting sqref="C90">
    <cfRule type="cellIs" dxfId="4727" priority="5958" stopIfTrue="1" operator="equal">
      <formula>"Towel"</formula>
    </cfRule>
    <cfRule type="cellIs" dxfId="4726" priority="5959" stopIfTrue="1" operator="equal">
      <formula>"Napkin Hs"</formula>
    </cfRule>
  </conditionalFormatting>
  <conditionalFormatting sqref="B90:C90">
    <cfRule type="cellIs" dxfId="4725" priority="5956" stopIfTrue="1" operator="equal">
      <formula>"Towel"</formula>
    </cfRule>
    <cfRule type="cellIs" dxfId="4724" priority="5957" stopIfTrue="1" operator="equal">
      <formula>"Napkin Hs"</formula>
    </cfRule>
  </conditionalFormatting>
  <conditionalFormatting sqref="C90">
    <cfRule type="cellIs" dxfId="4723" priority="5954" stopIfTrue="1" operator="equal">
      <formula>"Towel"</formula>
    </cfRule>
    <cfRule type="cellIs" dxfId="4722" priority="5955" stopIfTrue="1" operator="equal">
      <formula>"Napkin Hs"</formula>
    </cfRule>
  </conditionalFormatting>
  <conditionalFormatting sqref="C90">
    <cfRule type="cellIs" dxfId="4721" priority="5952" stopIfTrue="1" operator="equal">
      <formula>"Towel"</formula>
    </cfRule>
    <cfRule type="cellIs" dxfId="4720" priority="5953" stopIfTrue="1" operator="equal">
      <formula>"Napkin Hs"</formula>
    </cfRule>
  </conditionalFormatting>
  <conditionalFormatting sqref="B90:C90">
    <cfRule type="cellIs" dxfId="4719" priority="5950" stopIfTrue="1" operator="equal">
      <formula>"Towel"</formula>
    </cfRule>
    <cfRule type="cellIs" dxfId="4718" priority="5951" stopIfTrue="1" operator="equal">
      <formula>"Napkin Hs"</formula>
    </cfRule>
  </conditionalFormatting>
  <conditionalFormatting sqref="C90">
    <cfRule type="cellIs" dxfId="4717" priority="5948" stopIfTrue="1" operator="equal">
      <formula>"Towel"</formula>
    </cfRule>
    <cfRule type="cellIs" dxfId="4716" priority="5949" stopIfTrue="1" operator="equal">
      <formula>"Napkin Hs"</formula>
    </cfRule>
  </conditionalFormatting>
  <conditionalFormatting sqref="C90">
    <cfRule type="cellIs" dxfId="4715" priority="5946" stopIfTrue="1" operator="equal">
      <formula>"Towel"</formula>
    </cfRule>
    <cfRule type="cellIs" dxfId="4714" priority="5947" stopIfTrue="1" operator="equal">
      <formula>"Napkin Hs"</formula>
    </cfRule>
  </conditionalFormatting>
  <conditionalFormatting sqref="B90:C90">
    <cfRule type="cellIs" dxfId="4713" priority="5945" stopIfTrue="1" operator="equal">
      <formula>"Napkin Hs"</formula>
    </cfRule>
  </conditionalFormatting>
  <conditionalFormatting sqref="B90:C90">
    <cfRule type="cellIs" dxfId="4712" priority="5944" stopIfTrue="1" operator="equal">
      <formula>"Towel"</formula>
    </cfRule>
  </conditionalFormatting>
  <conditionalFormatting sqref="C90">
    <cfRule type="cellIs" dxfId="4711" priority="5943" stopIfTrue="1" operator="equal">
      <formula>"Napkin Hs"</formula>
    </cfRule>
  </conditionalFormatting>
  <conditionalFormatting sqref="C90">
    <cfRule type="cellIs" dxfId="4710" priority="5940" stopIfTrue="1" operator="equal">
      <formula>"Towel"</formula>
    </cfRule>
    <cfRule type="cellIs" dxfId="4709" priority="5941" stopIfTrue="1" operator="equal">
      <formula>"Napkin Hs"</formula>
    </cfRule>
  </conditionalFormatting>
  <conditionalFormatting sqref="C90">
    <cfRule type="cellIs" dxfId="4708" priority="5942" stopIfTrue="1" operator="equal">
      <formula>"Towel"</formula>
    </cfRule>
  </conditionalFormatting>
  <conditionalFormatting sqref="B90:C90">
    <cfRule type="cellIs" dxfId="4707" priority="5936" stopIfTrue="1" operator="equal">
      <formula>"Towel"</formula>
    </cfRule>
    <cfRule type="cellIs" dxfId="4706" priority="5937" stopIfTrue="1" operator="equal">
      <formula>"Napkin Hs"</formula>
    </cfRule>
  </conditionalFormatting>
  <conditionalFormatting sqref="C90">
    <cfRule type="cellIs" dxfId="4705" priority="5938" stopIfTrue="1" operator="equal">
      <formula>"Towel"</formula>
    </cfRule>
    <cfRule type="cellIs" dxfId="4704" priority="5939" stopIfTrue="1" operator="equal">
      <formula>"Napkin Hs"</formula>
    </cfRule>
  </conditionalFormatting>
  <conditionalFormatting sqref="C90">
    <cfRule type="cellIs" dxfId="4703" priority="5934" stopIfTrue="1" operator="equal">
      <formula>"Towel"</formula>
    </cfRule>
    <cfRule type="cellIs" dxfId="4702" priority="5935" stopIfTrue="1" operator="equal">
      <formula>"Napkin Hs"</formula>
    </cfRule>
  </conditionalFormatting>
  <conditionalFormatting sqref="B90:C90">
    <cfRule type="cellIs" dxfId="4701" priority="5932" stopIfTrue="1" operator="equal">
      <formula>"Towel"</formula>
    </cfRule>
    <cfRule type="cellIs" dxfId="4700" priority="5933" stopIfTrue="1" operator="equal">
      <formula>"Napkin Hs"</formula>
    </cfRule>
  </conditionalFormatting>
  <conditionalFormatting sqref="C90">
    <cfRule type="cellIs" dxfId="4699" priority="5928" stopIfTrue="1" operator="equal">
      <formula>"Towel"</formula>
    </cfRule>
    <cfRule type="cellIs" dxfId="4698" priority="5929" stopIfTrue="1" operator="equal">
      <formula>"Napkin Hs"</formula>
    </cfRule>
  </conditionalFormatting>
  <conditionalFormatting sqref="C90">
    <cfRule type="cellIs" dxfId="4697" priority="5930" stopIfTrue="1" operator="equal">
      <formula>"Towel"</formula>
    </cfRule>
    <cfRule type="cellIs" dxfId="4696" priority="5931" stopIfTrue="1" operator="equal">
      <formula>"Napkin Hs"</formula>
    </cfRule>
  </conditionalFormatting>
  <conditionalFormatting sqref="B90:C90">
    <cfRule type="cellIs" dxfId="4695" priority="5926" stopIfTrue="1" operator="equal">
      <formula>"Towel"</formula>
    </cfRule>
    <cfRule type="cellIs" dxfId="4694" priority="5927" stopIfTrue="1" operator="equal">
      <formula>"Napkin Hs"</formula>
    </cfRule>
  </conditionalFormatting>
  <conditionalFormatting sqref="C90">
    <cfRule type="cellIs" dxfId="4693" priority="5922" stopIfTrue="1" operator="equal">
      <formula>"Towel"</formula>
    </cfRule>
    <cfRule type="cellIs" dxfId="4692" priority="5923" stopIfTrue="1" operator="equal">
      <formula>"Napkin Hs"</formula>
    </cfRule>
  </conditionalFormatting>
  <conditionalFormatting sqref="C90">
    <cfRule type="cellIs" dxfId="4691" priority="5924" stopIfTrue="1" operator="equal">
      <formula>"Towel"</formula>
    </cfRule>
    <cfRule type="cellIs" dxfId="4690" priority="5925" stopIfTrue="1" operator="equal">
      <formula>"Napkin Hs"</formula>
    </cfRule>
  </conditionalFormatting>
  <conditionalFormatting sqref="B90:C90">
    <cfRule type="cellIs" dxfId="4689" priority="5920" stopIfTrue="1" operator="equal">
      <formula>"Towel"</formula>
    </cfRule>
    <cfRule type="cellIs" dxfId="4688" priority="5921" stopIfTrue="1" operator="equal">
      <formula>"Napkin Hs"</formula>
    </cfRule>
  </conditionalFormatting>
  <conditionalFormatting sqref="C90">
    <cfRule type="cellIs" dxfId="4687" priority="5918" stopIfTrue="1" operator="equal">
      <formula>"Towel"</formula>
    </cfRule>
    <cfRule type="cellIs" dxfId="4686" priority="5919" stopIfTrue="1" operator="equal">
      <formula>"Napkin Hs"</formula>
    </cfRule>
  </conditionalFormatting>
  <conditionalFormatting sqref="C90">
    <cfRule type="cellIs" dxfId="4685" priority="5916" stopIfTrue="1" operator="equal">
      <formula>"Towel"</formula>
    </cfRule>
    <cfRule type="cellIs" dxfId="4684" priority="5917" stopIfTrue="1" operator="equal">
      <formula>"Napkin Hs"</formula>
    </cfRule>
  </conditionalFormatting>
  <conditionalFormatting sqref="B90:C90">
    <cfRule type="cellIs" dxfId="4683" priority="5914" stopIfTrue="1" operator="equal">
      <formula>"Towel"</formula>
    </cfRule>
    <cfRule type="cellIs" dxfId="4682" priority="5915" stopIfTrue="1" operator="equal">
      <formula>"Napkin Hs"</formula>
    </cfRule>
  </conditionalFormatting>
  <conditionalFormatting sqref="C90">
    <cfRule type="cellIs" dxfId="4681" priority="5912" stopIfTrue="1" operator="equal">
      <formula>"Towel"</formula>
    </cfRule>
    <cfRule type="cellIs" dxfId="4680" priority="5913" stopIfTrue="1" operator="equal">
      <formula>"Napkin Hs"</formula>
    </cfRule>
  </conditionalFormatting>
  <conditionalFormatting sqref="C90">
    <cfRule type="cellIs" dxfId="4679" priority="5910" stopIfTrue="1" operator="equal">
      <formula>"Towel"</formula>
    </cfRule>
    <cfRule type="cellIs" dxfId="4678" priority="5911" stopIfTrue="1" operator="equal">
      <formula>"Napkin Hs"</formula>
    </cfRule>
  </conditionalFormatting>
  <conditionalFormatting sqref="B90:C90">
    <cfRule type="cellIs" dxfId="4677" priority="5908" stopIfTrue="1" operator="equal">
      <formula>"Towel"</formula>
    </cfRule>
    <cfRule type="cellIs" dxfId="4676" priority="5909" stopIfTrue="1" operator="equal">
      <formula>"Napkin Hs"</formula>
    </cfRule>
  </conditionalFormatting>
  <conditionalFormatting sqref="C90">
    <cfRule type="cellIs" dxfId="4675" priority="5906" stopIfTrue="1" operator="equal">
      <formula>"Towel"</formula>
    </cfRule>
    <cfRule type="cellIs" dxfId="4674" priority="5907" stopIfTrue="1" operator="equal">
      <formula>"Napkin Hs"</formula>
    </cfRule>
  </conditionalFormatting>
  <conditionalFormatting sqref="C90">
    <cfRule type="cellIs" dxfId="4673" priority="5904" stopIfTrue="1" operator="equal">
      <formula>"Towel"</formula>
    </cfRule>
    <cfRule type="cellIs" dxfId="4672" priority="5905" stopIfTrue="1" operator="equal">
      <formula>"Napkin Hs"</formula>
    </cfRule>
  </conditionalFormatting>
  <conditionalFormatting sqref="B90:C90">
    <cfRule type="cellIs" dxfId="4671" priority="5903" stopIfTrue="1" operator="equal">
      <formula>"Napkin Hs"</formula>
    </cfRule>
  </conditionalFormatting>
  <conditionalFormatting sqref="B90:C90">
    <cfRule type="cellIs" dxfId="4670" priority="5902" stopIfTrue="1" operator="equal">
      <formula>"Towel"</formula>
    </cfRule>
  </conditionalFormatting>
  <conditionalFormatting sqref="C90">
    <cfRule type="cellIs" dxfId="4669" priority="5901" stopIfTrue="1" operator="equal">
      <formula>"Napkin Hs"</formula>
    </cfRule>
  </conditionalFormatting>
  <conditionalFormatting sqref="C90">
    <cfRule type="cellIs" dxfId="4668" priority="5898" stopIfTrue="1" operator="equal">
      <formula>"Towel"</formula>
    </cfRule>
    <cfRule type="cellIs" dxfId="4667" priority="5899" stopIfTrue="1" operator="equal">
      <formula>"Napkin Hs"</formula>
    </cfRule>
  </conditionalFormatting>
  <conditionalFormatting sqref="C90">
    <cfRule type="cellIs" dxfId="4666" priority="5900" stopIfTrue="1" operator="equal">
      <formula>"Towel"</formula>
    </cfRule>
  </conditionalFormatting>
  <conditionalFormatting sqref="C100">
    <cfRule type="cellIs" dxfId="4665" priority="5876" stopIfTrue="1" operator="equal">
      <formula>"Towel"</formula>
    </cfRule>
    <cfRule type="cellIs" dxfId="4664" priority="5877" stopIfTrue="1" operator="equal">
      <formula>"Napkin Hs"</formula>
    </cfRule>
  </conditionalFormatting>
  <conditionalFormatting sqref="C100">
    <cfRule type="cellIs" dxfId="4663" priority="5874" stopIfTrue="1" operator="equal">
      <formula>"Towel"</formula>
    </cfRule>
    <cfRule type="cellIs" dxfId="4662" priority="5875" stopIfTrue="1" operator="equal">
      <formula>"Napkin Hs"</formula>
    </cfRule>
  </conditionalFormatting>
  <conditionalFormatting sqref="B100:C100">
    <cfRule type="cellIs" dxfId="4661" priority="5866" stopIfTrue="1" operator="equal">
      <formula>"Towel"</formula>
    </cfRule>
    <cfRule type="cellIs" dxfId="4660" priority="5867" stopIfTrue="1" operator="equal">
      <formula>"Napkin Hs"</formula>
    </cfRule>
  </conditionalFormatting>
  <conditionalFormatting sqref="C100">
    <cfRule type="cellIs" dxfId="4659" priority="5868" stopIfTrue="1" operator="equal">
      <formula>"Towel"</formula>
    </cfRule>
    <cfRule type="cellIs" dxfId="4658" priority="5869" stopIfTrue="1" operator="equal">
      <formula>"Napkin Hs"</formula>
    </cfRule>
  </conditionalFormatting>
  <conditionalFormatting sqref="C100">
    <cfRule type="cellIs" dxfId="4657" priority="5864" stopIfTrue="1" operator="equal">
      <formula>"Towel"</formula>
    </cfRule>
    <cfRule type="cellIs" dxfId="4656" priority="5865" stopIfTrue="1" operator="equal">
      <formula>"Napkin Hs"</formula>
    </cfRule>
  </conditionalFormatting>
  <conditionalFormatting sqref="B100:C100">
    <cfRule type="cellIs" dxfId="4655" priority="5860" stopIfTrue="1" operator="equal">
      <formula>"Towel"</formula>
    </cfRule>
    <cfRule type="cellIs" dxfId="4654" priority="5861" stopIfTrue="1" operator="equal">
      <formula>"Napkin Hs"</formula>
    </cfRule>
  </conditionalFormatting>
  <conditionalFormatting sqref="C100">
    <cfRule type="cellIs" dxfId="4653" priority="5862" stopIfTrue="1" operator="equal">
      <formula>"Towel"</formula>
    </cfRule>
    <cfRule type="cellIs" dxfId="4652" priority="5863" stopIfTrue="1" operator="equal">
      <formula>"Napkin Hs"</formula>
    </cfRule>
  </conditionalFormatting>
  <conditionalFormatting sqref="C100">
    <cfRule type="cellIs" dxfId="4651" priority="5858" stopIfTrue="1" operator="equal">
      <formula>"Towel"</formula>
    </cfRule>
    <cfRule type="cellIs" dxfId="4650" priority="5859" stopIfTrue="1" operator="equal">
      <formula>"Napkin Hs"</formula>
    </cfRule>
  </conditionalFormatting>
  <conditionalFormatting sqref="C100">
    <cfRule type="cellIs" dxfId="4649" priority="5856" stopIfTrue="1" operator="equal">
      <formula>"Towel"</formula>
    </cfRule>
    <cfRule type="cellIs" dxfId="4648" priority="5857" stopIfTrue="1" operator="equal">
      <formula>"Napkin Hs"</formula>
    </cfRule>
  </conditionalFormatting>
  <conditionalFormatting sqref="B100:C100">
    <cfRule type="cellIs" dxfId="4647" priority="5854" stopIfTrue="1" operator="equal">
      <formula>"Towel"</formula>
    </cfRule>
    <cfRule type="cellIs" dxfId="4646" priority="5855" stopIfTrue="1" operator="equal">
      <formula>"Napkin Hs"</formula>
    </cfRule>
  </conditionalFormatting>
  <conditionalFormatting sqref="C100">
    <cfRule type="cellIs" dxfId="4645" priority="5852" stopIfTrue="1" operator="equal">
      <formula>"Towel"</formula>
    </cfRule>
    <cfRule type="cellIs" dxfId="4644" priority="5853" stopIfTrue="1" operator="equal">
      <formula>"Napkin Hs"</formula>
    </cfRule>
  </conditionalFormatting>
  <conditionalFormatting sqref="C100">
    <cfRule type="cellIs" dxfId="4643" priority="5850" stopIfTrue="1" operator="equal">
      <formula>"Towel"</formula>
    </cfRule>
    <cfRule type="cellIs" dxfId="4642" priority="5851" stopIfTrue="1" operator="equal">
      <formula>"Napkin Hs"</formula>
    </cfRule>
  </conditionalFormatting>
  <conditionalFormatting sqref="B100:C100">
    <cfRule type="cellIs" dxfId="4641" priority="5848" stopIfTrue="1" operator="equal">
      <formula>"Towel"</formula>
    </cfRule>
    <cfRule type="cellIs" dxfId="4640" priority="5849" stopIfTrue="1" operator="equal">
      <formula>"Napkin Hs"</formula>
    </cfRule>
  </conditionalFormatting>
  <conditionalFormatting sqref="C100">
    <cfRule type="cellIs" dxfId="4639" priority="5846" stopIfTrue="1" operator="equal">
      <formula>"Towel"</formula>
    </cfRule>
    <cfRule type="cellIs" dxfId="4638" priority="5847" stopIfTrue="1" operator="equal">
      <formula>"Napkin Hs"</formula>
    </cfRule>
  </conditionalFormatting>
  <conditionalFormatting sqref="C100">
    <cfRule type="cellIs" dxfId="4637" priority="5844" stopIfTrue="1" operator="equal">
      <formula>"Towel"</formula>
    </cfRule>
    <cfRule type="cellIs" dxfId="4636" priority="5845" stopIfTrue="1" operator="equal">
      <formula>"Napkin Hs"</formula>
    </cfRule>
  </conditionalFormatting>
  <conditionalFormatting sqref="B100:C100">
    <cfRule type="cellIs" dxfId="4635" priority="5842" stopIfTrue="1" operator="equal">
      <formula>"Towel"</formula>
    </cfRule>
    <cfRule type="cellIs" dxfId="4634" priority="5843" stopIfTrue="1" operator="equal">
      <formula>"Napkin Hs"</formula>
    </cfRule>
  </conditionalFormatting>
  <conditionalFormatting sqref="B100:C100">
    <cfRule type="cellIs" dxfId="4633" priority="5885" stopIfTrue="1" operator="equal">
      <formula>"Napkin Hs"</formula>
    </cfRule>
  </conditionalFormatting>
  <conditionalFormatting sqref="B100:C100">
    <cfRule type="cellIs" dxfId="4632" priority="5884" stopIfTrue="1" operator="equal">
      <formula>"Towel"</formula>
    </cfRule>
  </conditionalFormatting>
  <conditionalFormatting sqref="C100">
    <cfRule type="cellIs" dxfId="4631" priority="5883" stopIfTrue="1" operator="equal">
      <formula>"Napkin Hs"</formula>
    </cfRule>
  </conditionalFormatting>
  <conditionalFormatting sqref="C100">
    <cfRule type="cellIs" dxfId="4630" priority="5882" stopIfTrue="1" operator="equal">
      <formula>"Towel"</formula>
    </cfRule>
  </conditionalFormatting>
  <conditionalFormatting sqref="C100">
    <cfRule type="cellIs" dxfId="4629" priority="5880" stopIfTrue="1" operator="equal">
      <formula>"Towel"</formula>
    </cfRule>
    <cfRule type="cellIs" dxfId="4628" priority="5881" stopIfTrue="1" operator="equal">
      <formula>"Napkin Hs"</formula>
    </cfRule>
  </conditionalFormatting>
  <conditionalFormatting sqref="B100:C100">
    <cfRule type="cellIs" dxfId="4627" priority="5878" stopIfTrue="1" operator="equal">
      <formula>"Towel"</formula>
    </cfRule>
    <cfRule type="cellIs" dxfId="4626" priority="5879" stopIfTrue="1" operator="equal">
      <formula>"Napkin Hs"</formula>
    </cfRule>
  </conditionalFormatting>
  <conditionalFormatting sqref="B100:C100">
    <cfRule type="cellIs" dxfId="4625" priority="5873" stopIfTrue="1" operator="equal">
      <formula>"Napkin Hs"</formula>
    </cfRule>
  </conditionalFormatting>
  <conditionalFormatting sqref="B100:C100">
    <cfRule type="cellIs" dxfId="4624" priority="5872" stopIfTrue="1" operator="equal">
      <formula>"Towel"</formula>
    </cfRule>
  </conditionalFormatting>
  <conditionalFormatting sqref="C100">
    <cfRule type="cellIs" dxfId="4623" priority="5871" stopIfTrue="1" operator="equal">
      <formula>"Napkin Hs"</formula>
    </cfRule>
  </conditionalFormatting>
  <conditionalFormatting sqref="C100">
    <cfRule type="cellIs" dxfId="4622" priority="5870" stopIfTrue="1" operator="equal">
      <formula>"Towel"</formula>
    </cfRule>
  </conditionalFormatting>
  <conditionalFormatting sqref="C100">
    <cfRule type="cellIs" dxfId="4621" priority="5840" stopIfTrue="1" operator="equal">
      <formula>"Towel"</formula>
    </cfRule>
    <cfRule type="cellIs" dxfId="4620" priority="5841" stopIfTrue="1" operator="equal">
      <formula>"Napkin Hs"</formula>
    </cfRule>
  </conditionalFormatting>
  <conditionalFormatting sqref="C100">
    <cfRule type="cellIs" dxfId="4619" priority="5838" stopIfTrue="1" operator="equal">
      <formula>"Towel"</formula>
    </cfRule>
    <cfRule type="cellIs" dxfId="4618" priority="5839" stopIfTrue="1" operator="equal">
      <formula>"Napkin Hs"</formula>
    </cfRule>
  </conditionalFormatting>
  <conditionalFormatting sqref="B100:C100">
    <cfRule type="cellIs" dxfId="4617" priority="5837" stopIfTrue="1" operator="equal">
      <formula>"Napkin Hs"</formula>
    </cfRule>
  </conditionalFormatting>
  <conditionalFormatting sqref="B100:C100">
    <cfRule type="cellIs" dxfId="4616" priority="5836" stopIfTrue="1" operator="equal">
      <formula>"Towel"</formula>
    </cfRule>
  </conditionalFormatting>
  <conditionalFormatting sqref="C100">
    <cfRule type="cellIs" dxfId="4615" priority="5835" stopIfTrue="1" operator="equal">
      <formula>"Napkin Hs"</formula>
    </cfRule>
  </conditionalFormatting>
  <conditionalFormatting sqref="C100">
    <cfRule type="cellIs" dxfId="4614" priority="5832" stopIfTrue="1" operator="equal">
      <formula>"Towel"</formula>
    </cfRule>
    <cfRule type="cellIs" dxfId="4613" priority="5833" stopIfTrue="1" operator="equal">
      <formula>"Napkin Hs"</formula>
    </cfRule>
  </conditionalFormatting>
  <conditionalFormatting sqref="C100">
    <cfRule type="cellIs" dxfId="4612" priority="5834" stopIfTrue="1" operator="equal">
      <formula>"Towel"</formula>
    </cfRule>
  </conditionalFormatting>
  <conditionalFormatting sqref="B98:C99">
    <cfRule type="cellIs" dxfId="4611" priority="5716" stopIfTrue="1" operator="equal">
      <formula>"Towel"</formula>
    </cfRule>
    <cfRule type="cellIs" dxfId="4610" priority="5717" stopIfTrue="1" operator="equal">
      <formula>"Napkin Hs"</formula>
    </cfRule>
  </conditionalFormatting>
  <conditionalFormatting sqref="C98:C99">
    <cfRule type="cellIs" dxfId="4609" priority="5714" stopIfTrue="1" operator="equal">
      <formula>"Towel"</formula>
    </cfRule>
    <cfRule type="cellIs" dxfId="4608" priority="5715" stopIfTrue="1" operator="equal">
      <formula>"Napkin Hs"</formula>
    </cfRule>
  </conditionalFormatting>
  <conditionalFormatting sqref="C99">
    <cfRule type="cellIs" dxfId="4607" priority="5784" stopIfTrue="1" operator="equal">
      <formula>"Towel"</formula>
    </cfRule>
    <cfRule type="cellIs" dxfId="4606" priority="5785" stopIfTrue="1" operator="equal">
      <formula>"Napkin Hs"</formula>
    </cfRule>
  </conditionalFormatting>
  <conditionalFormatting sqref="B99:C99">
    <cfRule type="cellIs" dxfId="4605" priority="5830" stopIfTrue="1" operator="equal">
      <formula>"Towel"</formula>
    </cfRule>
    <cfRule type="cellIs" dxfId="4604" priority="5831" stopIfTrue="1" operator="equal">
      <formula>"Napkin Hs"</formula>
    </cfRule>
  </conditionalFormatting>
  <conditionalFormatting sqref="C99">
    <cfRule type="cellIs" dxfId="4603" priority="5826" stopIfTrue="1" operator="equal">
      <formula>"Towel"</formula>
    </cfRule>
    <cfRule type="cellIs" dxfId="4602" priority="5827" stopIfTrue="1" operator="equal">
      <formula>"Napkin Hs"</formula>
    </cfRule>
  </conditionalFormatting>
  <conditionalFormatting sqref="C99">
    <cfRule type="cellIs" dxfId="4601" priority="5828" stopIfTrue="1" operator="equal">
      <formula>"Towel"</formula>
    </cfRule>
    <cfRule type="cellIs" dxfId="4600" priority="5829" stopIfTrue="1" operator="equal">
      <formula>"Napkin Hs"</formula>
    </cfRule>
  </conditionalFormatting>
  <conditionalFormatting sqref="B99:C99">
    <cfRule type="cellIs" dxfId="4599" priority="5825" stopIfTrue="1" operator="equal">
      <formula>"Napkin Hs"</formula>
    </cfRule>
  </conditionalFormatting>
  <conditionalFormatting sqref="B99:C99">
    <cfRule type="cellIs" dxfId="4598" priority="5824" stopIfTrue="1" operator="equal">
      <formula>"Towel"</formula>
    </cfRule>
  </conditionalFormatting>
  <conditionalFormatting sqref="C99">
    <cfRule type="cellIs" dxfId="4597" priority="5823" stopIfTrue="1" operator="equal">
      <formula>"Napkin Hs"</formula>
    </cfRule>
  </conditionalFormatting>
  <conditionalFormatting sqref="C99">
    <cfRule type="cellIs" dxfId="4596" priority="5822" stopIfTrue="1" operator="equal">
      <formula>"Towel"</formula>
    </cfRule>
  </conditionalFormatting>
  <conditionalFormatting sqref="C99">
    <cfRule type="cellIs" dxfId="4595" priority="5820" stopIfTrue="1" operator="equal">
      <formula>"Towel"</formula>
    </cfRule>
    <cfRule type="cellIs" dxfId="4594" priority="5821" stopIfTrue="1" operator="equal">
      <formula>"Napkin Hs"</formula>
    </cfRule>
  </conditionalFormatting>
  <conditionalFormatting sqref="B99:C99">
    <cfRule type="cellIs" dxfId="4593" priority="5818" stopIfTrue="1" operator="equal">
      <formula>"Towel"</formula>
    </cfRule>
    <cfRule type="cellIs" dxfId="4592" priority="5819" stopIfTrue="1" operator="equal">
      <formula>"Napkin Hs"</formula>
    </cfRule>
  </conditionalFormatting>
  <conditionalFormatting sqref="C99">
    <cfRule type="cellIs" dxfId="4591" priority="5816" stopIfTrue="1" operator="equal">
      <formula>"Towel"</formula>
    </cfRule>
    <cfRule type="cellIs" dxfId="4590" priority="5817" stopIfTrue="1" operator="equal">
      <formula>"Napkin Hs"</formula>
    </cfRule>
  </conditionalFormatting>
  <conditionalFormatting sqref="C99">
    <cfRule type="cellIs" dxfId="4589" priority="5814" stopIfTrue="1" operator="equal">
      <formula>"Towel"</formula>
    </cfRule>
    <cfRule type="cellIs" dxfId="4588" priority="5815" stopIfTrue="1" operator="equal">
      <formula>"Napkin Hs"</formula>
    </cfRule>
  </conditionalFormatting>
  <conditionalFormatting sqref="B99:C99">
    <cfRule type="cellIs" dxfId="4587" priority="5812" stopIfTrue="1" operator="equal">
      <formula>"Towel"</formula>
    </cfRule>
    <cfRule type="cellIs" dxfId="4586" priority="5813" stopIfTrue="1" operator="equal">
      <formula>"Napkin Hs"</formula>
    </cfRule>
  </conditionalFormatting>
  <conditionalFormatting sqref="C99">
    <cfRule type="cellIs" dxfId="4585" priority="5810" stopIfTrue="1" operator="equal">
      <formula>"Towel"</formula>
    </cfRule>
    <cfRule type="cellIs" dxfId="4584" priority="5811" stopIfTrue="1" operator="equal">
      <formula>"Napkin Hs"</formula>
    </cfRule>
  </conditionalFormatting>
  <conditionalFormatting sqref="C99">
    <cfRule type="cellIs" dxfId="4583" priority="5808" stopIfTrue="1" operator="equal">
      <formula>"Towel"</formula>
    </cfRule>
    <cfRule type="cellIs" dxfId="4582" priority="5809" stopIfTrue="1" operator="equal">
      <formula>"Napkin Hs"</formula>
    </cfRule>
  </conditionalFormatting>
  <conditionalFormatting sqref="B99:C99">
    <cfRule type="cellIs" dxfId="4581" priority="5806" stopIfTrue="1" operator="equal">
      <formula>"Towel"</formula>
    </cfRule>
    <cfRule type="cellIs" dxfId="4580" priority="5807" stopIfTrue="1" operator="equal">
      <formula>"Napkin Hs"</formula>
    </cfRule>
  </conditionalFormatting>
  <conditionalFormatting sqref="C99">
    <cfRule type="cellIs" dxfId="4579" priority="5804" stopIfTrue="1" operator="equal">
      <formula>"Towel"</formula>
    </cfRule>
    <cfRule type="cellIs" dxfId="4578" priority="5805" stopIfTrue="1" operator="equal">
      <formula>"Napkin Hs"</formula>
    </cfRule>
  </conditionalFormatting>
  <conditionalFormatting sqref="C99">
    <cfRule type="cellIs" dxfId="4577" priority="5802" stopIfTrue="1" operator="equal">
      <formula>"Towel"</formula>
    </cfRule>
    <cfRule type="cellIs" dxfId="4576" priority="5803" stopIfTrue="1" operator="equal">
      <formula>"Napkin Hs"</formula>
    </cfRule>
  </conditionalFormatting>
  <conditionalFormatting sqref="B99:C99">
    <cfRule type="cellIs" dxfId="4575" priority="5800" stopIfTrue="1" operator="equal">
      <formula>"Towel"</formula>
    </cfRule>
    <cfRule type="cellIs" dxfId="4574" priority="5801" stopIfTrue="1" operator="equal">
      <formula>"Napkin Hs"</formula>
    </cfRule>
  </conditionalFormatting>
  <conditionalFormatting sqref="C99">
    <cfRule type="cellIs" dxfId="4573" priority="5798" stopIfTrue="1" operator="equal">
      <formula>"Towel"</formula>
    </cfRule>
    <cfRule type="cellIs" dxfId="4572" priority="5799" stopIfTrue="1" operator="equal">
      <formula>"Napkin Hs"</formula>
    </cfRule>
  </conditionalFormatting>
  <conditionalFormatting sqref="C99">
    <cfRule type="cellIs" dxfId="4571" priority="5796" stopIfTrue="1" operator="equal">
      <formula>"Towel"</formula>
    </cfRule>
    <cfRule type="cellIs" dxfId="4570" priority="5797" stopIfTrue="1" operator="equal">
      <formula>"Napkin Hs"</formula>
    </cfRule>
  </conditionalFormatting>
  <conditionalFormatting sqref="B99:C99">
    <cfRule type="cellIs" dxfId="4569" priority="5794" stopIfTrue="1" operator="equal">
      <formula>"Towel"</formula>
    </cfRule>
    <cfRule type="cellIs" dxfId="4568" priority="5795" stopIfTrue="1" operator="equal">
      <formula>"Napkin Hs"</formula>
    </cfRule>
  </conditionalFormatting>
  <conditionalFormatting sqref="C99">
    <cfRule type="cellIs" dxfId="4567" priority="5792" stopIfTrue="1" operator="equal">
      <formula>"Towel"</formula>
    </cfRule>
    <cfRule type="cellIs" dxfId="4566" priority="5793" stopIfTrue="1" operator="equal">
      <formula>"Napkin Hs"</formula>
    </cfRule>
  </conditionalFormatting>
  <conditionalFormatting sqref="C99">
    <cfRule type="cellIs" dxfId="4565" priority="5790" stopIfTrue="1" operator="equal">
      <formula>"Towel"</formula>
    </cfRule>
    <cfRule type="cellIs" dxfId="4564" priority="5791" stopIfTrue="1" operator="equal">
      <formula>"Napkin Hs"</formula>
    </cfRule>
  </conditionalFormatting>
  <conditionalFormatting sqref="B99:C99">
    <cfRule type="cellIs" dxfId="4563" priority="5789" stopIfTrue="1" operator="equal">
      <formula>"Napkin Hs"</formula>
    </cfRule>
  </conditionalFormatting>
  <conditionalFormatting sqref="B99:C99">
    <cfRule type="cellIs" dxfId="4562" priority="5788" stopIfTrue="1" operator="equal">
      <formula>"Towel"</formula>
    </cfRule>
  </conditionalFormatting>
  <conditionalFormatting sqref="C99">
    <cfRule type="cellIs" dxfId="4561" priority="5787" stopIfTrue="1" operator="equal">
      <formula>"Napkin Hs"</formula>
    </cfRule>
  </conditionalFormatting>
  <conditionalFormatting sqref="C99">
    <cfRule type="cellIs" dxfId="4560" priority="5786" stopIfTrue="1" operator="equal">
      <formula>"Towel"</formula>
    </cfRule>
  </conditionalFormatting>
  <conditionalFormatting sqref="B98:C98">
    <cfRule type="cellIs" dxfId="4559" priority="5782" stopIfTrue="1" operator="equal">
      <formula>"Towel"</formula>
    </cfRule>
    <cfRule type="cellIs" dxfId="4558" priority="5783" stopIfTrue="1" operator="equal">
      <formula>"Napkin Hs"</formula>
    </cfRule>
  </conditionalFormatting>
  <conditionalFormatting sqref="C98">
    <cfRule type="cellIs" dxfId="4557" priority="5778" stopIfTrue="1" operator="equal">
      <formula>"Towel"</formula>
    </cfRule>
    <cfRule type="cellIs" dxfId="4556" priority="5779" stopIfTrue="1" operator="equal">
      <formula>"Napkin Hs"</formula>
    </cfRule>
  </conditionalFormatting>
  <conditionalFormatting sqref="C98">
    <cfRule type="cellIs" dxfId="4555" priority="5780" stopIfTrue="1" operator="equal">
      <formula>"Towel"</formula>
    </cfRule>
    <cfRule type="cellIs" dxfId="4554" priority="5781" stopIfTrue="1" operator="equal">
      <formula>"Napkin Hs"</formula>
    </cfRule>
  </conditionalFormatting>
  <conditionalFormatting sqref="B98:C98">
    <cfRule type="cellIs" dxfId="4553" priority="5777" stopIfTrue="1" operator="equal">
      <formula>"Napkin Hs"</formula>
    </cfRule>
  </conditionalFormatting>
  <conditionalFormatting sqref="B98:C98">
    <cfRule type="cellIs" dxfId="4552" priority="5776" stopIfTrue="1" operator="equal">
      <formula>"Towel"</formula>
    </cfRule>
  </conditionalFormatting>
  <conditionalFormatting sqref="C98">
    <cfRule type="cellIs" dxfId="4551" priority="5775" stopIfTrue="1" operator="equal">
      <formula>"Napkin Hs"</formula>
    </cfRule>
  </conditionalFormatting>
  <conditionalFormatting sqref="C98">
    <cfRule type="cellIs" dxfId="4550" priority="5774" stopIfTrue="1" operator="equal">
      <formula>"Towel"</formula>
    </cfRule>
  </conditionalFormatting>
  <conditionalFormatting sqref="C98">
    <cfRule type="cellIs" dxfId="4549" priority="5772" stopIfTrue="1" operator="equal">
      <formula>"Towel"</formula>
    </cfRule>
    <cfRule type="cellIs" dxfId="4548" priority="5773" stopIfTrue="1" operator="equal">
      <formula>"Napkin Hs"</formula>
    </cfRule>
  </conditionalFormatting>
  <conditionalFormatting sqref="B98:C98">
    <cfRule type="cellIs" dxfId="4547" priority="5770" stopIfTrue="1" operator="equal">
      <formula>"Towel"</formula>
    </cfRule>
    <cfRule type="cellIs" dxfId="4546" priority="5771" stopIfTrue="1" operator="equal">
      <formula>"Napkin Hs"</formula>
    </cfRule>
  </conditionalFormatting>
  <conditionalFormatting sqref="C98">
    <cfRule type="cellIs" dxfId="4545" priority="5768" stopIfTrue="1" operator="equal">
      <formula>"Towel"</formula>
    </cfRule>
    <cfRule type="cellIs" dxfId="4544" priority="5769" stopIfTrue="1" operator="equal">
      <formula>"Napkin Hs"</formula>
    </cfRule>
  </conditionalFormatting>
  <conditionalFormatting sqref="C98">
    <cfRule type="cellIs" dxfId="4543" priority="5766" stopIfTrue="1" operator="equal">
      <formula>"Towel"</formula>
    </cfRule>
    <cfRule type="cellIs" dxfId="4542" priority="5767" stopIfTrue="1" operator="equal">
      <formula>"Napkin Hs"</formula>
    </cfRule>
  </conditionalFormatting>
  <conditionalFormatting sqref="B98:C98">
    <cfRule type="cellIs" dxfId="4541" priority="5764" stopIfTrue="1" operator="equal">
      <formula>"Towel"</formula>
    </cfRule>
    <cfRule type="cellIs" dxfId="4540" priority="5765" stopIfTrue="1" operator="equal">
      <formula>"Napkin Hs"</formula>
    </cfRule>
  </conditionalFormatting>
  <conditionalFormatting sqref="C98">
    <cfRule type="cellIs" dxfId="4539" priority="5762" stopIfTrue="1" operator="equal">
      <formula>"Towel"</formula>
    </cfRule>
    <cfRule type="cellIs" dxfId="4538" priority="5763" stopIfTrue="1" operator="equal">
      <formula>"Napkin Hs"</formula>
    </cfRule>
  </conditionalFormatting>
  <conditionalFormatting sqref="C98">
    <cfRule type="cellIs" dxfId="4537" priority="5760" stopIfTrue="1" operator="equal">
      <formula>"Towel"</formula>
    </cfRule>
    <cfRule type="cellIs" dxfId="4536" priority="5761" stopIfTrue="1" operator="equal">
      <formula>"Napkin Hs"</formula>
    </cfRule>
  </conditionalFormatting>
  <conditionalFormatting sqref="B98:C98">
    <cfRule type="cellIs" dxfId="4535" priority="5758" stopIfTrue="1" operator="equal">
      <formula>"Towel"</formula>
    </cfRule>
    <cfRule type="cellIs" dxfId="4534" priority="5759" stopIfTrue="1" operator="equal">
      <formula>"Napkin Hs"</formula>
    </cfRule>
  </conditionalFormatting>
  <conditionalFormatting sqref="C98">
    <cfRule type="cellIs" dxfId="4533" priority="5756" stopIfTrue="1" operator="equal">
      <formula>"Towel"</formula>
    </cfRule>
    <cfRule type="cellIs" dxfId="4532" priority="5757" stopIfTrue="1" operator="equal">
      <formula>"Napkin Hs"</formula>
    </cfRule>
  </conditionalFormatting>
  <conditionalFormatting sqref="C98">
    <cfRule type="cellIs" dxfId="4531" priority="5754" stopIfTrue="1" operator="equal">
      <formula>"Towel"</formula>
    </cfRule>
    <cfRule type="cellIs" dxfId="4530" priority="5755" stopIfTrue="1" operator="equal">
      <formula>"Napkin Hs"</formula>
    </cfRule>
  </conditionalFormatting>
  <conditionalFormatting sqref="B98:C98">
    <cfRule type="cellIs" dxfId="4529" priority="5752" stopIfTrue="1" operator="equal">
      <formula>"Towel"</formula>
    </cfRule>
    <cfRule type="cellIs" dxfId="4528" priority="5753" stopIfTrue="1" operator="equal">
      <formula>"Napkin Hs"</formula>
    </cfRule>
  </conditionalFormatting>
  <conditionalFormatting sqref="C98">
    <cfRule type="cellIs" dxfId="4527" priority="5750" stopIfTrue="1" operator="equal">
      <formula>"Towel"</formula>
    </cfRule>
    <cfRule type="cellIs" dxfId="4526" priority="5751" stopIfTrue="1" operator="equal">
      <formula>"Napkin Hs"</formula>
    </cfRule>
  </conditionalFormatting>
  <conditionalFormatting sqref="C98">
    <cfRule type="cellIs" dxfId="4525" priority="5748" stopIfTrue="1" operator="equal">
      <formula>"Towel"</formula>
    </cfRule>
    <cfRule type="cellIs" dxfId="4524" priority="5749" stopIfTrue="1" operator="equal">
      <formula>"Napkin Hs"</formula>
    </cfRule>
  </conditionalFormatting>
  <conditionalFormatting sqref="B98:C98">
    <cfRule type="cellIs" dxfId="4523" priority="5746" stopIfTrue="1" operator="equal">
      <formula>"Towel"</formula>
    </cfRule>
    <cfRule type="cellIs" dxfId="4522" priority="5747" stopIfTrue="1" operator="equal">
      <formula>"Napkin Hs"</formula>
    </cfRule>
  </conditionalFormatting>
  <conditionalFormatting sqref="C98">
    <cfRule type="cellIs" dxfId="4521" priority="5744" stopIfTrue="1" operator="equal">
      <formula>"Towel"</formula>
    </cfRule>
    <cfRule type="cellIs" dxfId="4520" priority="5745" stopIfTrue="1" operator="equal">
      <formula>"Napkin Hs"</formula>
    </cfRule>
  </conditionalFormatting>
  <conditionalFormatting sqref="C98">
    <cfRule type="cellIs" dxfId="4519" priority="5742" stopIfTrue="1" operator="equal">
      <formula>"Towel"</formula>
    </cfRule>
    <cfRule type="cellIs" dxfId="4518" priority="5743" stopIfTrue="1" operator="equal">
      <formula>"Napkin Hs"</formula>
    </cfRule>
  </conditionalFormatting>
  <conditionalFormatting sqref="B98:C98">
    <cfRule type="cellIs" dxfId="4517" priority="5741" stopIfTrue="1" operator="equal">
      <formula>"Napkin Hs"</formula>
    </cfRule>
  </conditionalFormatting>
  <conditionalFormatting sqref="B98:C98">
    <cfRule type="cellIs" dxfId="4516" priority="5740" stopIfTrue="1" operator="equal">
      <formula>"Towel"</formula>
    </cfRule>
  </conditionalFormatting>
  <conditionalFormatting sqref="C98">
    <cfRule type="cellIs" dxfId="4515" priority="5739" stopIfTrue="1" operator="equal">
      <formula>"Napkin Hs"</formula>
    </cfRule>
  </conditionalFormatting>
  <conditionalFormatting sqref="C98">
    <cfRule type="cellIs" dxfId="4514" priority="5736" stopIfTrue="1" operator="equal">
      <formula>"Towel"</formula>
    </cfRule>
    <cfRule type="cellIs" dxfId="4513" priority="5737" stopIfTrue="1" operator="equal">
      <formula>"Napkin Hs"</formula>
    </cfRule>
  </conditionalFormatting>
  <conditionalFormatting sqref="C98">
    <cfRule type="cellIs" dxfId="4512" priority="5738" stopIfTrue="1" operator="equal">
      <formula>"Towel"</formula>
    </cfRule>
  </conditionalFormatting>
  <conditionalFormatting sqref="B98:C99">
    <cfRule type="cellIs" dxfId="4511" priority="5735" stopIfTrue="1" operator="equal">
      <formula>"Napkin Hs"</formula>
    </cfRule>
  </conditionalFormatting>
  <conditionalFormatting sqref="B98:C99">
    <cfRule type="cellIs" dxfId="4510" priority="5734" stopIfTrue="1" operator="equal">
      <formula>"Towel"</formula>
    </cfRule>
  </conditionalFormatting>
  <conditionalFormatting sqref="C98:C99">
    <cfRule type="cellIs" dxfId="4509" priority="5733" stopIfTrue="1" operator="equal">
      <formula>"Napkin Hs"</formula>
    </cfRule>
  </conditionalFormatting>
  <conditionalFormatting sqref="C98:C99">
    <cfRule type="cellIs" dxfId="4508" priority="5732" stopIfTrue="1" operator="equal">
      <formula>"Towel"</formula>
    </cfRule>
  </conditionalFormatting>
  <conditionalFormatting sqref="C98:C99">
    <cfRule type="cellIs" dxfId="4507" priority="5730" stopIfTrue="1" operator="equal">
      <formula>"Towel"</formula>
    </cfRule>
    <cfRule type="cellIs" dxfId="4506" priority="5731" stopIfTrue="1" operator="equal">
      <formula>"Napkin Hs"</formula>
    </cfRule>
  </conditionalFormatting>
  <conditionalFormatting sqref="B98:C99">
    <cfRule type="cellIs" dxfId="4505" priority="5728" stopIfTrue="1" operator="equal">
      <formula>"Towel"</formula>
    </cfRule>
    <cfRule type="cellIs" dxfId="4504" priority="5729" stopIfTrue="1" operator="equal">
      <formula>"Napkin Hs"</formula>
    </cfRule>
  </conditionalFormatting>
  <conditionalFormatting sqref="C98:C99">
    <cfRule type="cellIs" dxfId="4503" priority="5726" stopIfTrue="1" operator="equal">
      <formula>"Towel"</formula>
    </cfRule>
    <cfRule type="cellIs" dxfId="4502" priority="5727" stopIfTrue="1" operator="equal">
      <formula>"Napkin Hs"</formula>
    </cfRule>
  </conditionalFormatting>
  <conditionalFormatting sqref="C98:C99">
    <cfRule type="cellIs" dxfId="4501" priority="5724" stopIfTrue="1" operator="equal">
      <formula>"Towel"</formula>
    </cfRule>
    <cfRule type="cellIs" dxfId="4500" priority="5725" stopIfTrue="1" operator="equal">
      <formula>"Napkin Hs"</formula>
    </cfRule>
  </conditionalFormatting>
  <conditionalFormatting sqref="B98:C99">
    <cfRule type="cellIs" dxfId="4499" priority="5722" stopIfTrue="1" operator="equal">
      <formula>"Towel"</formula>
    </cfRule>
    <cfRule type="cellIs" dxfId="4498" priority="5723" stopIfTrue="1" operator="equal">
      <formula>"Napkin Hs"</formula>
    </cfRule>
  </conditionalFormatting>
  <conditionalFormatting sqref="C98:C99">
    <cfRule type="cellIs" dxfId="4497" priority="5720" stopIfTrue="1" operator="equal">
      <formula>"Towel"</formula>
    </cfRule>
    <cfRule type="cellIs" dxfId="4496" priority="5721" stopIfTrue="1" operator="equal">
      <formula>"Napkin Hs"</formula>
    </cfRule>
  </conditionalFormatting>
  <conditionalFormatting sqref="C98:C99">
    <cfRule type="cellIs" dxfId="4495" priority="5718" stopIfTrue="1" operator="equal">
      <formula>"Towel"</formula>
    </cfRule>
    <cfRule type="cellIs" dxfId="4494" priority="5719" stopIfTrue="1" operator="equal">
      <formula>"Napkin Hs"</formula>
    </cfRule>
  </conditionalFormatting>
  <conditionalFormatting sqref="C98:C99">
    <cfRule type="cellIs" dxfId="4493" priority="5712" stopIfTrue="1" operator="equal">
      <formula>"Towel"</formula>
    </cfRule>
    <cfRule type="cellIs" dxfId="4492" priority="5713" stopIfTrue="1" operator="equal">
      <formula>"Napkin Hs"</formula>
    </cfRule>
  </conditionalFormatting>
  <conditionalFormatting sqref="B98:C99">
    <cfRule type="cellIs" dxfId="4491" priority="5710" stopIfTrue="1" operator="equal">
      <formula>"Towel"</formula>
    </cfRule>
    <cfRule type="cellIs" dxfId="4490" priority="5711" stopIfTrue="1" operator="equal">
      <formula>"Napkin Hs"</formula>
    </cfRule>
  </conditionalFormatting>
  <conditionalFormatting sqref="C98:C99">
    <cfRule type="cellIs" dxfId="4489" priority="5708" stopIfTrue="1" operator="equal">
      <formula>"Towel"</formula>
    </cfRule>
    <cfRule type="cellIs" dxfId="4488" priority="5709" stopIfTrue="1" operator="equal">
      <formula>"Napkin Hs"</formula>
    </cfRule>
  </conditionalFormatting>
  <conditionalFormatting sqref="C98:C99">
    <cfRule type="cellIs" dxfId="4487" priority="5706" stopIfTrue="1" operator="equal">
      <formula>"Towel"</formula>
    </cfRule>
    <cfRule type="cellIs" dxfId="4486" priority="5707" stopIfTrue="1" operator="equal">
      <formula>"Napkin Hs"</formula>
    </cfRule>
  </conditionalFormatting>
  <conditionalFormatting sqref="B98:C99">
    <cfRule type="cellIs" dxfId="4485" priority="5704" stopIfTrue="1" operator="equal">
      <formula>"Towel"</formula>
    </cfRule>
    <cfRule type="cellIs" dxfId="4484" priority="5705" stopIfTrue="1" operator="equal">
      <formula>"Napkin Hs"</formula>
    </cfRule>
  </conditionalFormatting>
  <conditionalFormatting sqref="C98:C99">
    <cfRule type="cellIs" dxfId="4483" priority="5702" stopIfTrue="1" operator="equal">
      <formula>"Towel"</formula>
    </cfRule>
    <cfRule type="cellIs" dxfId="4482" priority="5703" stopIfTrue="1" operator="equal">
      <formula>"Napkin Hs"</formula>
    </cfRule>
  </conditionalFormatting>
  <conditionalFormatting sqref="C98:C99">
    <cfRule type="cellIs" dxfId="4481" priority="5700" stopIfTrue="1" operator="equal">
      <formula>"Towel"</formula>
    </cfRule>
    <cfRule type="cellIs" dxfId="4480" priority="5701" stopIfTrue="1" operator="equal">
      <formula>"Napkin Hs"</formula>
    </cfRule>
  </conditionalFormatting>
  <conditionalFormatting sqref="B98:C99">
    <cfRule type="cellIs" dxfId="4479" priority="5699" stopIfTrue="1" operator="equal">
      <formula>"Napkin Hs"</formula>
    </cfRule>
  </conditionalFormatting>
  <conditionalFormatting sqref="B98:C99">
    <cfRule type="cellIs" dxfId="4478" priority="5698" stopIfTrue="1" operator="equal">
      <formula>"Towel"</formula>
    </cfRule>
  </conditionalFormatting>
  <conditionalFormatting sqref="C98:C99">
    <cfRule type="cellIs" dxfId="4477" priority="5697" stopIfTrue="1" operator="equal">
      <formula>"Napkin Hs"</formula>
    </cfRule>
  </conditionalFormatting>
  <conditionalFormatting sqref="C98:C99">
    <cfRule type="cellIs" dxfId="4476" priority="5694" stopIfTrue="1" operator="equal">
      <formula>"Towel"</formula>
    </cfRule>
    <cfRule type="cellIs" dxfId="4475" priority="5695" stopIfTrue="1" operator="equal">
      <formula>"Napkin Hs"</formula>
    </cfRule>
  </conditionalFormatting>
  <conditionalFormatting sqref="C98:C99">
    <cfRule type="cellIs" dxfId="4474" priority="5696" stopIfTrue="1" operator="equal">
      <formula>"Towel"</formula>
    </cfRule>
  </conditionalFormatting>
  <conditionalFormatting sqref="C98:C99">
    <cfRule type="cellIs" dxfId="4473" priority="5693" stopIfTrue="1" operator="equal">
      <formula>"Napkin Hs"</formula>
    </cfRule>
  </conditionalFormatting>
  <conditionalFormatting sqref="C98:C99">
    <cfRule type="cellIs" dxfId="4472" priority="5692" stopIfTrue="1" operator="equal">
      <formula>"Towel"</formula>
    </cfRule>
  </conditionalFormatting>
  <conditionalFormatting sqref="C98:C99">
    <cfRule type="cellIs" dxfId="4471" priority="5691" stopIfTrue="1" operator="equal">
      <formula>"Napkin Hs"</formula>
    </cfRule>
  </conditionalFormatting>
  <conditionalFormatting sqref="C98:C99">
    <cfRule type="cellIs" dxfId="4470" priority="5688" stopIfTrue="1" operator="equal">
      <formula>"Towel"</formula>
    </cfRule>
    <cfRule type="cellIs" dxfId="4469" priority="5689" stopIfTrue="1" operator="equal">
      <formula>"Napkin Hs"</formula>
    </cfRule>
  </conditionalFormatting>
  <conditionalFormatting sqref="C98:C99">
    <cfRule type="cellIs" dxfId="4468" priority="5690" stopIfTrue="1" operator="equal">
      <formula>"Towel"</formula>
    </cfRule>
  </conditionalFormatting>
  <conditionalFormatting sqref="C98:C99">
    <cfRule type="cellIs" dxfId="4467" priority="5687" stopIfTrue="1" operator="equal">
      <formula>"Napkin Hs"</formula>
    </cfRule>
  </conditionalFormatting>
  <conditionalFormatting sqref="C98:C99">
    <cfRule type="cellIs" dxfId="4466" priority="5686" stopIfTrue="1" operator="equal">
      <formula>"Towel"</formula>
    </cfRule>
  </conditionalFormatting>
  <conditionalFormatting sqref="C98:C99">
    <cfRule type="cellIs" dxfId="4465" priority="5685" stopIfTrue="1" operator="equal">
      <formula>"Napkin Hs"</formula>
    </cfRule>
  </conditionalFormatting>
  <conditionalFormatting sqref="C98:C99">
    <cfRule type="cellIs" dxfId="4464" priority="5682" stopIfTrue="1" operator="equal">
      <formula>"Towel"</formula>
    </cfRule>
    <cfRule type="cellIs" dxfId="4463" priority="5683" stopIfTrue="1" operator="equal">
      <formula>"Napkin Hs"</formula>
    </cfRule>
  </conditionalFormatting>
  <conditionalFormatting sqref="C98:C99">
    <cfRule type="cellIs" dxfId="4462" priority="5684" stopIfTrue="1" operator="equal">
      <formula>"Towel"</formula>
    </cfRule>
  </conditionalFormatting>
  <conditionalFormatting sqref="B98:B99">
    <cfRule type="cellIs" dxfId="4461" priority="5680" stopIfTrue="1" operator="equal">
      <formula>"Towel"</formula>
    </cfRule>
    <cfRule type="cellIs" dxfId="4460" priority="5681" stopIfTrue="1" operator="equal">
      <formula>"Napkin Hs"</formula>
    </cfRule>
  </conditionalFormatting>
  <conditionalFormatting sqref="B98:B99">
    <cfRule type="cellIs" dxfId="4459" priority="5679" stopIfTrue="1" operator="equal">
      <formula>"Napkin Hs"</formula>
    </cfRule>
  </conditionalFormatting>
  <conditionalFormatting sqref="B98:B99">
    <cfRule type="cellIs" dxfId="4458" priority="5678" stopIfTrue="1" operator="equal">
      <formula>"Towel"</formula>
    </cfRule>
  </conditionalFormatting>
  <conditionalFormatting sqref="B97:C97">
    <cfRule type="cellIs" dxfId="4457" priority="5676" stopIfTrue="1" operator="equal">
      <formula>"Towel"</formula>
    </cfRule>
    <cfRule type="cellIs" dxfId="4456" priority="5677" stopIfTrue="1" operator="equal">
      <formula>"Napkin Hs"</formula>
    </cfRule>
  </conditionalFormatting>
  <conditionalFormatting sqref="B97:C97">
    <cfRule type="cellIs" dxfId="4455" priority="5632" stopIfTrue="1" operator="equal">
      <formula>"Towel"</formula>
    </cfRule>
    <cfRule type="cellIs" dxfId="4454" priority="5633" stopIfTrue="1" operator="equal">
      <formula>"Napkin Hs"</formula>
    </cfRule>
  </conditionalFormatting>
  <conditionalFormatting sqref="C97">
    <cfRule type="cellIs" dxfId="4453" priority="5634" stopIfTrue="1" operator="equal">
      <formula>"Towel"</formula>
    </cfRule>
    <cfRule type="cellIs" dxfId="4452" priority="5635" stopIfTrue="1" operator="equal">
      <formula>"Napkin Hs"</formula>
    </cfRule>
  </conditionalFormatting>
  <conditionalFormatting sqref="C97">
    <cfRule type="cellIs" dxfId="4451" priority="5630" stopIfTrue="1" operator="equal">
      <formula>"Towel"</formula>
    </cfRule>
    <cfRule type="cellIs" dxfId="4450" priority="5631" stopIfTrue="1" operator="equal">
      <formula>"Napkin Hs"</formula>
    </cfRule>
  </conditionalFormatting>
  <conditionalFormatting sqref="B97:C97">
    <cfRule type="cellIs" dxfId="4449" priority="5628" stopIfTrue="1" operator="equal">
      <formula>"Towel"</formula>
    </cfRule>
    <cfRule type="cellIs" dxfId="4448" priority="5629" stopIfTrue="1" operator="equal">
      <formula>"Napkin Hs"</formula>
    </cfRule>
  </conditionalFormatting>
  <conditionalFormatting sqref="C97">
    <cfRule type="cellIs" dxfId="4447" priority="5624" stopIfTrue="1" operator="equal">
      <formula>"Towel"</formula>
    </cfRule>
    <cfRule type="cellIs" dxfId="4446" priority="5625" stopIfTrue="1" operator="equal">
      <formula>"Napkin Hs"</formula>
    </cfRule>
  </conditionalFormatting>
  <conditionalFormatting sqref="C97">
    <cfRule type="cellIs" dxfId="4445" priority="5626" stopIfTrue="1" operator="equal">
      <formula>"Towel"</formula>
    </cfRule>
    <cfRule type="cellIs" dxfId="4444" priority="5627" stopIfTrue="1" operator="equal">
      <formula>"Napkin Hs"</formula>
    </cfRule>
  </conditionalFormatting>
  <conditionalFormatting sqref="B97:C97">
    <cfRule type="cellIs" dxfId="4443" priority="5622" stopIfTrue="1" operator="equal">
      <formula>"Towel"</formula>
    </cfRule>
    <cfRule type="cellIs" dxfId="4442" priority="5623" stopIfTrue="1" operator="equal">
      <formula>"Napkin Hs"</formula>
    </cfRule>
  </conditionalFormatting>
  <conditionalFormatting sqref="C97">
    <cfRule type="cellIs" dxfId="4441" priority="5618" stopIfTrue="1" operator="equal">
      <formula>"Towel"</formula>
    </cfRule>
    <cfRule type="cellIs" dxfId="4440" priority="5619" stopIfTrue="1" operator="equal">
      <formula>"Napkin Hs"</formula>
    </cfRule>
  </conditionalFormatting>
  <conditionalFormatting sqref="C97">
    <cfRule type="cellIs" dxfId="4439" priority="5620" stopIfTrue="1" operator="equal">
      <formula>"Towel"</formula>
    </cfRule>
    <cfRule type="cellIs" dxfId="4438" priority="5621" stopIfTrue="1" operator="equal">
      <formula>"Napkin Hs"</formula>
    </cfRule>
  </conditionalFormatting>
  <conditionalFormatting sqref="B97:C97">
    <cfRule type="cellIs" dxfId="4437" priority="5616" stopIfTrue="1" operator="equal">
      <formula>"Towel"</formula>
    </cfRule>
    <cfRule type="cellIs" dxfId="4436" priority="5617" stopIfTrue="1" operator="equal">
      <formula>"Napkin Hs"</formula>
    </cfRule>
  </conditionalFormatting>
  <conditionalFormatting sqref="C97">
    <cfRule type="cellIs" dxfId="4435" priority="5614" stopIfTrue="1" operator="equal">
      <formula>"Towel"</formula>
    </cfRule>
    <cfRule type="cellIs" dxfId="4434" priority="5615" stopIfTrue="1" operator="equal">
      <formula>"Napkin Hs"</formula>
    </cfRule>
  </conditionalFormatting>
  <conditionalFormatting sqref="C97">
    <cfRule type="cellIs" dxfId="4433" priority="5612" stopIfTrue="1" operator="equal">
      <formula>"Towel"</formula>
    </cfRule>
    <cfRule type="cellIs" dxfId="4432" priority="5613" stopIfTrue="1" operator="equal">
      <formula>"Napkin Hs"</formula>
    </cfRule>
  </conditionalFormatting>
  <conditionalFormatting sqref="B97:C97">
    <cfRule type="cellIs" dxfId="4431" priority="5610" stopIfTrue="1" operator="equal">
      <formula>"Towel"</formula>
    </cfRule>
    <cfRule type="cellIs" dxfId="4430" priority="5611" stopIfTrue="1" operator="equal">
      <formula>"Napkin Hs"</formula>
    </cfRule>
  </conditionalFormatting>
  <conditionalFormatting sqref="C97">
    <cfRule type="cellIs" dxfId="4429" priority="5608" stopIfTrue="1" operator="equal">
      <formula>"Towel"</formula>
    </cfRule>
    <cfRule type="cellIs" dxfId="4428" priority="5609" stopIfTrue="1" operator="equal">
      <formula>"Napkin Hs"</formula>
    </cfRule>
  </conditionalFormatting>
  <conditionalFormatting sqref="C97">
    <cfRule type="cellIs" dxfId="4427" priority="5606" stopIfTrue="1" operator="equal">
      <formula>"Towel"</formula>
    </cfRule>
    <cfRule type="cellIs" dxfId="4426" priority="5607" stopIfTrue="1" operator="equal">
      <formula>"Napkin Hs"</formula>
    </cfRule>
  </conditionalFormatting>
  <conditionalFormatting sqref="B97:C97">
    <cfRule type="cellIs" dxfId="4425" priority="5604" stopIfTrue="1" operator="equal">
      <formula>"Towel"</formula>
    </cfRule>
    <cfRule type="cellIs" dxfId="4424" priority="5605" stopIfTrue="1" operator="equal">
      <formula>"Napkin Hs"</formula>
    </cfRule>
  </conditionalFormatting>
  <conditionalFormatting sqref="C97">
    <cfRule type="cellIs" dxfId="4423" priority="5602" stopIfTrue="1" operator="equal">
      <formula>"Towel"</formula>
    </cfRule>
    <cfRule type="cellIs" dxfId="4422" priority="5603" stopIfTrue="1" operator="equal">
      <formula>"Napkin Hs"</formula>
    </cfRule>
  </conditionalFormatting>
  <conditionalFormatting sqref="C97">
    <cfRule type="cellIs" dxfId="4421" priority="5600" stopIfTrue="1" operator="equal">
      <formula>"Towel"</formula>
    </cfRule>
    <cfRule type="cellIs" dxfId="4420" priority="5601" stopIfTrue="1" operator="equal">
      <formula>"Napkin Hs"</formula>
    </cfRule>
  </conditionalFormatting>
  <conditionalFormatting sqref="B97:C97">
    <cfRule type="cellIs" dxfId="4419" priority="5599" stopIfTrue="1" operator="equal">
      <formula>"Napkin Hs"</formula>
    </cfRule>
  </conditionalFormatting>
  <conditionalFormatting sqref="B97:C97">
    <cfRule type="cellIs" dxfId="4418" priority="5598" stopIfTrue="1" operator="equal">
      <formula>"Towel"</formula>
    </cfRule>
  </conditionalFormatting>
  <conditionalFormatting sqref="C97">
    <cfRule type="cellIs" dxfId="4417" priority="5597" stopIfTrue="1" operator="equal">
      <formula>"Napkin Hs"</formula>
    </cfRule>
  </conditionalFormatting>
  <conditionalFormatting sqref="C97">
    <cfRule type="cellIs" dxfId="4416" priority="5594" stopIfTrue="1" operator="equal">
      <formula>"Towel"</formula>
    </cfRule>
    <cfRule type="cellIs" dxfId="4415" priority="5595" stopIfTrue="1" operator="equal">
      <formula>"Napkin Hs"</formula>
    </cfRule>
  </conditionalFormatting>
  <conditionalFormatting sqref="C97">
    <cfRule type="cellIs" dxfId="4414" priority="5596" stopIfTrue="1" operator="equal">
      <formula>"Towel"</formula>
    </cfRule>
  </conditionalFormatting>
  <conditionalFormatting sqref="C97">
    <cfRule type="cellIs" dxfId="4413" priority="5674" stopIfTrue="1" operator="equal">
      <formula>"Towel"</formula>
    </cfRule>
    <cfRule type="cellIs" dxfId="4412" priority="5675" stopIfTrue="1" operator="equal">
      <formula>"Napkin Hs"</formula>
    </cfRule>
  </conditionalFormatting>
  <conditionalFormatting sqref="C97">
    <cfRule type="cellIs" dxfId="4411" priority="5672" stopIfTrue="1" operator="equal">
      <formula>"Towel"</formula>
    </cfRule>
    <cfRule type="cellIs" dxfId="4410" priority="5673" stopIfTrue="1" operator="equal">
      <formula>"Napkin Hs"</formula>
    </cfRule>
  </conditionalFormatting>
  <conditionalFormatting sqref="B97:C97">
    <cfRule type="cellIs" dxfId="4409" priority="5670" stopIfTrue="1" operator="equal">
      <formula>"Towel"</formula>
    </cfRule>
    <cfRule type="cellIs" dxfId="4408" priority="5671" stopIfTrue="1" operator="equal">
      <formula>"Napkin Hs"</formula>
    </cfRule>
  </conditionalFormatting>
  <conditionalFormatting sqref="C97">
    <cfRule type="cellIs" dxfId="4407" priority="5666" stopIfTrue="1" operator="equal">
      <formula>"Towel"</formula>
    </cfRule>
    <cfRule type="cellIs" dxfId="4406" priority="5667" stopIfTrue="1" operator="equal">
      <formula>"Napkin Hs"</formula>
    </cfRule>
  </conditionalFormatting>
  <conditionalFormatting sqref="C97">
    <cfRule type="cellIs" dxfId="4405" priority="5668" stopIfTrue="1" operator="equal">
      <formula>"Towel"</formula>
    </cfRule>
    <cfRule type="cellIs" dxfId="4404" priority="5669" stopIfTrue="1" operator="equal">
      <formula>"Napkin Hs"</formula>
    </cfRule>
  </conditionalFormatting>
  <conditionalFormatting sqref="B97:C97">
    <cfRule type="cellIs" dxfId="4403" priority="5664" stopIfTrue="1" operator="equal">
      <formula>"Towel"</formula>
    </cfRule>
    <cfRule type="cellIs" dxfId="4402" priority="5665" stopIfTrue="1" operator="equal">
      <formula>"Napkin Hs"</formula>
    </cfRule>
  </conditionalFormatting>
  <conditionalFormatting sqref="C97">
    <cfRule type="cellIs" dxfId="4401" priority="5660" stopIfTrue="1" operator="equal">
      <formula>"Towel"</formula>
    </cfRule>
    <cfRule type="cellIs" dxfId="4400" priority="5661" stopIfTrue="1" operator="equal">
      <formula>"Napkin Hs"</formula>
    </cfRule>
  </conditionalFormatting>
  <conditionalFormatting sqref="C97">
    <cfRule type="cellIs" dxfId="4399" priority="5662" stopIfTrue="1" operator="equal">
      <formula>"Towel"</formula>
    </cfRule>
    <cfRule type="cellIs" dxfId="4398" priority="5663" stopIfTrue="1" operator="equal">
      <formula>"Napkin Hs"</formula>
    </cfRule>
  </conditionalFormatting>
  <conditionalFormatting sqref="B97:C97">
    <cfRule type="cellIs" dxfId="4397" priority="5658" stopIfTrue="1" operator="equal">
      <formula>"Towel"</formula>
    </cfRule>
    <cfRule type="cellIs" dxfId="4396" priority="5659" stopIfTrue="1" operator="equal">
      <formula>"Napkin Hs"</formula>
    </cfRule>
  </conditionalFormatting>
  <conditionalFormatting sqref="C97">
    <cfRule type="cellIs" dxfId="4395" priority="5656" stopIfTrue="1" operator="equal">
      <formula>"Towel"</formula>
    </cfRule>
    <cfRule type="cellIs" dxfId="4394" priority="5657" stopIfTrue="1" operator="equal">
      <formula>"Napkin Hs"</formula>
    </cfRule>
  </conditionalFormatting>
  <conditionalFormatting sqref="C97">
    <cfRule type="cellIs" dxfId="4393" priority="5654" stopIfTrue="1" operator="equal">
      <formula>"Towel"</formula>
    </cfRule>
    <cfRule type="cellIs" dxfId="4392" priority="5655" stopIfTrue="1" operator="equal">
      <formula>"Napkin Hs"</formula>
    </cfRule>
  </conditionalFormatting>
  <conditionalFormatting sqref="B97:C97">
    <cfRule type="cellIs" dxfId="4391" priority="5652" stopIfTrue="1" operator="equal">
      <formula>"Towel"</formula>
    </cfRule>
    <cfRule type="cellIs" dxfId="4390" priority="5653" stopIfTrue="1" operator="equal">
      <formula>"Napkin Hs"</formula>
    </cfRule>
  </conditionalFormatting>
  <conditionalFormatting sqref="C97">
    <cfRule type="cellIs" dxfId="4389" priority="5650" stopIfTrue="1" operator="equal">
      <formula>"Towel"</formula>
    </cfRule>
    <cfRule type="cellIs" dxfId="4388" priority="5651" stopIfTrue="1" operator="equal">
      <formula>"Napkin Hs"</formula>
    </cfRule>
  </conditionalFormatting>
  <conditionalFormatting sqref="C97">
    <cfRule type="cellIs" dxfId="4387" priority="5648" stopIfTrue="1" operator="equal">
      <formula>"Towel"</formula>
    </cfRule>
    <cfRule type="cellIs" dxfId="4386" priority="5649" stopIfTrue="1" operator="equal">
      <formula>"Napkin Hs"</formula>
    </cfRule>
  </conditionalFormatting>
  <conditionalFormatting sqref="B97:C97">
    <cfRule type="cellIs" dxfId="4385" priority="5646" stopIfTrue="1" operator="equal">
      <formula>"Towel"</formula>
    </cfRule>
    <cfRule type="cellIs" dxfId="4384" priority="5647" stopIfTrue="1" operator="equal">
      <formula>"Napkin Hs"</formula>
    </cfRule>
  </conditionalFormatting>
  <conditionalFormatting sqref="C97">
    <cfRule type="cellIs" dxfId="4383" priority="5644" stopIfTrue="1" operator="equal">
      <formula>"Towel"</formula>
    </cfRule>
    <cfRule type="cellIs" dxfId="4382" priority="5645" stopIfTrue="1" operator="equal">
      <formula>"Napkin Hs"</formula>
    </cfRule>
  </conditionalFormatting>
  <conditionalFormatting sqref="C97">
    <cfRule type="cellIs" dxfId="4381" priority="5642" stopIfTrue="1" operator="equal">
      <formula>"Towel"</formula>
    </cfRule>
    <cfRule type="cellIs" dxfId="4380" priority="5643" stopIfTrue="1" operator="equal">
      <formula>"Napkin Hs"</formula>
    </cfRule>
  </conditionalFormatting>
  <conditionalFormatting sqref="B97:C97">
    <cfRule type="cellIs" dxfId="4379" priority="5641" stopIfTrue="1" operator="equal">
      <formula>"Napkin Hs"</formula>
    </cfRule>
  </conditionalFormatting>
  <conditionalFormatting sqref="B97:C97">
    <cfRule type="cellIs" dxfId="4378" priority="5640" stopIfTrue="1" operator="equal">
      <formula>"Towel"</formula>
    </cfRule>
  </conditionalFormatting>
  <conditionalFormatting sqref="C97">
    <cfRule type="cellIs" dxfId="4377" priority="5639" stopIfTrue="1" operator="equal">
      <formula>"Napkin Hs"</formula>
    </cfRule>
  </conditionalFormatting>
  <conditionalFormatting sqref="C97">
    <cfRule type="cellIs" dxfId="4376" priority="5636" stopIfTrue="1" operator="equal">
      <formula>"Towel"</formula>
    </cfRule>
    <cfRule type="cellIs" dxfId="4375" priority="5637" stopIfTrue="1" operator="equal">
      <formula>"Napkin Hs"</formula>
    </cfRule>
  </conditionalFormatting>
  <conditionalFormatting sqref="C97">
    <cfRule type="cellIs" dxfId="4374" priority="5638" stopIfTrue="1" operator="equal">
      <formula>"Towel"</formula>
    </cfRule>
  </conditionalFormatting>
  <conditionalFormatting sqref="B96:C96">
    <cfRule type="cellIs" dxfId="4373" priority="5592" stopIfTrue="1" operator="equal">
      <formula>"Towel"</formula>
    </cfRule>
    <cfRule type="cellIs" dxfId="4372" priority="5593" stopIfTrue="1" operator="equal">
      <formula>"Napkin Hs"</formula>
    </cfRule>
  </conditionalFormatting>
  <conditionalFormatting sqref="B96:C96">
    <cfRule type="cellIs" dxfId="4371" priority="5548" stopIfTrue="1" operator="equal">
      <formula>"Towel"</formula>
    </cfRule>
    <cfRule type="cellIs" dxfId="4370" priority="5549" stopIfTrue="1" operator="equal">
      <formula>"Napkin Hs"</formula>
    </cfRule>
  </conditionalFormatting>
  <conditionalFormatting sqref="C96">
    <cfRule type="cellIs" dxfId="4369" priority="5550" stopIfTrue="1" operator="equal">
      <formula>"Towel"</formula>
    </cfRule>
    <cfRule type="cellIs" dxfId="4368" priority="5551" stopIfTrue="1" operator="equal">
      <formula>"Napkin Hs"</formula>
    </cfRule>
  </conditionalFormatting>
  <conditionalFormatting sqref="C96">
    <cfRule type="cellIs" dxfId="4367" priority="5546" stopIfTrue="1" operator="equal">
      <formula>"Towel"</formula>
    </cfRule>
    <cfRule type="cellIs" dxfId="4366" priority="5547" stopIfTrue="1" operator="equal">
      <formula>"Napkin Hs"</formula>
    </cfRule>
  </conditionalFormatting>
  <conditionalFormatting sqref="B96:C96">
    <cfRule type="cellIs" dxfId="4365" priority="5544" stopIfTrue="1" operator="equal">
      <formula>"Towel"</formula>
    </cfRule>
    <cfRule type="cellIs" dxfId="4364" priority="5545" stopIfTrue="1" operator="equal">
      <formula>"Napkin Hs"</formula>
    </cfRule>
  </conditionalFormatting>
  <conditionalFormatting sqref="C96">
    <cfRule type="cellIs" dxfId="4363" priority="5540" stopIfTrue="1" operator="equal">
      <formula>"Towel"</formula>
    </cfRule>
    <cfRule type="cellIs" dxfId="4362" priority="5541" stopIfTrue="1" operator="equal">
      <formula>"Napkin Hs"</formula>
    </cfRule>
  </conditionalFormatting>
  <conditionalFormatting sqref="C96">
    <cfRule type="cellIs" dxfId="4361" priority="5542" stopIfTrue="1" operator="equal">
      <formula>"Towel"</formula>
    </cfRule>
    <cfRule type="cellIs" dxfId="4360" priority="5543" stopIfTrue="1" operator="equal">
      <formula>"Napkin Hs"</formula>
    </cfRule>
  </conditionalFormatting>
  <conditionalFormatting sqref="B96:C96">
    <cfRule type="cellIs" dxfId="4359" priority="5538" stopIfTrue="1" operator="equal">
      <formula>"Towel"</formula>
    </cfRule>
    <cfRule type="cellIs" dxfId="4358" priority="5539" stopIfTrue="1" operator="equal">
      <formula>"Napkin Hs"</formula>
    </cfRule>
  </conditionalFormatting>
  <conditionalFormatting sqref="C96">
    <cfRule type="cellIs" dxfId="4357" priority="5534" stopIfTrue="1" operator="equal">
      <formula>"Towel"</formula>
    </cfRule>
    <cfRule type="cellIs" dxfId="4356" priority="5535" stopIfTrue="1" operator="equal">
      <formula>"Napkin Hs"</formula>
    </cfRule>
  </conditionalFormatting>
  <conditionalFormatting sqref="C96">
    <cfRule type="cellIs" dxfId="4355" priority="5536" stopIfTrue="1" operator="equal">
      <formula>"Towel"</formula>
    </cfRule>
    <cfRule type="cellIs" dxfId="4354" priority="5537" stopIfTrue="1" operator="equal">
      <formula>"Napkin Hs"</formula>
    </cfRule>
  </conditionalFormatting>
  <conditionalFormatting sqref="B96:C96">
    <cfRule type="cellIs" dxfId="4353" priority="5532" stopIfTrue="1" operator="equal">
      <formula>"Towel"</formula>
    </cfRule>
    <cfRule type="cellIs" dxfId="4352" priority="5533" stopIfTrue="1" operator="equal">
      <formula>"Napkin Hs"</formula>
    </cfRule>
  </conditionalFormatting>
  <conditionalFormatting sqref="C96">
    <cfRule type="cellIs" dxfId="4351" priority="5530" stopIfTrue="1" operator="equal">
      <formula>"Towel"</formula>
    </cfRule>
    <cfRule type="cellIs" dxfId="4350" priority="5531" stopIfTrue="1" operator="equal">
      <formula>"Napkin Hs"</formula>
    </cfRule>
  </conditionalFormatting>
  <conditionalFormatting sqref="C96">
    <cfRule type="cellIs" dxfId="4349" priority="5528" stopIfTrue="1" operator="equal">
      <formula>"Towel"</formula>
    </cfRule>
    <cfRule type="cellIs" dxfId="4348" priority="5529" stopIfTrue="1" operator="equal">
      <formula>"Napkin Hs"</formula>
    </cfRule>
  </conditionalFormatting>
  <conditionalFormatting sqref="B96:C96">
    <cfRule type="cellIs" dxfId="4347" priority="5526" stopIfTrue="1" operator="equal">
      <formula>"Towel"</formula>
    </cfRule>
    <cfRule type="cellIs" dxfId="4346" priority="5527" stopIfTrue="1" operator="equal">
      <formula>"Napkin Hs"</formula>
    </cfRule>
  </conditionalFormatting>
  <conditionalFormatting sqref="C96">
    <cfRule type="cellIs" dxfId="4345" priority="5524" stopIfTrue="1" operator="equal">
      <formula>"Towel"</formula>
    </cfRule>
    <cfRule type="cellIs" dxfId="4344" priority="5525" stopIfTrue="1" operator="equal">
      <formula>"Napkin Hs"</formula>
    </cfRule>
  </conditionalFormatting>
  <conditionalFormatting sqref="C96">
    <cfRule type="cellIs" dxfId="4343" priority="5522" stopIfTrue="1" operator="equal">
      <formula>"Towel"</formula>
    </cfRule>
    <cfRule type="cellIs" dxfId="4342" priority="5523" stopIfTrue="1" operator="equal">
      <formula>"Napkin Hs"</formula>
    </cfRule>
  </conditionalFormatting>
  <conditionalFormatting sqref="B96:C96">
    <cfRule type="cellIs" dxfId="4341" priority="5520" stopIfTrue="1" operator="equal">
      <formula>"Towel"</formula>
    </cfRule>
    <cfRule type="cellIs" dxfId="4340" priority="5521" stopIfTrue="1" operator="equal">
      <formula>"Napkin Hs"</formula>
    </cfRule>
  </conditionalFormatting>
  <conditionalFormatting sqref="C96">
    <cfRule type="cellIs" dxfId="4339" priority="5518" stopIfTrue="1" operator="equal">
      <formula>"Towel"</formula>
    </cfRule>
    <cfRule type="cellIs" dxfId="4338" priority="5519" stopIfTrue="1" operator="equal">
      <formula>"Napkin Hs"</formula>
    </cfRule>
  </conditionalFormatting>
  <conditionalFormatting sqref="C96">
    <cfRule type="cellIs" dxfId="4337" priority="5516" stopIfTrue="1" operator="equal">
      <formula>"Towel"</formula>
    </cfRule>
    <cfRule type="cellIs" dxfId="4336" priority="5517" stopIfTrue="1" operator="equal">
      <formula>"Napkin Hs"</formula>
    </cfRule>
  </conditionalFormatting>
  <conditionalFormatting sqref="B96:C96">
    <cfRule type="cellIs" dxfId="4335" priority="5515" stopIfTrue="1" operator="equal">
      <formula>"Napkin Hs"</formula>
    </cfRule>
  </conditionalFormatting>
  <conditionalFormatting sqref="B96:C96">
    <cfRule type="cellIs" dxfId="4334" priority="5514" stopIfTrue="1" operator="equal">
      <formula>"Towel"</formula>
    </cfRule>
  </conditionalFormatting>
  <conditionalFormatting sqref="C96">
    <cfRule type="cellIs" dxfId="4333" priority="5513" stopIfTrue="1" operator="equal">
      <formula>"Napkin Hs"</formula>
    </cfRule>
  </conditionalFormatting>
  <conditionalFormatting sqref="C96">
    <cfRule type="cellIs" dxfId="4332" priority="5510" stopIfTrue="1" operator="equal">
      <formula>"Towel"</formula>
    </cfRule>
    <cfRule type="cellIs" dxfId="4331" priority="5511" stopIfTrue="1" operator="equal">
      <formula>"Napkin Hs"</formula>
    </cfRule>
  </conditionalFormatting>
  <conditionalFormatting sqref="C96">
    <cfRule type="cellIs" dxfId="4330" priority="5512" stopIfTrue="1" operator="equal">
      <formula>"Towel"</formula>
    </cfRule>
  </conditionalFormatting>
  <conditionalFormatting sqref="C96">
    <cfRule type="cellIs" dxfId="4329" priority="5590" stopIfTrue="1" operator="equal">
      <formula>"Towel"</formula>
    </cfRule>
    <cfRule type="cellIs" dxfId="4328" priority="5591" stopIfTrue="1" operator="equal">
      <formula>"Napkin Hs"</formula>
    </cfRule>
  </conditionalFormatting>
  <conditionalFormatting sqref="C96">
    <cfRule type="cellIs" dxfId="4327" priority="5588" stopIfTrue="1" operator="equal">
      <formula>"Towel"</formula>
    </cfRule>
    <cfRule type="cellIs" dxfId="4326" priority="5589" stopIfTrue="1" operator="equal">
      <formula>"Napkin Hs"</formula>
    </cfRule>
  </conditionalFormatting>
  <conditionalFormatting sqref="B96:C96">
    <cfRule type="cellIs" dxfId="4325" priority="5586" stopIfTrue="1" operator="equal">
      <formula>"Towel"</formula>
    </cfRule>
    <cfRule type="cellIs" dxfId="4324" priority="5587" stopIfTrue="1" operator="equal">
      <formula>"Napkin Hs"</formula>
    </cfRule>
  </conditionalFormatting>
  <conditionalFormatting sqref="C96">
    <cfRule type="cellIs" dxfId="4323" priority="5582" stopIfTrue="1" operator="equal">
      <formula>"Towel"</formula>
    </cfRule>
    <cfRule type="cellIs" dxfId="4322" priority="5583" stopIfTrue="1" operator="equal">
      <formula>"Napkin Hs"</formula>
    </cfRule>
  </conditionalFormatting>
  <conditionalFormatting sqref="C96">
    <cfRule type="cellIs" dxfId="4321" priority="5584" stopIfTrue="1" operator="equal">
      <formula>"Towel"</formula>
    </cfRule>
    <cfRule type="cellIs" dxfId="4320" priority="5585" stopIfTrue="1" operator="equal">
      <formula>"Napkin Hs"</formula>
    </cfRule>
  </conditionalFormatting>
  <conditionalFormatting sqref="B96:C96">
    <cfRule type="cellIs" dxfId="4319" priority="5580" stopIfTrue="1" operator="equal">
      <formula>"Towel"</formula>
    </cfRule>
    <cfRule type="cellIs" dxfId="4318" priority="5581" stopIfTrue="1" operator="equal">
      <formula>"Napkin Hs"</formula>
    </cfRule>
  </conditionalFormatting>
  <conditionalFormatting sqref="C96">
    <cfRule type="cellIs" dxfId="4317" priority="5576" stopIfTrue="1" operator="equal">
      <formula>"Towel"</formula>
    </cfRule>
    <cfRule type="cellIs" dxfId="4316" priority="5577" stopIfTrue="1" operator="equal">
      <formula>"Napkin Hs"</formula>
    </cfRule>
  </conditionalFormatting>
  <conditionalFormatting sqref="C96">
    <cfRule type="cellIs" dxfId="4315" priority="5578" stopIfTrue="1" operator="equal">
      <formula>"Towel"</formula>
    </cfRule>
    <cfRule type="cellIs" dxfId="4314" priority="5579" stopIfTrue="1" operator="equal">
      <formula>"Napkin Hs"</formula>
    </cfRule>
  </conditionalFormatting>
  <conditionalFormatting sqref="B96:C96">
    <cfRule type="cellIs" dxfId="4313" priority="5574" stopIfTrue="1" operator="equal">
      <formula>"Towel"</formula>
    </cfRule>
    <cfRule type="cellIs" dxfId="4312" priority="5575" stopIfTrue="1" operator="equal">
      <formula>"Napkin Hs"</formula>
    </cfRule>
  </conditionalFormatting>
  <conditionalFormatting sqref="C96">
    <cfRule type="cellIs" dxfId="4311" priority="5572" stopIfTrue="1" operator="equal">
      <formula>"Towel"</formula>
    </cfRule>
    <cfRule type="cellIs" dxfId="4310" priority="5573" stopIfTrue="1" operator="equal">
      <formula>"Napkin Hs"</formula>
    </cfRule>
  </conditionalFormatting>
  <conditionalFormatting sqref="C96">
    <cfRule type="cellIs" dxfId="4309" priority="5570" stopIfTrue="1" operator="equal">
      <formula>"Towel"</formula>
    </cfRule>
    <cfRule type="cellIs" dxfId="4308" priority="5571" stopIfTrue="1" operator="equal">
      <formula>"Napkin Hs"</formula>
    </cfRule>
  </conditionalFormatting>
  <conditionalFormatting sqref="B96:C96">
    <cfRule type="cellIs" dxfId="4307" priority="5568" stopIfTrue="1" operator="equal">
      <formula>"Towel"</formula>
    </cfRule>
    <cfRule type="cellIs" dxfId="4306" priority="5569" stopIfTrue="1" operator="equal">
      <formula>"Napkin Hs"</formula>
    </cfRule>
  </conditionalFormatting>
  <conditionalFormatting sqref="C96">
    <cfRule type="cellIs" dxfId="4305" priority="5566" stopIfTrue="1" operator="equal">
      <formula>"Towel"</formula>
    </cfRule>
    <cfRule type="cellIs" dxfId="4304" priority="5567" stopIfTrue="1" operator="equal">
      <formula>"Napkin Hs"</formula>
    </cfRule>
  </conditionalFormatting>
  <conditionalFormatting sqref="C96">
    <cfRule type="cellIs" dxfId="4303" priority="5564" stopIfTrue="1" operator="equal">
      <formula>"Towel"</formula>
    </cfRule>
    <cfRule type="cellIs" dxfId="4302" priority="5565" stopIfTrue="1" operator="equal">
      <formula>"Napkin Hs"</formula>
    </cfRule>
  </conditionalFormatting>
  <conditionalFormatting sqref="B96:C96">
    <cfRule type="cellIs" dxfId="4301" priority="5562" stopIfTrue="1" operator="equal">
      <formula>"Towel"</formula>
    </cfRule>
    <cfRule type="cellIs" dxfId="4300" priority="5563" stopIfTrue="1" operator="equal">
      <formula>"Napkin Hs"</formula>
    </cfRule>
  </conditionalFormatting>
  <conditionalFormatting sqref="C96">
    <cfRule type="cellIs" dxfId="4299" priority="5560" stopIfTrue="1" operator="equal">
      <formula>"Towel"</formula>
    </cfRule>
    <cfRule type="cellIs" dxfId="4298" priority="5561" stopIfTrue="1" operator="equal">
      <formula>"Napkin Hs"</formula>
    </cfRule>
  </conditionalFormatting>
  <conditionalFormatting sqref="C96">
    <cfRule type="cellIs" dxfId="4297" priority="5558" stopIfTrue="1" operator="equal">
      <formula>"Towel"</formula>
    </cfRule>
    <cfRule type="cellIs" dxfId="4296" priority="5559" stopIfTrue="1" operator="equal">
      <formula>"Napkin Hs"</formula>
    </cfRule>
  </conditionalFormatting>
  <conditionalFormatting sqref="B96:C96">
    <cfRule type="cellIs" dxfId="4295" priority="5557" stopIfTrue="1" operator="equal">
      <formula>"Napkin Hs"</formula>
    </cfRule>
  </conditionalFormatting>
  <conditionalFormatting sqref="B96:C96">
    <cfRule type="cellIs" dxfId="4294" priority="5556" stopIfTrue="1" operator="equal">
      <formula>"Towel"</formula>
    </cfRule>
  </conditionalFormatting>
  <conditionalFormatting sqref="C96">
    <cfRule type="cellIs" dxfId="4293" priority="5555" stopIfTrue="1" operator="equal">
      <formula>"Napkin Hs"</formula>
    </cfRule>
  </conditionalFormatting>
  <conditionalFormatting sqref="C96">
    <cfRule type="cellIs" dxfId="4292" priority="5552" stopIfTrue="1" operator="equal">
      <formula>"Towel"</formula>
    </cfRule>
    <cfRule type="cellIs" dxfId="4291" priority="5553" stopIfTrue="1" operator="equal">
      <formula>"Napkin Hs"</formula>
    </cfRule>
  </conditionalFormatting>
  <conditionalFormatting sqref="C96">
    <cfRule type="cellIs" dxfId="4290" priority="5554" stopIfTrue="1" operator="equal">
      <formula>"Towel"</formula>
    </cfRule>
  </conditionalFormatting>
  <conditionalFormatting sqref="B109">
    <cfRule type="cellIs" dxfId="4289" priority="4929" stopIfTrue="1" operator="equal">
      <formula>"Towel"</formula>
    </cfRule>
    <cfRule type="cellIs" dxfId="4288" priority="4930" stopIfTrue="1" operator="equal">
      <formula>"Napkin Hs"</formula>
    </cfRule>
    <cfRule type="cellIs" dxfId="4287" priority="4931" stopIfTrue="1" operator="equal">
      <formula>"Towel"</formula>
    </cfRule>
    <cfRule type="cellIs" dxfId="4286" priority="4932" stopIfTrue="1" operator="equal">
      <formula>"Napkin Hs"</formula>
    </cfRule>
    <cfRule type="cellIs" dxfId="4285" priority="4933" stopIfTrue="1" operator="equal">
      <formula>"Towel"</formula>
    </cfRule>
    <cfRule type="cellIs" dxfId="4284" priority="4934" stopIfTrue="1" operator="equal">
      <formula>"Napkin Hs"</formula>
    </cfRule>
    <cfRule type="cellIs" dxfId="4283" priority="4935" stopIfTrue="1" operator="equal">
      <formula>"Towel"</formula>
    </cfRule>
    <cfRule type="cellIs" dxfId="4282" priority="4936" stopIfTrue="1" operator="equal">
      <formula>"Napkin Hs"</formula>
    </cfRule>
    <cfRule type="cellIs" dxfId="4281" priority="4937" stopIfTrue="1" operator="equal">
      <formula>"Towel"</formula>
    </cfRule>
    <cfRule type="cellIs" dxfId="4280" priority="4938" stopIfTrue="1" operator="equal">
      <formula>"Napkin Hs"</formula>
    </cfRule>
    <cfRule type="cellIs" dxfId="4279" priority="4939" stopIfTrue="1" operator="equal">
      <formula>"Towel"</formula>
    </cfRule>
    <cfRule type="cellIs" dxfId="4278" priority="4940" stopIfTrue="1" operator="equal">
      <formula>"Napkin Hs"</formula>
    </cfRule>
    <cfRule type="cellIs" dxfId="4277" priority="4941" stopIfTrue="1" operator="equal">
      <formula>"Towel"</formula>
    </cfRule>
    <cfRule type="cellIs" dxfId="4276" priority="4942" stopIfTrue="1" operator="equal">
      <formula>"Napkin Hs"</formula>
    </cfRule>
    <cfRule type="cellIs" dxfId="4275" priority="4943" stopIfTrue="1" operator="equal">
      <formula>"Towel"</formula>
    </cfRule>
    <cfRule type="cellIs" dxfId="4274" priority="4944" stopIfTrue="1" operator="equal">
      <formula>"Napkin Hs"</formula>
    </cfRule>
  </conditionalFormatting>
  <conditionalFormatting sqref="B109:C109">
    <cfRule type="cellIs" dxfId="4273" priority="4921" stopIfTrue="1" operator="equal">
      <formula>"Towel"</formula>
    </cfRule>
    <cfRule type="cellIs" dxfId="4272" priority="4922" stopIfTrue="1" operator="equal">
      <formula>"Napkin Hs"</formula>
    </cfRule>
  </conditionalFormatting>
  <conditionalFormatting sqref="C109">
    <cfRule type="cellIs" dxfId="4271" priority="4928" stopIfTrue="1" operator="equal">
      <formula>"Napkin Hs"</formula>
    </cfRule>
  </conditionalFormatting>
  <conditionalFormatting sqref="C109">
    <cfRule type="cellIs" dxfId="4270" priority="4927" stopIfTrue="1" operator="equal">
      <formula>"Towel"</formula>
    </cfRule>
  </conditionalFormatting>
  <conditionalFormatting sqref="C109">
    <cfRule type="cellIs" dxfId="4269" priority="4879" stopIfTrue="1" operator="equal">
      <formula>"Towel"</formula>
    </cfRule>
    <cfRule type="cellIs" dxfId="4268" priority="4880" stopIfTrue="1" operator="equal">
      <formula>"Napkin Hs"</formula>
    </cfRule>
    <cfRule type="cellIs" dxfId="4267" priority="4885" stopIfTrue="1" operator="equal">
      <formula>"Towel"</formula>
    </cfRule>
    <cfRule type="cellIs" dxfId="4266" priority="4886" stopIfTrue="1" operator="equal">
      <formula>"Napkin Hs"</formula>
    </cfRule>
    <cfRule type="cellIs" dxfId="4265" priority="4891" stopIfTrue="1" operator="equal">
      <formula>"Towel"</formula>
    </cfRule>
    <cfRule type="cellIs" dxfId="4264" priority="4892" stopIfTrue="1" operator="equal">
      <formula>"Napkin Hs"</formula>
    </cfRule>
    <cfRule type="cellIs" dxfId="4263" priority="4897" stopIfTrue="1" operator="equal">
      <formula>"Towel"</formula>
    </cfRule>
    <cfRule type="cellIs" dxfId="4262" priority="4898" stopIfTrue="1" operator="equal">
      <formula>"Napkin Hs"</formula>
    </cfRule>
    <cfRule type="cellIs" dxfId="4261" priority="4903" stopIfTrue="1" operator="equal">
      <formula>"Towel"</formula>
    </cfRule>
    <cfRule type="cellIs" dxfId="4260" priority="4904" stopIfTrue="1" operator="equal">
      <formula>"Napkin Hs"</formula>
    </cfRule>
    <cfRule type="cellIs" dxfId="4259" priority="4909" stopIfTrue="1" operator="equal">
      <formula>"Towel"</formula>
    </cfRule>
    <cfRule type="cellIs" dxfId="4258" priority="4910" stopIfTrue="1" operator="equal">
      <formula>"Napkin Hs"</formula>
    </cfRule>
    <cfRule type="cellIs" dxfId="4257" priority="4915" stopIfTrue="1" operator="equal">
      <formula>"Towel"</formula>
    </cfRule>
    <cfRule type="cellIs" dxfId="4256" priority="4916" stopIfTrue="1" operator="equal">
      <formula>"Napkin Hs"</formula>
    </cfRule>
  </conditionalFormatting>
  <conditionalFormatting sqref="C109 C115">
    <cfRule type="cellIs" dxfId="4255" priority="4875" stopIfTrue="1" operator="equal">
      <formula>"Towel"</formula>
    </cfRule>
    <cfRule type="cellIs" dxfId="4254" priority="4876" stopIfTrue="1" operator="equal">
      <formula>"Napkin Hs"</formula>
    </cfRule>
    <cfRule type="cellIs" dxfId="4253" priority="4877" stopIfTrue="1" operator="equal">
      <formula>"Towel"</formula>
    </cfRule>
    <cfRule type="cellIs" dxfId="4252" priority="4878" stopIfTrue="1" operator="equal">
      <formula>"Napkin Hs"</formula>
    </cfRule>
    <cfRule type="cellIs" dxfId="4251" priority="4881" stopIfTrue="1" operator="equal">
      <formula>"Towel"</formula>
    </cfRule>
    <cfRule type="cellIs" dxfId="4250" priority="4882" stopIfTrue="1" operator="equal">
      <formula>"Napkin Hs"</formula>
    </cfRule>
    <cfRule type="cellIs" dxfId="4249" priority="4883" stopIfTrue="1" operator="equal">
      <formula>"Towel"</formula>
    </cfRule>
    <cfRule type="cellIs" dxfId="4248" priority="4884" stopIfTrue="1" operator="equal">
      <formula>"Napkin Hs"</formula>
    </cfRule>
    <cfRule type="cellIs" dxfId="4247" priority="4887" stopIfTrue="1" operator="equal">
      <formula>"Towel"</formula>
    </cfRule>
    <cfRule type="cellIs" dxfId="4246" priority="4888" stopIfTrue="1" operator="equal">
      <formula>"Napkin Hs"</formula>
    </cfRule>
    <cfRule type="cellIs" dxfId="4245" priority="4889" stopIfTrue="1" operator="equal">
      <formula>"Towel"</formula>
    </cfRule>
    <cfRule type="cellIs" dxfId="4244" priority="4890" stopIfTrue="1" operator="equal">
      <formula>"Napkin Hs"</formula>
    </cfRule>
    <cfRule type="cellIs" dxfId="4243" priority="4893" stopIfTrue="1" operator="equal">
      <formula>"Towel"</formula>
    </cfRule>
    <cfRule type="cellIs" dxfId="4242" priority="4894" stopIfTrue="1" operator="equal">
      <formula>"Napkin Hs"</formula>
    </cfRule>
    <cfRule type="cellIs" dxfId="4241" priority="4895" stopIfTrue="1" operator="equal">
      <formula>"Towel"</formula>
    </cfRule>
    <cfRule type="cellIs" dxfId="4240" priority="4896" stopIfTrue="1" operator="equal">
      <formula>"Napkin Hs"</formula>
    </cfRule>
    <cfRule type="cellIs" dxfId="4239" priority="4899" stopIfTrue="1" operator="equal">
      <formula>"Towel"</formula>
    </cfRule>
    <cfRule type="cellIs" dxfId="4238" priority="4900" stopIfTrue="1" operator="equal">
      <formula>"Napkin Hs"</formula>
    </cfRule>
    <cfRule type="cellIs" dxfId="4237" priority="4901" stopIfTrue="1" operator="equal">
      <formula>"Towel"</formula>
    </cfRule>
    <cfRule type="cellIs" dxfId="4236" priority="4902" stopIfTrue="1" operator="equal">
      <formula>"Napkin Hs"</formula>
    </cfRule>
    <cfRule type="cellIs" dxfId="4235" priority="4905" stopIfTrue="1" operator="equal">
      <formula>"Towel"</formula>
    </cfRule>
    <cfRule type="cellIs" dxfId="4234" priority="4906" stopIfTrue="1" operator="equal">
      <formula>"Napkin Hs"</formula>
    </cfRule>
    <cfRule type="cellIs" dxfId="4233" priority="4907" stopIfTrue="1" operator="equal">
      <formula>"Towel"</formula>
    </cfRule>
    <cfRule type="cellIs" dxfId="4232" priority="4908" stopIfTrue="1" operator="equal">
      <formula>"Napkin Hs"</formula>
    </cfRule>
    <cfRule type="cellIs" dxfId="4231" priority="4911" stopIfTrue="1" operator="equal">
      <formula>"Towel"</formula>
    </cfRule>
    <cfRule type="cellIs" dxfId="4230" priority="4912" stopIfTrue="1" operator="equal">
      <formula>"Napkin Hs"</formula>
    </cfRule>
    <cfRule type="cellIs" dxfId="4229" priority="4913" stopIfTrue="1" operator="equal">
      <formula>"Towel"</formula>
    </cfRule>
    <cfRule type="cellIs" dxfId="4228" priority="4914" stopIfTrue="1" operator="equal">
      <formula>"Napkin Hs"</formula>
    </cfRule>
    <cfRule type="cellIs" dxfId="4227" priority="4917" stopIfTrue="1" operator="equal">
      <formula>"Towel"</formula>
    </cfRule>
    <cfRule type="cellIs" dxfId="4226" priority="4918" stopIfTrue="1" operator="equal">
      <formula>"Napkin Hs"</formula>
    </cfRule>
    <cfRule type="cellIs" dxfId="4225" priority="4919" stopIfTrue="1" operator="equal">
      <formula>"Towel"</formula>
    </cfRule>
    <cfRule type="cellIs" dxfId="4224" priority="4920" stopIfTrue="1" operator="equal">
      <formula>"Napkin Hs"</formula>
    </cfRule>
    <cfRule type="cellIs" dxfId="4223" priority="4923" stopIfTrue="1" operator="equal">
      <formula>"Towel"</formula>
    </cfRule>
    <cfRule type="cellIs" dxfId="4222" priority="4924" stopIfTrue="1" operator="equal">
      <formula>"Napkin Hs"</formula>
    </cfRule>
  </conditionalFormatting>
  <conditionalFormatting sqref="C109">
    <cfRule type="cellIs" dxfId="4221" priority="4925" stopIfTrue="1" operator="equal">
      <formula>"Towel"</formula>
    </cfRule>
    <cfRule type="cellIs" dxfId="4220" priority="4926" stopIfTrue="1" operator="equal">
      <formula>"Napkin Hs"</formula>
    </cfRule>
  </conditionalFormatting>
  <conditionalFormatting sqref="B103:B104">
    <cfRule type="cellIs" dxfId="4219" priority="5290" stopIfTrue="1" operator="equal">
      <formula>"Towel"</formula>
    </cfRule>
    <cfRule type="cellIs" dxfId="4218" priority="5291" stopIfTrue="1" operator="equal">
      <formula>"Napkin Hs"</formula>
    </cfRule>
  </conditionalFormatting>
  <conditionalFormatting sqref="B101:C101">
    <cfRule type="cellIs" dxfId="4217" priority="5128" stopIfTrue="1" operator="equal">
      <formula>"Towel"</formula>
    </cfRule>
    <cfRule type="cellIs" dxfId="4216" priority="5129" stopIfTrue="1" operator="equal">
      <formula>"Napkin Hs"</formula>
    </cfRule>
    <cfRule type="cellIs" dxfId="4215" priority="5134" stopIfTrue="1" operator="equal">
      <formula>"Towel"</formula>
    </cfRule>
    <cfRule type="cellIs" dxfId="4214" priority="5135" stopIfTrue="1" operator="equal">
      <formula>"Napkin Hs"</formula>
    </cfRule>
    <cfRule type="cellIs" dxfId="4213" priority="5140" stopIfTrue="1" operator="equal">
      <formula>"Towel"</formula>
    </cfRule>
    <cfRule type="cellIs" dxfId="4212" priority="5141" stopIfTrue="1" operator="equal">
      <formula>"Napkin Hs"</formula>
    </cfRule>
    <cfRule type="cellIs" dxfId="4211" priority="5146" stopIfTrue="1" operator="equal">
      <formula>"Towel"</formula>
    </cfRule>
    <cfRule type="cellIs" dxfId="4210" priority="5147" stopIfTrue="1" operator="equal">
      <formula>"Napkin Hs"</formula>
    </cfRule>
    <cfRule type="cellIs" dxfId="4209" priority="5152" stopIfTrue="1" operator="equal">
      <formula>"Towel"</formula>
    </cfRule>
    <cfRule type="cellIs" dxfId="4208" priority="5153" stopIfTrue="1" operator="equal">
      <formula>"Napkin Hs"</formula>
    </cfRule>
    <cfRule type="cellIs" dxfId="4207" priority="5158" stopIfTrue="1" operator="equal">
      <formula>"Towel"</formula>
    </cfRule>
    <cfRule type="cellIs" dxfId="4206" priority="5159" stopIfTrue="1" operator="equal">
      <formula>"Napkin Hs"</formula>
    </cfRule>
    <cfRule type="cellIs" dxfId="4205" priority="5162" stopIfTrue="1" operator="equal">
      <formula>"Towel"</formula>
    </cfRule>
    <cfRule type="cellIs" dxfId="4204" priority="5163" stopIfTrue="1" operator="equal">
      <formula>"Napkin Hs"</formula>
    </cfRule>
    <cfRule type="cellIs" dxfId="4203" priority="5170" stopIfTrue="1" operator="equal">
      <formula>"Towel"</formula>
    </cfRule>
    <cfRule type="cellIs" dxfId="4202" priority="5171" stopIfTrue="1" operator="equal">
      <formula>"Napkin Hs"</formula>
    </cfRule>
    <cfRule type="cellIs" dxfId="4201" priority="5176" stopIfTrue="1" operator="equal">
      <formula>"Towel"</formula>
    </cfRule>
    <cfRule type="cellIs" dxfId="4200" priority="5177" stopIfTrue="1" operator="equal">
      <formula>"Napkin Hs"</formula>
    </cfRule>
    <cfRule type="cellIs" dxfId="4199" priority="5182" stopIfTrue="1" operator="equal">
      <formula>"Towel"</formula>
    </cfRule>
    <cfRule type="cellIs" dxfId="4198" priority="5183" stopIfTrue="1" operator="equal">
      <formula>"Napkin Hs"</formula>
    </cfRule>
    <cfRule type="cellIs" dxfId="4197" priority="5188" stopIfTrue="1" operator="equal">
      <formula>"Towel"</formula>
    </cfRule>
    <cfRule type="cellIs" dxfId="4196" priority="5189" stopIfTrue="1" operator="equal">
      <formula>"Napkin Hs"</formula>
    </cfRule>
    <cfRule type="cellIs" dxfId="4195" priority="5194" stopIfTrue="1" operator="equal">
      <formula>"Towel"</formula>
    </cfRule>
    <cfRule type="cellIs" dxfId="4194" priority="5195" stopIfTrue="1" operator="equal">
      <formula>"Napkin Hs"</formula>
    </cfRule>
    <cfRule type="cellIs" dxfId="4193" priority="5200" stopIfTrue="1" operator="equal">
      <formula>"Towel"</formula>
    </cfRule>
    <cfRule type="cellIs" dxfId="4192" priority="5201" stopIfTrue="1" operator="equal">
      <formula>"Napkin Hs"</formula>
    </cfRule>
    <cfRule type="cellIs" dxfId="4191" priority="5206" stopIfTrue="1" operator="equal">
      <formula>"Towel"</formula>
    </cfRule>
    <cfRule type="cellIs" dxfId="4190" priority="5207" stopIfTrue="1" operator="equal">
      <formula>"Napkin Hs"</formula>
    </cfRule>
  </conditionalFormatting>
  <conditionalFormatting sqref="B102:C102">
    <cfRule type="cellIs" dxfId="4189" priority="5210" stopIfTrue="1" operator="equal">
      <formula>"Towel"</formula>
    </cfRule>
    <cfRule type="cellIs" dxfId="4188" priority="5211" stopIfTrue="1" operator="equal">
      <formula>"Napkin Hs"</formula>
    </cfRule>
    <cfRule type="cellIs" dxfId="4187" priority="5216" stopIfTrue="1" operator="equal">
      <formula>"Towel"</formula>
    </cfRule>
    <cfRule type="cellIs" dxfId="4186" priority="5217" stopIfTrue="1" operator="equal">
      <formula>"Napkin Hs"</formula>
    </cfRule>
    <cfRule type="cellIs" dxfId="4185" priority="5222" stopIfTrue="1" operator="equal">
      <formula>"Towel"</formula>
    </cfRule>
    <cfRule type="cellIs" dxfId="4184" priority="5223" stopIfTrue="1" operator="equal">
      <formula>"Napkin Hs"</formula>
    </cfRule>
    <cfRule type="cellIs" dxfId="4183" priority="5228" stopIfTrue="1" operator="equal">
      <formula>"Towel"</formula>
    </cfRule>
    <cfRule type="cellIs" dxfId="4182" priority="5229" stopIfTrue="1" operator="equal">
      <formula>"Napkin Hs"</formula>
    </cfRule>
    <cfRule type="cellIs" dxfId="4181" priority="5234" stopIfTrue="1" operator="equal">
      <formula>"Towel"</formula>
    </cfRule>
    <cfRule type="cellIs" dxfId="4180" priority="5235" stopIfTrue="1" operator="equal">
      <formula>"Napkin Hs"</formula>
    </cfRule>
    <cfRule type="cellIs" dxfId="4179" priority="5240" stopIfTrue="1" operator="equal">
      <formula>"Towel"</formula>
    </cfRule>
    <cfRule type="cellIs" dxfId="4178" priority="5241" stopIfTrue="1" operator="equal">
      <formula>"Napkin Hs"</formula>
    </cfRule>
    <cfRule type="cellIs" dxfId="4177" priority="5244" stopIfTrue="1" operator="equal">
      <formula>"Towel"</formula>
    </cfRule>
    <cfRule type="cellIs" dxfId="4176" priority="5245" stopIfTrue="1" operator="equal">
      <formula>"Napkin Hs"</formula>
    </cfRule>
    <cfRule type="cellIs" dxfId="4175" priority="5252" stopIfTrue="1" operator="equal">
      <formula>"Towel"</formula>
    </cfRule>
    <cfRule type="cellIs" dxfId="4174" priority="5253" stopIfTrue="1" operator="equal">
      <formula>"Napkin Hs"</formula>
    </cfRule>
    <cfRule type="cellIs" dxfId="4173" priority="5258" stopIfTrue="1" operator="equal">
      <formula>"Towel"</formula>
    </cfRule>
    <cfRule type="cellIs" dxfId="4172" priority="5259" stopIfTrue="1" operator="equal">
      <formula>"Napkin Hs"</formula>
    </cfRule>
    <cfRule type="cellIs" dxfId="4171" priority="5264" stopIfTrue="1" operator="equal">
      <formula>"Towel"</formula>
    </cfRule>
    <cfRule type="cellIs" dxfId="4170" priority="5265" stopIfTrue="1" operator="equal">
      <formula>"Napkin Hs"</formula>
    </cfRule>
    <cfRule type="cellIs" dxfId="4169" priority="5270" stopIfTrue="1" operator="equal">
      <formula>"Towel"</formula>
    </cfRule>
    <cfRule type="cellIs" dxfId="4168" priority="5271" stopIfTrue="1" operator="equal">
      <formula>"Napkin Hs"</formula>
    </cfRule>
    <cfRule type="cellIs" dxfId="4167" priority="5276" stopIfTrue="1" operator="equal">
      <formula>"Towel"</formula>
    </cfRule>
    <cfRule type="cellIs" dxfId="4166" priority="5277" stopIfTrue="1" operator="equal">
      <formula>"Napkin Hs"</formula>
    </cfRule>
    <cfRule type="cellIs" dxfId="4165" priority="5282" stopIfTrue="1" operator="equal">
      <formula>"Towel"</formula>
    </cfRule>
    <cfRule type="cellIs" dxfId="4164" priority="5283" stopIfTrue="1" operator="equal">
      <formula>"Napkin Hs"</formula>
    </cfRule>
    <cfRule type="cellIs" dxfId="4163" priority="5288" stopIfTrue="1" operator="equal">
      <formula>"Towel"</formula>
    </cfRule>
    <cfRule type="cellIs" dxfId="4162" priority="5289" stopIfTrue="1" operator="equal">
      <formula>"Napkin Hs"</formula>
    </cfRule>
  </conditionalFormatting>
  <conditionalFormatting sqref="B103:C103">
    <cfRule type="cellIs" dxfId="4161" priority="5350" stopIfTrue="1" operator="equal">
      <formula>"Towel"</formula>
    </cfRule>
    <cfRule type="cellIs" dxfId="4160" priority="5351" stopIfTrue="1" operator="equal">
      <formula>"Napkin Hs"</formula>
    </cfRule>
    <cfRule type="cellIs" dxfId="4159" priority="5356" stopIfTrue="1" operator="equal">
      <formula>"Towel"</formula>
    </cfRule>
    <cfRule type="cellIs" dxfId="4158" priority="5357" stopIfTrue="1" operator="equal">
      <formula>"Napkin Hs"</formula>
    </cfRule>
    <cfRule type="cellIs" dxfId="4157" priority="5362" stopIfTrue="1" operator="equal">
      <formula>"Towel"</formula>
    </cfRule>
    <cfRule type="cellIs" dxfId="4156" priority="5363" stopIfTrue="1" operator="equal">
      <formula>"Napkin Hs"</formula>
    </cfRule>
    <cfRule type="cellIs" dxfId="4155" priority="5368" stopIfTrue="1" operator="equal">
      <formula>"Towel"</formula>
    </cfRule>
    <cfRule type="cellIs" dxfId="4154" priority="5369" stopIfTrue="1" operator="equal">
      <formula>"Napkin Hs"</formula>
    </cfRule>
    <cfRule type="cellIs" dxfId="4153" priority="5374" stopIfTrue="1" operator="equal">
      <formula>"Towel"</formula>
    </cfRule>
    <cfRule type="cellIs" dxfId="4152" priority="5375" stopIfTrue="1" operator="equal">
      <formula>"Napkin Hs"</formula>
    </cfRule>
    <cfRule type="cellIs" dxfId="4151" priority="5380" stopIfTrue="1" operator="equal">
      <formula>"Towel"</formula>
    </cfRule>
    <cfRule type="cellIs" dxfId="4150" priority="5381" stopIfTrue="1" operator="equal">
      <formula>"Napkin Hs"</formula>
    </cfRule>
    <cfRule type="cellIs" dxfId="4149" priority="5386" stopIfTrue="1" operator="equal">
      <formula>"Towel"</formula>
    </cfRule>
    <cfRule type="cellIs" dxfId="4148" priority="5387" stopIfTrue="1" operator="equal">
      <formula>"Napkin Hs"</formula>
    </cfRule>
    <cfRule type="cellIs" dxfId="4147" priority="5392" stopIfTrue="1" operator="equal">
      <formula>"Towel"</formula>
    </cfRule>
    <cfRule type="cellIs" dxfId="4146" priority="5393" stopIfTrue="1" operator="equal">
      <formula>"Napkin Hs"</formula>
    </cfRule>
  </conditionalFormatting>
  <conditionalFormatting sqref="B103:C104">
    <cfRule type="cellIs" dxfId="4145" priority="5292" stopIfTrue="1" operator="equal">
      <formula>"Towel"</formula>
    </cfRule>
    <cfRule type="cellIs" dxfId="4144" priority="5293" stopIfTrue="1" operator="equal">
      <formula>"Napkin Hs"</formula>
    </cfRule>
    <cfRule type="cellIs" dxfId="4143" priority="5308" stopIfTrue="1" operator="equal">
      <formula>"Towel"</formula>
    </cfRule>
    <cfRule type="cellIs" dxfId="4142" priority="5309" stopIfTrue="1" operator="equal">
      <formula>"Napkin Hs"</formula>
    </cfRule>
    <cfRule type="cellIs" dxfId="4141" priority="5314" stopIfTrue="1" operator="equal">
      <formula>"Towel"</formula>
    </cfRule>
    <cfRule type="cellIs" dxfId="4140" priority="5315" stopIfTrue="1" operator="equal">
      <formula>"Napkin Hs"</formula>
    </cfRule>
    <cfRule type="cellIs" dxfId="4139" priority="5320" stopIfTrue="1" operator="equal">
      <formula>"Towel"</formula>
    </cfRule>
    <cfRule type="cellIs" dxfId="4138" priority="5321" stopIfTrue="1" operator="equal">
      <formula>"Napkin Hs"</formula>
    </cfRule>
    <cfRule type="cellIs" dxfId="4137" priority="5326" stopIfTrue="1" operator="equal">
      <formula>"Towel"</formula>
    </cfRule>
    <cfRule type="cellIs" dxfId="4136" priority="5327" stopIfTrue="1" operator="equal">
      <formula>"Napkin Hs"</formula>
    </cfRule>
    <cfRule type="cellIs" dxfId="4135" priority="5332" stopIfTrue="1" operator="equal">
      <formula>"Towel"</formula>
    </cfRule>
    <cfRule type="cellIs" dxfId="4134" priority="5333" stopIfTrue="1" operator="equal">
      <formula>"Napkin Hs"</formula>
    </cfRule>
    <cfRule type="cellIs" dxfId="4133" priority="5338" stopIfTrue="1" operator="equal">
      <formula>"Towel"</formula>
    </cfRule>
    <cfRule type="cellIs" dxfId="4132" priority="5339" stopIfTrue="1" operator="equal">
      <formula>"Napkin Hs"</formula>
    </cfRule>
    <cfRule type="cellIs" dxfId="4131" priority="5344" stopIfTrue="1" operator="equal">
      <formula>"Towel"</formula>
    </cfRule>
    <cfRule type="cellIs" dxfId="4130" priority="5345" stopIfTrue="1" operator="equal">
      <formula>"Napkin Hs"</formula>
    </cfRule>
  </conditionalFormatting>
  <conditionalFormatting sqref="B104:C104">
    <cfRule type="cellIs" dxfId="4129" priority="5396" stopIfTrue="1" operator="equal">
      <formula>"Towel"</formula>
    </cfRule>
    <cfRule type="cellIs" dxfId="4128" priority="5397" stopIfTrue="1" operator="equal">
      <formula>"Napkin Hs"</formula>
    </cfRule>
    <cfRule type="cellIs" dxfId="4127" priority="5402" stopIfTrue="1" operator="equal">
      <formula>"Towel"</formula>
    </cfRule>
    <cfRule type="cellIs" dxfId="4126" priority="5403" stopIfTrue="1" operator="equal">
      <formula>"Napkin Hs"</formula>
    </cfRule>
    <cfRule type="cellIs" dxfId="4125" priority="5408" stopIfTrue="1" operator="equal">
      <formula>"Towel"</formula>
    </cfRule>
    <cfRule type="cellIs" dxfId="4124" priority="5409" stopIfTrue="1" operator="equal">
      <formula>"Napkin Hs"</formula>
    </cfRule>
    <cfRule type="cellIs" dxfId="4123" priority="5414" stopIfTrue="1" operator="equal">
      <formula>"Towel"</formula>
    </cfRule>
    <cfRule type="cellIs" dxfId="4122" priority="5415" stopIfTrue="1" operator="equal">
      <formula>"Napkin Hs"</formula>
    </cfRule>
    <cfRule type="cellIs" dxfId="4121" priority="5420" stopIfTrue="1" operator="equal">
      <formula>"Towel"</formula>
    </cfRule>
    <cfRule type="cellIs" dxfId="4120" priority="5421" stopIfTrue="1" operator="equal">
      <formula>"Napkin Hs"</formula>
    </cfRule>
    <cfRule type="cellIs" dxfId="4119" priority="5426" stopIfTrue="1" operator="equal">
      <formula>"Towel"</formula>
    </cfRule>
    <cfRule type="cellIs" dxfId="4118" priority="5427" stopIfTrue="1" operator="equal">
      <formula>"Napkin Hs"</formula>
    </cfRule>
    <cfRule type="cellIs" dxfId="4117" priority="5432" stopIfTrue="1" operator="equal">
      <formula>"Towel"</formula>
    </cfRule>
    <cfRule type="cellIs" dxfId="4116" priority="5433" stopIfTrue="1" operator="equal">
      <formula>"Napkin Hs"</formula>
    </cfRule>
    <cfRule type="cellIs" dxfId="4115" priority="5438" stopIfTrue="1" operator="equal">
      <formula>"Towel"</formula>
    </cfRule>
    <cfRule type="cellIs" dxfId="4114" priority="5439" stopIfTrue="1" operator="equal">
      <formula>"Napkin Hs"</formula>
    </cfRule>
  </conditionalFormatting>
  <conditionalFormatting sqref="C101">
    <cfRule type="cellIs" dxfId="4113" priority="5124" stopIfTrue="1" operator="equal">
      <formula>"Towel"</formula>
    </cfRule>
    <cfRule type="cellIs" dxfId="4112" priority="5125" stopIfTrue="1" operator="equal">
      <formula>"Napkin Hs"</formula>
    </cfRule>
    <cfRule type="cellIs" dxfId="4111" priority="5126" stopIfTrue="1" operator="equal">
      <formula>"Towel"</formula>
    </cfRule>
    <cfRule type="cellIs" dxfId="4110" priority="5127" stopIfTrue="1" operator="equal">
      <formula>"Napkin Hs"</formula>
    </cfRule>
    <cfRule type="cellIs" dxfId="4109" priority="5130" stopIfTrue="1" operator="equal">
      <formula>"Towel"</formula>
    </cfRule>
    <cfRule type="cellIs" dxfId="4108" priority="5131" stopIfTrue="1" operator="equal">
      <formula>"Napkin Hs"</formula>
    </cfRule>
    <cfRule type="cellIs" dxfId="4107" priority="5132" stopIfTrue="1" operator="equal">
      <formula>"Towel"</formula>
    </cfRule>
    <cfRule type="cellIs" dxfId="4106" priority="5133" stopIfTrue="1" operator="equal">
      <formula>"Napkin Hs"</formula>
    </cfRule>
    <cfRule type="cellIs" dxfId="4105" priority="5136" stopIfTrue="1" operator="equal">
      <formula>"Towel"</formula>
    </cfRule>
    <cfRule type="cellIs" dxfId="4104" priority="5137" stopIfTrue="1" operator="equal">
      <formula>"Napkin Hs"</formula>
    </cfRule>
    <cfRule type="cellIs" dxfId="4103" priority="5138" stopIfTrue="1" operator="equal">
      <formula>"Towel"</formula>
    </cfRule>
    <cfRule type="cellIs" dxfId="4102" priority="5139" stopIfTrue="1" operator="equal">
      <formula>"Napkin Hs"</formula>
    </cfRule>
    <cfRule type="cellIs" dxfId="4101" priority="5142" stopIfTrue="1" operator="equal">
      <formula>"Towel"</formula>
    </cfRule>
    <cfRule type="cellIs" dxfId="4100" priority="5143" stopIfTrue="1" operator="equal">
      <formula>"Napkin Hs"</formula>
    </cfRule>
    <cfRule type="cellIs" dxfId="4099" priority="5144" stopIfTrue="1" operator="equal">
      <formula>"Towel"</formula>
    </cfRule>
    <cfRule type="cellIs" dxfId="4098" priority="5145" stopIfTrue="1" operator="equal">
      <formula>"Napkin Hs"</formula>
    </cfRule>
    <cfRule type="cellIs" dxfId="4097" priority="5148" stopIfTrue="1" operator="equal">
      <formula>"Towel"</formula>
    </cfRule>
    <cfRule type="cellIs" dxfId="4096" priority="5149" stopIfTrue="1" operator="equal">
      <formula>"Napkin Hs"</formula>
    </cfRule>
    <cfRule type="cellIs" dxfId="4095" priority="5150" stopIfTrue="1" operator="equal">
      <formula>"Towel"</formula>
    </cfRule>
    <cfRule type="cellIs" dxfId="4094" priority="5151" stopIfTrue="1" operator="equal">
      <formula>"Napkin Hs"</formula>
    </cfRule>
    <cfRule type="cellIs" dxfId="4093" priority="5154" stopIfTrue="1" operator="equal">
      <formula>"Towel"</formula>
    </cfRule>
    <cfRule type="cellIs" dxfId="4092" priority="5155" stopIfTrue="1" operator="equal">
      <formula>"Napkin Hs"</formula>
    </cfRule>
    <cfRule type="cellIs" dxfId="4091" priority="5156" stopIfTrue="1" operator="equal">
      <formula>"Towel"</formula>
    </cfRule>
    <cfRule type="cellIs" dxfId="4090" priority="5157" stopIfTrue="1" operator="equal">
      <formula>"Napkin Hs"</formula>
    </cfRule>
    <cfRule type="cellIs" dxfId="4089" priority="5160" stopIfTrue="1" operator="equal">
      <formula>"Towel"</formula>
    </cfRule>
    <cfRule type="cellIs" dxfId="4088" priority="5161" stopIfTrue="1" operator="equal">
      <formula>"Napkin Hs"</formula>
    </cfRule>
    <cfRule type="cellIs" dxfId="4087" priority="5164" stopIfTrue="1" operator="equal">
      <formula>"Towel"</formula>
    </cfRule>
    <cfRule type="cellIs" dxfId="4086" priority="5165" stopIfTrue="1" operator="equal">
      <formula>"Napkin Hs"</formula>
    </cfRule>
    <cfRule type="cellIs" dxfId="4085" priority="5166" stopIfTrue="1" operator="equal">
      <formula>"Towel"</formula>
    </cfRule>
    <cfRule type="cellIs" dxfId="4084" priority="5167" stopIfTrue="1" operator="equal">
      <formula>"Napkin Hs"</formula>
    </cfRule>
    <cfRule type="cellIs" dxfId="4083" priority="5168" stopIfTrue="1" operator="equal">
      <formula>"Towel"</formula>
    </cfRule>
    <cfRule type="cellIs" dxfId="4082" priority="5169" stopIfTrue="1" operator="equal">
      <formula>"Napkin Hs"</formula>
    </cfRule>
    <cfRule type="cellIs" dxfId="4081" priority="5172" stopIfTrue="1" operator="equal">
      <formula>"Towel"</formula>
    </cfRule>
    <cfRule type="cellIs" dxfId="4080" priority="5173" stopIfTrue="1" operator="equal">
      <formula>"Napkin Hs"</formula>
    </cfRule>
    <cfRule type="cellIs" dxfId="4079" priority="5174" stopIfTrue="1" operator="equal">
      <formula>"Towel"</formula>
    </cfRule>
    <cfRule type="cellIs" dxfId="4078" priority="5175" stopIfTrue="1" operator="equal">
      <formula>"Napkin Hs"</formula>
    </cfRule>
    <cfRule type="cellIs" dxfId="4077" priority="5178" stopIfTrue="1" operator="equal">
      <formula>"Towel"</formula>
    </cfRule>
    <cfRule type="cellIs" dxfId="4076" priority="5179" stopIfTrue="1" operator="equal">
      <formula>"Napkin Hs"</formula>
    </cfRule>
    <cfRule type="cellIs" dxfId="4075" priority="5180" stopIfTrue="1" operator="equal">
      <formula>"Towel"</formula>
    </cfRule>
    <cfRule type="cellIs" dxfId="4074" priority="5181" stopIfTrue="1" operator="equal">
      <formula>"Napkin Hs"</formula>
    </cfRule>
    <cfRule type="cellIs" dxfId="4073" priority="5184" stopIfTrue="1" operator="equal">
      <formula>"Towel"</formula>
    </cfRule>
    <cfRule type="cellIs" dxfId="4072" priority="5185" stopIfTrue="1" operator="equal">
      <formula>"Napkin Hs"</formula>
    </cfRule>
    <cfRule type="cellIs" dxfId="4071" priority="5186" stopIfTrue="1" operator="equal">
      <formula>"Towel"</formula>
    </cfRule>
    <cfRule type="cellIs" dxfId="4070" priority="5187" stopIfTrue="1" operator="equal">
      <formula>"Napkin Hs"</formula>
    </cfRule>
    <cfRule type="cellIs" dxfId="4069" priority="5190" stopIfTrue="1" operator="equal">
      <formula>"Towel"</formula>
    </cfRule>
    <cfRule type="cellIs" dxfId="4068" priority="5191" stopIfTrue="1" operator="equal">
      <formula>"Napkin Hs"</formula>
    </cfRule>
    <cfRule type="cellIs" dxfId="4067" priority="5192" stopIfTrue="1" operator="equal">
      <formula>"Towel"</formula>
    </cfRule>
    <cfRule type="cellIs" dxfId="4066" priority="5193" stopIfTrue="1" operator="equal">
      <formula>"Napkin Hs"</formula>
    </cfRule>
    <cfRule type="cellIs" dxfId="4065" priority="5196" stopIfTrue="1" operator="equal">
      <formula>"Towel"</formula>
    </cfRule>
    <cfRule type="cellIs" dxfId="4064" priority="5197" stopIfTrue="1" operator="equal">
      <formula>"Napkin Hs"</formula>
    </cfRule>
    <cfRule type="cellIs" dxfId="4063" priority="5198" stopIfTrue="1" operator="equal">
      <formula>"Towel"</formula>
    </cfRule>
    <cfRule type="cellIs" dxfId="4062" priority="5199" stopIfTrue="1" operator="equal">
      <formula>"Napkin Hs"</formula>
    </cfRule>
    <cfRule type="cellIs" dxfId="4061" priority="5202" stopIfTrue="1" operator="equal">
      <formula>"Towel"</formula>
    </cfRule>
    <cfRule type="cellIs" dxfId="4060" priority="5203" stopIfTrue="1" operator="equal">
      <formula>"Napkin Hs"</formula>
    </cfRule>
  </conditionalFormatting>
  <conditionalFormatting sqref="C101:C102">
    <cfRule type="cellIs" dxfId="4059" priority="5204" stopIfTrue="1" operator="equal">
      <formula>"Towel"</formula>
    </cfRule>
    <cfRule type="cellIs" dxfId="4058" priority="5205" stopIfTrue="1" operator="equal">
      <formula>"Napkin Hs"</formula>
    </cfRule>
  </conditionalFormatting>
  <conditionalFormatting sqref="C102">
    <cfRule type="cellIs" dxfId="4057" priority="5208" stopIfTrue="1" operator="equal">
      <formula>"Towel"</formula>
    </cfRule>
    <cfRule type="cellIs" dxfId="4056" priority="5209" stopIfTrue="1" operator="equal">
      <formula>"Napkin Hs"</formula>
    </cfRule>
    <cfRule type="cellIs" dxfId="4055" priority="5212" stopIfTrue="1" operator="equal">
      <formula>"Towel"</formula>
    </cfRule>
    <cfRule type="cellIs" dxfId="4054" priority="5213" stopIfTrue="1" operator="equal">
      <formula>"Napkin Hs"</formula>
    </cfRule>
    <cfRule type="cellIs" dxfId="4053" priority="5214" stopIfTrue="1" operator="equal">
      <formula>"Towel"</formula>
    </cfRule>
    <cfRule type="cellIs" dxfId="4052" priority="5215" stopIfTrue="1" operator="equal">
      <formula>"Napkin Hs"</formula>
    </cfRule>
    <cfRule type="cellIs" dxfId="4051" priority="5218" stopIfTrue="1" operator="equal">
      <formula>"Towel"</formula>
    </cfRule>
    <cfRule type="cellIs" dxfId="4050" priority="5219" stopIfTrue="1" operator="equal">
      <formula>"Napkin Hs"</formula>
    </cfRule>
    <cfRule type="cellIs" dxfId="4049" priority="5220" stopIfTrue="1" operator="equal">
      <formula>"Towel"</formula>
    </cfRule>
    <cfRule type="cellIs" dxfId="4048" priority="5221" stopIfTrue="1" operator="equal">
      <formula>"Napkin Hs"</formula>
    </cfRule>
    <cfRule type="cellIs" dxfId="4047" priority="5224" stopIfTrue="1" operator="equal">
      <formula>"Towel"</formula>
    </cfRule>
    <cfRule type="cellIs" dxfId="4046" priority="5225" stopIfTrue="1" operator="equal">
      <formula>"Napkin Hs"</formula>
    </cfRule>
    <cfRule type="cellIs" dxfId="4045" priority="5226" stopIfTrue="1" operator="equal">
      <formula>"Towel"</formula>
    </cfRule>
    <cfRule type="cellIs" dxfId="4044" priority="5227" stopIfTrue="1" operator="equal">
      <formula>"Napkin Hs"</formula>
    </cfRule>
    <cfRule type="cellIs" dxfId="4043" priority="5230" stopIfTrue="1" operator="equal">
      <formula>"Towel"</formula>
    </cfRule>
    <cfRule type="cellIs" dxfId="4042" priority="5231" stopIfTrue="1" operator="equal">
      <formula>"Napkin Hs"</formula>
    </cfRule>
    <cfRule type="cellIs" dxfId="4041" priority="5232" stopIfTrue="1" operator="equal">
      <formula>"Towel"</formula>
    </cfRule>
    <cfRule type="cellIs" dxfId="4040" priority="5233" stopIfTrue="1" operator="equal">
      <formula>"Napkin Hs"</formula>
    </cfRule>
    <cfRule type="cellIs" dxfId="4039" priority="5236" stopIfTrue="1" operator="equal">
      <formula>"Towel"</formula>
    </cfRule>
    <cfRule type="cellIs" dxfId="4038" priority="5237" stopIfTrue="1" operator="equal">
      <formula>"Napkin Hs"</formula>
    </cfRule>
    <cfRule type="cellIs" dxfId="4037" priority="5238" stopIfTrue="1" operator="equal">
      <formula>"Towel"</formula>
    </cfRule>
    <cfRule type="cellIs" dxfId="4036" priority="5239" stopIfTrue="1" operator="equal">
      <formula>"Napkin Hs"</formula>
    </cfRule>
    <cfRule type="cellIs" dxfId="4035" priority="5242" stopIfTrue="1" operator="equal">
      <formula>"Towel"</formula>
    </cfRule>
    <cfRule type="cellIs" dxfId="4034" priority="5243" stopIfTrue="1" operator="equal">
      <formula>"Napkin Hs"</formula>
    </cfRule>
    <cfRule type="cellIs" dxfId="4033" priority="5246" stopIfTrue="1" operator="equal">
      <formula>"Towel"</formula>
    </cfRule>
    <cfRule type="cellIs" dxfId="4032" priority="5247" stopIfTrue="1" operator="equal">
      <formula>"Napkin Hs"</formula>
    </cfRule>
    <cfRule type="cellIs" dxfId="4031" priority="5248" stopIfTrue="1" operator="equal">
      <formula>"Towel"</formula>
    </cfRule>
    <cfRule type="cellIs" dxfId="4030" priority="5249" stopIfTrue="1" operator="equal">
      <formula>"Napkin Hs"</formula>
    </cfRule>
    <cfRule type="cellIs" dxfId="4029" priority="5250" stopIfTrue="1" operator="equal">
      <formula>"Towel"</formula>
    </cfRule>
    <cfRule type="cellIs" dxfId="4028" priority="5251" stopIfTrue="1" operator="equal">
      <formula>"Napkin Hs"</formula>
    </cfRule>
    <cfRule type="cellIs" dxfId="4027" priority="5254" stopIfTrue="1" operator="equal">
      <formula>"Towel"</formula>
    </cfRule>
    <cfRule type="cellIs" dxfId="4026" priority="5255" stopIfTrue="1" operator="equal">
      <formula>"Napkin Hs"</formula>
    </cfRule>
    <cfRule type="cellIs" dxfId="4025" priority="5256" stopIfTrue="1" operator="equal">
      <formula>"Towel"</formula>
    </cfRule>
    <cfRule type="cellIs" dxfId="4024" priority="5257" stopIfTrue="1" operator="equal">
      <formula>"Napkin Hs"</formula>
    </cfRule>
    <cfRule type="cellIs" dxfId="4023" priority="5260" stopIfTrue="1" operator="equal">
      <formula>"Towel"</formula>
    </cfRule>
    <cfRule type="cellIs" dxfId="4022" priority="5261" stopIfTrue="1" operator="equal">
      <formula>"Napkin Hs"</formula>
    </cfRule>
    <cfRule type="cellIs" dxfId="4021" priority="5262" stopIfTrue="1" operator="equal">
      <formula>"Towel"</formula>
    </cfRule>
    <cfRule type="cellIs" dxfId="4020" priority="5263" stopIfTrue="1" operator="equal">
      <formula>"Napkin Hs"</formula>
    </cfRule>
    <cfRule type="cellIs" dxfId="4019" priority="5266" stopIfTrue="1" operator="equal">
      <formula>"Towel"</formula>
    </cfRule>
    <cfRule type="cellIs" dxfId="4018" priority="5267" stopIfTrue="1" operator="equal">
      <formula>"Napkin Hs"</formula>
    </cfRule>
    <cfRule type="cellIs" dxfId="4017" priority="5268" stopIfTrue="1" operator="equal">
      <formula>"Towel"</formula>
    </cfRule>
    <cfRule type="cellIs" dxfId="4016" priority="5269" stopIfTrue="1" operator="equal">
      <formula>"Napkin Hs"</formula>
    </cfRule>
    <cfRule type="cellIs" dxfId="4015" priority="5272" stopIfTrue="1" operator="equal">
      <formula>"Towel"</formula>
    </cfRule>
    <cfRule type="cellIs" dxfId="4014" priority="5273" stopIfTrue="1" operator="equal">
      <formula>"Napkin Hs"</formula>
    </cfRule>
    <cfRule type="cellIs" dxfId="4013" priority="5274" stopIfTrue="1" operator="equal">
      <formula>"Towel"</formula>
    </cfRule>
    <cfRule type="cellIs" dxfId="4012" priority="5275" stopIfTrue="1" operator="equal">
      <formula>"Napkin Hs"</formula>
    </cfRule>
    <cfRule type="cellIs" dxfId="4011" priority="5278" stopIfTrue="1" operator="equal">
      <formula>"Towel"</formula>
    </cfRule>
    <cfRule type="cellIs" dxfId="4010" priority="5279" stopIfTrue="1" operator="equal">
      <formula>"Napkin Hs"</formula>
    </cfRule>
    <cfRule type="cellIs" dxfId="4009" priority="5280" stopIfTrue="1" operator="equal">
      <formula>"Towel"</formula>
    </cfRule>
    <cfRule type="cellIs" dxfId="4008" priority="5281" stopIfTrue="1" operator="equal">
      <formula>"Napkin Hs"</formula>
    </cfRule>
    <cfRule type="cellIs" dxfId="4007" priority="5284" stopIfTrue="1" operator="equal">
      <formula>"Towel"</formula>
    </cfRule>
    <cfRule type="cellIs" dxfId="4006" priority="5285" stopIfTrue="1" operator="equal">
      <formula>"Napkin Hs"</formula>
    </cfRule>
    <cfRule type="cellIs" dxfId="4005" priority="5286" stopIfTrue="1" operator="equal">
      <formula>"Towel"</formula>
    </cfRule>
    <cfRule type="cellIs" dxfId="4004" priority="5287" stopIfTrue="1" operator="equal">
      <formula>"Napkin Hs"</formula>
    </cfRule>
  </conditionalFormatting>
  <conditionalFormatting sqref="C103">
    <cfRule type="cellIs" dxfId="4003" priority="5346" stopIfTrue="1" operator="equal">
      <formula>"Towel"</formula>
    </cfRule>
    <cfRule type="cellIs" dxfId="4002" priority="5347" stopIfTrue="1" operator="equal">
      <formula>"Napkin Hs"</formula>
    </cfRule>
    <cfRule type="cellIs" dxfId="4001" priority="5348" stopIfTrue="1" operator="equal">
      <formula>"Towel"</formula>
    </cfRule>
    <cfRule type="cellIs" dxfId="4000" priority="5349" stopIfTrue="1" operator="equal">
      <formula>"Napkin Hs"</formula>
    </cfRule>
    <cfRule type="cellIs" dxfId="3999" priority="5352" stopIfTrue="1" operator="equal">
      <formula>"Towel"</formula>
    </cfRule>
    <cfRule type="cellIs" dxfId="3998" priority="5353" stopIfTrue="1" operator="equal">
      <formula>"Napkin Hs"</formula>
    </cfRule>
    <cfRule type="cellIs" dxfId="3997" priority="5354" stopIfTrue="1" operator="equal">
      <formula>"Towel"</formula>
    </cfRule>
    <cfRule type="cellIs" dxfId="3996" priority="5355" stopIfTrue="1" operator="equal">
      <formula>"Napkin Hs"</formula>
    </cfRule>
    <cfRule type="cellIs" dxfId="3995" priority="5358" stopIfTrue="1" operator="equal">
      <formula>"Towel"</formula>
    </cfRule>
    <cfRule type="cellIs" dxfId="3994" priority="5359" stopIfTrue="1" operator="equal">
      <formula>"Napkin Hs"</formula>
    </cfRule>
    <cfRule type="cellIs" dxfId="3993" priority="5360" stopIfTrue="1" operator="equal">
      <formula>"Towel"</formula>
    </cfRule>
    <cfRule type="cellIs" dxfId="3992" priority="5361" stopIfTrue="1" operator="equal">
      <formula>"Napkin Hs"</formula>
    </cfRule>
    <cfRule type="cellIs" dxfId="3991" priority="5364" stopIfTrue="1" operator="equal">
      <formula>"Towel"</formula>
    </cfRule>
    <cfRule type="cellIs" dxfId="3990" priority="5365" stopIfTrue="1" operator="equal">
      <formula>"Napkin Hs"</formula>
    </cfRule>
    <cfRule type="cellIs" dxfId="3989" priority="5366" stopIfTrue="1" operator="equal">
      <formula>"Towel"</formula>
    </cfRule>
    <cfRule type="cellIs" dxfId="3988" priority="5367" stopIfTrue="1" operator="equal">
      <formula>"Napkin Hs"</formula>
    </cfRule>
    <cfRule type="cellIs" dxfId="3987" priority="5370" stopIfTrue="1" operator="equal">
      <formula>"Towel"</formula>
    </cfRule>
    <cfRule type="cellIs" dxfId="3986" priority="5371" stopIfTrue="1" operator="equal">
      <formula>"Napkin Hs"</formula>
    </cfRule>
    <cfRule type="cellIs" dxfId="3985" priority="5372" stopIfTrue="1" operator="equal">
      <formula>"Towel"</formula>
    </cfRule>
    <cfRule type="cellIs" dxfId="3984" priority="5373" stopIfTrue="1" operator="equal">
      <formula>"Napkin Hs"</formula>
    </cfRule>
    <cfRule type="cellIs" dxfId="3983" priority="5376" stopIfTrue="1" operator="equal">
      <formula>"Towel"</formula>
    </cfRule>
    <cfRule type="cellIs" dxfId="3982" priority="5377" stopIfTrue="1" operator="equal">
      <formula>"Napkin Hs"</formula>
    </cfRule>
    <cfRule type="cellIs" dxfId="3981" priority="5378" stopIfTrue="1" operator="equal">
      <formula>"Towel"</formula>
    </cfRule>
    <cfRule type="cellIs" dxfId="3980" priority="5379" stopIfTrue="1" operator="equal">
      <formula>"Napkin Hs"</formula>
    </cfRule>
    <cfRule type="cellIs" dxfId="3979" priority="5382" stopIfTrue="1" operator="equal">
      <formula>"Towel"</formula>
    </cfRule>
    <cfRule type="cellIs" dxfId="3978" priority="5383" stopIfTrue="1" operator="equal">
      <formula>"Napkin Hs"</formula>
    </cfRule>
    <cfRule type="cellIs" dxfId="3977" priority="5384" stopIfTrue="1" operator="equal">
      <formula>"Towel"</formula>
    </cfRule>
    <cfRule type="cellIs" dxfId="3976" priority="5385" stopIfTrue="1" operator="equal">
      <formula>"Napkin Hs"</formula>
    </cfRule>
    <cfRule type="cellIs" dxfId="3975" priority="5388" stopIfTrue="1" operator="equal">
      <formula>"Towel"</formula>
    </cfRule>
    <cfRule type="cellIs" dxfId="3974" priority="5389" stopIfTrue="1" operator="equal">
      <formula>"Napkin Hs"</formula>
    </cfRule>
  </conditionalFormatting>
  <conditionalFormatting sqref="C103:C104">
    <cfRule type="cellIs" dxfId="3973" priority="5294" stopIfTrue="1" operator="equal">
      <formula>"Towel"</formula>
    </cfRule>
    <cfRule type="cellIs" dxfId="3972" priority="5295" stopIfTrue="1" operator="equal">
      <formula>"Napkin Hs"</formula>
    </cfRule>
    <cfRule type="cellIs" dxfId="3971" priority="5296" stopIfTrue="1" operator="equal">
      <formula>"Towel"</formula>
    </cfRule>
    <cfRule type="cellIs" dxfId="3970" priority="5297" stopIfTrue="1" operator="equal">
      <formula>"Napkin Hs"</formula>
    </cfRule>
    <cfRule type="cellIs" dxfId="3969" priority="5298" stopIfTrue="1" operator="equal">
      <formula>"Towel"</formula>
    </cfRule>
    <cfRule type="cellIs" dxfId="3968" priority="5299" stopIfTrue="1" operator="equal">
      <formula>"Napkin Hs"</formula>
    </cfRule>
    <cfRule type="cellIs" dxfId="3967" priority="5300" stopIfTrue="1" operator="equal">
      <formula>"Towel"</formula>
    </cfRule>
    <cfRule type="cellIs" dxfId="3966" priority="5301" stopIfTrue="1" operator="equal">
      <formula>"Napkin Hs"</formula>
    </cfRule>
    <cfRule type="cellIs" dxfId="3965" priority="5302" stopIfTrue="1" operator="equal">
      <formula>"Towel"</formula>
    </cfRule>
    <cfRule type="cellIs" dxfId="3964" priority="5303" stopIfTrue="1" operator="equal">
      <formula>"Napkin Hs"</formula>
    </cfRule>
    <cfRule type="cellIs" dxfId="3963" priority="5304" stopIfTrue="1" operator="equal">
      <formula>"Towel"</formula>
    </cfRule>
    <cfRule type="cellIs" dxfId="3962" priority="5305" stopIfTrue="1" operator="equal">
      <formula>"Napkin Hs"</formula>
    </cfRule>
    <cfRule type="cellIs" dxfId="3961" priority="5306" stopIfTrue="1" operator="equal">
      <formula>"Towel"</formula>
    </cfRule>
    <cfRule type="cellIs" dxfId="3960" priority="5307" stopIfTrue="1" operator="equal">
      <formula>"Napkin Hs"</formula>
    </cfRule>
    <cfRule type="cellIs" dxfId="3959" priority="5310" stopIfTrue="1" operator="equal">
      <formula>"Towel"</formula>
    </cfRule>
    <cfRule type="cellIs" dxfId="3958" priority="5311" stopIfTrue="1" operator="equal">
      <formula>"Napkin Hs"</formula>
    </cfRule>
    <cfRule type="cellIs" dxfId="3957" priority="5312" stopIfTrue="1" operator="equal">
      <formula>"Towel"</formula>
    </cfRule>
    <cfRule type="cellIs" dxfId="3956" priority="5313" stopIfTrue="1" operator="equal">
      <formula>"Napkin Hs"</formula>
    </cfRule>
    <cfRule type="cellIs" dxfId="3955" priority="5316" stopIfTrue="1" operator="equal">
      <formula>"Towel"</formula>
    </cfRule>
    <cfRule type="cellIs" dxfId="3954" priority="5317" stopIfTrue="1" operator="equal">
      <formula>"Napkin Hs"</formula>
    </cfRule>
    <cfRule type="cellIs" dxfId="3953" priority="5318" stopIfTrue="1" operator="equal">
      <formula>"Towel"</formula>
    </cfRule>
    <cfRule type="cellIs" dxfId="3952" priority="5319" stopIfTrue="1" operator="equal">
      <formula>"Napkin Hs"</formula>
    </cfRule>
    <cfRule type="cellIs" dxfId="3951" priority="5322" stopIfTrue="1" operator="equal">
      <formula>"Towel"</formula>
    </cfRule>
    <cfRule type="cellIs" dxfId="3950" priority="5323" stopIfTrue="1" operator="equal">
      <formula>"Napkin Hs"</formula>
    </cfRule>
    <cfRule type="cellIs" dxfId="3949" priority="5324" stopIfTrue="1" operator="equal">
      <formula>"Towel"</formula>
    </cfRule>
    <cfRule type="cellIs" dxfId="3948" priority="5325" stopIfTrue="1" operator="equal">
      <formula>"Napkin Hs"</formula>
    </cfRule>
    <cfRule type="cellIs" dxfId="3947" priority="5328" stopIfTrue="1" operator="equal">
      <formula>"Towel"</formula>
    </cfRule>
    <cfRule type="cellIs" dxfId="3946" priority="5329" stopIfTrue="1" operator="equal">
      <formula>"Napkin Hs"</formula>
    </cfRule>
    <cfRule type="cellIs" dxfId="3945" priority="5330" stopIfTrue="1" operator="equal">
      <formula>"Towel"</formula>
    </cfRule>
    <cfRule type="cellIs" dxfId="3944" priority="5331" stopIfTrue="1" operator="equal">
      <formula>"Napkin Hs"</formula>
    </cfRule>
    <cfRule type="cellIs" dxfId="3943" priority="5334" stopIfTrue="1" operator="equal">
      <formula>"Towel"</formula>
    </cfRule>
    <cfRule type="cellIs" dxfId="3942" priority="5335" stopIfTrue="1" operator="equal">
      <formula>"Napkin Hs"</formula>
    </cfRule>
    <cfRule type="cellIs" dxfId="3941" priority="5336" stopIfTrue="1" operator="equal">
      <formula>"Towel"</formula>
    </cfRule>
    <cfRule type="cellIs" dxfId="3940" priority="5337" stopIfTrue="1" operator="equal">
      <formula>"Napkin Hs"</formula>
    </cfRule>
    <cfRule type="cellIs" dxfId="3939" priority="5340" stopIfTrue="1" operator="equal">
      <formula>"Towel"</formula>
    </cfRule>
    <cfRule type="cellIs" dxfId="3938" priority="5341" stopIfTrue="1" operator="equal">
      <formula>"Napkin Hs"</formula>
    </cfRule>
    <cfRule type="cellIs" dxfId="3937" priority="5342" stopIfTrue="1" operator="equal">
      <formula>"Towel"</formula>
    </cfRule>
    <cfRule type="cellIs" dxfId="3936" priority="5343" stopIfTrue="1" operator="equal">
      <formula>"Napkin Hs"</formula>
    </cfRule>
    <cfRule type="cellIs" dxfId="3935" priority="5390" stopIfTrue="1" operator="equal">
      <formula>"Towel"</formula>
    </cfRule>
    <cfRule type="cellIs" dxfId="3934" priority="5391" stopIfTrue="1" operator="equal">
      <formula>"Napkin Hs"</formula>
    </cfRule>
  </conditionalFormatting>
  <conditionalFormatting sqref="C104">
    <cfRule type="cellIs" dxfId="3933" priority="5394" stopIfTrue="1" operator="equal">
      <formula>"Towel"</formula>
    </cfRule>
    <cfRule type="cellIs" dxfId="3932" priority="5395" stopIfTrue="1" operator="equal">
      <formula>"Napkin Hs"</formula>
    </cfRule>
    <cfRule type="cellIs" dxfId="3931" priority="5398" stopIfTrue="1" operator="equal">
      <formula>"Towel"</formula>
    </cfRule>
    <cfRule type="cellIs" dxfId="3930" priority="5399" stopIfTrue="1" operator="equal">
      <formula>"Napkin Hs"</formula>
    </cfRule>
    <cfRule type="cellIs" dxfId="3929" priority="5400" stopIfTrue="1" operator="equal">
      <formula>"Towel"</formula>
    </cfRule>
    <cfRule type="cellIs" dxfId="3928" priority="5401" stopIfTrue="1" operator="equal">
      <formula>"Napkin Hs"</formula>
    </cfRule>
    <cfRule type="cellIs" dxfId="3927" priority="5404" stopIfTrue="1" operator="equal">
      <formula>"Towel"</formula>
    </cfRule>
    <cfRule type="cellIs" dxfId="3926" priority="5405" stopIfTrue="1" operator="equal">
      <formula>"Napkin Hs"</formula>
    </cfRule>
    <cfRule type="cellIs" dxfId="3925" priority="5406" stopIfTrue="1" operator="equal">
      <formula>"Towel"</formula>
    </cfRule>
    <cfRule type="cellIs" dxfId="3924" priority="5407" stopIfTrue="1" operator="equal">
      <formula>"Napkin Hs"</formula>
    </cfRule>
    <cfRule type="cellIs" dxfId="3923" priority="5410" stopIfTrue="1" operator="equal">
      <formula>"Towel"</formula>
    </cfRule>
    <cfRule type="cellIs" dxfId="3922" priority="5411" stopIfTrue="1" operator="equal">
      <formula>"Napkin Hs"</formula>
    </cfRule>
    <cfRule type="cellIs" dxfId="3921" priority="5412" stopIfTrue="1" operator="equal">
      <formula>"Towel"</formula>
    </cfRule>
    <cfRule type="cellIs" dxfId="3920" priority="5413" stopIfTrue="1" operator="equal">
      <formula>"Napkin Hs"</formula>
    </cfRule>
    <cfRule type="cellIs" dxfId="3919" priority="5416" stopIfTrue="1" operator="equal">
      <formula>"Towel"</formula>
    </cfRule>
    <cfRule type="cellIs" dxfId="3918" priority="5417" stopIfTrue="1" operator="equal">
      <formula>"Napkin Hs"</formula>
    </cfRule>
    <cfRule type="cellIs" dxfId="3917" priority="5418" stopIfTrue="1" operator="equal">
      <formula>"Towel"</formula>
    </cfRule>
    <cfRule type="cellIs" dxfId="3916" priority="5419" stopIfTrue="1" operator="equal">
      <formula>"Napkin Hs"</formula>
    </cfRule>
    <cfRule type="cellIs" dxfId="3915" priority="5422" stopIfTrue="1" operator="equal">
      <formula>"Towel"</formula>
    </cfRule>
    <cfRule type="cellIs" dxfId="3914" priority="5423" stopIfTrue="1" operator="equal">
      <formula>"Napkin Hs"</formula>
    </cfRule>
    <cfRule type="cellIs" dxfId="3913" priority="5424" stopIfTrue="1" operator="equal">
      <formula>"Towel"</formula>
    </cfRule>
    <cfRule type="cellIs" dxfId="3912" priority="5425" stopIfTrue="1" operator="equal">
      <formula>"Napkin Hs"</formula>
    </cfRule>
    <cfRule type="cellIs" dxfId="3911" priority="5428" stopIfTrue="1" operator="equal">
      <formula>"Towel"</formula>
    </cfRule>
    <cfRule type="cellIs" dxfId="3910" priority="5429" stopIfTrue="1" operator="equal">
      <formula>"Napkin Hs"</formula>
    </cfRule>
    <cfRule type="cellIs" dxfId="3909" priority="5430" stopIfTrue="1" operator="equal">
      <formula>"Towel"</formula>
    </cfRule>
    <cfRule type="cellIs" dxfId="3908" priority="5431" stopIfTrue="1" operator="equal">
      <formula>"Napkin Hs"</formula>
    </cfRule>
    <cfRule type="cellIs" dxfId="3907" priority="5434" stopIfTrue="1" operator="equal">
      <formula>"Towel"</formula>
    </cfRule>
    <cfRule type="cellIs" dxfId="3906" priority="5435" stopIfTrue="1" operator="equal">
      <formula>"Napkin Hs"</formula>
    </cfRule>
  </conditionalFormatting>
  <conditionalFormatting sqref="C104">
    <cfRule type="cellIs" dxfId="3905" priority="5436" stopIfTrue="1" operator="equal">
      <formula>"Towel"</formula>
    </cfRule>
    <cfRule type="cellIs" dxfId="3904" priority="5437" stopIfTrue="1" operator="equal">
      <formula>"Napkin Hs"</formula>
    </cfRule>
  </conditionalFormatting>
  <conditionalFormatting sqref="B105">
    <cfRule type="cellIs" dxfId="3903" priority="5105" stopIfTrue="1" operator="equal">
      <formula>"Towel"</formula>
    </cfRule>
    <cfRule type="cellIs" dxfId="3902" priority="5106" stopIfTrue="1" operator="equal">
      <formula>"Napkin Hs"</formula>
    </cfRule>
    <cfRule type="cellIs" dxfId="3901" priority="5107" stopIfTrue="1" operator="equal">
      <formula>"Towel"</formula>
    </cfRule>
    <cfRule type="cellIs" dxfId="3900" priority="5108" stopIfTrue="1" operator="equal">
      <formula>"Napkin Hs"</formula>
    </cfRule>
    <cfRule type="cellIs" dxfId="3899" priority="5109" stopIfTrue="1" operator="equal">
      <formula>"Towel"</formula>
    </cfRule>
    <cfRule type="cellIs" dxfId="3898" priority="5110" stopIfTrue="1" operator="equal">
      <formula>"Napkin Hs"</formula>
    </cfRule>
    <cfRule type="cellIs" dxfId="3897" priority="5111" stopIfTrue="1" operator="equal">
      <formula>"Towel"</formula>
    </cfRule>
    <cfRule type="cellIs" dxfId="3896" priority="5112" stopIfTrue="1" operator="equal">
      <formula>"Napkin Hs"</formula>
    </cfRule>
    <cfRule type="cellIs" dxfId="3895" priority="5113" stopIfTrue="1" operator="equal">
      <formula>"Towel"</formula>
    </cfRule>
    <cfRule type="cellIs" dxfId="3894" priority="5114" stopIfTrue="1" operator="equal">
      <formula>"Napkin Hs"</formula>
    </cfRule>
    <cfRule type="cellIs" dxfId="3893" priority="5115" stopIfTrue="1" operator="equal">
      <formula>"Towel"</formula>
    </cfRule>
    <cfRule type="cellIs" dxfId="3892" priority="5116" stopIfTrue="1" operator="equal">
      <formula>"Napkin Hs"</formula>
    </cfRule>
    <cfRule type="cellIs" dxfId="3891" priority="5117" stopIfTrue="1" operator="equal">
      <formula>"Towel"</formula>
    </cfRule>
    <cfRule type="cellIs" dxfId="3890" priority="5118" stopIfTrue="1" operator="equal">
      <formula>"Napkin Hs"</formula>
    </cfRule>
    <cfRule type="cellIs" dxfId="3889" priority="5119" stopIfTrue="1" operator="equal">
      <formula>"Towel"</formula>
    </cfRule>
    <cfRule type="cellIs" dxfId="3888" priority="5120" stopIfTrue="1" operator="equal">
      <formula>"Napkin Hs"</formula>
    </cfRule>
  </conditionalFormatting>
  <conditionalFormatting sqref="B105:C106">
    <cfRule type="cellIs" dxfId="3887" priority="5097" stopIfTrue="1" operator="equal">
      <formula>"Towel"</formula>
    </cfRule>
    <cfRule type="cellIs" dxfId="3886" priority="5098" stopIfTrue="1" operator="equal">
      <formula>"Napkin Hs"</formula>
    </cfRule>
  </conditionalFormatting>
  <conditionalFormatting sqref="B107:C107">
    <cfRule type="cellIs" dxfId="3885" priority="5121" stopIfTrue="1" operator="equal">
      <formula>"Napkin Hs"</formula>
    </cfRule>
  </conditionalFormatting>
  <conditionalFormatting sqref="B108:C108 B115:C115">
    <cfRule type="cellIs" dxfId="3884" priority="5001" stopIfTrue="1" operator="equal">
      <formula>"Towel"</formula>
    </cfRule>
    <cfRule type="cellIs" dxfId="3883" priority="5002" stopIfTrue="1" operator="equal">
      <formula>"Napkin Hs"</formula>
    </cfRule>
    <cfRule type="cellIs" dxfId="3882" priority="5007" stopIfTrue="1" operator="equal">
      <formula>"Towel"</formula>
    </cfRule>
    <cfRule type="cellIs" dxfId="3881" priority="5008" stopIfTrue="1" operator="equal">
      <formula>"Napkin Hs"</formula>
    </cfRule>
    <cfRule type="cellIs" dxfId="3880" priority="5013" stopIfTrue="1" operator="equal">
      <formula>"Towel"</formula>
    </cfRule>
    <cfRule type="cellIs" dxfId="3879" priority="5014" stopIfTrue="1" operator="equal">
      <formula>"Napkin Hs"</formula>
    </cfRule>
    <cfRule type="cellIs" dxfId="3878" priority="5019" stopIfTrue="1" operator="equal">
      <formula>"Towel"</formula>
    </cfRule>
    <cfRule type="cellIs" dxfId="3877" priority="5020" stopIfTrue="1" operator="equal">
      <formula>"Napkin Hs"</formula>
    </cfRule>
    <cfRule type="cellIs" dxfId="3876" priority="5025" stopIfTrue="1" operator="equal">
      <formula>"Towel"</formula>
    </cfRule>
    <cfRule type="cellIs" dxfId="3875" priority="5026" stopIfTrue="1" operator="equal">
      <formula>"Napkin Hs"</formula>
    </cfRule>
    <cfRule type="cellIs" dxfId="3874" priority="5031" stopIfTrue="1" operator="equal">
      <formula>"Towel"</formula>
    </cfRule>
    <cfRule type="cellIs" dxfId="3873" priority="5032" stopIfTrue="1" operator="equal">
      <formula>"Napkin Hs"</formula>
    </cfRule>
    <cfRule type="cellIs" dxfId="3872" priority="5037" stopIfTrue="1" operator="equal">
      <formula>"Towel"</formula>
    </cfRule>
    <cfRule type="cellIs" dxfId="3871" priority="5038" stopIfTrue="1" operator="equal">
      <formula>"Napkin Hs"</formula>
    </cfRule>
    <cfRule type="cellIs" dxfId="3870" priority="5043" stopIfTrue="1" operator="equal">
      <formula>"Towel"</formula>
    </cfRule>
    <cfRule type="cellIs" dxfId="3869" priority="5044" stopIfTrue="1" operator="equal">
      <formula>"Napkin Hs"</formula>
    </cfRule>
    <cfRule type="cellIs" dxfId="3868" priority="5049" stopIfTrue="1" operator="equal">
      <formula>"Towel"</formula>
    </cfRule>
    <cfRule type="cellIs" dxfId="3867" priority="5050" stopIfTrue="1" operator="equal">
      <formula>"Napkin Hs"</formula>
    </cfRule>
  </conditionalFormatting>
  <conditionalFormatting sqref="B109:C109">
    <cfRule type="cellIs" dxfId="3866" priority="4949" stopIfTrue="1" operator="equal">
      <formula>"Towel"</formula>
    </cfRule>
    <cfRule type="cellIs" dxfId="3865" priority="4950" stopIfTrue="1" operator="equal">
      <formula>"Napkin Hs"</formula>
    </cfRule>
    <cfRule type="cellIs" dxfId="3864" priority="4955" stopIfTrue="1" operator="equal">
      <formula>"Towel"</formula>
    </cfRule>
    <cfRule type="cellIs" dxfId="3863" priority="4956" stopIfTrue="1" operator="equal">
      <formula>"Napkin Hs"</formula>
    </cfRule>
    <cfRule type="cellIs" dxfId="3862" priority="4961" stopIfTrue="1" operator="equal">
      <formula>"Towel"</formula>
    </cfRule>
    <cfRule type="cellIs" dxfId="3861" priority="4962" stopIfTrue="1" operator="equal">
      <formula>"Napkin Hs"</formula>
    </cfRule>
    <cfRule type="cellIs" dxfId="3860" priority="4967" stopIfTrue="1" operator="equal">
      <formula>"Towel"</formula>
    </cfRule>
    <cfRule type="cellIs" dxfId="3859" priority="4968" stopIfTrue="1" operator="equal">
      <formula>"Napkin Hs"</formula>
    </cfRule>
    <cfRule type="cellIs" dxfId="3858" priority="4973" stopIfTrue="1" operator="equal">
      <formula>"Towel"</formula>
    </cfRule>
    <cfRule type="cellIs" dxfId="3857" priority="4974" stopIfTrue="1" operator="equal">
      <formula>"Napkin Hs"</formula>
    </cfRule>
    <cfRule type="cellIs" dxfId="3856" priority="4979" stopIfTrue="1" operator="equal">
      <formula>"Towel"</formula>
    </cfRule>
    <cfRule type="cellIs" dxfId="3855" priority="4980" stopIfTrue="1" operator="equal">
      <formula>"Napkin Hs"</formula>
    </cfRule>
    <cfRule type="cellIs" dxfId="3854" priority="4985" stopIfTrue="1" operator="equal">
      <formula>"Towel"</formula>
    </cfRule>
    <cfRule type="cellIs" dxfId="3853" priority="4986" stopIfTrue="1" operator="equal">
      <formula>"Napkin Hs"</formula>
    </cfRule>
    <cfRule type="cellIs" dxfId="3852" priority="4991" stopIfTrue="1" operator="equal">
      <formula>"Towel"</formula>
    </cfRule>
    <cfRule type="cellIs" dxfId="3851" priority="4992" stopIfTrue="1" operator="equal">
      <formula>"Napkin Hs"</formula>
    </cfRule>
    <cfRule type="cellIs" dxfId="3850" priority="4997" stopIfTrue="1" operator="equal">
      <formula>"Towel"</formula>
    </cfRule>
    <cfRule type="cellIs" dxfId="3849" priority="4998" stopIfTrue="1" operator="equal">
      <formula>"Napkin Hs"</formula>
    </cfRule>
  </conditionalFormatting>
  <conditionalFormatting sqref="C105 B106:C106">
    <cfRule type="cellIs" dxfId="3848" priority="5104" stopIfTrue="1" operator="equal">
      <formula>"Napkin Hs"</formula>
    </cfRule>
  </conditionalFormatting>
  <conditionalFormatting sqref="C105 B106:C107">
    <cfRule type="cellIs" dxfId="3847" priority="5103" stopIfTrue="1" operator="equal">
      <formula>"Towel"</formula>
    </cfRule>
  </conditionalFormatting>
  <conditionalFormatting sqref="C105 B106:C106">
    <cfRule type="cellIs" dxfId="3846" priority="5055" stopIfTrue="1" operator="equal">
      <formula>"Towel"</formula>
    </cfRule>
    <cfRule type="cellIs" dxfId="3845" priority="5056" stopIfTrue="1" operator="equal">
      <formula>"Napkin Hs"</formula>
    </cfRule>
    <cfRule type="cellIs" dxfId="3844" priority="5061" stopIfTrue="1" operator="equal">
      <formula>"Towel"</formula>
    </cfRule>
    <cfRule type="cellIs" dxfId="3843" priority="5062" stopIfTrue="1" operator="equal">
      <formula>"Napkin Hs"</formula>
    </cfRule>
    <cfRule type="cellIs" dxfId="3842" priority="5067" stopIfTrue="1" operator="equal">
      <formula>"Towel"</formula>
    </cfRule>
    <cfRule type="cellIs" dxfId="3841" priority="5068" stopIfTrue="1" operator="equal">
      <formula>"Napkin Hs"</formula>
    </cfRule>
    <cfRule type="cellIs" dxfId="3840" priority="5073" stopIfTrue="1" operator="equal">
      <formula>"Towel"</formula>
    </cfRule>
    <cfRule type="cellIs" dxfId="3839" priority="5074" stopIfTrue="1" operator="equal">
      <formula>"Napkin Hs"</formula>
    </cfRule>
    <cfRule type="cellIs" dxfId="3838" priority="5079" stopIfTrue="1" operator="equal">
      <formula>"Towel"</formula>
    </cfRule>
    <cfRule type="cellIs" dxfId="3837" priority="5080" stopIfTrue="1" operator="equal">
      <formula>"Napkin Hs"</formula>
    </cfRule>
    <cfRule type="cellIs" dxfId="3836" priority="5085" stopIfTrue="1" operator="equal">
      <formula>"Towel"</formula>
    </cfRule>
    <cfRule type="cellIs" dxfId="3835" priority="5086" stopIfTrue="1" operator="equal">
      <formula>"Napkin Hs"</formula>
    </cfRule>
    <cfRule type="cellIs" dxfId="3834" priority="5091" stopIfTrue="1" operator="equal">
      <formula>"Towel"</formula>
    </cfRule>
    <cfRule type="cellIs" dxfId="3833" priority="5092" stopIfTrue="1" operator="equal">
      <formula>"Napkin Hs"</formula>
    </cfRule>
  </conditionalFormatting>
  <conditionalFormatting sqref="C105:C106">
    <cfRule type="cellIs" dxfId="3832" priority="5051" stopIfTrue="1" operator="equal">
      <formula>"Towel"</formula>
    </cfRule>
    <cfRule type="cellIs" dxfId="3831" priority="5052" stopIfTrue="1" operator="equal">
      <formula>"Napkin Hs"</formula>
    </cfRule>
    <cfRule type="cellIs" dxfId="3830" priority="5053" stopIfTrue="1" operator="equal">
      <formula>"Towel"</formula>
    </cfRule>
    <cfRule type="cellIs" dxfId="3829" priority="5054" stopIfTrue="1" operator="equal">
      <formula>"Napkin Hs"</formula>
    </cfRule>
    <cfRule type="cellIs" dxfId="3828" priority="5057" stopIfTrue="1" operator="equal">
      <formula>"Towel"</formula>
    </cfRule>
    <cfRule type="cellIs" dxfId="3827" priority="5058" stopIfTrue="1" operator="equal">
      <formula>"Napkin Hs"</formula>
    </cfRule>
    <cfRule type="cellIs" dxfId="3826" priority="5059" stopIfTrue="1" operator="equal">
      <formula>"Towel"</formula>
    </cfRule>
    <cfRule type="cellIs" dxfId="3825" priority="5060" stopIfTrue="1" operator="equal">
      <formula>"Napkin Hs"</formula>
    </cfRule>
    <cfRule type="cellIs" dxfId="3824" priority="5063" stopIfTrue="1" operator="equal">
      <formula>"Towel"</formula>
    </cfRule>
    <cfRule type="cellIs" dxfId="3823" priority="5064" stopIfTrue="1" operator="equal">
      <formula>"Napkin Hs"</formula>
    </cfRule>
    <cfRule type="cellIs" dxfId="3822" priority="5065" stopIfTrue="1" operator="equal">
      <formula>"Towel"</formula>
    </cfRule>
    <cfRule type="cellIs" dxfId="3821" priority="5066" stopIfTrue="1" operator="equal">
      <formula>"Napkin Hs"</formula>
    </cfRule>
    <cfRule type="cellIs" dxfId="3820" priority="5069" stopIfTrue="1" operator="equal">
      <formula>"Towel"</formula>
    </cfRule>
    <cfRule type="cellIs" dxfId="3819" priority="5070" stopIfTrue="1" operator="equal">
      <formula>"Napkin Hs"</formula>
    </cfRule>
    <cfRule type="cellIs" dxfId="3818" priority="5071" stopIfTrue="1" operator="equal">
      <formula>"Towel"</formula>
    </cfRule>
    <cfRule type="cellIs" dxfId="3817" priority="5072" stopIfTrue="1" operator="equal">
      <formula>"Napkin Hs"</formula>
    </cfRule>
    <cfRule type="cellIs" dxfId="3816" priority="5075" stopIfTrue="1" operator="equal">
      <formula>"Towel"</formula>
    </cfRule>
    <cfRule type="cellIs" dxfId="3815" priority="5076" stopIfTrue="1" operator="equal">
      <formula>"Napkin Hs"</formula>
    </cfRule>
    <cfRule type="cellIs" dxfId="3814" priority="5077" stopIfTrue="1" operator="equal">
      <formula>"Towel"</formula>
    </cfRule>
    <cfRule type="cellIs" dxfId="3813" priority="5078" stopIfTrue="1" operator="equal">
      <formula>"Napkin Hs"</formula>
    </cfRule>
    <cfRule type="cellIs" dxfId="3812" priority="5081" stopIfTrue="1" operator="equal">
      <formula>"Towel"</formula>
    </cfRule>
    <cfRule type="cellIs" dxfId="3811" priority="5082" stopIfTrue="1" operator="equal">
      <formula>"Napkin Hs"</formula>
    </cfRule>
    <cfRule type="cellIs" dxfId="3810" priority="5083" stopIfTrue="1" operator="equal">
      <formula>"Towel"</formula>
    </cfRule>
    <cfRule type="cellIs" dxfId="3809" priority="5084" stopIfTrue="1" operator="equal">
      <formula>"Napkin Hs"</formula>
    </cfRule>
    <cfRule type="cellIs" dxfId="3808" priority="5087" stopIfTrue="1" operator="equal">
      <formula>"Towel"</formula>
    </cfRule>
    <cfRule type="cellIs" dxfId="3807" priority="5088" stopIfTrue="1" operator="equal">
      <formula>"Napkin Hs"</formula>
    </cfRule>
    <cfRule type="cellIs" dxfId="3806" priority="5089" stopIfTrue="1" operator="equal">
      <formula>"Towel"</formula>
    </cfRule>
    <cfRule type="cellIs" dxfId="3805" priority="5090" stopIfTrue="1" operator="equal">
      <formula>"Napkin Hs"</formula>
    </cfRule>
    <cfRule type="cellIs" dxfId="3804" priority="5093" stopIfTrue="1" operator="equal">
      <formula>"Towel"</formula>
    </cfRule>
    <cfRule type="cellIs" dxfId="3803" priority="5094" stopIfTrue="1" operator="equal">
      <formula>"Napkin Hs"</formula>
    </cfRule>
    <cfRule type="cellIs" dxfId="3802" priority="5095" stopIfTrue="1" operator="equal">
      <formula>"Towel"</formula>
    </cfRule>
    <cfRule type="cellIs" dxfId="3801" priority="5096" stopIfTrue="1" operator="equal">
      <formula>"Napkin Hs"</formula>
    </cfRule>
    <cfRule type="cellIs" dxfId="3800" priority="5099" stopIfTrue="1" operator="equal">
      <formula>"Towel"</formula>
    </cfRule>
    <cfRule type="cellIs" dxfId="3799" priority="5100" stopIfTrue="1" operator="equal">
      <formula>"Napkin Hs"</formula>
    </cfRule>
  </conditionalFormatting>
  <conditionalFormatting sqref="C105:C107">
    <cfRule type="cellIs" dxfId="3798" priority="5101" stopIfTrue="1" operator="equal">
      <formula>"Towel"</formula>
    </cfRule>
    <cfRule type="cellIs" dxfId="3797" priority="5102" stopIfTrue="1" operator="equal">
      <formula>"Napkin Hs"</formula>
    </cfRule>
  </conditionalFormatting>
  <conditionalFormatting sqref="C107">
    <cfRule type="cellIs" dxfId="3796" priority="5122" stopIfTrue="1" operator="equal">
      <formula>"Towel"</formula>
    </cfRule>
    <cfRule type="cellIs" dxfId="3795" priority="5123" stopIfTrue="1" operator="equal">
      <formula>"Napkin Hs"</formula>
    </cfRule>
  </conditionalFormatting>
  <conditionalFormatting sqref="C108">
    <cfRule type="cellIs" dxfId="3794" priority="4999" stopIfTrue="1" operator="equal">
      <formula>"Towel"</formula>
    </cfRule>
    <cfRule type="cellIs" dxfId="3793" priority="5000" stopIfTrue="1" operator="equal">
      <formula>"Napkin Hs"</formula>
    </cfRule>
    <cfRule type="cellIs" dxfId="3792" priority="5003" stopIfTrue="1" operator="equal">
      <formula>"Towel"</formula>
    </cfRule>
    <cfRule type="cellIs" dxfId="3791" priority="5004" stopIfTrue="1" operator="equal">
      <formula>"Napkin Hs"</formula>
    </cfRule>
    <cfRule type="cellIs" dxfId="3790" priority="5005" stopIfTrue="1" operator="equal">
      <formula>"Towel"</formula>
    </cfRule>
    <cfRule type="cellIs" dxfId="3789" priority="5006" stopIfTrue="1" operator="equal">
      <formula>"Napkin Hs"</formula>
    </cfRule>
    <cfRule type="cellIs" dxfId="3788" priority="5009" stopIfTrue="1" operator="equal">
      <formula>"Towel"</formula>
    </cfRule>
    <cfRule type="cellIs" dxfId="3787" priority="5010" stopIfTrue="1" operator="equal">
      <formula>"Napkin Hs"</formula>
    </cfRule>
    <cfRule type="cellIs" dxfId="3786" priority="5011" stopIfTrue="1" operator="equal">
      <formula>"Towel"</formula>
    </cfRule>
    <cfRule type="cellIs" dxfId="3785" priority="5012" stopIfTrue="1" operator="equal">
      <formula>"Napkin Hs"</formula>
    </cfRule>
    <cfRule type="cellIs" dxfId="3784" priority="5015" stopIfTrue="1" operator="equal">
      <formula>"Towel"</formula>
    </cfRule>
    <cfRule type="cellIs" dxfId="3783" priority="5016" stopIfTrue="1" operator="equal">
      <formula>"Napkin Hs"</formula>
    </cfRule>
    <cfRule type="cellIs" dxfId="3782" priority="5017" stopIfTrue="1" operator="equal">
      <formula>"Towel"</formula>
    </cfRule>
    <cfRule type="cellIs" dxfId="3781" priority="5018" stopIfTrue="1" operator="equal">
      <formula>"Napkin Hs"</formula>
    </cfRule>
    <cfRule type="cellIs" dxfId="3780" priority="5021" stopIfTrue="1" operator="equal">
      <formula>"Towel"</formula>
    </cfRule>
    <cfRule type="cellIs" dxfId="3779" priority="5022" stopIfTrue="1" operator="equal">
      <formula>"Napkin Hs"</formula>
    </cfRule>
    <cfRule type="cellIs" dxfId="3778" priority="5023" stopIfTrue="1" operator="equal">
      <formula>"Towel"</formula>
    </cfRule>
    <cfRule type="cellIs" dxfId="3777" priority="5024" stopIfTrue="1" operator="equal">
      <formula>"Napkin Hs"</formula>
    </cfRule>
    <cfRule type="cellIs" dxfId="3776" priority="5027" stopIfTrue="1" operator="equal">
      <formula>"Towel"</formula>
    </cfRule>
    <cfRule type="cellIs" dxfId="3775" priority="5028" stopIfTrue="1" operator="equal">
      <formula>"Napkin Hs"</formula>
    </cfRule>
    <cfRule type="cellIs" dxfId="3774" priority="5029" stopIfTrue="1" operator="equal">
      <formula>"Towel"</formula>
    </cfRule>
    <cfRule type="cellIs" dxfId="3773" priority="5030" stopIfTrue="1" operator="equal">
      <formula>"Napkin Hs"</formula>
    </cfRule>
    <cfRule type="cellIs" dxfId="3772" priority="5033" stopIfTrue="1" operator="equal">
      <formula>"Towel"</formula>
    </cfRule>
    <cfRule type="cellIs" dxfId="3771" priority="5034" stopIfTrue="1" operator="equal">
      <formula>"Napkin Hs"</formula>
    </cfRule>
    <cfRule type="cellIs" dxfId="3770" priority="5035" stopIfTrue="1" operator="equal">
      <formula>"Towel"</formula>
    </cfRule>
    <cfRule type="cellIs" dxfId="3769" priority="5036" stopIfTrue="1" operator="equal">
      <formula>"Napkin Hs"</formula>
    </cfRule>
    <cfRule type="cellIs" dxfId="3768" priority="5039" stopIfTrue="1" operator="equal">
      <formula>"Towel"</formula>
    </cfRule>
    <cfRule type="cellIs" dxfId="3767" priority="5040" stopIfTrue="1" operator="equal">
      <formula>"Napkin Hs"</formula>
    </cfRule>
    <cfRule type="cellIs" dxfId="3766" priority="5041" stopIfTrue="1" operator="equal">
      <formula>"Towel"</formula>
    </cfRule>
    <cfRule type="cellIs" dxfId="3765" priority="5042" stopIfTrue="1" operator="equal">
      <formula>"Napkin Hs"</formula>
    </cfRule>
    <cfRule type="cellIs" dxfId="3764" priority="5045" stopIfTrue="1" operator="equal">
      <formula>"Towel"</formula>
    </cfRule>
    <cfRule type="cellIs" dxfId="3763" priority="5046" stopIfTrue="1" operator="equal">
      <formula>"Napkin Hs"</formula>
    </cfRule>
    <cfRule type="cellIs" dxfId="3762" priority="5047" stopIfTrue="1" operator="equal">
      <formula>"Towel"</formula>
    </cfRule>
    <cfRule type="cellIs" dxfId="3761" priority="5048" stopIfTrue="1" operator="equal">
      <formula>"Napkin Hs"</formula>
    </cfRule>
  </conditionalFormatting>
  <conditionalFormatting sqref="C108:C109">
    <cfRule type="cellIs" dxfId="3760" priority="4995" stopIfTrue="1" operator="equal">
      <formula>"Towel"</formula>
    </cfRule>
    <cfRule type="cellIs" dxfId="3759" priority="4996" stopIfTrue="1" operator="equal">
      <formula>"Napkin Hs"</formula>
    </cfRule>
  </conditionalFormatting>
  <conditionalFormatting sqref="C109">
    <cfRule type="cellIs" dxfId="3758" priority="4945" stopIfTrue="1" operator="equal">
      <formula>"Towel"</formula>
    </cfRule>
    <cfRule type="cellIs" dxfId="3757" priority="4946" stopIfTrue="1" operator="equal">
      <formula>"Napkin Hs"</formula>
    </cfRule>
    <cfRule type="cellIs" dxfId="3756" priority="4947" stopIfTrue="1" operator="equal">
      <formula>"Towel"</formula>
    </cfRule>
    <cfRule type="cellIs" dxfId="3755" priority="4948" stopIfTrue="1" operator="equal">
      <formula>"Napkin Hs"</formula>
    </cfRule>
    <cfRule type="cellIs" dxfId="3754" priority="4951" stopIfTrue="1" operator="equal">
      <formula>"Towel"</formula>
    </cfRule>
    <cfRule type="cellIs" dxfId="3753" priority="4952" stopIfTrue="1" operator="equal">
      <formula>"Napkin Hs"</formula>
    </cfRule>
    <cfRule type="cellIs" dxfId="3752" priority="4953" stopIfTrue="1" operator="equal">
      <formula>"Towel"</formula>
    </cfRule>
    <cfRule type="cellIs" dxfId="3751" priority="4954" stopIfTrue="1" operator="equal">
      <formula>"Napkin Hs"</formula>
    </cfRule>
    <cfRule type="cellIs" dxfId="3750" priority="4957" stopIfTrue="1" operator="equal">
      <formula>"Towel"</formula>
    </cfRule>
    <cfRule type="cellIs" dxfId="3749" priority="4958" stopIfTrue="1" operator="equal">
      <formula>"Napkin Hs"</formula>
    </cfRule>
    <cfRule type="cellIs" dxfId="3748" priority="4959" stopIfTrue="1" operator="equal">
      <formula>"Towel"</formula>
    </cfRule>
    <cfRule type="cellIs" dxfId="3747" priority="4960" stopIfTrue="1" operator="equal">
      <formula>"Napkin Hs"</formula>
    </cfRule>
    <cfRule type="cellIs" dxfId="3746" priority="4963" stopIfTrue="1" operator="equal">
      <formula>"Towel"</formula>
    </cfRule>
    <cfRule type="cellIs" dxfId="3745" priority="4964" stopIfTrue="1" operator="equal">
      <formula>"Napkin Hs"</formula>
    </cfRule>
    <cfRule type="cellIs" dxfId="3744" priority="4965" stopIfTrue="1" operator="equal">
      <formula>"Towel"</formula>
    </cfRule>
    <cfRule type="cellIs" dxfId="3743" priority="4966" stopIfTrue="1" operator="equal">
      <formula>"Napkin Hs"</formula>
    </cfRule>
    <cfRule type="cellIs" dxfId="3742" priority="4969" stopIfTrue="1" operator="equal">
      <formula>"Towel"</formula>
    </cfRule>
    <cfRule type="cellIs" dxfId="3741" priority="4970" stopIfTrue="1" operator="equal">
      <formula>"Napkin Hs"</formula>
    </cfRule>
    <cfRule type="cellIs" dxfId="3740" priority="4971" stopIfTrue="1" operator="equal">
      <formula>"Towel"</formula>
    </cfRule>
    <cfRule type="cellIs" dxfId="3739" priority="4972" stopIfTrue="1" operator="equal">
      <formula>"Napkin Hs"</formula>
    </cfRule>
    <cfRule type="cellIs" dxfId="3738" priority="4975" stopIfTrue="1" operator="equal">
      <formula>"Towel"</formula>
    </cfRule>
    <cfRule type="cellIs" dxfId="3737" priority="4976" stopIfTrue="1" operator="equal">
      <formula>"Napkin Hs"</formula>
    </cfRule>
    <cfRule type="cellIs" dxfId="3736" priority="4977" stopIfTrue="1" operator="equal">
      <formula>"Towel"</formula>
    </cfRule>
    <cfRule type="cellIs" dxfId="3735" priority="4978" stopIfTrue="1" operator="equal">
      <formula>"Napkin Hs"</formula>
    </cfRule>
    <cfRule type="cellIs" dxfId="3734" priority="4981" stopIfTrue="1" operator="equal">
      <formula>"Towel"</formula>
    </cfRule>
    <cfRule type="cellIs" dxfId="3733" priority="4982" stopIfTrue="1" operator="equal">
      <formula>"Napkin Hs"</formula>
    </cfRule>
    <cfRule type="cellIs" dxfId="3732" priority="4983" stopIfTrue="1" operator="equal">
      <formula>"Towel"</formula>
    </cfRule>
    <cfRule type="cellIs" dxfId="3731" priority="4984" stopIfTrue="1" operator="equal">
      <formula>"Napkin Hs"</formula>
    </cfRule>
    <cfRule type="cellIs" dxfId="3730" priority="4987" stopIfTrue="1" operator="equal">
      <formula>"Towel"</formula>
    </cfRule>
    <cfRule type="cellIs" dxfId="3729" priority="4988" stopIfTrue="1" operator="equal">
      <formula>"Napkin Hs"</formula>
    </cfRule>
    <cfRule type="cellIs" dxfId="3728" priority="4989" stopIfTrue="1" operator="equal">
      <formula>"Towel"</formula>
    </cfRule>
    <cfRule type="cellIs" dxfId="3727" priority="4990" stopIfTrue="1" operator="equal">
      <formula>"Napkin Hs"</formula>
    </cfRule>
    <cfRule type="cellIs" dxfId="3726" priority="4993" stopIfTrue="1" operator="equal">
      <formula>"Towel"</formula>
    </cfRule>
    <cfRule type="cellIs" dxfId="3725" priority="4994" stopIfTrue="1" operator="equal">
      <formula>"Napkin Hs"</formula>
    </cfRule>
  </conditionalFormatting>
  <conditionalFormatting sqref="B107:B108">
    <cfRule type="cellIs" dxfId="3724" priority="4725" stopIfTrue="1" operator="equal">
      <formula>"Towel"</formula>
    </cfRule>
    <cfRule type="cellIs" dxfId="3723" priority="4726" stopIfTrue="1" operator="equal">
      <formula>"Napkin Hs"</formula>
    </cfRule>
  </conditionalFormatting>
  <conditionalFormatting sqref="B105:C105">
    <cfRule type="cellIs" dxfId="3722" priority="4563" stopIfTrue="1" operator="equal">
      <formula>"Towel"</formula>
    </cfRule>
    <cfRule type="cellIs" dxfId="3721" priority="4564" stopIfTrue="1" operator="equal">
      <formula>"Napkin Hs"</formula>
    </cfRule>
    <cfRule type="cellIs" dxfId="3720" priority="4569" stopIfTrue="1" operator="equal">
      <formula>"Towel"</formula>
    </cfRule>
    <cfRule type="cellIs" dxfId="3719" priority="4570" stopIfTrue="1" operator="equal">
      <formula>"Napkin Hs"</formula>
    </cfRule>
    <cfRule type="cellIs" dxfId="3718" priority="4575" stopIfTrue="1" operator="equal">
      <formula>"Towel"</formula>
    </cfRule>
    <cfRule type="cellIs" dxfId="3717" priority="4576" stopIfTrue="1" operator="equal">
      <formula>"Napkin Hs"</formula>
    </cfRule>
    <cfRule type="cellIs" dxfId="3716" priority="4581" stopIfTrue="1" operator="equal">
      <formula>"Towel"</formula>
    </cfRule>
    <cfRule type="cellIs" dxfId="3715" priority="4582" stopIfTrue="1" operator="equal">
      <formula>"Napkin Hs"</formula>
    </cfRule>
    <cfRule type="cellIs" dxfId="3714" priority="4587" stopIfTrue="1" operator="equal">
      <formula>"Towel"</formula>
    </cfRule>
    <cfRule type="cellIs" dxfId="3713" priority="4588" stopIfTrue="1" operator="equal">
      <formula>"Napkin Hs"</formula>
    </cfRule>
    <cfRule type="cellIs" dxfId="3712" priority="4593" stopIfTrue="1" operator="equal">
      <formula>"Towel"</formula>
    </cfRule>
    <cfRule type="cellIs" dxfId="3711" priority="4594" stopIfTrue="1" operator="equal">
      <formula>"Napkin Hs"</formula>
    </cfRule>
    <cfRule type="cellIs" dxfId="3710" priority="4597" stopIfTrue="1" operator="equal">
      <formula>"Towel"</formula>
    </cfRule>
    <cfRule type="cellIs" dxfId="3709" priority="4598" stopIfTrue="1" operator="equal">
      <formula>"Napkin Hs"</formula>
    </cfRule>
    <cfRule type="cellIs" dxfId="3708" priority="4605" stopIfTrue="1" operator="equal">
      <formula>"Towel"</formula>
    </cfRule>
    <cfRule type="cellIs" dxfId="3707" priority="4606" stopIfTrue="1" operator="equal">
      <formula>"Napkin Hs"</formula>
    </cfRule>
    <cfRule type="cellIs" dxfId="3706" priority="4611" stopIfTrue="1" operator="equal">
      <formula>"Towel"</formula>
    </cfRule>
    <cfRule type="cellIs" dxfId="3705" priority="4612" stopIfTrue="1" operator="equal">
      <formula>"Napkin Hs"</formula>
    </cfRule>
    <cfRule type="cellIs" dxfId="3704" priority="4617" stopIfTrue="1" operator="equal">
      <formula>"Towel"</formula>
    </cfRule>
    <cfRule type="cellIs" dxfId="3703" priority="4618" stopIfTrue="1" operator="equal">
      <formula>"Napkin Hs"</formula>
    </cfRule>
    <cfRule type="cellIs" dxfId="3702" priority="4623" stopIfTrue="1" operator="equal">
      <formula>"Towel"</formula>
    </cfRule>
    <cfRule type="cellIs" dxfId="3701" priority="4624" stopIfTrue="1" operator="equal">
      <formula>"Napkin Hs"</formula>
    </cfRule>
    <cfRule type="cellIs" dxfId="3700" priority="4629" stopIfTrue="1" operator="equal">
      <formula>"Towel"</formula>
    </cfRule>
    <cfRule type="cellIs" dxfId="3699" priority="4630" stopIfTrue="1" operator="equal">
      <formula>"Napkin Hs"</formula>
    </cfRule>
    <cfRule type="cellIs" dxfId="3698" priority="4635" stopIfTrue="1" operator="equal">
      <formula>"Towel"</formula>
    </cfRule>
    <cfRule type="cellIs" dxfId="3697" priority="4636" stopIfTrue="1" operator="equal">
      <formula>"Napkin Hs"</formula>
    </cfRule>
    <cfRule type="cellIs" dxfId="3696" priority="4641" stopIfTrue="1" operator="equal">
      <formula>"Towel"</formula>
    </cfRule>
    <cfRule type="cellIs" dxfId="3695" priority="4642" stopIfTrue="1" operator="equal">
      <formula>"Napkin Hs"</formula>
    </cfRule>
  </conditionalFormatting>
  <conditionalFormatting sqref="B106:C106">
    <cfRule type="cellIs" dxfId="3694" priority="4645" stopIfTrue="1" operator="equal">
      <formula>"Towel"</formula>
    </cfRule>
    <cfRule type="cellIs" dxfId="3693" priority="4646" stopIfTrue="1" operator="equal">
      <formula>"Napkin Hs"</formula>
    </cfRule>
    <cfRule type="cellIs" dxfId="3692" priority="4651" stopIfTrue="1" operator="equal">
      <formula>"Towel"</formula>
    </cfRule>
    <cfRule type="cellIs" dxfId="3691" priority="4652" stopIfTrue="1" operator="equal">
      <formula>"Napkin Hs"</formula>
    </cfRule>
    <cfRule type="cellIs" dxfId="3690" priority="4657" stopIfTrue="1" operator="equal">
      <formula>"Towel"</formula>
    </cfRule>
    <cfRule type="cellIs" dxfId="3689" priority="4658" stopIfTrue="1" operator="equal">
      <formula>"Napkin Hs"</formula>
    </cfRule>
    <cfRule type="cellIs" dxfId="3688" priority="4663" stopIfTrue="1" operator="equal">
      <formula>"Towel"</formula>
    </cfRule>
    <cfRule type="cellIs" dxfId="3687" priority="4664" stopIfTrue="1" operator="equal">
      <formula>"Napkin Hs"</formula>
    </cfRule>
    <cfRule type="cellIs" dxfId="3686" priority="4669" stopIfTrue="1" operator="equal">
      <formula>"Towel"</formula>
    </cfRule>
    <cfRule type="cellIs" dxfId="3685" priority="4670" stopIfTrue="1" operator="equal">
      <formula>"Napkin Hs"</formula>
    </cfRule>
    <cfRule type="cellIs" dxfId="3684" priority="4675" stopIfTrue="1" operator="equal">
      <formula>"Towel"</formula>
    </cfRule>
    <cfRule type="cellIs" dxfId="3683" priority="4676" stopIfTrue="1" operator="equal">
      <formula>"Napkin Hs"</formula>
    </cfRule>
    <cfRule type="cellIs" dxfId="3682" priority="4679" stopIfTrue="1" operator="equal">
      <formula>"Towel"</formula>
    </cfRule>
    <cfRule type="cellIs" dxfId="3681" priority="4680" stopIfTrue="1" operator="equal">
      <formula>"Napkin Hs"</formula>
    </cfRule>
    <cfRule type="cellIs" dxfId="3680" priority="4687" stopIfTrue="1" operator="equal">
      <formula>"Towel"</formula>
    </cfRule>
    <cfRule type="cellIs" dxfId="3679" priority="4688" stopIfTrue="1" operator="equal">
      <formula>"Napkin Hs"</formula>
    </cfRule>
    <cfRule type="cellIs" dxfId="3678" priority="4693" stopIfTrue="1" operator="equal">
      <formula>"Towel"</formula>
    </cfRule>
    <cfRule type="cellIs" dxfId="3677" priority="4694" stopIfTrue="1" operator="equal">
      <formula>"Napkin Hs"</formula>
    </cfRule>
    <cfRule type="cellIs" dxfId="3676" priority="4699" stopIfTrue="1" operator="equal">
      <formula>"Towel"</formula>
    </cfRule>
    <cfRule type="cellIs" dxfId="3675" priority="4700" stopIfTrue="1" operator="equal">
      <formula>"Napkin Hs"</formula>
    </cfRule>
    <cfRule type="cellIs" dxfId="3674" priority="4705" stopIfTrue="1" operator="equal">
      <formula>"Towel"</formula>
    </cfRule>
    <cfRule type="cellIs" dxfId="3673" priority="4706" stopIfTrue="1" operator="equal">
      <formula>"Napkin Hs"</formula>
    </cfRule>
    <cfRule type="cellIs" dxfId="3672" priority="4711" stopIfTrue="1" operator="equal">
      <formula>"Towel"</formula>
    </cfRule>
    <cfRule type="cellIs" dxfId="3671" priority="4712" stopIfTrue="1" operator="equal">
      <formula>"Napkin Hs"</formula>
    </cfRule>
    <cfRule type="cellIs" dxfId="3670" priority="4717" stopIfTrue="1" operator="equal">
      <formula>"Towel"</formula>
    </cfRule>
    <cfRule type="cellIs" dxfId="3669" priority="4718" stopIfTrue="1" operator="equal">
      <formula>"Napkin Hs"</formula>
    </cfRule>
    <cfRule type="cellIs" dxfId="3668" priority="4723" stopIfTrue="1" operator="equal">
      <formula>"Towel"</formula>
    </cfRule>
    <cfRule type="cellIs" dxfId="3667" priority="4724" stopIfTrue="1" operator="equal">
      <formula>"Napkin Hs"</formula>
    </cfRule>
  </conditionalFormatting>
  <conditionalFormatting sqref="B107:C107">
    <cfRule type="cellIs" dxfId="3666" priority="4785" stopIfTrue="1" operator="equal">
      <formula>"Towel"</formula>
    </cfRule>
    <cfRule type="cellIs" dxfId="3665" priority="4786" stopIfTrue="1" operator="equal">
      <formula>"Napkin Hs"</formula>
    </cfRule>
    <cfRule type="cellIs" dxfId="3664" priority="4791" stopIfTrue="1" operator="equal">
      <formula>"Towel"</formula>
    </cfRule>
    <cfRule type="cellIs" dxfId="3663" priority="4792" stopIfTrue="1" operator="equal">
      <formula>"Napkin Hs"</formula>
    </cfRule>
    <cfRule type="cellIs" dxfId="3662" priority="4797" stopIfTrue="1" operator="equal">
      <formula>"Towel"</formula>
    </cfRule>
    <cfRule type="cellIs" dxfId="3661" priority="4798" stopIfTrue="1" operator="equal">
      <formula>"Napkin Hs"</formula>
    </cfRule>
    <cfRule type="cellIs" dxfId="3660" priority="4803" stopIfTrue="1" operator="equal">
      <formula>"Towel"</formula>
    </cfRule>
    <cfRule type="cellIs" dxfId="3659" priority="4804" stopIfTrue="1" operator="equal">
      <formula>"Napkin Hs"</formula>
    </cfRule>
    <cfRule type="cellIs" dxfId="3658" priority="4809" stopIfTrue="1" operator="equal">
      <formula>"Towel"</formula>
    </cfRule>
    <cfRule type="cellIs" dxfId="3657" priority="4810" stopIfTrue="1" operator="equal">
      <formula>"Napkin Hs"</formula>
    </cfRule>
    <cfRule type="cellIs" dxfId="3656" priority="4815" stopIfTrue="1" operator="equal">
      <formula>"Towel"</formula>
    </cfRule>
    <cfRule type="cellIs" dxfId="3655" priority="4816" stopIfTrue="1" operator="equal">
      <formula>"Napkin Hs"</formula>
    </cfRule>
    <cfRule type="cellIs" dxfId="3654" priority="4821" stopIfTrue="1" operator="equal">
      <formula>"Towel"</formula>
    </cfRule>
    <cfRule type="cellIs" dxfId="3653" priority="4822" stopIfTrue="1" operator="equal">
      <formula>"Napkin Hs"</formula>
    </cfRule>
    <cfRule type="cellIs" dxfId="3652" priority="4827" stopIfTrue="1" operator="equal">
      <formula>"Towel"</formula>
    </cfRule>
    <cfRule type="cellIs" dxfId="3651" priority="4828" stopIfTrue="1" operator="equal">
      <formula>"Napkin Hs"</formula>
    </cfRule>
  </conditionalFormatting>
  <conditionalFormatting sqref="B107:C108">
    <cfRule type="cellIs" dxfId="3650" priority="4727" stopIfTrue="1" operator="equal">
      <formula>"Towel"</formula>
    </cfRule>
    <cfRule type="cellIs" dxfId="3649" priority="4728" stopIfTrue="1" operator="equal">
      <formula>"Napkin Hs"</formula>
    </cfRule>
    <cfRule type="cellIs" dxfId="3648" priority="4743" stopIfTrue="1" operator="equal">
      <formula>"Towel"</formula>
    </cfRule>
    <cfRule type="cellIs" dxfId="3647" priority="4744" stopIfTrue="1" operator="equal">
      <formula>"Napkin Hs"</formula>
    </cfRule>
    <cfRule type="cellIs" dxfId="3646" priority="4749" stopIfTrue="1" operator="equal">
      <formula>"Towel"</formula>
    </cfRule>
    <cfRule type="cellIs" dxfId="3645" priority="4750" stopIfTrue="1" operator="equal">
      <formula>"Napkin Hs"</formula>
    </cfRule>
    <cfRule type="cellIs" dxfId="3644" priority="4755" stopIfTrue="1" operator="equal">
      <formula>"Towel"</formula>
    </cfRule>
    <cfRule type="cellIs" dxfId="3643" priority="4756" stopIfTrue="1" operator="equal">
      <formula>"Napkin Hs"</formula>
    </cfRule>
    <cfRule type="cellIs" dxfId="3642" priority="4761" stopIfTrue="1" operator="equal">
      <formula>"Towel"</formula>
    </cfRule>
    <cfRule type="cellIs" dxfId="3641" priority="4762" stopIfTrue="1" operator="equal">
      <formula>"Napkin Hs"</formula>
    </cfRule>
    <cfRule type="cellIs" dxfId="3640" priority="4767" stopIfTrue="1" operator="equal">
      <formula>"Towel"</formula>
    </cfRule>
    <cfRule type="cellIs" dxfId="3639" priority="4768" stopIfTrue="1" operator="equal">
      <formula>"Napkin Hs"</formula>
    </cfRule>
    <cfRule type="cellIs" dxfId="3638" priority="4773" stopIfTrue="1" operator="equal">
      <formula>"Towel"</formula>
    </cfRule>
    <cfRule type="cellIs" dxfId="3637" priority="4774" stopIfTrue="1" operator="equal">
      <formula>"Napkin Hs"</formula>
    </cfRule>
    <cfRule type="cellIs" dxfId="3636" priority="4779" stopIfTrue="1" operator="equal">
      <formula>"Towel"</formula>
    </cfRule>
    <cfRule type="cellIs" dxfId="3635" priority="4780" stopIfTrue="1" operator="equal">
      <formula>"Napkin Hs"</formula>
    </cfRule>
  </conditionalFormatting>
  <conditionalFormatting sqref="B108:C108">
    <cfRule type="cellIs" dxfId="3634" priority="4831" stopIfTrue="1" operator="equal">
      <formula>"Towel"</formula>
    </cfRule>
    <cfRule type="cellIs" dxfId="3633" priority="4832" stopIfTrue="1" operator="equal">
      <formula>"Napkin Hs"</formula>
    </cfRule>
    <cfRule type="cellIs" dxfId="3632" priority="4837" stopIfTrue="1" operator="equal">
      <formula>"Towel"</formula>
    </cfRule>
    <cfRule type="cellIs" dxfId="3631" priority="4838" stopIfTrue="1" operator="equal">
      <formula>"Napkin Hs"</formula>
    </cfRule>
    <cfRule type="cellIs" dxfId="3630" priority="4843" stopIfTrue="1" operator="equal">
      <formula>"Towel"</formula>
    </cfRule>
    <cfRule type="cellIs" dxfId="3629" priority="4844" stopIfTrue="1" operator="equal">
      <formula>"Napkin Hs"</formula>
    </cfRule>
    <cfRule type="cellIs" dxfId="3628" priority="4849" stopIfTrue="1" operator="equal">
      <formula>"Towel"</formula>
    </cfRule>
    <cfRule type="cellIs" dxfId="3627" priority="4850" stopIfTrue="1" operator="equal">
      <formula>"Napkin Hs"</formula>
    </cfRule>
    <cfRule type="cellIs" dxfId="3626" priority="4855" stopIfTrue="1" operator="equal">
      <formula>"Towel"</formula>
    </cfRule>
    <cfRule type="cellIs" dxfId="3625" priority="4856" stopIfTrue="1" operator="equal">
      <formula>"Napkin Hs"</formula>
    </cfRule>
    <cfRule type="cellIs" dxfId="3624" priority="4861" stopIfTrue="1" operator="equal">
      <formula>"Towel"</formula>
    </cfRule>
    <cfRule type="cellIs" dxfId="3623" priority="4862" stopIfTrue="1" operator="equal">
      <formula>"Napkin Hs"</formula>
    </cfRule>
    <cfRule type="cellIs" dxfId="3622" priority="4867" stopIfTrue="1" operator="equal">
      <formula>"Towel"</formula>
    </cfRule>
    <cfRule type="cellIs" dxfId="3621" priority="4868" stopIfTrue="1" operator="equal">
      <formula>"Napkin Hs"</formula>
    </cfRule>
    <cfRule type="cellIs" dxfId="3620" priority="4873" stopIfTrue="1" operator="equal">
      <formula>"Towel"</formula>
    </cfRule>
    <cfRule type="cellIs" dxfId="3619" priority="4874" stopIfTrue="1" operator="equal">
      <formula>"Napkin Hs"</formula>
    </cfRule>
  </conditionalFormatting>
  <conditionalFormatting sqref="C105">
    <cfRule type="cellIs" dxfId="3618" priority="4559" stopIfTrue="1" operator="equal">
      <formula>"Towel"</formula>
    </cfRule>
    <cfRule type="cellIs" dxfId="3617" priority="4560" stopIfTrue="1" operator="equal">
      <formula>"Napkin Hs"</formula>
    </cfRule>
    <cfRule type="cellIs" dxfId="3616" priority="4561" stopIfTrue="1" operator="equal">
      <formula>"Towel"</formula>
    </cfRule>
    <cfRule type="cellIs" dxfId="3615" priority="4562" stopIfTrue="1" operator="equal">
      <formula>"Napkin Hs"</formula>
    </cfRule>
    <cfRule type="cellIs" dxfId="3614" priority="4565" stopIfTrue="1" operator="equal">
      <formula>"Towel"</formula>
    </cfRule>
    <cfRule type="cellIs" dxfId="3613" priority="4566" stopIfTrue="1" operator="equal">
      <formula>"Napkin Hs"</formula>
    </cfRule>
    <cfRule type="cellIs" dxfId="3612" priority="4567" stopIfTrue="1" operator="equal">
      <formula>"Towel"</formula>
    </cfRule>
    <cfRule type="cellIs" dxfId="3611" priority="4568" stopIfTrue="1" operator="equal">
      <formula>"Napkin Hs"</formula>
    </cfRule>
    <cfRule type="cellIs" dxfId="3610" priority="4571" stopIfTrue="1" operator="equal">
      <formula>"Towel"</formula>
    </cfRule>
    <cfRule type="cellIs" dxfId="3609" priority="4572" stopIfTrue="1" operator="equal">
      <formula>"Napkin Hs"</formula>
    </cfRule>
    <cfRule type="cellIs" dxfId="3608" priority="4573" stopIfTrue="1" operator="equal">
      <formula>"Towel"</formula>
    </cfRule>
    <cfRule type="cellIs" dxfId="3607" priority="4574" stopIfTrue="1" operator="equal">
      <formula>"Napkin Hs"</formula>
    </cfRule>
    <cfRule type="cellIs" dxfId="3606" priority="4577" stopIfTrue="1" operator="equal">
      <formula>"Towel"</formula>
    </cfRule>
    <cfRule type="cellIs" dxfId="3605" priority="4578" stopIfTrue="1" operator="equal">
      <formula>"Napkin Hs"</formula>
    </cfRule>
    <cfRule type="cellIs" dxfId="3604" priority="4579" stopIfTrue="1" operator="equal">
      <formula>"Towel"</formula>
    </cfRule>
    <cfRule type="cellIs" dxfId="3603" priority="4580" stopIfTrue="1" operator="equal">
      <formula>"Napkin Hs"</formula>
    </cfRule>
    <cfRule type="cellIs" dxfId="3602" priority="4583" stopIfTrue="1" operator="equal">
      <formula>"Towel"</formula>
    </cfRule>
    <cfRule type="cellIs" dxfId="3601" priority="4584" stopIfTrue="1" operator="equal">
      <formula>"Napkin Hs"</formula>
    </cfRule>
    <cfRule type="cellIs" dxfId="3600" priority="4585" stopIfTrue="1" operator="equal">
      <formula>"Towel"</formula>
    </cfRule>
    <cfRule type="cellIs" dxfId="3599" priority="4586" stopIfTrue="1" operator="equal">
      <formula>"Napkin Hs"</formula>
    </cfRule>
    <cfRule type="cellIs" dxfId="3598" priority="4589" stopIfTrue="1" operator="equal">
      <formula>"Towel"</formula>
    </cfRule>
    <cfRule type="cellIs" dxfId="3597" priority="4590" stopIfTrue="1" operator="equal">
      <formula>"Napkin Hs"</formula>
    </cfRule>
    <cfRule type="cellIs" dxfId="3596" priority="4591" stopIfTrue="1" operator="equal">
      <formula>"Towel"</formula>
    </cfRule>
    <cfRule type="cellIs" dxfId="3595" priority="4592" stopIfTrue="1" operator="equal">
      <formula>"Napkin Hs"</formula>
    </cfRule>
    <cfRule type="cellIs" dxfId="3594" priority="4595" stopIfTrue="1" operator="equal">
      <formula>"Towel"</formula>
    </cfRule>
    <cfRule type="cellIs" dxfId="3593" priority="4596" stopIfTrue="1" operator="equal">
      <formula>"Napkin Hs"</formula>
    </cfRule>
    <cfRule type="cellIs" dxfId="3592" priority="4599" stopIfTrue="1" operator="equal">
      <formula>"Towel"</formula>
    </cfRule>
    <cfRule type="cellIs" dxfId="3591" priority="4600" stopIfTrue="1" operator="equal">
      <formula>"Napkin Hs"</formula>
    </cfRule>
    <cfRule type="cellIs" dxfId="3590" priority="4601" stopIfTrue="1" operator="equal">
      <formula>"Towel"</formula>
    </cfRule>
    <cfRule type="cellIs" dxfId="3589" priority="4602" stopIfTrue="1" operator="equal">
      <formula>"Napkin Hs"</formula>
    </cfRule>
    <cfRule type="cellIs" dxfId="3588" priority="4603" stopIfTrue="1" operator="equal">
      <formula>"Towel"</formula>
    </cfRule>
    <cfRule type="cellIs" dxfId="3587" priority="4604" stopIfTrue="1" operator="equal">
      <formula>"Napkin Hs"</formula>
    </cfRule>
    <cfRule type="cellIs" dxfId="3586" priority="4607" stopIfTrue="1" operator="equal">
      <formula>"Towel"</formula>
    </cfRule>
    <cfRule type="cellIs" dxfId="3585" priority="4608" stopIfTrue="1" operator="equal">
      <formula>"Napkin Hs"</formula>
    </cfRule>
    <cfRule type="cellIs" dxfId="3584" priority="4609" stopIfTrue="1" operator="equal">
      <formula>"Towel"</formula>
    </cfRule>
    <cfRule type="cellIs" dxfId="3583" priority="4610" stopIfTrue="1" operator="equal">
      <formula>"Napkin Hs"</formula>
    </cfRule>
    <cfRule type="cellIs" dxfId="3582" priority="4613" stopIfTrue="1" operator="equal">
      <formula>"Towel"</formula>
    </cfRule>
    <cfRule type="cellIs" dxfId="3581" priority="4614" stopIfTrue="1" operator="equal">
      <formula>"Napkin Hs"</formula>
    </cfRule>
    <cfRule type="cellIs" dxfId="3580" priority="4615" stopIfTrue="1" operator="equal">
      <formula>"Towel"</formula>
    </cfRule>
    <cfRule type="cellIs" dxfId="3579" priority="4616" stopIfTrue="1" operator="equal">
      <formula>"Napkin Hs"</formula>
    </cfRule>
    <cfRule type="cellIs" dxfId="3578" priority="4619" stopIfTrue="1" operator="equal">
      <formula>"Towel"</formula>
    </cfRule>
    <cfRule type="cellIs" dxfId="3577" priority="4620" stopIfTrue="1" operator="equal">
      <formula>"Napkin Hs"</formula>
    </cfRule>
    <cfRule type="cellIs" dxfId="3576" priority="4621" stopIfTrue="1" operator="equal">
      <formula>"Towel"</formula>
    </cfRule>
    <cfRule type="cellIs" dxfId="3575" priority="4622" stopIfTrue="1" operator="equal">
      <formula>"Napkin Hs"</formula>
    </cfRule>
    <cfRule type="cellIs" dxfId="3574" priority="4625" stopIfTrue="1" operator="equal">
      <formula>"Towel"</formula>
    </cfRule>
    <cfRule type="cellIs" dxfId="3573" priority="4626" stopIfTrue="1" operator="equal">
      <formula>"Napkin Hs"</formula>
    </cfRule>
    <cfRule type="cellIs" dxfId="3572" priority="4627" stopIfTrue="1" operator="equal">
      <formula>"Towel"</formula>
    </cfRule>
    <cfRule type="cellIs" dxfId="3571" priority="4628" stopIfTrue="1" operator="equal">
      <formula>"Napkin Hs"</formula>
    </cfRule>
    <cfRule type="cellIs" dxfId="3570" priority="4631" stopIfTrue="1" operator="equal">
      <formula>"Towel"</formula>
    </cfRule>
    <cfRule type="cellIs" dxfId="3569" priority="4632" stopIfTrue="1" operator="equal">
      <formula>"Napkin Hs"</formula>
    </cfRule>
    <cfRule type="cellIs" dxfId="3568" priority="4633" stopIfTrue="1" operator="equal">
      <formula>"Towel"</formula>
    </cfRule>
    <cfRule type="cellIs" dxfId="3567" priority="4634" stopIfTrue="1" operator="equal">
      <formula>"Napkin Hs"</formula>
    </cfRule>
    <cfRule type="cellIs" dxfId="3566" priority="4637" stopIfTrue="1" operator="equal">
      <formula>"Towel"</formula>
    </cfRule>
    <cfRule type="cellIs" dxfId="3565" priority="4638" stopIfTrue="1" operator="equal">
      <formula>"Napkin Hs"</formula>
    </cfRule>
  </conditionalFormatting>
  <conditionalFormatting sqref="C105:C106">
    <cfRule type="cellIs" dxfId="3564" priority="4639" stopIfTrue="1" operator="equal">
      <formula>"Towel"</formula>
    </cfRule>
    <cfRule type="cellIs" dxfId="3563" priority="4640" stopIfTrue="1" operator="equal">
      <formula>"Napkin Hs"</formula>
    </cfRule>
  </conditionalFormatting>
  <conditionalFormatting sqref="C106">
    <cfRule type="cellIs" dxfId="3562" priority="4643" stopIfTrue="1" operator="equal">
      <formula>"Towel"</formula>
    </cfRule>
    <cfRule type="cellIs" dxfId="3561" priority="4644" stopIfTrue="1" operator="equal">
      <formula>"Napkin Hs"</formula>
    </cfRule>
    <cfRule type="cellIs" dxfId="3560" priority="4647" stopIfTrue="1" operator="equal">
      <formula>"Towel"</formula>
    </cfRule>
    <cfRule type="cellIs" dxfId="3559" priority="4648" stopIfTrue="1" operator="equal">
      <formula>"Napkin Hs"</formula>
    </cfRule>
    <cfRule type="cellIs" dxfId="3558" priority="4649" stopIfTrue="1" operator="equal">
      <formula>"Towel"</formula>
    </cfRule>
    <cfRule type="cellIs" dxfId="3557" priority="4650" stopIfTrue="1" operator="equal">
      <formula>"Napkin Hs"</formula>
    </cfRule>
    <cfRule type="cellIs" dxfId="3556" priority="4653" stopIfTrue="1" operator="equal">
      <formula>"Towel"</formula>
    </cfRule>
    <cfRule type="cellIs" dxfId="3555" priority="4654" stopIfTrue="1" operator="equal">
      <formula>"Napkin Hs"</formula>
    </cfRule>
    <cfRule type="cellIs" dxfId="3554" priority="4655" stopIfTrue="1" operator="equal">
      <formula>"Towel"</formula>
    </cfRule>
    <cfRule type="cellIs" dxfId="3553" priority="4656" stopIfTrue="1" operator="equal">
      <formula>"Napkin Hs"</formula>
    </cfRule>
    <cfRule type="cellIs" dxfId="3552" priority="4659" stopIfTrue="1" operator="equal">
      <formula>"Towel"</formula>
    </cfRule>
    <cfRule type="cellIs" dxfId="3551" priority="4660" stopIfTrue="1" operator="equal">
      <formula>"Napkin Hs"</formula>
    </cfRule>
    <cfRule type="cellIs" dxfId="3550" priority="4661" stopIfTrue="1" operator="equal">
      <formula>"Towel"</formula>
    </cfRule>
    <cfRule type="cellIs" dxfId="3549" priority="4662" stopIfTrue="1" operator="equal">
      <formula>"Napkin Hs"</formula>
    </cfRule>
    <cfRule type="cellIs" dxfId="3548" priority="4665" stopIfTrue="1" operator="equal">
      <formula>"Towel"</formula>
    </cfRule>
    <cfRule type="cellIs" dxfId="3547" priority="4666" stopIfTrue="1" operator="equal">
      <formula>"Napkin Hs"</formula>
    </cfRule>
    <cfRule type="cellIs" dxfId="3546" priority="4667" stopIfTrue="1" operator="equal">
      <formula>"Towel"</formula>
    </cfRule>
    <cfRule type="cellIs" dxfId="3545" priority="4668" stopIfTrue="1" operator="equal">
      <formula>"Napkin Hs"</formula>
    </cfRule>
    <cfRule type="cellIs" dxfId="3544" priority="4671" stopIfTrue="1" operator="equal">
      <formula>"Towel"</formula>
    </cfRule>
    <cfRule type="cellIs" dxfId="3543" priority="4672" stopIfTrue="1" operator="equal">
      <formula>"Napkin Hs"</formula>
    </cfRule>
    <cfRule type="cellIs" dxfId="3542" priority="4673" stopIfTrue="1" operator="equal">
      <formula>"Towel"</formula>
    </cfRule>
    <cfRule type="cellIs" dxfId="3541" priority="4674" stopIfTrue="1" operator="equal">
      <formula>"Napkin Hs"</formula>
    </cfRule>
    <cfRule type="cellIs" dxfId="3540" priority="4677" stopIfTrue="1" operator="equal">
      <formula>"Towel"</formula>
    </cfRule>
    <cfRule type="cellIs" dxfId="3539" priority="4678" stopIfTrue="1" operator="equal">
      <formula>"Napkin Hs"</formula>
    </cfRule>
    <cfRule type="cellIs" dxfId="3538" priority="4681" stopIfTrue="1" operator="equal">
      <formula>"Towel"</formula>
    </cfRule>
    <cfRule type="cellIs" dxfId="3537" priority="4682" stopIfTrue="1" operator="equal">
      <formula>"Napkin Hs"</formula>
    </cfRule>
    <cfRule type="cellIs" dxfId="3536" priority="4683" stopIfTrue="1" operator="equal">
      <formula>"Towel"</formula>
    </cfRule>
    <cfRule type="cellIs" dxfId="3535" priority="4684" stopIfTrue="1" operator="equal">
      <formula>"Napkin Hs"</formula>
    </cfRule>
    <cfRule type="cellIs" dxfId="3534" priority="4685" stopIfTrue="1" operator="equal">
      <formula>"Towel"</formula>
    </cfRule>
    <cfRule type="cellIs" dxfId="3533" priority="4686" stopIfTrue="1" operator="equal">
      <formula>"Napkin Hs"</formula>
    </cfRule>
    <cfRule type="cellIs" dxfId="3532" priority="4689" stopIfTrue="1" operator="equal">
      <formula>"Towel"</formula>
    </cfRule>
    <cfRule type="cellIs" dxfId="3531" priority="4690" stopIfTrue="1" operator="equal">
      <formula>"Napkin Hs"</formula>
    </cfRule>
    <cfRule type="cellIs" dxfId="3530" priority="4691" stopIfTrue="1" operator="equal">
      <formula>"Towel"</formula>
    </cfRule>
    <cfRule type="cellIs" dxfId="3529" priority="4692" stopIfTrue="1" operator="equal">
      <formula>"Napkin Hs"</formula>
    </cfRule>
    <cfRule type="cellIs" dxfId="3528" priority="4695" stopIfTrue="1" operator="equal">
      <formula>"Towel"</formula>
    </cfRule>
    <cfRule type="cellIs" dxfId="3527" priority="4696" stopIfTrue="1" operator="equal">
      <formula>"Napkin Hs"</formula>
    </cfRule>
    <cfRule type="cellIs" dxfId="3526" priority="4697" stopIfTrue="1" operator="equal">
      <formula>"Towel"</formula>
    </cfRule>
    <cfRule type="cellIs" dxfId="3525" priority="4698" stopIfTrue="1" operator="equal">
      <formula>"Napkin Hs"</formula>
    </cfRule>
    <cfRule type="cellIs" dxfId="3524" priority="4701" stopIfTrue="1" operator="equal">
      <formula>"Towel"</formula>
    </cfRule>
    <cfRule type="cellIs" dxfId="3523" priority="4702" stopIfTrue="1" operator="equal">
      <formula>"Napkin Hs"</formula>
    </cfRule>
    <cfRule type="cellIs" dxfId="3522" priority="4703" stopIfTrue="1" operator="equal">
      <formula>"Towel"</formula>
    </cfRule>
    <cfRule type="cellIs" dxfId="3521" priority="4704" stopIfTrue="1" operator="equal">
      <formula>"Napkin Hs"</formula>
    </cfRule>
    <cfRule type="cellIs" dxfId="3520" priority="4707" stopIfTrue="1" operator="equal">
      <formula>"Towel"</formula>
    </cfRule>
    <cfRule type="cellIs" dxfId="3519" priority="4708" stopIfTrue="1" operator="equal">
      <formula>"Napkin Hs"</formula>
    </cfRule>
    <cfRule type="cellIs" dxfId="3518" priority="4709" stopIfTrue="1" operator="equal">
      <formula>"Towel"</formula>
    </cfRule>
    <cfRule type="cellIs" dxfId="3517" priority="4710" stopIfTrue="1" operator="equal">
      <formula>"Napkin Hs"</formula>
    </cfRule>
    <cfRule type="cellIs" dxfId="3516" priority="4713" stopIfTrue="1" operator="equal">
      <formula>"Towel"</formula>
    </cfRule>
    <cfRule type="cellIs" dxfId="3515" priority="4714" stopIfTrue="1" operator="equal">
      <formula>"Napkin Hs"</formula>
    </cfRule>
    <cfRule type="cellIs" dxfId="3514" priority="4715" stopIfTrue="1" operator="equal">
      <formula>"Towel"</formula>
    </cfRule>
    <cfRule type="cellIs" dxfId="3513" priority="4716" stopIfTrue="1" operator="equal">
      <formula>"Napkin Hs"</formula>
    </cfRule>
    <cfRule type="cellIs" dxfId="3512" priority="4719" stopIfTrue="1" operator="equal">
      <formula>"Towel"</formula>
    </cfRule>
    <cfRule type="cellIs" dxfId="3511" priority="4720" stopIfTrue="1" operator="equal">
      <formula>"Napkin Hs"</formula>
    </cfRule>
    <cfRule type="cellIs" dxfId="3510" priority="4721" stopIfTrue="1" operator="equal">
      <formula>"Towel"</formula>
    </cfRule>
    <cfRule type="cellIs" dxfId="3509" priority="4722" stopIfTrue="1" operator="equal">
      <formula>"Napkin Hs"</formula>
    </cfRule>
  </conditionalFormatting>
  <conditionalFormatting sqref="C107">
    <cfRule type="cellIs" dxfId="3508" priority="4781" stopIfTrue="1" operator="equal">
      <formula>"Towel"</formula>
    </cfRule>
    <cfRule type="cellIs" dxfId="3507" priority="4782" stopIfTrue="1" operator="equal">
      <formula>"Napkin Hs"</formula>
    </cfRule>
    <cfRule type="cellIs" dxfId="3506" priority="4783" stopIfTrue="1" operator="equal">
      <formula>"Towel"</formula>
    </cfRule>
    <cfRule type="cellIs" dxfId="3505" priority="4784" stopIfTrue="1" operator="equal">
      <formula>"Napkin Hs"</formula>
    </cfRule>
    <cfRule type="cellIs" dxfId="3504" priority="4787" stopIfTrue="1" operator="equal">
      <formula>"Towel"</formula>
    </cfRule>
    <cfRule type="cellIs" dxfId="3503" priority="4788" stopIfTrue="1" operator="equal">
      <formula>"Napkin Hs"</formula>
    </cfRule>
    <cfRule type="cellIs" dxfId="3502" priority="4789" stopIfTrue="1" operator="equal">
      <formula>"Towel"</formula>
    </cfRule>
    <cfRule type="cellIs" dxfId="3501" priority="4790" stopIfTrue="1" operator="equal">
      <formula>"Napkin Hs"</formula>
    </cfRule>
    <cfRule type="cellIs" dxfId="3500" priority="4793" stopIfTrue="1" operator="equal">
      <formula>"Towel"</formula>
    </cfRule>
    <cfRule type="cellIs" dxfId="3499" priority="4794" stopIfTrue="1" operator="equal">
      <formula>"Napkin Hs"</formula>
    </cfRule>
    <cfRule type="cellIs" dxfId="3498" priority="4795" stopIfTrue="1" operator="equal">
      <formula>"Towel"</formula>
    </cfRule>
    <cfRule type="cellIs" dxfId="3497" priority="4796" stopIfTrue="1" operator="equal">
      <formula>"Napkin Hs"</formula>
    </cfRule>
    <cfRule type="cellIs" dxfId="3496" priority="4799" stopIfTrue="1" operator="equal">
      <formula>"Towel"</formula>
    </cfRule>
    <cfRule type="cellIs" dxfId="3495" priority="4800" stopIfTrue="1" operator="equal">
      <formula>"Napkin Hs"</formula>
    </cfRule>
    <cfRule type="cellIs" dxfId="3494" priority="4801" stopIfTrue="1" operator="equal">
      <formula>"Towel"</formula>
    </cfRule>
    <cfRule type="cellIs" dxfId="3493" priority="4802" stopIfTrue="1" operator="equal">
      <formula>"Napkin Hs"</formula>
    </cfRule>
    <cfRule type="cellIs" dxfId="3492" priority="4805" stopIfTrue="1" operator="equal">
      <formula>"Towel"</formula>
    </cfRule>
    <cfRule type="cellIs" dxfId="3491" priority="4806" stopIfTrue="1" operator="equal">
      <formula>"Napkin Hs"</formula>
    </cfRule>
    <cfRule type="cellIs" dxfId="3490" priority="4807" stopIfTrue="1" operator="equal">
      <formula>"Towel"</formula>
    </cfRule>
    <cfRule type="cellIs" dxfId="3489" priority="4808" stopIfTrue="1" operator="equal">
      <formula>"Napkin Hs"</formula>
    </cfRule>
    <cfRule type="cellIs" dxfId="3488" priority="4811" stopIfTrue="1" operator="equal">
      <formula>"Towel"</formula>
    </cfRule>
    <cfRule type="cellIs" dxfId="3487" priority="4812" stopIfTrue="1" operator="equal">
      <formula>"Napkin Hs"</formula>
    </cfRule>
    <cfRule type="cellIs" dxfId="3486" priority="4813" stopIfTrue="1" operator="equal">
      <formula>"Towel"</formula>
    </cfRule>
    <cfRule type="cellIs" dxfId="3485" priority="4814" stopIfTrue="1" operator="equal">
      <formula>"Napkin Hs"</formula>
    </cfRule>
    <cfRule type="cellIs" dxfId="3484" priority="4817" stopIfTrue="1" operator="equal">
      <formula>"Towel"</formula>
    </cfRule>
    <cfRule type="cellIs" dxfId="3483" priority="4818" stopIfTrue="1" operator="equal">
      <formula>"Napkin Hs"</formula>
    </cfRule>
    <cfRule type="cellIs" dxfId="3482" priority="4819" stopIfTrue="1" operator="equal">
      <formula>"Towel"</formula>
    </cfRule>
    <cfRule type="cellIs" dxfId="3481" priority="4820" stopIfTrue="1" operator="equal">
      <formula>"Napkin Hs"</formula>
    </cfRule>
    <cfRule type="cellIs" dxfId="3480" priority="4823" stopIfTrue="1" operator="equal">
      <formula>"Towel"</formula>
    </cfRule>
    <cfRule type="cellIs" dxfId="3479" priority="4824" stopIfTrue="1" operator="equal">
      <formula>"Napkin Hs"</formula>
    </cfRule>
  </conditionalFormatting>
  <conditionalFormatting sqref="C107:C108">
    <cfRule type="cellIs" dxfId="3478" priority="4729" stopIfTrue="1" operator="equal">
      <formula>"Towel"</formula>
    </cfRule>
    <cfRule type="cellIs" dxfId="3477" priority="4730" stopIfTrue="1" operator="equal">
      <formula>"Napkin Hs"</formula>
    </cfRule>
    <cfRule type="cellIs" dxfId="3476" priority="4731" stopIfTrue="1" operator="equal">
      <formula>"Towel"</formula>
    </cfRule>
    <cfRule type="cellIs" dxfId="3475" priority="4732" stopIfTrue="1" operator="equal">
      <formula>"Napkin Hs"</formula>
    </cfRule>
    <cfRule type="cellIs" dxfId="3474" priority="4733" stopIfTrue="1" operator="equal">
      <formula>"Towel"</formula>
    </cfRule>
    <cfRule type="cellIs" dxfId="3473" priority="4734" stopIfTrue="1" operator="equal">
      <formula>"Napkin Hs"</formula>
    </cfRule>
    <cfRule type="cellIs" dxfId="3472" priority="4735" stopIfTrue="1" operator="equal">
      <formula>"Towel"</formula>
    </cfRule>
    <cfRule type="cellIs" dxfId="3471" priority="4736" stopIfTrue="1" operator="equal">
      <formula>"Napkin Hs"</formula>
    </cfRule>
    <cfRule type="cellIs" dxfId="3470" priority="4737" stopIfTrue="1" operator="equal">
      <formula>"Towel"</formula>
    </cfRule>
    <cfRule type="cellIs" dxfId="3469" priority="4738" stopIfTrue="1" operator="equal">
      <formula>"Napkin Hs"</formula>
    </cfRule>
    <cfRule type="cellIs" dxfId="3468" priority="4739" stopIfTrue="1" operator="equal">
      <formula>"Towel"</formula>
    </cfRule>
    <cfRule type="cellIs" dxfId="3467" priority="4740" stopIfTrue="1" operator="equal">
      <formula>"Napkin Hs"</formula>
    </cfRule>
    <cfRule type="cellIs" dxfId="3466" priority="4741" stopIfTrue="1" operator="equal">
      <formula>"Towel"</formula>
    </cfRule>
    <cfRule type="cellIs" dxfId="3465" priority="4742" stopIfTrue="1" operator="equal">
      <formula>"Napkin Hs"</formula>
    </cfRule>
    <cfRule type="cellIs" dxfId="3464" priority="4745" stopIfTrue="1" operator="equal">
      <formula>"Towel"</formula>
    </cfRule>
    <cfRule type="cellIs" dxfId="3463" priority="4746" stopIfTrue="1" operator="equal">
      <formula>"Napkin Hs"</formula>
    </cfRule>
    <cfRule type="cellIs" dxfId="3462" priority="4747" stopIfTrue="1" operator="equal">
      <formula>"Towel"</formula>
    </cfRule>
    <cfRule type="cellIs" dxfId="3461" priority="4748" stopIfTrue="1" operator="equal">
      <formula>"Napkin Hs"</formula>
    </cfRule>
    <cfRule type="cellIs" dxfId="3460" priority="4751" stopIfTrue="1" operator="equal">
      <formula>"Towel"</formula>
    </cfRule>
    <cfRule type="cellIs" dxfId="3459" priority="4752" stopIfTrue="1" operator="equal">
      <formula>"Napkin Hs"</formula>
    </cfRule>
    <cfRule type="cellIs" dxfId="3458" priority="4753" stopIfTrue="1" operator="equal">
      <formula>"Towel"</formula>
    </cfRule>
    <cfRule type="cellIs" dxfId="3457" priority="4754" stopIfTrue="1" operator="equal">
      <formula>"Napkin Hs"</formula>
    </cfRule>
    <cfRule type="cellIs" dxfId="3456" priority="4757" stopIfTrue="1" operator="equal">
      <formula>"Towel"</formula>
    </cfRule>
    <cfRule type="cellIs" dxfId="3455" priority="4758" stopIfTrue="1" operator="equal">
      <formula>"Napkin Hs"</formula>
    </cfRule>
    <cfRule type="cellIs" dxfId="3454" priority="4759" stopIfTrue="1" operator="equal">
      <formula>"Towel"</formula>
    </cfRule>
    <cfRule type="cellIs" dxfId="3453" priority="4760" stopIfTrue="1" operator="equal">
      <formula>"Napkin Hs"</formula>
    </cfRule>
    <cfRule type="cellIs" dxfId="3452" priority="4763" stopIfTrue="1" operator="equal">
      <formula>"Towel"</formula>
    </cfRule>
    <cfRule type="cellIs" dxfId="3451" priority="4764" stopIfTrue="1" operator="equal">
      <formula>"Napkin Hs"</formula>
    </cfRule>
    <cfRule type="cellIs" dxfId="3450" priority="4765" stopIfTrue="1" operator="equal">
      <formula>"Towel"</formula>
    </cfRule>
    <cfRule type="cellIs" dxfId="3449" priority="4766" stopIfTrue="1" operator="equal">
      <formula>"Napkin Hs"</formula>
    </cfRule>
    <cfRule type="cellIs" dxfId="3448" priority="4769" stopIfTrue="1" operator="equal">
      <formula>"Towel"</formula>
    </cfRule>
    <cfRule type="cellIs" dxfId="3447" priority="4770" stopIfTrue="1" operator="equal">
      <formula>"Napkin Hs"</formula>
    </cfRule>
    <cfRule type="cellIs" dxfId="3446" priority="4771" stopIfTrue="1" operator="equal">
      <formula>"Towel"</formula>
    </cfRule>
    <cfRule type="cellIs" dxfId="3445" priority="4772" stopIfTrue="1" operator="equal">
      <formula>"Napkin Hs"</formula>
    </cfRule>
    <cfRule type="cellIs" dxfId="3444" priority="4775" stopIfTrue="1" operator="equal">
      <formula>"Towel"</formula>
    </cfRule>
    <cfRule type="cellIs" dxfId="3443" priority="4776" stopIfTrue="1" operator="equal">
      <formula>"Napkin Hs"</formula>
    </cfRule>
    <cfRule type="cellIs" dxfId="3442" priority="4777" stopIfTrue="1" operator="equal">
      <formula>"Towel"</formula>
    </cfRule>
    <cfRule type="cellIs" dxfId="3441" priority="4778" stopIfTrue="1" operator="equal">
      <formula>"Napkin Hs"</formula>
    </cfRule>
    <cfRule type="cellIs" dxfId="3440" priority="4825" stopIfTrue="1" operator="equal">
      <formula>"Towel"</formula>
    </cfRule>
    <cfRule type="cellIs" dxfId="3439" priority="4826" stopIfTrue="1" operator="equal">
      <formula>"Napkin Hs"</formula>
    </cfRule>
  </conditionalFormatting>
  <conditionalFormatting sqref="C108">
    <cfRule type="cellIs" dxfId="3438" priority="4829" stopIfTrue="1" operator="equal">
      <formula>"Towel"</formula>
    </cfRule>
    <cfRule type="cellIs" dxfId="3437" priority="4830" stopIfTrue="1" operator="equal">
      <formula>"Napkin Hs"</formula>
    </cfRule>
    <cfRule type="cellIs" dxfId="3436" priority="4833" stopIfTrue="1" operator="equal">
      <formula>"Towel"</formula>
    </cfRule>
    <cfRule type="cellIs" dxfId="3435" priority="4834" stopIfTrue="1" operator="equal">
      <formula>"Napkin Hs"</formula>
    </cfRule>
    <cfRule type="cellIs" dxfId="3434" priority="4835" stopIfTrue="1" operator="equal">
      <formula>"Towel"</formula>
    </cfRule>
    <cfRule type="cellIs" dxfId="3433" priority="4836" stopIfTrue="1" operator="equal">
      <formula>"Napkin Hs"</formula>
    </cfRule>
    <cfRule type="cellIs" dxfId="3432" priority="4839" stopIfTrue="1" operator="equal">
      <formula>"Towel"</formula>
    </cfRule>
    <cfRule type="cellIs" dxfId="3431" priority="4840" stopIfTrue="1" operator="equal">
      <formula>"Napkin Hs"</formula>
    </cfRule>
    <cfRule type="cellIs" dxfId="3430" priority="4841" stopIfTrue="1" operator="equal">
      <formula>"Towel"</formula>
    </cfRule>
    <cfRule type="cellIs" dxfId="3429" priority="4842" stopIfTrue="1" operator="equal">
      <formula>"Napkin Hs"</formula>
    </cfRule>
    <cfRule type="cellIs" dxfId="3428" priority="4845" stopIfTrue="1" operator="equal">
      <formula>"Towel"</formula>
    </cfRule>
    <cfRule type="cellIs" dxfId="3427" priority="4846" stopIfTrue="1" operator="equal">
      <formula>"Napkin Hs"</formula>
    </cfRule>
    <cfRule type="cellIs" dxfId="3426" priority="4847" stopIfTrue="1" operator="equal">
      <formula>"Towel"</formula>
    </cfRule>
    <cfRule type="cellIs" dxfId="3425" priority="4848" stopIfTrue="1" operator="equal">
      <formula>"Napkin Hs"</formula>
    </cfRule>
    <cfRule type="cellIs" dxfId="3424" priority="4851" stopIfTrue="1" operator="equal">
      <formula>"Towel"</formula>
    </cfRule>
    <cfRule type="cellIs" dxfId="3423" priority="4852" stopIfTrue="1" operator="equal">
      <formula>"Napkin Hs"</formula>
    </cfRule>
    <cfRule type="cellIs" dxfId="3422" priority="4853" stopIfTrue="1" operator="equal">
      <formula>"Towel"</formula>
    </cfRule>
    <cfRule type="cellIs" dxfId="3421" priority="4854" stopIfTrue="1" operator="equal">
      <formula>"Napkin Hs"</formula>
    </cfRule>
    <cfRule type="cellIs" dxfId="3420" priority="4857" stopIfTrue="1" operator="equal">
      <formula>"Towel"</formula>
    </cfRule>
    <cfRule type="cellIs" dxfId="3419" priority="4858" stopIfTrue="1" operator="equal">
      <formula>"Napkin Hs"</formula>
    </cfRule>
    <cfRule type="cellIs" dxfId="3418" priority="4859" stopIfTrue="1" operator="equal">
      <formula>"Towel"</formula>
    </cfRule>
    <cfRule type="cellIs" dxfId="3417" priority="4860" stopIfTrue="1" operator="equal">
      <formula>"Napkin Hs"</formula>
    </cfRule>
    <cfRule type="cellIs" dxfId="3416" priority="4863" stopIfTrue="1" operator="equal">
      <formula>"Towel"</formula>
    </cfRule>
    <cfRule type="cellIs" dxfId="3415" priority="4864" stopIfTrue="1" operator="equal">
      <formula>"Napkin Hs"</formula>
    </cfRule>
    <cfRule type="cellIs" dxfId="3414" priority="4865" stopIfTrue="1" operator="equal">
      <formula>"Towel"</formula>
    </cfRule>
    <cfRule type="cellIs" dxfId="3413" priority="4866" stopIfTrue="1" operator="equal">
      <formula>"Napkin Hs"</formula>
    </cfRule>
    <cfRule type="cellIs" dxfId="3412" priority="4869" stopIfTrue="1" operator="equal">
      <formula>"Towel"</formula>
    </cfRule>
    <cfRule type="cellIs" dxfId="3411" priority="4870" stopIfTrue="1" operator="equal">
      <formula>"Napkin Hs"</formula>
    </cfRule>
  </conditionalFormatting>
  <conditionalFormatting sqref="C108">
    <cfRule type="cellIs" dxfId="3410" priority="4871" stopIfTrue="1" operator="equal">
      <formula>"Towel"</formula>
    </cfRule>
    <cfRule type="cellIs" dxfId="3409" priority="4872" stopIfTrue="1" operator="equal">
      <formula>"Napkin Hs"</formula>
    </cfRule>
  </conditionalFormatting>
  <conditionalFormatting sqref="B111">
    <cfRule type="cellIs" dxfId="3408" priority="4404" stopIfTrue="1" operator="equal">
      <formula>"Towel"</formula>
    </cfRule>
    <cfRule type="cellIs" dxfId="3407" priority="4405" stopIfTrue="1" operator="equal">
      <formula>"Napkin Hs"</formula>
    </cfRule>
    <cfRule type="cellIs" dxfId="3406" priority="4406" stopIfTrue="1" operator="equal">
      <formula>"Towel"</formula>
    </cfRule>
    <cfRule type="cellIs" dxfId="3405" priority="4407" stopIfTrue="1" operator="equal">
      <formula>"Napkin Hs"</formula>
    </cfRule>
    <cfRule type="cellIs" dxfId="3404" priority="4408" stopIfTrue="1" operator="equal">
      <formula>"Towel"</formula>
    </cfRule>
    <cfRule type="cellIs" dxfId="3403" priority="4409" stopIfTrue="1" operator="equal">
      <formula>"Napkin Hs"</formula>
    </cfRule>
    <cfRule type="cellIs" dxfId="3402" priority="4410" stopIfTrue="1" operator="equal">
      <formula>"Towel"</formula>
    </cfRule>
    <cfRule type="cellIs" dxfId="3401" priority="4411" stopIfTrue="1" operator="equal">
      <formula>"Napkin Hs"</formula>
    </cfRule>
    <cfRule type="cellIs" dxfId="3400" priority="4412" stopIfTrue="1" operator="equal">
      <formula>"Towel"</formula>
    </cfRule>
    <cfRule type="cellIs" dxfId="3399" priority="4413" stopIfTrue="1" operator="equal">
      <formula>"Napkin Hs"</formula>
    </cfRule>
    <cfRule type="cellIs" dxfId="3398" priority="4414" stopIfTrue="1" operator="equal">
      <formula>"Towel"</formula>
    </cfRule>
    <cfRule type="cellIs" dxfId="3397" priority="4415" stopIfTrue="1" operator="equal">
      <formula>"Napkin Hs"</formula>
    </cfRule>
    <cfRule type="cellIs" dxfId="3396" priority="4416" stopIfTrue="1" operator="equal">
      <formula>"Towel"</formula>
    </cfRule>
    <cfRule type="cellIs" dxfId="3395" priority="4417" stopIfTrue="1" operator="equal">
      <formula>"Napkin Hs"</formula>
    </cfRule>
    <cfRule type="cellIs" dxfId="3394" priority="4418" stopIfTrue="1" operator="equal">
      <formula>"Towel"</formula>
    </cfRule>
    <cfRule type="cellIs" dxfId="3393" priority="4419" stopIfTrue="1" operator="equal">
      <formula>"Napkin Hs"</formula>
    </cfRule>
  </conditionalFormatting>
  <conditionalFormatting sqref="B111:C112">
    <cfRule type="cellIs" dxfId="3392" priority="4396" stopIfTrue="1" operator="equal">
      <formula>"Towel"</formula>
    </cfRule>
    <cfRule type="cellIs" dxfId="3391" priority="4397" stopIfTrue="1" operator="equal">
      <formula>"Napkin Hs"</formula>
    </cfRule>
  </conditionalFormatting>
  <conditionalFormatting sqref="B113:C113">
    <cfRule type="cellIs" dxfId="3390" priority="4420" stopIfTrue="1" operator="equal">
      <formula>"Napkin Hs"</formula>
    </cfRule>
  </conditionalFormatting>
  <conditionalFormatting sqref="B114:C114">
    <cfRule type="cellIs" dxfId="3389" priority="4300" stopIfTrue="1" operator="equal">
      <formula>"Towel"</formula>
    </cfRule>
    <cfRule type="cellIs" dxfId="3388" priority="4301" stopIfTrue="1" operator="equal">
      <formula>"Napkin Hs"</formula>
    </cfRule>
    <cfRule type="cellIs" dxfId="3387" priority="4306" stopIfTrue="1" operator="equal">
      <formula>"Towel"</formula>
    </cfRule>
    <cfRule type="cellIs" dxfId="3386" priority="4307" stopIfTrue="1" operator="equal">
      <formula>"Napkin Hs"</formula>
    </cfRule>
    <cfRule type="cellIs" dxfId="3385" priority="4312" stopIfTrue="1" operator="equal">
      <formula>"Towel"</formula>
    </cfRule>
    <cfRule type="cellIs" dxfId="3384" priority="4313" stopIfTrue="1" operator="equal">
      <formula>"Napkin Hs"</formula>
    </cfRule>
    <cfRule type="cellIs" dxfId="3383" priority="4318" stopIfTrue="1" operator="equal">
      <formula>"Towel"</formula>
    </cfRule>
    <cfRule type="cellIs" dxfId="3382" priority="4319" stopIfTrue="1" operator="equal">
      <formula>"Napkin Hs"</formula>
    </cfRule>
    <cfRule type="cellIs" dxfId="3381" priority="4324" stopIfTrue="1" operator="equal">
      <formula>"Towel"</formula>
    </cfRule>
    <cfRule type="cellIs" dxfId="3380" priority="4325" stopIfTrue="1" operator="equal">
      <formula>"Napkin Hs"</formula>
    </cfRule>
    <cfRule type="cellIs" dxfId="3379" priority="4330" stopIfTrue="1" operator="equal">
      <formula>"Towel"</formula>
    </cfRule>
    <cfRule type="cellIs" dxfId="3378" priority="4331" stopIfTrue="1" operator="equal">
      <formula>"Napkin Hs"</formula>
    </cfRule>
    <cfRule type="cellIs" dxfId="3377" priority="4336" stopIfTrue="1" operator="equal">
      <formula>"Towel"</formula>
    </cfRule>
    <cfRule type="cellIs" dxfId="3376" priority="4337" stopIfTrue="1" operator="equal">
      <formula>"Napkin Hs"</formula>
    </cfRule>
    <cfRule type="cellIs" dxfId="3375" priority="4342" stopIfTrue="1" operator="equal">
      <formula>"Towel"</formula>
    </cfRule>
    <cfRule type="cellIs" dxfId="3374" priority="4343" stopIfTrue="1" operator="equal">
      <formula>"Napkin Hs"</formula>
    </cfRule>
    <cfRule type="cellIs" dxfId="3373" priority="4348" stopIfTrue="1" operator="equal">
      <formula>"Towel"</formula>
    </cfRule>
    <cfRule type="cellIs" dxfId="3372" priority="4349" stopIfTrue="1" operator="equal">
      <formula>"Napkin Hs"</formula>
    </cfRule>
  </conditionalFormatting>
  <conditionalFormatting sqref="C111 B112:C112">
    <cfRule type="cellIs" dxfId="3371" priority="4403" stopIfTrue="1" operator="equal">
      <formula>"Napkin Hs"</formula>
    </cfRule>
  </conditionalFormatting>
  <conditionalFormatting sqref="C111 B112:C113">
    <cfRule type="cellIs" dxfId="3370" priority="4402" stopIfTrue="1" operator="equal">
      <formula>"Towel"</formula>
    </cfRule>
  </conditionalFormatting>
  <conditionalFormatting sqref="C111 B112:C112">
    <cfRule type="cellIs" dxfId="3369" priority="4354" stopIfTrue="1" operator="equal">
      <formula>"Towel"</formula>
    </cfRule>
    <cfRule type="cellIs" dxfId="3368" priority="4355" stopIfTrue="1" operator="equal">
      <formula>"Napkin Hs"</formula>
    </cfRule>
    <cfRule type="cellIs" dxfId="3367" priority="4360" stopIfTrue="1" operator="equal">
      <formula>"Towel"</formula>
    </cfRule>
    <cfRule type="cellIs" dxfId="3366" priority="4361" stopIfTrue="1" operator="equal">
      <formula>"Napkin Hs"</formula>
    </cfRule>
    <cfRule type="cellIs" dxfId="3365" priority="4366" stopIfTrue="1" operator="equal">
      <formula>"Towel"</formula>
    </cfRule>
    <cfRule type="cellIs" dxfId="3364" priority="4367" stopIfTrue="1" operator="equal">
      <formula>"Napkin Hs"</formula>
    </cfRule>
    <cfRule type="cellIs" dxfId="3363" priority="4372" stopIfTrue="1" operator="equal">
      <formula>"Towel"</formula>
    </cfRule>
    <cfRule type="cellIs" dxfId="3362" priority="4373" stopIfTrue="1" operator="equal">
      <formula>"Napkin Hs"</formula>
    </cfRule>
    <cfRule type="cellIs" dxfId="3361" priority="4378" stopIfTrue="1" operator="equal">
      <formula>"Towel"</formula>
    </cfRule>
    <cfRule type="cellIs" dxfId="3360" priority="4379" stopIfTrue="1" operator="equal">
      <formula>"Napkin Hs"</formula>
    </cfRule>
    <cfRule type="cellIs" dxfId="3359" priority="4384" stopIfTrue="1" operator="equal">
      <formula>"Towel"</formula>
    </cfRule>
    <cfRule type="cellIs" dxfId="3358" priority="4385" stopIfTrue="1" operator="equal">
      <formula>"Napkin Hs"</formula>
    </cfRule>
    <cfRule type="cellIs" dxfId="3357" priority="4390" stopIfTrue="1" operator="equal">
      <formula>"Towel"</formula>
    </cfRule>
    <cfRule type="cellIs" dxfId="3356" priority="4391" stopIfTrue="1" operator="equal">
      <formula>"Napkin Hs"</formula>
    </cfRule>
  </conditionalFormatting>
  <conditionalFormatting sqref="C111:C112">
    <cfRule type="cellIs" dxfId="3355" priority="4350" stopIfTrue="1" operator="equal">
      <formula>"Towel"</formula>
    </cfRule>
    <cfRule type="cellIs" dxfId="3354" priority="4351" stopIfTrue="1" operator="equal">
      <formula>"Napkin Hs"</formula>
    </cfRule>
    <cfRule type="cellIs" dxfId="3353" priority="4352" stopIfTrue="1" operator="equal">
      <formula>"Towel"</formula>
    </cfRule>
    <cfRule type="cellIs" dxfId="3352" priority="4353" stopIfTrue="1" operator="equal">
      <formula>"Napkin Hs"</formula>
    </cfRule>
    <cfRule type="cellIs" dxfId="3351" priority="4356" stopIfTrue="1" operator="equal">
      <formula>"Towel"</formula>
    </cfRule>
    <cfRule type="cellIs" dxfId="3350" priority="4357" stopIfTrue="1" operator="equal">
      <formula>"Napkin Hs"</formula>
    </cfRule>
    <cfRule type="cellIs" dxfId="3349" priority="4358" stopIfTrue="1" operator="equal">
      <formula>"Towel"</formula>
    </cfRule>
    <cfRule type="cellIs" dxfId="3348" priority="4359" stopIfTrue="1" operator="equal">
      <formula>"Napkin Hs"</formula>
    </cfRule>
    <cfRule type="cellIs" dxfId="3347" priority="4362" stopIfTrue="1" operator="equal">
      <formula>"Towel"</formula>
    </cfRule>
    <cfRule type="cellIs" dxfId="3346" priority="4363" stopIfTrue="1" operator="equal">
      <formula>"Napkin Hs"</formula>
    </cfRule>
    <cfRule type="cellIs" dxfId="3345" priority="4364" stopIfTrue="1" operator="equal">
      <formula>"Towel"</formula>
    </cfRule>
    <cfRule type="cellIs" dxfId="3344" priority="4365" stopIfTrue="1" operator="equal">
      <formula>"Napkin Hs"</formula>
    </cfRule>
    <cfRule type="cellIs" dxfId="3343" priority="4368" stopIfTrue="1" operator="equal">
      <formula>"Towel"</formula>
    </cfRule>
    <cfRule type="cellIs" dxfId="3342" priority="4369" stopIfTrue="1" operator="equal">
      <formula>"Napkin Hs"</formula>
    </cfRule>
    <cfRule type="cellIs" dxfId="3341" priority="4370" stopIfTrue="1" operator="equal">
      <formula>"Towel"</formula>
    </cfRule>
    <cfRule type="cellIs" dxfId="3340" priority="4371" stopIfTrue="1" operator="equal">
      <formula>"Napkin Hs"</formula>
    </cfRule>
    <cfRule type="cellIs" dxfId="3339" priority="4374" stopIfTrue="1" operator="equal">
      <formula>"Towel"</formula>
    </cfRule>
    <cfRule type="cellIs" dxfId="3338" priority="4375" stopIfTrue="1" operator="equal">
      <formula>"Napkin Hs"</formula>
    </cfRule>
    <cfRule type="cellIs" dxfId="3337" priority="4376" stopIfTrue="1" operator="equal">
      <formula>"Towel"</formula>
    </cfRule>
    <cfRule type="cellIs" dxfId="3336" priority="4377" stopIfTrue="1" operator="equal">
      <formula>"Napkin Hs"</formula>
    </cfRule>
    <cfRule type="cellIs" dxfId="3335" priority="4380" stopIfTrue="1" operator="equal">
      <formula>"Towel"</formula>
    </cfRule>
    <cfRule type="cellIs" dxfId="3334" priority="4381" stopIfTrue="1" operator="equal">
      <formula>"Napkin Hs"</formula>
    </cfRule>
    <cfRule type="cellIs" dxfId="3333" priority="4382" stopIfTrue="1" operator="equal">
      <formula>"Towel"</formula>
    </cfRule>
    <cfRule type="cellIs" dxfId="3332" priority="4383" stopIfTrue="1" operator="equal">
      <formula>"Napkin Hs"</formula>
    </cfRule>
    <cfRule type="cellIs" dxfId="3331" priority="4386" stopIfTrue="1" operator="equal">
      <formula>"Towel"</formula>
    </cfRule>
    <cfRule type="cellIs" dxfId="3330" priority="4387" stopIfTrue="1" operator="equal">
      <formula>"Napkin Hs"</formula>
    </cfRule>
    <cfRule type="cellIs" dxfId="3329" priority="4388" stopIfTrue="1" operator="equal">
      <formula>"Towel"</formula>
    </cfRule>
    <cfRule type="cellIs" dxfId="3328" priority="4389" stopIfTrue="1" operator="equal">
      <formula>"Napkin Hs"</formula>
    </cfRule>
    <cfRule type="cellIs" dxfId="3327" priority="4392" stopIfTrue="1" operator="equal">
      <formula>"Towel"</formula>
    </cfRule>
    <cfRule type="cellIs" dxfId="3326" priority="4393" stopIfTrue="1" operator="equal">
      <formula>"Napkin Hs"</formula>
    </cfRule>
    <cfRule type="cellIs" dxfId="3325" priority="4394" stopIfTrue="1" operator="equal">
      <formula>"Towel"</formula>
    </cfRule>
    <cfRule type="cellIs" dxfId="3324" priority="4395" stopIfTrue="1" operator="equal">
      <formula>"Napkin Hs"</formula>
    </cfRule>
    <cfRule type="cellIs" dxfId="3323" priority="4398" stopIfTrue="1" operator="equal">
      <formula>"Towel"</formula>
    </cfRule>
    <cfRule type="cellIs" dxfId="3322" priority="4399" stopIfTrue="1" operator="equal">
      <formula>"Napkin Hs"</formula>
    </cfRule>
  </conditionalFormatting>
  <conditionalFormatting sqref="C111:C113">
    <cfRule type="cellIs" dxfId="3321" priority="4400" stopIfTrue="1" operator="equal">
      <formula>"Towel"</formula>
    </cfRule>
    <cfRule type="cellIs" dxfId="3320" priority="4401" stopIfTrue="1" operator="equal">
      <formula>"Napkin Hs"</formula>
    </cfRule>
  </conditionalFormatting>
  <conditionalFormatting sqref="C113">
    <cfRule type="cellIs" dxfId="3319" priority="4421" stopIfTrue="1" operator="equal">
      <formula>"Towel"</formula>
    </cfRule>
    <cfRule type="cellIs" dxfId="3318" priority="4422" stopIfTrue="1" operator="equal">
      <formula>"Napkin Hs"</formula>
    </cfRule>
  </conditionalFormatting>
  <conditionalFormatting sqref="C114">
    <cfRule type="cellIs" dxfId="3317" priority="4298" stopIfTrue="1" operator="equal">
      <formula>"Towel"</formula>
    </cfRule>
    <cfRule type="cellIs" dxfId="3316" priority="4299" stopIfTrue="1" operator="equal">
      <formula>"Napkin Hs"</formula>
    </cfRule>
    <cfRule type="cellIs" dxfId="3315" priority="4302" stopIfTrue="1" operator="equal">
      <formula>"Towel"</formula>
    </cfRule>
    <cfRule type="cellIs" dxfId="3314" priority="4303" stopIfTrue="1" operator="equal">
      <formula>"Napkin Hs"</formula>
    </cfRule>
    <cfRule type="cellIs" dxfId="3313" priority="4304" stopIfTrue="1" operator="equal">
      <formula>"Towel"</formula>
    </cfRule>
    <cfRule type="cellIs" dxfId="3312" priority="4305" stopIfTrue="1" operator="equal">
      <formula>"Napkin Hs"</formula>
    </cfRule>
    <cfRule type="cellIs" dxfId="3311" priority="4308" stopIfTrue="1" operator="equal">
      <formula>"Towel"</formula>
    </cfRule>
    <cfRule type="cellIs" dxfId="3310" priority="4309" stopIfTrue="1" operator="equal">
      <formula>"Napkin Hs"</formula>
    </cfRule>
    <cfRule type="cellIs" dxfId="3309" priority="4310" stopIfTrue="1" operator="equal">
      <formula>"Towel"</formula>
    </cfRule>
    <cfRule type="cellIs" dxfId="3308" priority="4311" stopIfTrue="1" operator="equal">
      <formula>"Napkin Hs"</formula>
    </cfRule>
    <cfRule type="cellIs" dxfId="3307" priority="4314" stopIfTrue="1" operator="equal">
      <formula>"Towel"</formula>
    </cfRule>
    <cfRule type="cellIs" dxfId="3306" priority="4315" stopIfTrue="1" operator="equal">
      <formula>"Napkin Hs"</formula>
    </cfRule>
    <cfRule type="cellIs" dxfId="3305" priority="4316" stopIfTrue="1" operator="equal">
      <formula>"Towel"</formula>
    </cfRule>
    <cfRule type="cellIs" dxfId="3304" priority="4317" stopIfTrue="1" operator="equal">
      <formula>"Napkin Hs"</formula>
    </cfRule>
    <cfRule type="cellIs" dxfId="3303" priority="4320" stopIfTrue="1" operator="equal">
      <formula>"Towel"</formula>
    </cfRule>
    <cfRule type="cellIs" dxfId="3302" priority="4321" stopIfTrue="1" operator="equal">
      <formula>"Napkin Hs"</formula>
    </cfRule>
    <cfRule type="cellIs" dxfId="3301" priority="4322" stopIfTrue="1" operator="equal">
      <formula>"Towel"</formula>
    </cfRule>
    <cfRule type="cellIs" dxfId="3300" priority="4323" stopIfTrue="1" operator="equal">
      <formula>"Napkin Hs"</formula>
    </cfRule>
    <cfRule type="cellIs" dxfId="3299" priority="4326" stopIfTrue="1" operator="equal">
      <formula>"Towel"</formula>
    </cfRule>
    <cfRule type="cellIs" dxfId="3298" priority="4327" stopIfTrue="1" operator="equal">
      <formula>"Napkin Hs"</formula>
    </cfRule>
    <cfRule type="cellIs" dxfId="3297" priority="4328" stopIfTrue="1" operator="equal">
      <formula>"Towel"</formula>
    </cfRule>
    <cfRule type="cellIs" dxfId="3296" priority="4329" stopIfTrue="1" operator="equal">
      <formula>"Napkin Hs"</formula>
    </cfRule>
    <cfRule type="cellIs" dxfId="3295" priority="4332" stopIfTrue="1" operator="equal">
      <formula>"Towel"</formula>
    </cfRule>
    <cfRule type="cellIs" dxfId="3294" priority="4333" stopIfTrue="1" operator="equal">
      <formula>"Napkin Hs"</formula>
    </cfRule>
    <cfRule type="cellIs" dxfId="3293" priority="4334" stopIfTrue="1" operator="equal">
      <formula>"Towel"</formula>
    </cfRule>
    <cfRule type="cellIs" dxfId="3292" priority="4335" stopIfTrue="1" operator="equal">
      <formula>"Napkin Hs"</formula>
    </cfRule>
    <cfRule type="cellIs" dxfId="3291" priority="4338" stopIfTrue="1" operator="equal">
      <formula>"Towel"</formula>
    </cfRule>
    <cfRule type="cellIs" dxfId="3290" priority="4339" stopIfTrue="1" operator="equal">
      <formula>"Napkin Hs"</formula>
    </cfRule>
    <cfRule type="cellIs" dxfId="3289" priority="4340" stopIfTrue="1" operator="equal">
      <formula>"Towel"</formula>
    </cfRule>
    <cfRule type="cellIs" dxfId="3288" priority="4341" stopIfTrue="1" operator="equal">
      <formula>"Napkin Hs"</formula>
    </cfRule>
    <cfRule type="cellIs" dxfId="3287" priority="4344" stopIfTrue="1" operator="equal">
      <formula>"Towel"</formula>
    </cfRule>
    <cfRule type="cellIs" dxfId="3286" priority="4345" stopIfTrue="1" operator="equal">
      <formula>"Napkin Hs"</formula>
    </cfRule>
    <cfRule type="cellIs" dxfId="3285" priority="4346" stopIfTrue="1" operator="equal">
      <formula>"Towel"</formula>
    </cfRule>
    <cfRule type="cellIs" dxfId="3284" priority="4347" stopIfTrue="1" operator="equal">
      <formula>"Napkin Hs"</formula>
    </cfRule>
  </conditionalFormatting>
  <conditionalFormatting sqref="B115:C115">
    <cfRule type="cellIs" dxfId="3283" priority="4227" stopIfTrue="1" operator="equal">
      <formula>"Napkin Hs"</formula>
    </cfRule>
  </conditionalFormatting>
  <conditionalFormatting sqref="B115:C115">
    <cfRule type="cellIs" dxfId="3282" priority="4226" stopIfTrue="1" operator="equal">
      <formula>"Towel"</formula>
    </cfRule>
  </conditionalFormatting>
  <conditionalFormatting sqref="B115:C115">
    <cfRule type="cellIs" dxfId="3281" priority="4178" stopIfTrue="1" operator="equal">
      <formula>"Towel"</formula>
    </cfRule>
    <cfRule type="cellIs" dxfId="3280" priority="4179" stopIfTrue="1" operator="equal">
      <formula>"Napkin Hs"</formula>
    </cfRule>
    <cfRule type="cellIs" dxfId="3279" priority="4184" stopIfTrue="1" operator="equal">
      <formula>"Towel"</formula>
    </cfRule>
    <cfRule type="cellIs" dxfId="3278" priority="4185" stopIfTrue="1" operator="equal">
      <formula>"Napkin Hs"</formula>
    </cfRule>
    <cfRule type="cellIs" dxfId="3277" priority="4190" stopIfTrue="1" operator="equal">
      <formula>"Towel"</formula>
    </cfRule>
    <cfRule type="cellIs" dxfId="3276" priority="4191" stopIfTrue="1" operator="equal">
      <formula>"Napkin Hs"</formula>
    </cfRule>
    <cfRule type="cellIs" dxfId="3275" priority="4196" stopIfTrue="1" operator="equal">
      <formula>"Towel"</formula>
    </cfRule>
    <cfRule type="cellIs" dxfId="3274" priority="4197" stopIfTrue="1" operator="equal">
      <formula>"Napkin Hs"</formula>
    </cfRule>
    <cfRule type="cellIs" dxfId="3273" priority="4202" stopIfTrue="1" operator="equal">
      <formula>"Towel"</formula>
    </cfRule>
    <cfRule type="cellIs" dxfId="3272" priority="4203" stopIfTrue="1" operator="equal">
      <formula>"Napkin Hs"</formula>
    </cfRule>
    <cfRule type="cellIs" dxfId="3271" priority="4208" stopIfTrue="1" operator="equal">
      <formula>"Towel"</formula>
    </cfRule>
    <cfRule type="cellIs" dxfId="3270" priority="4209" stopIfTrue="1" operator="equal">
      <formula>"Napkin Hs"</formula>
    </cfRule>
    <cfRule type="cellIs" dxfId="3269" priority="4214" stopIfTrue="1" operator="equal">
      <formula>"Towel"</formula>
    </cfRule>
    <cfRule type="cellIs" dxfId="3268" priority="4215" stopIfTrue="1" operator="equal">
      <formula>"Napkin Hs"</formula>
    </cfRule>
  </conditionalFormatting>
  <conditionalFormatting sqref="B113:B114">
    <cfRule type="cellIs" dxfId="3267" priority="4024" stopIfTrue="1" operator="equal">
      <formula>"Towel"</formula>
    </cfRule>
    <cfRule type="cellIs" dxfId="3266" priority="4025" stopIfTrue="1" operator="equal">
      <formula>"Napkin Hs"</formula>
    </cfRule>
  </conditionalFormatting>
  <conditionalFormatting sqref="B111:C111">
    <cfRule type="cellIs" dxfId="3265" priority="3862" stopIfTrue="1" operator="equal">
      <formula>"Towel"</formula>
    </cfRule>
    <cfRule type="cellIs" dxfId="3264" priority="3863" stopIfTrue="1" operator="equal">
      <formula>"Napkin Hs"</formula>
    </cfRule>
    <cfRule type="cellIs" dxfId="3263" priority="3868" stopIfTrue="1" operator="equal">
      <formula>"Towel"</formula>
    </cfRule>
    <cfRule type="cellIs" dxfId="3262" priority="3869" stopIfTrue="1" operator="equal">
      <formula>"Napkin Hs"</formula>
    </cfRule>
    <cfRule type="cellIs" dxfId="3261" priority="3874" stopIfTrue="1" operator="equal">
      <formula>"Towel"</formula>
    </cfRule>
    <cfRule type="cellIs" dxfId="3260" priority="3875" stopIfTrue="1" operator="equal">
      <formula>"Napkin Hs"</formula>
    </cfRule>
    <cfRule type="cellIs" dxfId="3259" priority="3880" stopIfTrue="1" operator="equal">
      <formula>"Towel"</formula>
    </cfRule>
    <cfRule type="cellIs" dxfId="3258" priority="3881" stopIfTrue="1" operator="equal">
      <formula>"Napkin Hs"</formula>
    </cfRule>
    <cfRule type="cellIs" dxfId="3257" priority="3886" stopIfTrue="1" operator="equal">
      <formula>"Towel"</formula>
    </cfRule>
    <cfRule type="cellIs" dxfId="3256" priority="3887" stopIfTrue="1" operator="equal">
      <formula>"Napkin Hs"</formula>
    </cfRule>
    <cfRule type="cellIs" dxfId="3255" priority="3892" stopIfTrue="1" operator="equal">
      <formula>"Towel"</formula>
    </cfRule>
    <cfRule type="cellIs" dxfId="3254" priority="3893" stopIfTrue="1" operator="equal">
      <formula>"Napkin Hs"</formula>
    </cfRule>
    <cfRule type="cellIs" dxfId="3253" priority="3896" stopIfTrue="1" operator="equal">
      <formula>"Towel"</formula>
    </cfRule>
    <cfRule type="cellIs" dxfId="3252" priority="3897" stopIfTrue="1" operator="equal">
      <formula>"Napkin Hs"</formula>
    </cfRule>
    <cfRule type="cellIs" dxfId="3251" priority="3904" stopIfTrue="1" operator="equal">
      <formula>"Towel"</formula>
    </cfRule>
    <cfRule type="cellIs" dxfId="3250" priority="3905" stopIfTrue="1" operator="equal">
      <formula>"Napkin Hs"</formula>
    </cfRule>
    <cfRule type="cellIs" dxfId="3249" priority="3910" stopIfTrue="1" operator="equal">
      <formula>"Towel"</formula>
    </cfRule>
    <cfRule type="cellIs" dxfId="3248" priority="3911" stopIfTrue="1" operator="equal">
      <formula>"Napkin Hs"</formula>
    </cfRule>
    <cfRule type="cellIs" dxfId="3247" priority="3916" stopIfTrue="1" operator="equal">
      <formula>"Towel"</formula>
    </cfRule>
    <cfRule type="cellIs" dxfId="3246" priority="3917" stopIfTrue="1" operator="equal">
      <formula>"Napkin Hs"</formula>
    </cfRule>
    <cfRule type="cellIs" dxfId="3245" priority="3922" stopIfTrue="1" operator="equal">
      <formula>"Towel"</formula>
    </cfRule>
    <cfRule type="cellIs" dxfId="3244" priority="3923" stopIfTrue="1" operator="equal">
      <formula>"Napkin Hs"</formula>
    </cfRule>
    <cfRule type="cellIs" dxfId="3243" priority="3928" stopIfTrue="1" operator="equal">
      <formula>"Towel"</formula>
    </cfRule>
    <cfRule type="cellIs" dxfId="3242" priority="3929" stopIfTrue="1" operator="equal">
      <formula>"Napkin Hs"</formula>
    </cfRule>
    <cfRule type="cellIs" dxfId="3241" priority="3934" stopIfTrue="1" operator="equal">
      <formula>"Towel"</formula>
    </cfRule>
    <cfRule type="cellIs" dxfId="3240" priority="3935" stopIfTrue="1" operator="equal">
      <formula>"Napkin Hs"</formula>
    </cfRule>
    <cfRule type="cellIs" dxfId="3239" priority="3940" stopIfTrue="1" operator="equal">
      <formula>"Towel"</formula>
    </cfRule>
    <cfRule type="cellIs" dxfId="3238" priority="3941" stopIfTrue="1" operator="equal">
      <formula>"Napkin Hs"</formula>
    </cfRule>
  </conditionalFormatting>
  <conditionalFormatting sqref="B112:C112">
    <cfRule type="cellIs" dxfId="3237" priority="3944" stopIfTrue="1" operator="equal">
      <formula>"Towel"</formula>
    </cfRule>
    <cfRule type="cellIs" dxfId="3236" priority="3945" stopIfTrue="1" operator="equal">
      <formula>"Napkin Hs"</formula>
    </cfRule>
    <cfRule type="cellIs" dxfId="3235" priority="3950" stopIfTrue="1" operator="equal">
      <formula>"Towel"</formula>
    </cfRule>
    <cfRule type="cellIs" dxfId="3234" priority="3951" stopIfTrue="1" operator="equal">
      <formula>"Napkin Hs"</formula>
    </cfRule>
    <cfRule type="cellIs" dxfId="3233" priority="3956" stopIfTrue="1" operator="equal">
      <formula>"Towel"</formula>
    </cfRule>
    <cfRule type="cellIs" dxfId="3232" priority="3957" stopIfTrue="1" operator="equal">
      <formula>"Napkin Hs"</formula>
    </cfRule>
    <cfRule type="cellIs" dxfId="3231" priority="3962" stopIfTrue="1" operator="equal">
      <formula>"Towel"</formula>
    </cfRule>
    <cfRule type="cellIs" dxfId="3230" priority="3963" stopIfTrue="1" operator="equal">
      <formula>"Napkin Hs"</formula>
    </cfRule>
    <cfRule type="cellIs" dxfId="3229" priority="3968" stopIfTrue="1" operator="equal">
      <formula>"Towel"</formula>
    </cfRule>
    <cfRule type="cellIs" dxfId="3228" priority="3969" stopIfTrue="1" operator="equal">
      <formula>"Napkin Hs"</formula>
    </cfRule>
    <cfRule type="cellIs" dxfId="3227" priority="3974" stopIfTrue="1" operator="equal">
      <formula>"Towel"</formula>
    </cfRule>
    <cfRule type="cellIs" dxfId="3226" priority="3975" stopIfTrue="1" operator="equal">
      <formula>"Napkin Hs"</formula>
    </cfRule>
    <cfRule type="cellIs" dxfId="3225" priority="3978" stopIfTrue="1" operator="equal">
      <formula>"Towel"</formula>
    </cfRule>
    <cfRule type="cellIs" dxfId="3224" priority="3979" stopIfTrue="1" operator="equal">
      <formula>"Napkin Hs"</formula>
    </cfRule>
    <cfRule type="cellIs" dxfId="3223" priority="3986" stopIfTrue="1" operator="equal">
      <formula>"Towel"</formula>
    </cfRule>
    <cfRule type="cellIs" dxfId="3222" priority="3987" stopIfTrue="1" operator="equal">
      <formula>"Napkin Hs"</formula>
    </cfRule>
    <cfRule type="cellIs" dxfId="3221" priority="3992" stopIfTrue="1" operator="equal">
      <formula>"Towel"</formula>
    </cfRule>
    <cfRule type="cellIs" dxfId="3220" priority="3993" stopIfTrue="1" operator="equal">
      <formula>"Napkin Hs"</formula>
    </cfRule>
    <cfRule type="cellIs" dxfId="3219" priority="3998" stopIfTrue="1" operator="equal">
      <formula>"Towel"</formula>
    </cfRule>
    <cfRule type="cellIs" dxfId="3218" priority="3999" stopIfTrue="1" operator="equal">
      <formula>"Napkin Hs"</formula>
    </cfRule>
    <cfRule type="cellIs" dxfId="3217" priority="4004" stopIfTrue="1" operator="equal">
      <formula>"Towel"</formula>
    </cfRule>
    <cfRule type="cellIs" dxfId="3216" priority="4005" stopIfTrue="1" operator="equal">
      <formula>"Napkin Hs"</formula>
    </cfRule>
    <cfRule type="cellIs" dxfId="3215" priority="4010" stopIfTrue="1" operator="equal">
      <formula>"Towel"</formula>
    </cfRule>
    <cfRule type="cellIs" dxfId="3214" priority="4011" stopIfTrue="1" operator="equal">
      <formula>"Napkin Hs"</formula>
    </cfRule>
    <cfRule type="cellIs" dxfId="3213" priority="4016" stopIfTrue="1" operator="equal">
      <formula>"Towel"</formula>
    </cfRule>
    <cfRule type="cellIs" dxfId="3212" priority="4017" stopIfTrue="1" operator="equal">
      <formula>"Napkin Hs"</formula>
    </cfRule>
    <cfRule type="cellIs" dxfId="3211" priority="4022" stopIfTrue="1" operator="equal">
      <formula>"Towel"</formula>
    </cfRule>
    <cfRule type="cellIs" dxfId="3210" priority="4023" stopIfTrue="1" operator="equal">
      <formula>"Napkin Hs"</formula>
    </cfRule>
  </conditionalFormatting>
  <conditionalFormatting sqref="B113:C113">
    <cfRule type="cellIs" dxfId="3209" priority="4084" stopIfTrue="1" operator="equal">
      <formula>"Towel"</formula>
    </cfRule>
    <cfRule type="cellIs" dxfId="3208" priority="4085" stopIfTrue="1" operator="equal">
      <formula>"Napkin Hs"</formula>
    </cfRule>
    <cfRule type="cellIs" dxfId="3207" priority="4090" stopIfTrue="1" operator="equal">
      <formula>"Towel"</formula>
    </cfRule>
    <cfRule type="cellIs" dxfId="3206" priority="4091" stopIfTrue="1" operator="equal">
      <formula>"Napkin Hs"</formula>
    </cfRule>
    <cfRule type="cellIs" dxfId="3205" priority="4096" stopIfTrue="1" operator="equal">
      <formula>"Towel"</formula>
    </cfRule>
    <cfRule type="cellIs" dxfId="3204" priority="4097" stopIfTrue="1" operator="equal">
      <formula>"Napkin Hs"</formula>
    </cfRule>
    <cfRule type="cellIs" dxfId="3203" priority="4102" stopIfTrue="1" operator="equal">
      <formula>"Towel"</formula>
    </cfRule>
    <cfRule type="cellIs" dxfId="3202" priority="4103" stopIfTrue="1" operator="equal">
      <formula>"Napkin Hs"</formula>
    </cfRule>
    <cfRule type="cellIs" dxfId="3201" priority="4108" stopIfTrue="1" operator="equal">
      <formula>"Towel"</formula>
    </cfRule>
    <cfRule type="cellIs" dxfId="3200" priority="4109" stopIfTrue="1" operator="equal">
      <formula>"Napkin Hs"</formula>
    </cfRule>
    <cfRule type="cellIs" dxfId="3199" priority="4114" stopIfTrue="1" operator="equal">
      <formula>"Towel"</formula>
    </cfRule>
    <cfRule type="cellIs" dxfId="3198" priority="4115" stopIfTrue="1" operator="equal">
      <formula>"Napkin Hs"</formula>
    </cfRule>
    <cfRule type="cellIs" dxfId="3197" priority="4120" stopIfTrue="1" operator="equal">
      <formula>"Towel"</formula>
    </cfRule>
    <cfRule type="cellIs" dxfId="3196" priority="4121" stopIfTrue="1" operator="equal">
      <formula>"Napkin Hs"</formula>
    </cfRule>
    <cfRule type="cellIs" dxfId="3195" priority="4126" stopIfTrue="1" operator="equal">
      <formula>"Towel"</formula>
    </cfRule>
    <cfRule type="cellIs" dxfId="3194" priority="4127" stopIfTrue="1" operator="equal">
      <formula>"Napkin Hs"</formula>
    </cfRule>
  </conditionalFormatting>
  <conditionalFormatting sqref="B113:C114">
    <cfRule type="cellIs" dxfId="3193" priority="4026" stopIfTrue="1" operator="equal">
      <formula>"Towel"</formula>
    </cfRule>
    <cfRule type="cellIs" dxfId="3192" priority="4027" stopIfTrue="1" operator="equal">
      <formula>"Napkin Hs"</formula>
    </cfRule>
    <cfRule type="cellIs" dxfId="3191" priority="4042" stopIfTrue="1" operator="equal">
      <formula>"Towel"</formula>
    </cfRule>
    <cfRule type="cellIs" dxfId="3190" priority="4043" stopIfTrue="1" operator="equal">
      <formula>"Napkin Hs"</formula>
    </cfRule>
    <cfRule type="cellIs" dxfId="3189" priority="4048" stopIfTrue="1" operator="equal">
      <formula>"Towel"</formula>
    </cfRule>
    <cfRule type="cellIs" dxfId="3188" priority="4049" stopIfTrue="1" operator="equal">
      <formula>"Napkin Hs"</formula>
    </cfRule>
    <cfRule type="cellIs" dxfId="3187" priority="4054" stopIfTrue="1" operator="equal">
      <formula>"Towel"</formula>
    </cfRule>
    <cfRule type="cellIs" dxfId="3186" priority="4055" stopIfTrue="1" operator="equal">
      <formula>"Napkin Hs"</formula>
    </cfRule>
    <cfRule type="cellIs" dxfId="3185" priority="4060" stopIfTrue="1" operator="equal">
      <formula>"Towel"</formula>
    </cfRule>
    <cfRule type="cellIs" dxfId="3184" priority="4061" stopIfTrue="1" operator="equal">
      <formula>"Napkin Hs"</formula>
    </cfRule>
    <cfRule type="cellIs" dxfId="3183" priority="4066" stopIfTrue="1" operator="equal">
      <formula>"Towel"</formula>
    </cfRule>
    <cfRule type="cellIs" dxfId="3182" priority="4067" stopIfTrue="1" operator="equal">
      <formula>"Napkin Hs"</formula>
    </cfRule>
    <cfRule type="cellIs" dxfId="3181" priority="4072" stopIfTrue="1" operator="equal">
      <formula>"Towel"</formula>
    </cfRule>
    <cfRule type="cellIs" dxfId="3180" priority="4073" stopIfTrue="1" operator="equal">
      <formula>"Napkin Hs"</formula>
    </cfRule>
    <cfRule type="cellIs" dxfId="3179" priority="4078" stopIfTrue="1" operator="equal">
      <formula>"Towel"</formula>
    </cfRule>
    <cfRule type="cellIs" dxfId="3178" priority="4079" stopIfTrue="1" operator="equal">
      <formula>"Napkin Hs"</formula>
    </cfRule>
  </conditionalFormatting>
  <conditionalFormatting sqref="B114:C114">
    <cfRule type="cellIs" dxfId="3177" priority="4130" stopIfTrue="1" operator="equal">
      <formula>"Towel"</formula>
    </cfRule>
    <cfRule type="cellIs" dxfId="3176" priority="4131" stopIfTrue="1" operator="equal">
      <formula>"Napkin Hs"</formula>
    </cfRule>
    <cfRule type="cellIs" dxfId="3175" priority="4136" stopIfTrue="1" operator="equal">
      <formula>"Towel"</formula>
    </cfRule>
    <cfRule type="cellIs" dxfId="3174" priority="4137" stopIfTrue="1" operator="equal">
      <formula>"Napkin Hs"</formula>
    </cfRule>
    <cfRule type="cellIs" dxfId="3173" priority="4142" stopIfTrue="1" operator="equal">
      <formula>"Towel"</formula>
    </cfRule>
    <cfRule type="cellIs" dxfId="3172" priority="4143" stopIfTrue="1" operator="equal">
      <formula>"Napkin Hs"</formula>
    </cfRule>
    <cfRule type="cellIs" dxfId="3171" priority="4148" stopIfTrue="1" operator="equal">
      <formula>"Towel"</formula>
    </cfRule>
    <cfRule type="cellIs" dxfId="3170" priority="4149" stopIfTrue="1" operator="equal">
      <formula>"Napkin Hs"</formula>
    </cfRule>
    <cfRule type="cellIs" dxfId="3169" priority="4154" stopIfTrue="1" operator="equal">
      <formula>"Towel"</formula>
    </cfRule>
    <cfRule type="cellIs" dxfId="3168" priority="4155" stopIfTrue="1" operator="equal">
      <formula>"Napkin Hs"</formula>
    </cfRule>
    <cfRule type="cellIs" dxfId="3167" priority="4160" stopIfTrue="1" operator="equal">
      <formula>"Towel"</formula>
    </cfRule>
    <cfRule type="cellIs" dxfId="3166" priority="4161" stopIfTrue="1" operator="equal">
      <formula>"Napkin Hs"</formula>
    </cfRule>
    <cfRule type="cellIs" dxfId="3165" priority="4166" stopIfTrue="1" operator="equal">
      <formula>"Towel"</formula>
    </cfRule>
    <cfRule type="cellIs" dxfId="3164" priority="4167" stopIfTrue="1" operator="equal">
      <formula>"Napkin Hs"</formula>
    </cfRule>
    <cfRule type="cellIs" dxfId="3163" priority="4172" stopIfTrue="1" operator="equal">
      <formula>"Towel"</formula>
    </cfRule>
    <cfRule type="cellIs" dxfId="3162" priority="4173" stopIfTrue="1" operator="equal">
      <formula>"Napkin Hs"</formula>
    </cfRule>
  </conditionalFormatting>
  <conditionalFormatting sqref="C111">
    <cfRule type="cellIs" dxfId="3161" priority="3858" stopIfTrue="1" operator="equal">
      <formula>"Towel"</formula>
    </cfRule>
    <cfRule type="cellIs" dxfId="3160" priority="3859" stopIfTrue="1" operator="equal">
      <formula>"Napkin Hs"</formula>
    </cfRule>
    <cfRule type="cellIs" dxfId="3159" priority="3860" stopIfTrue="1" operator="equal">
      <formula>"Towel"</formula>
    </cfRule>
    <cfRule type="cellIs" dxfId="3158" priority="3861" stopIfTrue="1" operator="equal">
      <formula>"Napkin Hs"</formula>
    </cfRule>
    <cfRule type="cellIs" dxfId="3157" priority="3864" stopIfTrue="1" operator="equal">
      <formula>"Towel"</formula>
    </cfRule>
    <cfRule type="cellIs" dxfId="3156" priority="3865" stopIfTrue="1" operator="equal">
      <formula>"Napkin Hs"</formula>
    </cfRule>
    <cfRule type="cellIs" dxfId="3155" priority="3866" stopIfTrue="1" operator="equal">
      <formula>"Towel"</formula>
    </cfRule>
    <cfRule type="cellIs" dxfId="3154" priority="3867" stopIfTrue="1" operator="equal">
      <formula>"Napkin Hs"</formula>
    </cfRule>
    <cfRule type="cellIs" dxfId="3153" priority="3870" stopIfTrue="1" operator="equal">
      <formula>"Towel"</formula>
    </cfRule>
    <cfRule type="cellIs" dxfId="3152" priority="3871" stopIfTrue="1" operator="equal">
      <formula>"Napkin Hs"</formula>
    </cfRule>
    <cfRule type="cellIs" dxfId="3151" priority="3872" stopIfTrue="1" operator="equal">
      <formula>"Towel"</formula>
    </cfRule>
    <cfRule type="cellIs" dxfId="3150" priority="3873" stopIfTrue="1" operator="equal">
      <formula>"Napkin Hs"</formula>
    </cfRule>
    <cfRule type="cellIs" dxfId="3149" priority="3876" stopIfTrue="1" operator="equal">
      <formula>"Towel"</formula>
    </cfRule>
    <cfRule type="cellIs" dxfId="3148" priority="3877" stopIfTrue="1" operator="equal">
      <formula>"Napkin Hs"</formula>
    </cfRule>
    <cfRule type="cellIs" dxfId="3147" priority="3878" stopIfTrue="1" operator="equal">
      <formula>"Towel"</formula>
    </cfRule>
    <cfRule type="cellIs" dxfId="3146" priority="3879" stopIfTrue="1" operator="equal">
      <formula>"Napkin Hs"</formula>
    </cfRule>
    <cfRule type="cellIs" dxfId="3145" priority="3882" stopIfTrue="1" operator="equal">
      <formula>"Towel"</formula>
    </cfRule>
    <cfRule type="cellIs" dxfId="3144" priority="3883" stopIfTrue="1" operator="equal">
      <formula>"Napkin Hs"</formula>
    </cfRule>
    <cfRule type="cellIs" dxfId="3143" priority="3884" stopIfTrue="1" operator="equal">
      <formula>"Towel"</formula>
    </cfRule>
    <cfRule type="cellIs" dxfId="3142" priority="3885" stopIfTrue="1" operator="equal">
      <formula>"Napkin Hs"</formula>
    </cfRule>
    <cfRule type="cellIs" dxfId="3141" priority="3888" stopIfTrue="1" operator="equal">
      <formula>"Towel"</formula>
    </cfRule>
    <cfRule type="cellIs" dxfId="3140" priority="3889" stopIfTrue="1" operator="equal">
      <formula>"Napkin Hs"</formula>
    </cfRule>
    <cfRule type="cellIs" dxfId="3139" priority="3890" stopIfTrue="1" operator="equal">
      <formula>"Towel"</formula>
    </cfRule>
    <cfRule type="cellIs" dxfId="3138" priority="3891" stopIfTrue="1" operator="equal">
      <formula>"Napkin Hs"</formula>
    </cfRule>
    <cfRule type="cellIs" dxfId="3137" priority="3894" stopIfTrue="1" operator="equal">
      <formula>"Towel"</formula>
    </cfRule>
    <cfRule type="cellIs" dxfId="3136" priority="3895" stopIfTrue="1" operator="equal">
      <formula>"Napkin Hs"</formula>
    </cfRule>
    <cfRule type="cellIs" dxfId="3135" priority="3898" stopIfTrue="1" operator="equal">
      <formula>"Towel"</formula>
    </cfRule>
    <cfRule type="cellIs" dxfId="3134" priority="3899" stopIfTrue="1" operator="equal">
      <formula>"Napkin Hs"</formula>
    </cfRule>
    <cfRule type="cellIs" dxfId="3133" priority="3900" stopIfTrue="1" operator="equal">
      <formula>"Towel"</formula>
    </cfRule>
    <cfRule type="cellIs" dxfId="3132" priority="3901" stopIfTrue="1" operator="equal">
      <formula>"Napkin Hs"</formula>
    </cfRule>
    <cfRule type="cellIs" dxfId="3131" priority="3902" stopIfTrue="1" operator="equal">
      <formula>"Towel"</formula>
    </cfRule>
    <cfRule type="cellIs" dxfId="3130" priority="3903" stopIfTrue="1" operator="equal">
      <formula>"Napkin Hs"</formula>
    </cfRule>
    <cfRule type="cellIs" dxfId="3129" priority="3906" stopIfTrue="1" operator="equal">
      <formula>"Towel"</formula>
    </cfRule>
    <cfRule type="cellIs" dxfId="3128" priority="3907" stopIfTrue="1" operator="equal">
      <formula>"Napkin Hs"</formula>
    </cfRule>
    <cfRule type="cellIs" dxfId="3127" priority="3908" stopIfTrue="1" operator="equal">
      <formula>"Towel"</formula>
    </cfRule>
    <cfRule type="cellIs" dxfId="3126" priority="3909" stopIfTrue="1" operator="equal">
      <formula>"Napkin Hs"</formula>
    </cfRule>
    <cfRule type="cellIs" dxfId="3125" priority="3912" stopIfTrue="1" operator="equal">
      <formula>"Towel"</formula>
    </cfRule>
    <cfRule type="cellIs" dxfId="3124" priority="3913" stopIfTrue="1" operator="equal">
      <formula>"Napkin Hs"</formula>
    </cfRule>
    <cfRule type="cellIs" dxfId="3123" priority="3914" stopIfTrue="1" operator="equal">
      <formula>"Towel"</formula>
    </cfRule>
    <cfRule type="cellIs" dxfId="3122" priority="3915" stopIfTrue="1" operator="equal">
      <formula>"Napkin Hs"</formula>
    </cfRule>
    <cfRule type="cellIs" dxfId="3121" priority="3918" stopIfTrue="1" operator="equal">
      <formula>"Towel"</formula>
    </cfRule>
    <cfRule type="cellIs" dxfId="3120" priority="3919" stopIfTrue="1" operator="equal">
      <formula>"Napkin Hs"</formula>
    </cfRule>
    <cfRule type="cellIs" dxfId="3119" priority="3920" stopIfTrue="1" operator="equal">
      <formula>"Towel"</formula>
    </cfRule>
    <cfRule type="cellIs" dxfId="3118" priority="3921" stopIfTrue="1" operator="equal">
      <formula>"Napkin Hs"</formula>
    </cfRule>
    <cfRule type="cellIs" dxfId="3117" priority="3924" stopIfTrue="1" operator="equal">
      <formula>"Towel"</formula>
    </cfRule>
    <cfRule type="cellIs" dxfId="3116" priority="3925" stopIfTrue="1" operator="equal">
      <formula>"Napkin Hs"</formula>
    </cfRule>
    <cfRule type="cellIs" dxfId="3115" priority="3926" stopIfTrue="1" operator="equal">
      <formula>"Towel"</formula>
    </cfRule>
    <cfRule type="cellIs" dxfId="3114" priority="3927" stopIfTrue="1" operator="equal">
      <formula>"Napkin Hs"</formula>
    </cfRule>
    <cfRule type="cellIs" dxfId="3113" priority="3930" stopIfTrue="1" operator="equal">
      <formula>"Towel"</formula>
    </cfRule>
    <cfRule type="cellIs" dxfId="3112" priority="3931" stopIfTrue="1" operator="equal">
      <formula>"Napkin Hs"</formula>
    </cfRule>
    <cfRule type="cellIs" dxfId="3111" priority="3932" stopIfTrue="1" operator="equal">
      <formula>"Towel"</formula>
    </cfRule>
    <cfRule type="cellIs" dxfId="3110" priority="3933" stopIfTrue="1" operator="equal">
      <formula>"Napkin Hs"</formula>
    </cfRule>
    <cfRule type="cellIs" dxfId="3109" priority="3936" stopIfTrue="1" operator="equal">
      <formula>"Towel"</formula>
    </cfRule>
    <cfRule type="cellIs" dxfId="3108" priority="3937" stopIfTrue="1" operator="equal">
      <formula>"Napkin Hs"</formula>
    </cfRule>
  </conditionalFormatting>
  <conditionalFormatting sqref="C111:C112">
    <cfRule type="cellIs" dxfId="3107" priority="3938" stopIfTrue="1" operator="equal">
      <formula>"Towel"</formula>
    </cfRule>
    <cfRule type="cellIs" dxfId="3106" priority="3939" stopIfTrue="1" operator="equal">
      <formula>"Napkin Hs"</formula>
    </cfRule>
  </conditionalFormatting>
  <conditionalFormatting sqref="C112">
    <cfRule type="cellIs" dxfId="3105" priority="3942" stopIfTrue="1" operator="equal">
      <formula>"Towel"</formula>
    </cfRule>
    <cfRule type="cellIs" dxfId="3104" priority="3943" stopIfTrue="1" operator="equal">
      <formula>"Napkin Hs"</formula>
    </cfRule>
    <cfRule type="cellIs" dxfId="3103" priority="3946" stopIfTrue="1" operator="equal">
      <formula>"Towel"</formula>
    </cfRule>
    <cfRule type="cellIs" dxfId="3102" priority="3947" stopIfTrue="1" operator="equal">
      <formula>"Napkin Hs"</formula>
    </cfRule>
    <cfRule type="cellIs" dxfId="3101" priority="3948" stopIfTrue="1" operator="equal">
      <formula>"Towel"</formula>
    </cfRule>
    <cfRule type="cellIs" dxfId="3100" priority="3949" stopIfTrue="1" operator="equal">
      <formula>"Napkin Hs"</formula>
    </cfRule>
    <cfRule type="cellIs" dxfId="3099" priority="3952" stopIfTrue="1" operator="equal">
      <formula>"Towel"</formula>
    </cfRule>
    <cfRule type="cellIs" dxfId="3098" priority="3953" stopIfTrue="1" operator="equal">
      <formula>"Napkin Hs"</formula>
    </cfRule>
    <cfRule type="cellIs" dxfId="3097" priority="3954" stopIfTrue="1" operator="equal">
      <formula>"Towel"</formula>
    </cfRule>
    <cfRule type="cellIs" dxfId="3096" priority="3955" stopIfTrue="1" operator="equal">
      <formula>"Napkin Hs"</formula>
    </cfRule>
    <cfRule type="cellIs" dxfId="3095" priority="3958" stopIfTrue="1" operator="equal">
      <formula>"Towel"</formula>
    </cfRule>
    <cfRule type="cellIs" dxfId="3094" priority="3959" stopIfTrue="1" operator="equal">
      <formula>"Napkin Hs"</formula>
    </cfRule>
    <cfRule type="cellIs" dxfId="3093" priority="3960" stopIfTrue="1" operator="equal">
      <formula>"Towel"</formula>
    </cfRule>
    <cfRule type="cellIs" dxfId="3092" priority="3961" stopIfTrue="1" operator="equal">
      <formula>"Napkin Hs"</formula>
    </cfRule>
    <cfRule type="cellIs" dxfId="3091" priority="3964" stopIfTrue="1" operator="equal">
      <formula>"Towel"</formula>
    </cfRule>
    <cfRule type="cellIs" dxfId="3090" priority="3965" stopIfTrue="1" operator="equal">
      <formula>"Napkin Hs"</formula>
    </cfRule>
    <cfRule type="cellIs" dxfId="3089" priority="3966" stopIfTrue="1" operator="equal">
      <formula>"Towel"</formula>
    </cfRule>
    <cfRule type="cellIs" dxfId="3088" priority="3967" stopIfTrue="1" operator="equal">
      <formula>"Napkin Hs"</formula>
    </cfRule>
    <cfRule type="cellIs" dxfId="3087" priority="3970" stopIfTrue="1" operator="equal">
      <formula>"Towel"</formula>
    </cfRule>
    <cfRule type="cellIs" dxfId="3086" priority="3971" stopIfTrue="1" operator="equal">
      <formula>"Napkin Hs"</formula>
    </cfRule>
    <cfRule type="cellIs" dxfId="3085" priority="3972" stopIfTrue="1" operator="equal">
      <formula>"Towel"</formula>
    </cfRule>
    <cfRule type="cellIs" dxfId="3084" priority="3973" stopIfTrue="1" operator="equal">
      <formula>"Napkin Hs"</formula>
    </cfRule>
    <cfRule type="cellIs" dxfId="3083" priority="3976" stopIfTrue="1" operator="equal">
      <formula>"Towel"</formula>
    </cfRule>
    <cfRule type="cellIs" dxfId="3082" priority="3977" stopIfTrue="1" operator="equal">
      <formula>"Napkin Hs"</formula>
    </cfRule>
    <cfRule type="cellIs" dxfId="3081" priority="3980" stopIfTrue="1" operator="equal">
      <formula>"Towel"</formula>
    </cfRule>
    <cfRule type="cellIs" dxfId="3080" priority="3981" stopIfTrue="1" operator="equal">
      <formula>"Napkin Hs"</formula>
    </cfRule>
    <cfRule type="cellIs" dxfId="3079" priority="3982" stopIfTrue="1" operator="equal">
      <formula>"Towel"</formula>
    </cfRule>
    <cfRule type="cellIs" dxfId="3078" priority="3983" stopIfTrue="1" operator="equal">
      <formula>"Napkin Hs"</formula>
    </cfRule>
    <cfRule type="cellIs" dxfId="3077" priority="3984" stopIfTrue="1" operator="equal">
      <formula>"Towel"</formula>
    </cfRule>
    <cfRule type="cellIs" dxfId="3076" priority="3985" stopIfTrue="1" operator="equal">
      <formula>"Napkin Hs"</formula>
    </cfRule>
    <cfRule type="cellIs" dxfId="3075" priority="3988" stopIfTrue="1" operator="equal">
      <formula>"Towel"</formula>
    </cfRule>
    <cfRule type="cellIs" dxfId="3074" priority="3989" stopIfTrue="1" operator="equal">
      <formula>"Napkin Hs"</formula>
    </cfRule>
    <cfRule type="cellIs" dxfId="3073" priority="3990" stopIfTrue="1" operator="equal">
      <formula>"Towel"</formula>
    </cfRule>
    <cfRule type="cellIs" dxfId="3072" priority="3991" stopIfTrue="1" operator="equal">
      <formula>"Napkin Hs"</formula>
    </cfRule>
    <cfRule type="cellIs" dxfId="3071" priority="3994" stopIfTrue="1" operator="equal">
      <formula>"Towel"</formula>
    </cfRule>
    <cfRule type="cellIs" dxfId="3070" priority="3995" stopIfTrue="1" operator="equal">
      <formula>"Napkin Hs"</formula>
    </cfRule>
    <cfRule type="cellIs" dxfId="3069" priority="3996" stopIfTrue="1" operator="equal">
      <formula>"Towel"</formula>
    </cfRule>
    <cfRule type="cellIs" dxfId="3068" priority="3997" stopIfTrue="1" operator="equal">
      <formula>"Napkin Hs"</formula>
    </cfRule>
    <cfRule type="cellIs" dxfId="3067" priority="4000" stopIfTrue="1" operator="equal">
      <formula>"Towel"</formula>
    </cfRule>
    <cfRule type="cellIs" dxfId="3066" priority="4001" stopIfTrue="1" operator="equal">
      <formula>"Napkin Hs"</formula>
    </cfRule>
    <cfRule type="cellIs" dxfId="3065" priority="4002" stopIfTrue="1" operator="equal">
      <formula>"Towel"</formula>
    </cfRule>
    <cfRule type="cellIs" dxfId="3064" priority="4003" stopIfTrue="1" operator="equal">
      <formula>"Napkin Hs"</formula>
    </cfRule>
    <cfRule type="cellIs" dxfId="3063" priority="4006" stopIfTrue="1" operator="equal">
      <formula>"Towel"</formula>
    </cfRule>
    <cfRule type="cellIs" dxfId="3062" priority="4007" stopIfTrue="1" operator="equal">
      <formula>"Napkin Hs"</formula>
    </cfRule>
    <cfRule type="cellIs" dxfId="3061" priority="4008" stopIfTrue="1" operator="equal">
      <formula>"Towel"</formula>
    </cfRule>
    <cfRule type="cellIs" dxfId="3060" priority="4009" stopIfTrue="1" operator="equal">
      <formula>"Napkin Hs"</formula>
    </cfRule>
    <cfRule type="cellIs" dxfId="3059" priority="4012" stopIfTrue="1" operator="equal">
      <formula>"Towel"</formula>
    </cfRule>
    <cfRule type="cellIs" dxfId="3058" priority="4013" stopIfTrue="1" operator="equal">
      <formula>"Napkin Hs"</formula>
    </cfRule>
    <cfRule type="cellIs" dxfId="3057" priority="4014" stopIfTrue="1" operator="equal">
      <formula>"Towel"</formula>
    </cfRule>
    <cfRule type="cellIs" dxfId="3056" priority="4015" stopIfTrue="1" operator="equal">
      <formula>"Napkin Hs"</formula>
    </cfRule>
    <cfRule type="cellIs" dxfId="3055" priority="4018" stopIfTrue="1" operator="equal">
      <formula>"Towel"</formula>
    </cfRule>
    <cfRule type="cellIs" dxfId="3054" priority="4019" stopIfTrue="1" operator="equal">
      <formula>"Napkin Hs"</formula>
    </cfRule>
    <cfRule type="cellIs" dxfId="3053" priority="4020" stopIfTrue="1" operator="equal">
      <formula>"Towel"</formula>
    </cfRule>
    <cfRule type="cellIs" dxfId="3052" priority="4021" stopIfTrue="1" operator="equal">
      <formula>"Napkin Hs"</formula>
    </cfRule>
  </conditionalFormatting>
  <conditionalFormatting sqref="C113">
    <cfRule type="cellIs" dxfId="3051" priority="4080" stopIfTrue="1" operator="equal">
      <formula>"Towel"</formula>
    </cfRule>
    <cfRule type="cellIs" dxfId="3050" priority="4081" stopIfTrue="1" operator="equal">
      <formula>"Napkin Hs"</formula>
    </cfRule>
    <cfRule type="cellIs" dxfId="3049" priority="4082" stopIfTrue="1" operator="equal">
      <formula>"Towel"</formula>
    </cfRule>
    <cfRule type="cellIs" dxfId="3048" priority="4083" stopIfTrue="1" operator="equal">
      <formula>"Napkin Hs"</formula>
    </cfRule>
    <cfRule type="cellIs" dxfId="3047" priority="4086" stopIfTrue="1" operator="equal">
      <formula>"Towel"</formula>
    </cfRule>
    <cfRule type="cellIs" dxfId="3046" priority="4087" stopIfTrue="1" operator="equal">
      <formula>"Napkin Hs"</formula>
    </cfRule>
    <cfRule type="cellIs" dxfId="3045" priority="4088" stopIfTrue="1" operator="equal">
      <formula>"Towel"</formula>
    </cfRule>
    <cfRule type="cellIs" dxfId="3044" priority="4089" stopIfTrue="1" operator="equal">
      <formula>"Napkin Hs"</formula>
    </cfRule>
    <cfRule type="cellIs" dxfId="3043" priority="4092" stopIfTrue="1" operator="equal">
      <formula>"Towel"</formula>
    </cfRule>
    <cfRule type="cellIs" dxfId="3042" priority="4093" stopIfTrue="1" operator="equal">
      <formula>"Napkin Hs"</formula>
    </cfRule>
    <cfRule type="cellIs" dxfId="3041" priority="4094" stopIfTrue="1" operator="equal">
      <formula>"Towel"</formula>
    </cfRule>
    <cfRule type="cellIs" dxfId="3040" priority="4095" stopIfTrue="1" operator="equal">
      <formula>"Napkin Hs"</formula>
    </cfRule>
    <cfRule type="cellIs" dxfId="3039" priority="4098" stopIfTrue="1" operator="equal">
      <formula>"Towel"</formula>
    </cfRule>
    <cfRule type="cellIs" dxfId="3038" priority="4099" stopIfTrue="1" operator="equal">
      <formula>"Napkin Hs"</formula>
    </cfRule>
    <cfRule type="cellIs" dxfId="3037" priority="4100" stopIfTrue="1" operator="equal">
      <formula>"Towel"</formula>
    </cfRule>
    <cfRule type="cellIs" dxfId="3036" priority="4101" stopIfTrue="1" operator="equal">
      <formula>"Napkin Hs"</formula>
    </cfRule>
    <cfRule type="cellIs" dxfId="3035" priority="4104" stopIfTrue="1" operator="equal">
      <formula>"Towel"</formula>
    </cfRule>
    <cfRule type="cellIs" dxfId="3034" priority="4105" stopIfTrue="1" operator="equal">
      <formula>"Napkin Hs"</formula>
    </cfRule>
    <cfRule type="cellIs" dxfId="3033" priority="4106" stopIfTrue="1" operator="equal">
      <formula>"Towel"</formula>
    </cfRule>
    <cfRule type="cellIs" dxfId="3032" priority="4107" stopIfTrue="1" operator="equal">
      <formula>"Napkin Hs"</formula>
    </cfRule>
    <cfRule type="cellIs" dxfId="3031" priority="4110" stopIfTrue="1" operator="equal">
      <formula>"Towel"</formula>
    </cfRule>
    <cfRule type="cellIs" dxfId="3030" priority="4111" stopIfTrue="1" operator="equal">
      <formula>"Napkin Hs"</formula>
    </cfRule>
    <cfRule type="cellIs" dxfId="3029" priority="4112" stopIfTrue="1" operator="equal">
      <formula>"Towel"</formula>
    </cfRule>
    <cfRule type="cellIs" dxfId="3028" priority="4113" stopIfTrue="1" operator="equal">
      <formula>"Napkin Hs"</formula>
    </cfRule>
    <cfRule type="cellIs" dxfId="3027" priority="4116" stopIfTrue="1" operator="equal">
      <formula>"Towel"</formula>
    </cfRule>
    <cfRule type="cellIs" dxfId="3026" priority="4117" stopIfTrue="1" operator="equal">
      <formula>"Napkin Hs"</formula>
    </cfRule>
    <cfRule type="cellIs" dxfId="3025" priority="4118" stopIfTrue="1" operator="equal">
      <formula>"Towel"</formula>
    </cfRule>
    <cfRule type="cellIs" dxfId="3024" priority="4119" stopIfTrue="1" operator="equal">
      <formula>"Napkin Hs"</formula>
    </cfRule>
    <cfRule type="cellIs" dxfId="3023" priority="4122" stopIfTrue="1" operator="equal">
      <formula>"Towel"</formula>
    </cfRule>
    <cfRule type="cellIs" dxfId="3022" priority="4123" stopIfTrue="1" operator="equal">
      <formula>"Napkin Hs"</formula>
    </cfRule>
  </conditionalFormatting>
  <conditionalFormatting sqref="C113:C114">
    <cfRule type="cellIs" dxfId="3021" priority="4028" stopIfTrue="1" operator="equal">
      <formula>"Towel"</formula>
    </cfRule>
    <cfRule type="cellIs" dxfId="3020" priority="4029" stopIfTrue="1" operator="equal">
      <formula>"Napkin Hs"</formula>
    </cfRule>
    <cfRule type="cellIs" dxfId="3019" priority="4030" stopIfTrue="1" operator="equal">
      <formula>"Towel"</formula>
    </cfRule>
    <cfRule type="cellIs" dxfId="3018" priority="4031" stopIfTrue="1" operator="equal">
      <formula>"Napkin Hs"</formula>
    </cfRule>
    <cfRule type="cellIs" dxfId="3017" priority="4032" stopIfTrue="1" operator="equal">
      <formula>"Towel"</formula>
    </cfRule>
    <cfRule type="cellIs" dxfId="3016" priority="4033" stopIfTrue="1" operator="equal">
      <formula>"Napkin Hs"</formula>
    </cfRule>
    <cfRule type="cellIs" dxfId="3015" priority="4034" stopIfTrue="1" operator="equal">
      <formula>"Towel"</formula>
    </cfRule>
    <cfRule type="cellIs" dxfId="3014" priority="4035" stopIfTrue="1" operator="equal">
      <formula>"Napkin Hs"</formula>
    </cfRule>
    <cfRule type="cellIs" dxfId="3013" priority="4036" stopIfTrue="1" operator="equal">
      <formula>"Towel"</formula>
    </cfRule>
    <cfRule type="cellIs" dxfId="3012" priority="4037" stopIfTrue="1" operator="equal">
      <formula>"Napkin Hs"</formula>
    </cfRule>
    <cfRule type="cellIs" dxfId="3011" priority="4038" stopIfTrue="1" operator="equal">
      <formula>"Towel"</formula>
    </cfRule>
    <cfRule type="cellIs" dxfId="3010" priority="4039" stopIfTrue="1" operator="equal">
      <formula>"Napkin Hs"</formula>
    </cfRule>
    <cfRule type="cellIs" dxfId="3009" priority="4040" stopIfTrue="1" operator="equal">
      <formula>"Towel"</formula>
    </cfRule>
    <cfRule type="cellIs" dxfId="3008" priority="4041" stopIfTrue="1" operator="equal">
      <formula>"Napkin Hs"</formula>
    </cfRule>
    <cfRule type="cellIs" dxfId="3007" priority="4044" stopIfTrue="1" operator="equal">
      <formula>"Towel"</formula>
    </cfRule>
    <cfRule type="cellIs" dxfId="3006" priority="4045" stopIfTrue="1" operator="equal">
      <formula>"Napkin Hs"</formula>
    </cfRule>
    <cfRule type="cellIs" dxfId="3005" priority="4046" stopIfTrue="1" operator="equal">
      <formula>"Towel"</formula>
    </cfRule>
    <cfRule type="cellIs" dxfId="3004" priority="4047" stopIfTrue="1" operator="equal">
      <formula>"Napkin Hs"</formula>
    </cfRule>
    <cfRule type="cellIs" dxfId="3003" priority="4050" stopIfTrue="1" operator="equal">
      <formula>"Towel"</formula>
    </cfRule>
    <cfRule type="cellIs" dxfId="3002" priority="4051" stopIfTrue="1" operator="equal">
      <formula>"Napkin Hs"</formula>
    </cfRule>
    <cfRule type="cellIs" dxfId="3001" priority="4052" stopIfTrue="1" operator="equal">
      <formula>"Towel"</formula>
    </cfRule>
    <cfRule type="cellIs" dxfId="3000" priority="4053" stopIfTrue="1" operator="equal">
      <formula>"Napkin Hs"</formula>
    </cfRule>
    <cfRule type="cellIs" dxfId="2999" priority="4056" stopIfTrue="1" operator="equal">
      <formula>"Towel"</formula>
    </cfRule>
    <cfRule type="cellIs" dxfId="2998" priority="4057" stopIfTrue="1" operator="equal">
      <formula>"Napkin Hs"</formula>
    </cfRule>
    <cfRule type="cellIs" dxfId="2997" priority="4058" stopIfTrue="1" operator="equal">
      <formula>"Towel"</formula>
    </cfRule>
    <cfRule type="cellIs" dxfId="2996" priority="4059" stopIfTrue="1" operator="equal">
      <formula>"Napkin Hs"</formula>
    </cfRule>
    <cfRule type="cellIs" dxfId="2995" priority="4062" stopIfTrue="1" operator="equal">
      <formula>"Towel"</formula>
    </cfRule>
    <cfRule type="cellIs" dxfId="2994" priority="4063" stopIfTrue="1" operator="equal">
      <formula>"Napkin Hs"</formula>
    </cfRule>
    <cfRule type="cellIs" dxfId="2993" priority="4064" stopIfTrue="1" operator="equal">
      <formula>"Towel"</formula>
    </cfRule>
    <cfRule type="cellIs" dxfId="2992" priority="4065" stopIfTrue="1" operator="equal">
      <formula>"Napkin Hs"</formula>
    </cfRule>
    <cfRule type="cellIs" dxfId="2991" priority="4068" stopIfTrue="1" operator="equal">
      <formula>"Towel"</formula>
    </cfRule>
    <cfRule type="cellIs" dxfId="2990" priority="4069" stopIfTrue="1" operator="equal">
      <formula>"Napkin Hs"</formula>
    </cfRule>
    <cfRule type="cellIs" dxfId="2989" priority="4070" stopIfTrue="1" operator="equal">
      <formula>"Towel"</formula>
    </cfRule>
    <cfRule type="cellIs" dxfId="2988" priority="4071" stopIfTrue="1" operator="equal">
      <formula>"Napkin Hs"</formula>
    </cfRule>
    <cfRule type="cellIs" dxfId="2987" priority="4074" stopIfTrue="1" operator="equal">
      <formula>"Towel"</formula>
    </cfRule>
    <cfRule type="cellIs" dxfId="2986" priority="4075" stopIfTrue="1" operator="equal">
      <formula>"Napkin Hs"</formula>
    </cfRule>
    <cfRule type="cellIs" dxfId="2985" priority="4076" stopIfTrue="1" operator="equal">
      <formula>"Towel"</formula>
    </cfRule>
    <cfRule type="cellIs" dxfId="2984" priority="4077" stopIfTrue="1" operator="equal">
      <formula>"Napkin Hs"</formula>
    </cfRule>
    <cfRule type="cellIs" dxfId="2983" priority="4124" stopIfTrue="1" operator="equal">
      <formula>"Towel"</formula>
    </cfRule>
    <cfRule type="cellIs" dxfId="2982" priority="4125" stopIfTrue="1" operator="equal">
      <formula>"Napkin Hs"</formula>
    </cfRule>
  </conditionalFormatting>
  <conditionalFormatting sqref="C114">
    <cfRule type="cellIs" dxfId="2981" priority="4128" stopIfTrue="1" operator="equal">
      <formula>"Towel"</formula>
    </cfRule>
    <cfRule type="cellIs" dxfId="2980" priority="4129" stopIfTrue="1" operator="equal">
      <formula>"Napkin Hs"</formula>
    </cfRule>
    <cfRule type="cellIs" dxfId="2979" priority="4132" stopIfTrue="1" operator="equal">
      <formula>"Towel"</formula>
    </cfRule>
    <cfRule type="cellIs" dxfId="2978" priority="4133" stopIfTrue="1" operator="equal">
      <formula>"Napkin Hs"</formula>
    </cfRule>
    <cfRule type="cellIs" dxfId="2977" priority="4134" stopIfTrue="1" operator="equal">
      <formula>"Towel"</formula>
    </cfRule>
    <cfRule type="cellIs" dxfId="2976" priority="4135" stopIfTrue="1" operator="equal">
      <formula>"Napkin Hs"</formula>
    </cfRule>
    <cfRule type="cellIs" dxfId="2975" priority="4138" stopIfTrue="1" operator="equal">
      <formula>"Towel"</formula>
    </cfRule>
    <cfRule type="cellIs" dxfId="2974" priority="4139" stopIfTrue="1" operator="equal">
      <formula>"Napkin Hs"</formula>
    </cfRule>
    <cfRule type="cellIs" dxfId="2973" priority="4140" stopIfTrue="1" operator="equal">
      <formula>"Towel"</formula>
    </cfRule>
    <cfRule type="cellIs" dxfId="2972" priority="4141" stopIfTrue="1" operator="equal">
      <formula>"Napkin Hs"</formula>
    </cfRule>
    <cfRule type="cellIs" dxfId="2971" priority="4144" stopIfTrue="1" operator="equal">
      <formula>"Towel"</formula>
    </cfRule>
    <cfRule type="cellIs" dxfId="2970" priority="4145" stopIfTrue="1" operator="equal">
      <formula>"Napkin Hs"</formula>
    </cfRule>
    <cfRule type="cellIs" dxfId="2969" priority="4146" stopIfTrue="1" operator="equal">
      <formula>"Towel"</formula>
    </cfRule>
    <cfRule type="cellIs" dxfId="2968" priority="4147" stopIfTrue="1" operator="equal">
      <formula>"Napkin Hs"</formula>
    </cfRule>
    <cfRule type="cellIs" dxfId="2967" priority="4150" stopIfTrue="1" operator="equal">
      <formula>"Towel"</formula>
    </cfRule>
    <cfRule type="cellIs" dxfId="2966" priority="4151" stopIfTrue="1" operator="equal">
      <formula>"Napkin Hs"</formula>
    </cfRule>
    <cfRule type="cellIs" dxfId="2965" priority="4152" stopIfTrue="1" operator="equal">
      <formula>"Towel"</formula>
    </cfRule>
    <cfRule type="cellIs" dxfId="2964" priority="4153" stopIfTrue="1" operator="equal">
      <formula>"Napkin Hs"</formula>
    </cfRule>
    <cfRule type="cellIs" dxfId="2963" priority="4156" stopIfTrue="1" operator="equal">
      <formula>"Towel"</formula>
    </cfRule>
    <cfRule type="cellIs" dxfId="2962" priority="4157" stopIfTrue="1" operator="equal">
      <formula>"Napkin Hs"</formula>
    </cfRule>
    <cfRule type="cellIs" dxfId="2961" priority="4158" stopIfTrue="1" operator="equal">
      <formula>"Towel"</formula>
    </cfRule>
    <cfRule type="cellIs" dxfId="2960" priority="4159" stopIfTrue="1" operator="equal">
      <formula>"Napkin Hs"</formula>
    </cfRule>
    <cfRule type="cellIs" dxfId="2959" priority="4162" stopIfTrue="1" operator="equal">
      <formula>"Towel"</formula>
    </cfRule>
    <cfRule type="cellIs" dxfId="2958" priority="4163" stopIfTrue="1" operator="equal">
      <formula>"Napkin Hs"</formula>
    </cfRule>
    <cfRule type="cellIs" dxfId="2957" priority="4164" stopIfTrue="1" operator="equal">
      <formula>"Towel"</formula>
    </cfRule>
    <cfRule type="cellIs" dxfId="2956" priority="4165" stopIfTrue="1" operator="equal">
      <formula>"Napkin Hs"</formula>
    </cfRule>
    <cfRule type="cellIs" dxfId="2955" priority="4168" stopIfTrue="1" operator="equal">
      <formula>"Towel"</formula>
    </cfRule>
    <cfRule type="cellIs" dxfId="2954" priority="4169" stopIfTrue="1" operator="equal">
      <formula>"Napkin Hs"</formula>
    </cfRule>
  </conditionalFormatting>
  <conditionalFormatting sqref="C114">
    <cfRule type="cellIs" dxfId="2953" priority="4170" stopIfTrue="1" operator="equal">
      <formula>"Towel"</formula>
    </cfRule>
    <cfRule type="cellIs" dxfId="2952" priority="4171" stopIfTrue="1" operator="equal">
      <formula>"Napkin Hs"</formula>
    </cfRule>
  </conditionalFormatting>
  <conditionalFormatting sqref="B116">
    <cfRule type="cellIs" dxfId="2951" priority="3839" stopIfTrue="1" operator="equal">
      <formula>"Towel"</formula>
    </cfRule>
    <cfRule type="cellIs" dxfId="2950" priority="3840" stopIfTrue="1" operator="equal">
      <formula>"Napkin Hs"</formula>
    </cfRule>
    <cfRule type="cellIs" dxfId="2949" priority="3841" stopIfTrue="1" operator="equal">
      <formula>"Towel"</formula>
    </cfRule>
    <cfRule type="cellIs" dxfId="2948" priority="3842" stopIfTrue="1" operator="equal">
      <formula>"Napkin Hs"</formula>
    </cfRule>
    <cfRule type="cellIs" dxfId="2947" priority="3843" stopIfTrue="1" operator="equal">
      <formula>"Towel"</formula>
    </cfRule>
    <cfRule type="cellIs" dxfId="2946" priority="3844" stopIfTrue="1" operator="equal">
      <formula>"Napkin Hs"</formula>
    </cfRule>
    <cfRule type="cellIs" dxfId="2945" priority="3845" stopIfTrue="1" operator="equal">
      <formula>"Towel"</formula>
    </cfRule>
    <cfRule type="cellIs" dxfId="2944" priority="3846" stopIfTrue="1" operator="equal">
      <formula>"Napkin Hs"</formula>
    </cfRule>
    <cfRule type="cellIs" dxfId="2943" priority="3847" stopIfTrue="1" operator="equal">
      <formula>"Towel"</formula>
    </cfRule>
    <cfRule type="cellIs" dxfId="2942" priority="3848" stopIfTrue="1" operator="equal">
      <formula>"Napkin Hs"</formula>
    </cfRule>
    <cfRule type="cellIs" dxfId="2941" priority="3849" stopIfTrue="1" operator="equal">
      <formula>"Towel"</formula>
    </cfRule>
    <cfRule type="cellIs" dxfId="2940" priority="3850" stopIfTrue="1" operator="equal">
      <formula>"Napkin Hs"</formula>
    </cfRule>
    <cfRule type="cellIs" dxfId="2939" priority="3851" stopIfTrue="1" operator="equal">
      <formula>"Towel"</formula>
    </cfRule>
    <cfRule type="cellIs" dxfId="2938" priority="3852" stopIfTrue="1" operator="equal">
      <formula>"Napkin Hs"</formula>
    </cfRule>
    <cfRule type="cellIs" dxfId="2937" priority="3853" stopIfTrue="1" operator="equal">
      <formula>"Towel"</formula>
    </cfRule>
    <cfRule type="cellIs" dxfId="2936" priority="3854" stopIfTrue="1" operator="equal">
      <formula>"Napkin Hs"</formula>
    </cfRule>
  </conditionalFormatting>
  <conditionalFormatting sqref="B116:C117">
    <cfRule type="cellIs" dxfId="2935" priority="3831" stopIfTrue="1" operator="equal">
      <formula>"Towel"</formula>
    </cfRule>
    <cfRule type="cellIs" dxfId="2934" priority="3832" stopIfTrue="1" operator="equal">
      <formula>"Napkin Hs"</formula>
    </cfRule>
  </conditionalFormatting>
  <conditionalFormatting sqref="B118:C118">
    <cfRule type="cellIs" dxfId="2933" priority="3855" stopIfTrue="1" operator="equal">
      <formula>"Napkin Hs"</formula>
    </cfRule>
  </conditionalFormatting>
  <conditionalFormatting sqref="B119:C119">
    <cfRule type="cellIs" dxfId="2932" priority="3735" stopIfTrue="1" operator="equal">
      <formula>"Towel"</formula>
    </cfRule>
    <cfRule type="cellIs" dxfId="2931" priority="3736" stopIfTrue="1" operator="equal">
      <formula>"Napkin Hs"</formula>
    </cfRule>
    <cfRule type="cellIs" dxfId="2930" priority="3741" stopIfTrue="1" operator="equal">
      <formula>"Towel"</formula>
    </cfRule>
    <cfRule type="cellIs" dxfId="2929" priority="3742" stopIfTrue="1" operator="equal">
      <formula>"Napkin Hs"</formula>
    </cfRule>
    <cfRule type="cellIs" dxfId="2928" priority="3747" stopIfTrue="1" operator="equal">
      <formula>"Towel"</formula>
    </cfRule>
    <cfRule type="cellIs" dxfId="2927" priority="3748" stopIfTrue="1" operator="equal">
      <formula>"Napkin Hs"</formula>
    </cfRule>
    <cfRule type="cellIs" dxfId="2926" priority="3753" stopIfTrue="1" operator="equal">
      <formula>"Towel"</formula>
    </cfRule>
    <cfRule type="cellIs" dxfId="2925" priority="3754" stopIfTrue="1" operator="equal">
      <formula>"Napkin Hs"</formula>
    </cfRule>
    <cfRule type="cellIs" dxfId="2924" priority="3759" stopIfTrue="1" operator="equal">
      <formula>"Towel"</formula>
    </cfRule>
    <cfRule type="cellIs" dxfId="2923" priority="3760" stopIfTrue="1" operator="equal">
      <formula>"Napkin Hs"</formula>
    </cfRule>
    <cfRule type="cellIs" dxfId="2922" priority="3765" stopIfTrue="1" operator="equal">
      <formula>"Towel"</formula>
    </cfRule>
    <cfRule type="cellIs" dxfId="2921" priority="3766" stopIfTrue="1" operator="equal">
      <formula>"Napkin Hs"</formula>
    </cfRule>
    <cfRule type="cellIs" dxfId="2920" priority="3771" stopIfTrue="1" operator="equal">
      <formula>"Towel"</formula>
    </cfRule>
    <cfRule type="cellIs" dxfId="2919" priority="3772" stopIfTrue="1" operator="equal">
      <formula>"Napkin Hs"</formula>
    </cfRule>
    <cfRule type="cellIs" dxfId="2918" priority="3777" stopIfTrue="1" operator="equal">
      <formula>"Towel"</formula>
    </cfRule>
    <cfRule type="cellIs" dxfId="2917" priority="3778" stopIfTrue="1" operator="equal">
      <formula>"Napkin Hs"</formula>
    </cfRule>
    <cfRule type="cellIs" dxfId="2916" priority="3783" stopIfTrue="1" operator="equal">
      <formula>"Towel"</formula>
    </cfRule>
    <cfRule type="cellIs" dxfId="2915" priority="3784" stopIfTrue="1" operator="equal">
      <formula>"Napkin Hs"</formula>
    </cfRule>
  </conditionalFormatting>
  <conditionalFormatting sqref="B120:C121">
    <cfRule type="cellIs" dxfId="2914" priority="3683" stopIfTrue="1" operator="equal">
      <formula>"Towel"</formula>
    </cfRule>
    <cfRule type="cellIs" dxfId="2913" priority="3684" stopIfTrue="1" operator="equal">
      <formula>"Napkin Hs"</formula>
    </cfRule>
    <cfRule type="cellIs" dxfId="2912" priority="3689" stopIfTrue="1" operator="equal">
      <formula>"Towel"</formula>
    </cfRule>
    <cfRule type="cellIs" dxfId="2911" priority="3690" stopIfTrue="1" operator="equal">
      <formula>"Napkin Hs"</formula>
    </cfRule>
    <cfRule type="cellIs" dxfId="2910" priority="3695" stopIfTrue="1" operator="equal">
      <formula>"Towel"</formula>
    </cfRule>
    <cfRule type="cellIs" dxfId="2909" priority="3696" stopIfTrue="1" operator="equal">
      <formula>"Napkin Hs"</formula>
    </cfRule>
    <cfRule type="cellIs" dxfId="2908" priority="3701" stopIfTrue="1" operator="equal">
      <formula>"Towel"</formula>
    </cfRule>
    <cfRule type="cellIs" dxfId="2907" priority="3702" stopIfTrue="1" operator="equal">
      <formula>"Napkin Hs"</formula>
    </cfRule>
    <cfRule type="cellIs" dxfId="2906" priority="3707" stopIfTrue="1" operator="equal">
      <formula>"Towel"</formula>
    </cfRule>
    <cfRule type="cellIs" dxfId="2905" priority="3708" stopIfTrue="1" operator="equal">
      <formula>"Napkin Hs"</formula>
    </cfRule>
    <cfRule type="cellIs" dxfId="2904" priority="3713" stopIfTrue="1" operator="equal">
      <formula>"Towel"</formula>
    </cfRule>
    <cfRule type="cellIs" dxfId="2903" priority="3714" stopIfTrue="1" operator="equal">
      <formula>"Napkin Hs"</formula>
    </cfRule>
    <cfRule type="cellIs" dxfId="2902" priority="3719" stopIfTrue="1" operator="equal">
      <formula>"Towel"</formula>
    </cfRule>
    <cfRule type="cellIs" dxfId="2901" priority="3720" stopIfTrue="1" operator="equal">
      <formula>"Napkin Hs"</formula>
    </cfRule>
    <cfRule type="cellIs" dxfId="2900" priority="3725" stopIfTrue="1" operator="equal">
      <formula>"Towel"</formula>
    </cfRule>
    <cfRule type="cellIs" dxfId="2899" priority="3726" stopIfTrue="1" operator="equal">
      <formula>"Napkin Hs"</formula>
    </cfRule>
    <cfRule type="cellIs" dxfId="2898" priority="3731" stopIfTrue="1" operator="equal">
      <formula>"Towel"</formula>
    </cfRule>
    <cfRule type="cellIs" dxfId="2897" priority="3732" stopIfTrue="1" operator="equal">
      <formula>"Napkin Hs"</formula>
    </cfRule>
  </conditionalFormatting>
  <conditionalFormatting sqref="C116 B117:C117">
    <cfRule type="cellIs" dxfId="2896" priority="3838" stopIfTrue="1" operator="equal">
      <formula>"Napkin Hs"</formula>
    </cfRule>
  </conditionalFormatting>
  <conditionalFormatting sqref="C116 B117:C118">
    <cfRule type="cellIs" dxfId="2895" priority="3837" stopIfTrue="1" operator="equal">
      <formula>"Towel"</formula>
    </cfRule>
  </conditionalFormatting>
  <conditionalFormatting sqref="C116 B117:C117">
    <cfRule type="cellIs" dxfId="2894" priority="3789" stopIfTrue="1" operator="equal">
      <formula>"Towel"</formula>
    </cfRule>
    <cfRule type="cellIs" dxfId="2893" priority="3790" stopIfTrue="1" operator="equal">
      <formula>"Napkin Hs"</formula>
    </cfRule>
    <cfRule type="cellIs" dxfId="2892" priority="3795" stopIfTrue="1" operator="equal">
      <formula>"Towel"</formula>
    </cfRule>
    <cfRule type="cellIs" dxfId="2891" priority="3796" stopIfTrue="1" operator="equal">
      <formula>"Napkin Hs"</formula>
    </cfRule>
    <cfRule type="cellIs" dxfId="2890" priority="3801" stopIfTrue="1" operator="equal">
      <formula>"Towel"</formula>
    </cfRule>
    <cfRule type="cellIs" dxfId="2889" priority="3802" stopIfTrue="1" operator="equal">
      <formula>"Napkin Hs"</formula>
    </cfRule>
    <cfRule type="cellIs" dxfId="2888" priority="3807" stopIfTrue="1" operator="equal">
      <formula>"Towel"</formula>
    </cfRule>
    <cfRule type="cellIs" dxfId="2887" priority="3808" stopIfTrue="1" operator="equal">
      <formula>"Napkin Hs"</formula>
    </cfRule>
    <cfRule type="cellIs" dxfId="2886" priority="3813" stopIfTrue="1" operator="equal">
      <formula>"Towel"</formula>
    </cfRule>
    <cfRule type="cellIs" dxfId="2885" priority="3814" stopIfTrue="1" operator="equal">
      <formula>"Napkin Hs"</formula>
    </cfRule>
    <cfRule type="cellIs" dxfId="2884" priority="3819" stopIfTrue="1" operator="equal">
      <formula>"Towel"</formula>
    </cfRule>
    <cfRule type="cellIs" dxfId="2883" priority="3820" stopIfTrue="1" operator="equal">
      <formula>"Napkin Hs"</formula>
    </cfRule>
    <cfRule type="cellIs" dxfId="2882" priority="3825" stopIfTrue="1" operator="equal">
      <formula>"Towel"</formula>
    </cfRule>
    <cfRule type="cellIs" dxfId="2881" priority="3826" stopIfTrue="1" operator="equal">
      <formula>"Napkin Hs"</formula>
    </cfRule>
  </conditionalFormatting>
  <conditionalFormatting sqref="C116:C117">
    <cfRule type="cellIs" dxfId="2880" priority="3785" stopIfTrue="1" operator="equal">
      <formula>"Towel"</formula>
    </cfRule>
    <cfRule type="cellIs" dxfId="2879" priority="3786" stopIfTrue="1" operator="equal">
      <formula>"Napkin Hs"</formula>
    </cfRule>
    <cfRule type="cellIs" dxfId="2878" priority="3787" stopIfTrue="1" operator="equal">
      <formula>"Towel"</formula>
    </cfRule>
    <cfRule type="cellIs" dxfId="2877" priority="3788" stopIfTrue="1" operator="equal">
      <formula>"Napkin Hs"</formula>
    </cfRule>
    <cfRule type="cellIs" dxfId="2876" priority="3791" stopIfTrue="1" operator="equal">
      <formula>"Towel"</formula>
    </cfRule>
    <cfRule type="cellIs" dxfId="2875" priority="3792" stopIfTrue="1" operator="equal">
      <formula>"Napkin Hs"</formula>
    </cfRule>
    <cfRule type="cellIs" dxfId="2874" priority="3793" stopIfTrue="1" operator="equal">
      <formula>"Towel"</formula>
    </cfRule>
    <cfRule type="cellIs" dxfId="2873" priority="3794" stopIfTrue="1" operator="equal">
      <formula>"Napkin Hs"</formula>
    </cfRule>
    <cfRule type="cellIs" dxfId="2872" priority="3797" stopIfTrue="1" operator="equal">
      <formula>"Towel"</formula>
    </cfRule>
    <cfRule type="cellIs" dxfId="2871" priority="3798" stopIfTrue="1" operator="equal">
      <formula>"Napkin Hs"</formula>
    </cfRule>
    <cfRule type="cellIs" dxfId="2870" priority="3799" stopIfTrue="1" operator="equal">
      <formula>"Towel"</formula>
    </cfRule>
    <cfRule type="cellIs" dxfId="2869" priority="3800" stopIfTrue="1" operator="equal">
      <formula>"Napkin Hs"</formula>
    </cfRule>
    <cfRule type="cellIs" dxfId="2868" priority="3803" stopIfTrue="1" operator="equal">
      <formula>"Towel"</formula>
    </cfRule>
    <cfRule type="cellIs" dxfId="2867" priority="3804" stopIfTrue="1" operator="equal">
      <formula>"Napkin Hs"</formula>
    </cfRule>
    <cfRule type="cellIs" dxfId="2866" priority="3805" stopIfTrue="1" operator="equal">
      <formula>"Towel"</formula>
    </cfRule>
    <cfRule type="cellIs" dxfId="2865" priority="3806" stopIfTrue="1" operator="equal">
      <formula>"Napkin Hs"</formula>
    </cfRule>
    <cfRule type="cellIs" dxfId="2864" priority="3809" stopIfTrue="1" operator="equal">
      <formula>"Towel"</formula>
    </cfRule>
    <cfRule type="cellIs" dxfId="2863" priority="3810" stopIfTrue="1" operator="equal">
      <formula>"Napkin Hs"</formula>
    </cfRule>
    <cfRule type="cellIs" dxfId="2862" priority="3811" stopIfTrue="1" operator="equal">
      <formula>"Towel"</formula>
    </cfRule>
    <cfRule type="cellIs" dxfId="2861" priority="3812" stopIfTrue="1" operator="equal">
      <formula>"Napkin Hs"</formula>
    </cfRule>
    <cfRule type="cellIs" dxfId="2860" priority="3815" stopIfTrue="1" operator="equal">
      <formula>"Towel"</formula>
    </cfRule>
    <cfRule type="cellIs" dxfId="2859" priority="3816" stopIfTrue="1" operator="equal">
      <formula>"Napkin Hs"</formula>
    </cfRule>
    <cfRule type="cellIs" dxfId="2858" priority="3817" stopIfTrue="1" operator="equal">
      <formula>"Towel"</formula>
    </cfRule>
    <cfRule type="cellIs" dxfId="2857" priority="3818" stopIfTrue="1" operator="equal">
      <formula>"Napkin Hs"</formula>
    </cfRule>
    <cfRule type="cellIs" dxfId="2856" priority="3821" stopIfTrue="1" operator="equal">
      <formula>"Towel"</formula>
    </cfRule>
    <cfRule type="cellIs" dxfId="2855" priority="3822" stopIfTrue="1" operator="equal">
      <formula>"Napkin Hs"</formula>
    </cfRule>
    <cfRule type="cellIs" dxfId="2854" priority="3823" stopIfTrue="1" operator="equal">
      <formula>"Towel"</formula>
    </cfRule>
    <cfRule type="cellIs" dxfId="2853" priority="3824" stopIfTrue="1" operator="equal">
      <formula>"Napkin Hs"</formula>
    </cfRule>
    <cfRule type="cellIs" dxfId="2852" priority="3827" stopIfTrue="1" operator="equal">
      <formula>"Towel"</formula>
    </cfRule>
    <cfRule type="cellIs" dxfId="2851" priority="3828" stopIfTrue="1" operator="equal">
      <formula>"Napkin Hs"</formula>
    </cfRule>
    <cfRule type="cellIs" dxfId="2850" priority="3829" stopIfTrue="1" operator="equal">
      <formula>"Towel"</formula>
    </cfRule>
    <cfRule type="cellIs" dxfId="2849" priority="3830" stopIfTrue="1" operator="equal">
      <formula>"Napkin Hs"</formula>
    </cfRule>
    <cfRule type="cellIs" dxfId="2848" priority="3833" stopIfTrue="1" operator="equal">
      <formula>"Towel"</formula>
    </cfRule>
    <cfRule type="cellIs" dxfId="2847" priority="3834" stopIfTrue="1" operator="equal">
      <formula>"Napkin Hs"</formula>
    </cfRule>
  </conditionalFormatting>
  <conditionalFormatting sqref="C116:C118">
    <cfRule type="cellIs" dxfId="2846" priority="3835" stopIfTrue="1" operator="equal">
      <formula>"Towel"</formula>
    </cfRule>
    <cfRule type="cellIs" dxfId="2845" priority="3836" stopIfTrue="1" operator="equal">
      <formula>"Napkin Hs"</formula>
    </cfRule>
  </conditionalFormatting>
  <conditionalFormatting sqref="C118">
    <cfRule type="cellIs" dxfId="2844" priority="3856" stopIfTrue="1" operator="equal">
      <formula>"Towel"</formula>
    </cfRule>
    <cfRule type="cellIs" dxfId="2843" priority="3857" stopIfTrue="1" operator="equal">
      <formula>"Napkin Hs"</formula>
    </cfRule>
  </conditionalFormatting>
  <conditionalFormatting sqref="C119">
    <cfRule type="cellIs" dxfId="2842" priority="3733" stopIfTrue="1" operator="equal">
      <formula>"Towel"</formula>
    </cfRule>
    <cfRule type="cellIs" dxfId="2841" priority="3734" stopIfTrue="1" operator="equal">
      <formula>"Napkin Hs"</formula>
    </cfRule>
    <cfRule type="cellIs" dxfId="2840" priority="3737" stopIfTrue="1" operator="equal">
      <formula>"Towel"</formula>
    </cfRule>
    <cfRule type="cellIs" dxfId="2839" priority="3738" stopIfTrue="1" operator="equal">
      <formula>"Napkin Hs"</formula>
    </cfRule>
    <cfRule type="cellIs" dxfId="2838" priority="3739" stopIfTrue="1" operator="equal">
      <formula>"Towel"</formula>
    </cfRule>
    <cfRule type="cellIs" dxfId="2837" priority="3740" stopIfTrue="1" operator="equal">
      <formula>"Napkin Hs"</formula>
    </cfRule>
    <cfRule type="cellIs" dxfId="2836" priority="3743" stopIfTrue="1" operator="equal">
      <formula>"Towel"</formula>
    </cfRule>
    <cfRule type="cellIs" dxfId="2835" priority="3744" stopIfTrue="1" operator="equal">
      <formula>"Napkin Hs"</formula>
    </cfRule>
    <cfRule type="cellIs" dxfId="2834" priority="3745" stopIfTrue="1" operator="equal">
      <formula>"Towel"</formula>
    </cfRule>
    <cfRule type="cellIs" dxfId="2833" priority="3746" stopIfTrue="1" operator="equal">
      <formula>"Napkin Hs"</formula>
    </cfRule>
    <cfRule type="cellIs" dxfId="2832" priority="3749" stopIfTrue="1" operator="equal">
      <formula>"Towel"</formula>
    </cfRule>
    <cfRule type="cellIs" dxfId="2831" priority="3750" stopIfTrue="1" operator="equal">
      <formula>"Napkin Hs"</formula>
    </cfRule>
    <cfRule type="cellIs" dxfId="2830" priority="3751" stopIfTrue="1" operator="equal">
      <formula>"Towel"</formula>
    </cfRule>
    <cfRule type="cellIs" dxfId="2829" priority="3752" stopIfTrue="1" operator="equal">
      <formula>"Napkin Hs"</formula>
    </cfRule>
    <cfRule type="cellIs" dxfId="2828" priority="3755" stopIfTrue="1" operator="equal">
      <formula>"Towel"</formula>
    </cfRule>
    <cfRule type="cellIs" dxfId="2827" priority="3756" stopIfTrue="1" operator="equal">
      <formula>"Napkin Hs"</formula>
    </cfRule>
    <cfRule type="cellIs" dxfId="2826" priority="3757" stopIfTrue="1" operator="equal">
      <formula>"Towel"</formula>
    </cfRule>
    <cfRule type="cellIs" dxfId="2825" priority="3758" stopIfTrue="1" operator="equal">
      <formula>"Napkin Hs"</formula>
    </cfRule>
    <cfRule type="cellIs" dxfId="2824" priority="3761" stopIfTrue="1" operator="equal">
      <formula>"Towel"</formula>
    </cfRule>
    <cfRule type="cellIs" dxfId="2823" priority="3762" stopIfTrue="1" operator="equal">
      <formula>"Napkin Hs"</formula>
    </cfRule>
    <cfRule type="cellIs" dxfId="2822" priority="3763" stopIfTrue="1" operator="equal">
      <formula>"Towel"</formula>
    </cfRule>
    <cfRule type="cellIs" dxfId="2821" priority="3764" stopIfTrue="1" operator="equal">
      <formula>"Napkin Hs"</formula>
    </cfRule>
    <cfRule type="cellIs" dxfId="2820" priority="3767" stopIfTrue="1" operator="equal">
      <formula>"Towel"</formula>
    </cfRule>
    <cfRule type="cellIs" dxfId="2819" priority="3768" stopIfTrue="1" operator="equal">
      <formula>"Napkin Hs"</formula>
    </cfRule>
    <cfRule type="cellIs" dxfId="2818" priority="3769" stopIfTrue="1" operator="equal">
      <formula>"Towel"</formula>
    </cfRule>
    <cfRule type="cellIs" dxfId="2817" priority="3770" stopIfTrue="1" operator="equal">
      <formula>"Napkin Hs"</formula>
    </cfRule>
    <cfRule type="cellIs" dxfId="2816" priority="3773" stopIfTrue="1" operator="equal">
      <formula>"Towel"</formula>
    </cfRule>
    <cfRule type="cellIs" dxfId="2815" priority="3774" stopIfTrue="1" operator="equal">
      <formula>"Napkin Hs"</formula>
    </cfRule>
    <cfRule type="cellIs" dxfId="2814" priority="3775" stopIfTrue="1" operator="equal">
      <formula>"Towel"</formula>
    </cfRule>
    <cfRule type="cellIs" dxfId="2813" priority="3776" stopIfTrue="1" operator="equal">
      <formula>"Napkin Hs"</formula>
    </cfRule>
    <cfRule type="cellIs" dxfId="2812" priority="3779" stopIfTrue="1" operator="equal">
      <formula>"Towel"</formula>
    </cfRule>
    <cfRule type="cellIs" dxfId="2811" priority="3780" stopIfTrue="1" operator="equal">
      <formula>"Napkin Hs"</formula>
    </cfRule>
    <cfRule type="cellIs" dxfId="2810" priority="3781" stopIfTrue="1" operator="equal">
      <formula>"Towel"</formula>
    </cfRule>
    <cfRule type="cellIs" dxfId="2809" priority="3782" stopIfTrue="1" operator="equal">
      <formula>"Napkin Hs"</formula>
    </cfRule>
  </conditionalFormatting>
  <conditionalFormatting sqref="C119:C121">
    <cfRule type="cellIs" dxfId="2808" priority="3729" stopIfTrue="1" operator="equal">
      <formula>"Towel"</formula>
    </cfRule>
    <cfRule type="cellIs" dxfId="2807" priority="3730" stopIfTrue="1" operator="equal">
      <formula>"Napkin Hs"</formula>
    </cfRule>
  </conditionalFormatting>
  <conditionalFormatting sqref="C120:C121">
    <cfRule type="cellIs" dxfId="2806" priority="3679" stopIfTrue="1" operator="equal">
      <formula>"Towel"</formula>
    </cfRule>
    <cfRule type="cellIs" dxfId="2805" priority="3680" stopIfTrue="1" operator="equal">
      <formula>"Napkin Hs"</formula>
    </cfRule>
    <cfRule type="cellIs" dxfId="2804" priority="3681" stopIfTrue="1" operator="equal">
      <formula>"Towel"</formula>
    </cfRule>
    <cfRule type="cellIs" dxfId="2803" priority="3682" stopIfTrue="1" operator="equal">
      <formula>"Napkin Hs"</formula>
    </cfRule>
    <cfRule type="cellIs" dxfId="2802" priority="3685" stopIfTrue="1" operator="equal">
      <formula>"Towel"</formula>
    </cfRule>
    <cfRule type="cellIs" dxfId="2801" priority="3686" stopIfTrue="1" operator="equal">
      <formula>"Napkin Hs"</formula>
    </cfRule>
    <cfRule type="cellIs" dxfId="2800" priority="3687" stopIfTrue="1" operator="equal">
      <formula>"Towel"</formula>
    </cfRule>
    <cfRule type="cellIs" dxfId="2799" priority="3688" stopIfTrue="1" operator="equal">
      <formula>"Napkin Hs"</formula>
    </cfRule>
    <cfRule type="cellIs" dxfId="2798" priority="3691" stopIfTrue="1" operator="equal">
      <formula>"Towel"</formula>
    </cfRule>
    <cfRule type="cellIs" dxfId="2797" priority="3692" stopIfTrue="1" operator="equal">
      <formula>"Napkin Hs"</formula>
    </cfRule>
    <cfRule type="cellIs" dxfId="2796" priority="3693" stopIfTrue="1" operator="equal">
      <formula>"Towel"</formula>
    </cfRule>
    <cfRule type="cellIs" dxfId="2795" priority="3694" stopIfTrue="1" operator="equal">
      <formula>"Napkin Hs"</formula>
    </cfRule>
    <cfRule type="cellIs" dxfId="2794" priority="3697" stopIfTrue="1" operator="equal">
      <formula>"Towel"</formula>
    </cfRule>
    <cfRule type="cellIs" dxfId="2793" priority="3698" stopIfTrue="1" operator="equal">
      <formula>"Napkin Hs"</formula>
    </cfRule>
    <cfRule type="cellIs" dxfId="2792" priority="3699" stopIfTrue="1" operator="equal">
      <formula>"Towel"</formula>
    </cfRule>
    <cfRule type="cellIs" dxfId="2791" priority="3700" stopIfTrue="1" operator="equal">
      <formula>"Napkin Hs"</formula>
    </cfRule>
    <cfRule type="cellIs" dxfId="2790" priority="3703" stopIfTrue="1" operator="equal">
      <formula>"Towel"</formula>
    </cfRule>
    <cfRule type="cellIs" dxfId="2789" priority="3704" stopIfTrue="1" operator="equal">
      <formula>"Napkin Hs"</formula>
    </cfRule>
    <cfRule type="cellIs" dxfId="2788" priority="3705" stopIfTrue="1" operator="equal">
      <formula>"Towel"</formula>
    </cfRule>
    <cfRule type="cellIs" dxfId="2787" priority="3706" stopIfTrue="1" operator="equal">
      <formula>"Napkin Hs"</formula>
    </cfRule>
    <cfRule type="cellIs" dxfId="2786" priority="3709" stopIfTrue="1" operator="equal">
      <formula>"Towel"</formula>
    </cfRule>
    <cfRule type="cellIs" dxfId="2785" priority="3710" stopIfTrue="1" operator="equal">
      <formula>"Napkin Hs"</formula>
    </cfRule>
    <cfRule type="cellIs" dxfId="2784" priority="3711" stopIfTrue="1" operator="equal">
      <formula>"Towel"</formula>
    </cfRule>
    <cfRule type="cellIs" dxfId="2783" priority="3712" stopIfTrue="1" operator="equal">
      <formula>"Napkin Hs"</formula>
    </cfRule>
    <cfRule type="cellIs" dxfId="2782" priority="3715" stopIfTrue="1" operator="equal">
      <formula>"Towel"</formula>
    </cfRule>
    <cfRule type="cellIs" dxfId="2781" priority="3716" stopIfTrue="1" operator="equal">
      <formula>"Napkin Hs"</formula>
    </cfRule>
    <cfRule type="cellIs" dxfId="2780" priority="3717" stopIfTrue="1" operator="equal">
      <formula>"Towel"</formula>
    </cfRule>
    <cfRule type="cellIs" dxfId="2779" priority="3718" stopIfTrue="1" operator="equal">
      <formula>"Napkin Hs"</formula>
    </cfRule>
    <cfRule type="cellIs" dxfId="2778" priority="3721" stopIfTrue="1" operator="equal">
      <formula>"Towel"</formula>
    </cfRule>
    <cfRule type="cellIs" dxfId="2777" priority="3722" stopIfTrue="1" operator="equal">
      <formula>"Napkin Hs"</formula>
    </cfRule>
    <cfRule type="cellIs" dxfId="2776" priority="3723" stopIfTrue="1" operator="equal">
      <formula>"Towel"</formula>
    </cfRule>
    <cfRule type="cellIs" dxfId="2775" priority="3724" stopIfTrue="1" operator="equal">
      <formula>"Napkin Hs"</formula>
    </cfRule>
    <cfRule type="cellIs" dxfId="2774" priority="3727" stopIfTrue="1" operator="equal">
      <formula>"Towel"</formula>
    </cfRule>
    <cfRule type="cellIs" dxfId="2773" priority="3728" stopIfTrue="1" operator="equal">
      <formula>"Napkin Hs"</formula>
    </cfRule>
  </conditionalFormatting>
  <conditionalFormatting sqref="B120">
    <cfRule type="cellIs" dxfId="2772" priority="3663" stopIfTrue="1" operator="equal">
      <formula>"Towel"</formula>
    </cfRule>
    <cfRule type="cellIs" dxfId="2771" priority="3664" stopIfTrue="1" operator="equal">
      <formula>"Napkin Hs"</formula>
    </cfRule>
    <cfRule type="cellIs" dxfId="2770" priority="3665" stopIfTrue="1" operator="equal">
      <formula>"Towel"</formula>
    </cfRule>
    <cfRule type="cellIs" dxfId="2769" priority="3666" stopIfTrue="1" operator="equal">
      <formula>"Napkin Hs"</formula>
    </cfRule>
    <cfRule type="cellIs" dxfId="2768" priority="3667" stopIfTrue="1" operator="equal">
      <formula>"Towel"</formula>
    </cfRule>
    <cfRule type="cellIs" dxfId="2767" priority="3668" stopIfTrue="1" operator="equal">
      <formula>"Napkin Hs"</formula>
    </cfRule>
    <cfRule type="cellIs" dxfId="2766" priority="3669" stopIfTrue="1" operator="equal">
      <formula>"Towel"</formula>
    </cfRule>
    <cfRule type="cellIs" dxfId="2765" priority="3670" stopIfTrue="1" operator="equal">
      <formula>"Napkin Hs"</formula>
    </cfRule>
    <cfRule type="cellIs" dxfId="2764" priority="3671" stopIfTrue="1" operator="equal">
      <formula>"Towel"</formula>
    </cfRule>
    <cfRule type="cellIs" dxfId="2763" priority="3672" stopIfTrue="1" operator="equal">
      <formula>"Napkin Hs"</formula>
    </cfRule>
    <cfRule type="cellIs" dxfId="2762" priority="3673" stopIfTrue="1" operator="equal">
      <formula>"Towel"</formula>
    </cfRule>
    <cfRule type="cellIs" dxfId="2761" priority="3674" stopIfTrue="1" operator="equal">
      <formula>"Napkin Hs"</formula>
    </cfRule>
    <cfRule type="cellIs" dxfId="2760" priority="3675" stopIfTrue="1" operator="equal">
      <formula>"Towel"</formula>
    </cfRule>
    <cfRule type="cellIs" dxfId="2759" priority="3676" stopIfTrue="1" operator="equal">
      <formula>"Napkin Hs"</formula>
    </cfRule>
    <cfRule type="cellIs" dxfId="2758" priority="3677" stopIfTrue="1" operator="equal">
      <formula>"Towel"</formula>
    </cfRule>
    <cfRule type="cellIs" dxfId="2757" priority="3678" stopIfTrue="1" operator="equal">
      <formula>"Napkin Hs"</formula>
    </cfRule>
  </conditionalFormatting>
  <conditionalFormatting sqref="B120:C121">
    <cfRule type="cellIs" dxfId="2756" priority="3655" stopIfTrue="1" operator="equal">
      <formula>"Towel"</formula>
    </cfRule>
    <cfRule type="cellIs" dxfId="2755" priority="3656" stopIfTrue="1" operator="equal">
      <formula>"Napkin Hs"</formula>
    </cfRule>
  </conditionalFormatting>
  <conditionalFormatting sqref="C120 B121:C121">
    <cfRule type="cellIs" dxfId="2754" priority="3662" stopIfTrue="1" operator="equal">
      <formula>"Napkin Hs"</formula>
    </cfRule>
  </conditionalFormatting>
  <conditionalFormatting sqref="C120 B121:C121">
    <cfRule type="cellIs" dxfId="2753" priority="3661" stopIfTrue="1" operator="equal">
      <formula>"Towel"</formula>
    </cfRule>
  </conditionalFormatting>
  <conditionalFormatting sqref="C120 B121:C121">
    <cfRule type="cellIs" dxfId="2752" priority="3613" stopIfTrue="1" operator="equal">
      <formula>"Towel"</formula>
    </cfRule>
    <cfRule type="cellIs" dxfId="2751" priority="3614" stopIfTrue="1" operator="equal">
      <formula>"Napkin Hs"</formula>
    </cfRule>
    <cfRule type="cellIs" dxfId="2750" priority="3619" stopIfTrue="1" operator="equal">
      <formula>"Towel"</formula>
    </cfRule>
    <cfRule type="cellIs" dxfId="2749" priority="3620" stopIfTrue="1" operator="equal">
      <formula>"Napkin Hs"</formula>
    </cfRule>
    <cfRule type="cellIs" dxfId="2748" priority="3625" stopIfTrue="1" operator="equal">
      <formula>"Towel"</formula>
    </cfRule>
    <cfRule type="cellIs" dxfId="2747" priority="3626" stopIfTrue="1" operator="equal">
      <formula>"Napkin Hs"</formula>
    </cfRule>
    <cfRule type="cellIs" dxfId="2746" priority="3631" stopIfTrue="1" operator="equal">
      <formula>"Towel"</formula>
    </cfRule>
    <cfRule type="cellIs" dxfId="2745" priority="3632" stopIfTrue="1" operator="equal">
      <formula>"Napkin Hs"</formula>
    </cfRule>
    <cfRule type="cellIs" dxfId="2744" priority="3637" stopIfTrue="1" operator="equal">
      <formula>"Towel"</formula>
    </cfRule>
    <cfRule type="cellIs" dxfId="2743" priority="3638" stopIfTrue="1" operator="equal">
      <formula>"Napkin Hs"</formula>
    </cfRule>
    <cfRule type="cellIs" dxfId="2742" priority="3643" stopIfTrue="1" operator="equal">
      <formula>"Towel"</formula>
    </cfRule>
    <cfRule type="cellIs" dxfId="2741" priority="3644" stopIfTrue="1" operator="equal">
      <formula>"Napkin Hs"</formula>
    </cfRule>
    <cfRule type="cellIs" dxfId="2740" priority="3649" stopIfTrue="1" operator="equal">
      <formula>"Towel"</formula>
    </cfRule>
    <cfRule type="cellIs" dxfId="2739" priority="3650" stopIfTrue="1" operator="equal">
      <formula>"Napkin Hs"</formula>
    </cfRule>
  </conditionalFormatting>
  <conditionalFormatting sqref="C120:C121">
    <cfRule type="cellIs" dxfId="2738" priority="3609" stopIfTrue="1" operator="equal">
      <formula>"Towel"</formula>
    </cfRule>
    <cfRule type="cellIs" dxfId="2737" priority="3610" stopIfTrue="1" operator="equal">
      <formula>"Napkin Hs"</formula>
    </cfRule>
    <cfRule type="cellIs" dxfId="2736" priority="3611" stopIfTrue="1" operator="equal">
      <formula>"Towel"</formula>
    </cfRule>
    <cfRule type="cellIs" dxfId="2735" priority="3612" stopIfTrue="1" operator="equal">
      <formula>"Napkin Hs"</formula>
    </cfRule>
    <cfRule type="cellIs" dxfId="2734" priority="3615" stopIfTrue="1" operator="equal">
      <formula>"Towel"</formula>
    </cfRule>
    <cfRule type="cellIs" dxfId="2733" priority="3616" stopIfTrue="1" operator="equal">
      <formula>"Napkin Hs"</formula>
    </cfRule>
    <cfRule type="cellIs" dxfId="2732" priority="3617" stopIfTrue="1" operator="equal">
      <formula>"Towel"</formula>
    </cfRule>
    <cfRule type="cellIs" dxfId="2731" priority="3618" stopIfTrue="1" operator="equal">
      <formula>"Napkin Hs"</formula>
    </cfRule>
    <cfRule type="cellIs" dxfId="2730" priority="3621" stopIfTrue="1" operator="equal">
      <formula>"Towel"</formula>
    </cfRule>
    <cfRule type="cellIs" dxfId="2729" priority="3622" stopIfTrue="1" operator="equal">
      <formula>"Napkin Hs"</formula>
    </cfRule>
    <cfRule type="cellIs" dxfId="2728" priority="3623" stopIfTrue="1" operator="equal">
      <formula>"Towel"</formula>
    </cfRule>
    <cfRule type="cellIs" dxfId="2727" priority="3624" stopIfTrue="1" operator="equal">
      <formula>"Napkin Hs"</formula>
    </cfRule>
    <cfRule type="cellIs" dxfId="2726" priority="3627" stopIfTrue="1" operator="equal">
      <formula>"Towel"</formula>
    </cfRule>
    <cfRule type="cellIs" dxfId="2725" priority="3628" stopIfTrue="1" operator="equal">
      <formula>"Napkin Hs"</formula>
    </cfRule>
    <cfRule type="cellIs" dxfId="2724" priority="3629" stopIfTrue="1" operator="equal">
      <formula>"Towel"</formula>
    </cfRule>
    <cfRule type="cellIs" dxfId="2723" priority="3630" stopIfTrue="1" operator="equal">
      <formula>"Napkin Hs"</formula>
    </cfRule>
    <cfRule type="cellIs" dxfId="2722" priority="3633" stopIfTrue="1" operator="equal">
      <formula>"Towel"</formula>
    </cfRule>
    <cfRule type="cellIs" dxfId="2721" priority="3634" stopIfTrue="1" operator="equal">
      <formula>"Napkin Hs"</formula>
    </cfRule>
    <cfRule type="cellIs" dxfId="2720" priority="3635" stopIfTrue="1" operator="equal">
      <formula>"Towel"</formula>
    </cfRule>
    <cfRule type="cellIs" dxfId="2719" priority="3636" stopIfTrue="1" operator="equal">
      <formula>"Napkin Hs"</formula>
    </cfRule>
    <cfRule type="cellIs" dxfId="2718" priority="3639" stopIfTrue="1" operator="equal">
      <formula>"Towel"</formula>
    </cfRule>
    <cfRule type="cellIs" dxfId="2717" priority="3640" stopIfTrue="1" operator="equal">
      <formula>"Napkin Hs"</formula>
    </cfRule>
    <cfRule type="cellIs" dxfId="2716" priority="3641" stopIfTrue="1" operator="equal">
      <formula>"Towel"</formula>
    </cfRule>
    <cfRule type="cellIs" dxfId="2715" priority="3642" stopIfTrue="1" operator="equal">
      <formula>"Napkin Hs"</formula>
    </cfRule>
    <cfRule type="cellIs" dxfId="2714" priority="3645" stopIfTrue="1" operator="equal">
      <formula>"Towel"</formula>
    </cfRule>
    <cfRule type="cellIs" dxfId="2713" priority="3646" stopIfTrue="1" operator="equal">
      <formula>"Napkin Hs"</formula>
    </cfRule>
    <cfRule type="cellIs" dxfId="2712" priority="3647" stopIfTrue="1" operator="equal">
      <formula>"Towel"</formula>
    </cfRule>
    <cfRule type="cellIs" dxfId="2711" priority="3648" stopIfTrue="1" operator="equal">
      <formula>"Napkin Hs"</formula>
    </cfRule>
    <cfRule type="cellIs" dxfId="2710" priority="3651" stopIfTrue="1" operator="equal">
      <formula>"Towel"</formula>
    </cfRule>
    <cfRule type="cellIs" dxfId="2709" priority="3652" stopIfTrue="1" operator="equal">
      <formula>"Napkin Hs"</formula>
    </cfRule>
    <cfRule type="cellIs" dxfId="2708" priority="3653" stopIfTrue="1" operator="equal">
      <formula>"Towel"</formula>
    </cfRule>
    <cfRule type="cellIs" dxfId="2707" priority="3654" stopIfTrue="1" operator="equal">
      <formula>"Napkin Hs"</formula>
    </cfRule>
    <cfRule type="cellIs" dxfId="2706" priority="3657" stopIfTrue="1" operator="equal">
      <formula>"Towel"</formula>
    </cfRule>
    <cfRule type="cellIs" dxfId="2705" priority="3658" stopIfTrue="1" operator="equal">
      <formula>"Napkin Hs"</formula>
    </cfRule>
  </conditionalFormatting>
  <conditionalFormatting sqref="C120:C121">
    <cfRule type="cellIs" dxfId="2704" priority="3659" stopIfTrue="1" operator="equal">
      <formula>"Towel"</formula>
    </cfRule>
    <cfRule type="cellIs" dxfId="2703" priority="3660" stopIfTrue="1" operator="equal">
      <formula>"Napkin Hs"</formula>
    </cfRule>
  </conditionalFormatting>
  <conditionalFormatting sqref="B118:B119">
    <cfRule type="cellIs" dxfId="2702" priority="3459" stopIfTrue="1" operator="equal">
      <formula>"Towel"</formula>
    </cfRule>
    <cfRule type="cellIs" dxfId="2701" priority="3460" stopIfTrue="1" operator="equal">
      <formula>"Napkin Hs"</formula>
    </cfRule>
  </conditionalFormatting>
  <conditionalFormatting sqref="B116:C116">
    <cfRule type="cellIs" dxfId="2700" priority="3297" stopIfTrue="1" operator="equal">
      <formula>"Towel"</formula>
    </cfRule>
    <cfRule type="cellIs" dxfId="2699" priority="3298" stopIfTrue="1" operator="equal">
      <formula>"Napkin Hs"</formula>
    </cfRule>
    <cfRule type="cellIs" dxfId="2698" priority="3303" stopIfTrue="1" operator="equal">
      <formula>"Towel"</formula>
    </cfRule>
    <cfRule type="cellIs" dxfId="2697" priority="3304" stopIfTrue="1" operator="equal">
      <formula>"Napkin Hs"</formula>
    </cfRule>
    <cfRule type="cellIs" dxfId="2696" priority="3309" stopIfTrue="1" operator="equal">
      <formula>"Towel"</formula>
    </cfRule>
    <cfRule type="cellIs" dxfId="2695" priority="3310" stopIfTrue="1" operator="equal">
      <formula>"Napkin Hs"</formula>
    </cfRule>
    <cfRule type="cellIs" dxfId="2694" priority="3315" stopIfTrue="1" operator="equal">
      <formula>"Towel"</formula>
    </cfRule>
    <cfRule type="cellIs" dxfId="2693" priority="3316" stopIfTrue="1" operator="equal">
      <formula>"Napkin Hs"</formula>
    </cfRule>
    <cfRule type="cellIs" dxfId="2692" priority="3321" stopIfTrue="1" operator="equal">
      <formula>"Towel"</formula>
    </cfRule>
    <cfRule type="cellIs" dxfId="2691" priority="3322" stopIfTrue="1" operator="equal">
      <formula>"Napkin Hs"</formula>
    </cfRule>
    <cfRule type="cellIs" dxfId="2690" priority="3327" stopIfTrue="1" operator="equal">
      <formula>"Towel"</formula>
    </cfRule>
    <cfRule type="cellIs" dxfId="2689" priority="3328" stopIfTrue="1" operator="equal">
      <formula>"Napkin Hs"</formula>
    </cfRule>
    <cfRule type="cellIs" dxfId="2688" priority="3331" stopIfTrue="1" operator="equal">
      <formula>"Towel"</formula>
    </cfRule>
    <cfRule type="cellIs" dxfId="2687" priority="3332" stopIfTrue="1" operator="equal">
      <formula>"Napkin Hs"</formula>
    </cfRule>
    <cfRule type="cellIs" dxfId="2686" priority="3339" stopIfTrue="1" operator="equal">
      <formula>"Towel"</formula>
    </cfRule>
    <cfRule type="cellIs" dxfId="2685" priority="3340" stopIfTrue="1" operator="equal">
      <formula>"Napkin Hs"</formula>
    </cfRule>
    <cfRule type="cellIs" dxfId="2684" priority="3345" stopIfTrue="1" operator="equal">
      <formula>"Towel"</formula>
    </cfRule>
    <cfRule type="cellIs" dxfId="2683" priority="3346" stopIfTrue="1" operator="equal">
      <formula>"Napkin Hs"</formula>
    </cfRule>
    <cfRule type="cellIs" dxfId="2682" priority="3351" stopIfTrue="1" operator="equal">
      <formula>"Towel"</formula>
    </cfRule>
    <cfRule type="cellIs" dxfId="2681" priority="3352" stopIfTrue="1" operator="equal">
      <formula>"Napkin Hs"</formula>
    </cfRule>
    <cfRule type="cellIs" dxfId="2680" priority="3357" stopIfTrue="1" operator="equal">
      <formula>"Towel"</formula>
    </cfRule>
    <cfRule type="cellIs" dxfId="2679" priority="3358" stopIfTrue="1" operator="equal">
      <formula>"Napkin Hs"</formula>
    </cfRule>
    <cfRule type="cellIs" dxfId="2678" priority="3363" stopIfTrue="1" operator="equal">
      <formula>"Towel"</formula>
    </cfRule>
    <cfRule type="cellIs" dxfId="2677" priority="3364" stopIfTrue="1" operator="equal">
      <formula>"Napkin Hs"</formula>
    </cfRule>
    <cfRule type="cellIs" dxfId="2676" priority="3369" stopIfTrue="1" operator="equal">
      <formula>"Towel"</formula>
    </cfRule>
    <cfRule type="cellIs" dxfId="2675" priority="3370" stopIfTrue="1" operator="equal">
      <formula>"Napkin Hs"</formula>
    </cfRule>
    <cfRule type="cellIs" dxfId="2674" priority="3375" stopIfTrue="1" operator="equal">
      <formula>"Towel"</formula>
    </cfRule>
    <cfRule type="cellIs" dxfId="2673" priority="3376" stopIfTrue="1" operator="equal">
      <formula>"Napkin Hs"</formula>
    </cfRule>
  </conditionalFormatting>
  <conditionalFormatting sqref="B117:C117">
    <cfRule type="cellIs" dxfId="2672" priority="3379" stopIfTrue="1" operator="equal">
      <formula>"Towel"</formula>
    </cfRule>
    <cfRule type="cellIs" dxfId="2671" priority="3380" stopIfTrue="1" operator="equal">
      <formula>"Napkin Hs"</formula>
    </cfRule>
    <cfRule type="cellIs" dxfId="2670" priority="3385" stopIfTrue="1" operator="equal">
      <formula>"Towel"</formula>
    </cfRule>
    <cfRule type="cellIs" dxfId="2669" priority="3386" stopIfTrue="1" operator="equal">
      <formula>"Napkin Hs"</formula>
    </cfRule>
    <cfRule type="cellIs" dxfId="2668" priority="3391" stopIfTrue="1" operator="equal">
      <formula>"Towel"</formula>
    </cfRule>
    <cfRule type="cellIs" dxfId="2667" priority="3392" stopIfTrue="1" operator="equal">
      <formula>"Napkin Hs"</formula>
    </cfRule>
    <cfRule type="cellIs" dxfId="2666" priority="3397" stopIfTrue="1" operator="equal">
      <formula>"Towel"</formula>
    </cfRule>
    <cfRule type="cellIs" dxfId="2665" priority="3398" stopIfTrue="1" operator="equal">
      <formula>"Napkin Hs"</formula>
    </cfRule>
    <cfRule type="cellIs" dxfId="2664" priority="3403" stopIfTrue="1" operator="equal">
      <formula>"Towel"</formula>
    </cfRule>
    <cfRule type="cellIs" dxfId="2663" priority="3404" stopIfTrue="1" operator="equal">
      <formula>"Napkin Hs"</formula>
    </cfRule>
    <cfRule type="cellIs" dxfId="2662" priority="3409" stopIfTrue="1" operator="equal">
      <formula>"Towel"</formula>
    </cfRule>
    <cfRule type="cellIs" dxfId="2661" priority="3410" stopIfTrue="1" operator="equal">
      <formula>"Napkin Hs"</formula>
    </cfRule>
    <cfRule type="cellIs" dxfId="2660" priority="3413" stopIfTrue="1" operator="equal">
      <formula>"Towel"</formula>
    </cfRule>
    <cfRule type="cellIs" dxfId="2659" priority="3414" stopIfTrue="1" operator="equal">
      <formula>"Napkin Hs"</formula>
    </cfRule>
    <cfRule type="cellIs" dxfId="2658" priority="3421" stopIfTrue="1" operator="equal">
      <formula>"Towel"</formula>
    </cfRule>
    <cfRule type="cellIs" dxfId="2657" priority="3422" stopIfTrue="1" operator="equal">
      <formula>"Napkin Hs"</formula>
    </cfRule>
    <cfRule type="cellIs" dxfId="2656" priority="3427" stopIfTrue="1" operator="equal">
      <formula>"Towel"</formula>
    </cfRule>
    <cfRule type="cellIs" dxfId="2655" priority="3428" stopIfTrue="1" operator="equal">
      <formula>"Napkin Hs"</formula>
    </cfRule>
    <cfRule type="cellIs" dxfId="2654" priority="3433" stopIfTrue="1" operator="equal">
      <formula>"Towel"</formula>
    </cfRule>
    <cfRule type="cellIs" dxfId="2653" priority="3434" stopIfTrue="1" operator="equal">
      <formula>"Napkin Hs"</formula>
    </cfRule>
    <cfRule type="cellIs" dxfId="2652" priority="3439" stopIfTrue="1" operator="equal">
      <formula>"Towel"</formula>
    </cfRule>
    <cfRule type="cellIs" dxfId="2651" priority="3440" stopIfTrue="1" operator="equal">
      <formula>"Napkin Hs"</formula>
    </cfRule>
    <cfRule type="cellIs" dxfId="2650" priority="3445" stopIfTrue="1" operator="equal">
      <formula>"Towel"</formula>
    </cfRule>
    <cfRule type="cellIs" dxfId="2649" priority="3446" stopIfTrue="1" operator="equal">
      <formula>"Napkin Hs"</formula>
    </cfRule>
    <cfRule type="cellIs" dxfId="2648" priority="3451" stopIfTrue="1" operator="equal">
      <formula>"Towel"</formula>
    </cfRule>
    <cfRule type="cellIs" dxfId="2647" priority="3452" stopIfTrue="1" operator="equal">
      <formula>"Napkin Hs"</formula>
    </cfRule>
    <cfRule type="cellIs" dxfId="2646" priority="3457" stopIfTrue="1" operator="equal">
      <formula>"Towel"</formula>
    </cfRule>
    <cfRule type="cellIs" dxfId="2645" priority="3458" stopIfTrue="1" operator="equal">
      <formula>"Napkin Hs"</formula>
    </cfRule>
  </conditionalFormatting>
  <conditionalFormatting sqref="B118:C118">
    <cfRule type="cellIs" dxfId="2644" priority="3519" stopIfTrue="1" operator="equal">
      <formula>"Towel"</formula>
    </cfRule>
    <cfRule type="cellIs" dxfId="2643" priority="3520" stopIfTrue="1" operator="equal">
      <formula>"Napkin Hs"</formula>
    </cfRule>
    <cfRule type="cellIs" dxfId="2642" priority="3525" stopIfTrue="1" operator="equal">
      <formula>"Towel"</formula>
    </cfRule>
    <cfRule type="cellIs" dxfId="2641" priority="3526" stopIfTrue="1" operator="equal">
      <formula>"Napkin Hs"</formula>
    </cfRule>
    <cfRule type="cellIs" dxfId="2640" priority="3531" stopIfTrue="1" operator="equal">
      <formula>"Towel"</formula>
    </cfRule>
    <cfRule type="cellIs" dxfId="2639" priority="3532" stopIfTrue="1" operator="equal">
      <formula>"Napkin Hs"</formula>
    </cfRule>
    <cfRule type="cellIs" dxfId="2638" priority="3537" stopIfTrue="1" operator="equal">
      <formula>"Towel"</formula>
    </cfRule>
    <cfRule type="cellIs" dxfId="2637" priority="3538" stopIfTrue="1" operator="equal">
      <formula>"Napkin Hs"</formula>
    </cfRule>
    <cfRule type="cellIs" dxfId="2636" priority="3543" stopIfTrue="1" operator="equal">
      <formula>"Towel"</formula>
    </cfRule>
    <cfRule type="cellIs" dxfId="2635" priority="3544" stopIfTrue="1" operator="equal">
      <formula>"Napkin Hs"</formula>
    </cfRule>
    <cfRule type="cellIs" dxfId="2634" priority="3549" stopIfTrue="1" operator="equal">
      <formula>"Towel"</formula>
    </cfRule>
    <cfRule type="cellIs" dxfId="2633" priority="3550" stopIfTrue="1" operator="equal">
      <formula>"Napkin Hs"</formula>
    </cfRule>
    <cfRule type="cellIs" dxfId="2632" priority="3555" stopIfTrue="1" operator="equal">
      <formula>"Towel"</formula>
    </cfRule>
    <cfRule type="cellIs" dxfId="2631" priority="3556" stopIfTrue="1" operator="equal">
      <formula>"Napkin Hs"</formula>
    </cfRule>
    <cfRule type="cellIs" dxfId="2630" priority="3561" stopIfTrue="1" operator="equal">
      <formula>"Towel"</formula>
    </cfRule>
    <cfRule type="cellIs" dxfId="2629" priority="3562" stopIfTrue="1" operator="equal">
      <formula>"Napkin Hs"</formula>
    </cfRule>
  </conditionalFormatting>
  <conditionalFormatting sqref="B118:C119">
    <cfRule type="cellIs" dxfId="2628" priority="3461" stopIfTrue="1" operator="equal">
      <formula>"Towel"</formula>
    </cfRule>
    <cfRule type="cellIs" dxfId="2627" priority="3462" stopIfTrue="1" operator="equal">
      <formula>"Napkin Hs"</formula>
    </cfRule>
    <cfRule type="cellIs" dxfId="2626" priority="3477" stopIfTrue="1" operator="equal">
      <formula>"Towel"</formula>
    </cfRule>
    <cfRule type="cellIs" dxfId="2625" priority="3478" stopIfTrue="1" operator="equal">
      <formula>"Napkin Hs"</formula>
    </cfRule>
    <cfRule type="cellIs" dxfId="2624" priority="3483" stopIfTrue="1" operator="equal">
      <formula>"Towel"</formula>
    </cfRule>
    <cfRule type="cellIs" dxfId="2623" priority="3484" stopIfTrue="1" operator="equal">
      <formula>"Napkin Hs"</formula>
    </cfRule>
    <cfRule type="cellIs" dxfId="2622" priority="3489" stopIfTrue="1" operator="equal">
      <formula>"Towel"</formula>
    </cfRule>
    <cfRule type="cellIs" dxfId="2621" priority="3490" stopIfTrue="1" operator="equal">
      <formula>"Napkin Hs"</formula>
    </cfRule>
    <cfRule type="cellIs" dxfId="2620" priority="3495" stopIfTrue="1" operator="equal">
      <formula>"Towel"</formula>
    </cfRule>
    <cfRule type="cellIs" dxfId="2619" priority="3496" stopIfTrue="1" operator="equal">
      <formula>"Napkin Hs"</formula>
    </cfRule>
    <cfRule type="cellIs" dxfId="2618" priority="3501" stopIfTrue="1" operator="equal">
      <formula>"Towel"</formula>
    </cfRule>
    <cfRule type="cellIs" dxfId="2617" priority="3502" stopIfTrue="1" operator="equal">
      <formula>"Napkin Hs"</formula>
    </cfRule>
    <cfRule type="cellIs" dxfId="2616" priority="3507" stopIfTrue="1" operator="equal">
      <formula>"Towel"</formula>
    </cfRule>
    <cfRule type="cellIs" dxfId="2615" priority="3508" stopIfTrue="1" operator="equal">
      <formula>"Napkin Hs"</formula>
    </cfRule>
    <cfRule type="cellIs" dxfId="2614" priority="3513" stopIfTrue="1" operator="equal">
      <formula>"Towel"</formula>
    </cfRule>
    <cfRule type="cellIs" dxfId="2613" priority="3514" stopIfTrue="1" operator="equal">
      <formula>"Napkin Hs"</formula>
    </cfRule>
  </conditionalFormatting>
  <conditionalFormatting sqref="B119:C119">
    <cfRule type="cellIs" dxfId="2612" priority="3565" stopIfTrue="1" operator="equal">
      <formula>"Towel"</formula>
    </cfRule>
    <cfRule type="cellIs" dxfId="2611" priority="3566" stopIfTrue="1" operator="equal">
      <formula>"Napkin Hs"</formula>
    </cfRule>
    <cfRule type="cellIs" dxfId="2610" priority="3571" stopIfTrue="1" operator="equal">
      <formula>"Towel"</formula>
    </cfRule>
    <cfRule type="cellIs" dxfId="2609" priority="3572" stopIfTrue="1" operator="equal">
      <formula>"Napkin Hs"</formula>
    </cfRule>
    <cfRule type="cellIs" dxfId="2608" priority="3577" stopIfTrue="1" operator="equal">
      <formula>"Towel"</formula>
    </cfRule>
    <cfRule type="cellIs" dxfId="2607" priority="3578" stopIfTrue="1" operator="equal">
      <formula>"Napkin Hs"</formula>
    </cfRule>
    <cfRule type="cellIs" dxfId="2606" priority="3583" stopIfTrue="1" operator="equal">
      <formula>"Towel"</formula>
    </cfRule>
    <cfRule type="cellIs" dxfId="2605" priority="3584" stopIfTrue="1" operator="equal">
      <formula>"Napkin Hs"</formula>
    </cfRule>
    <cfRule type="cellIs" dxfId="2604" priority="3589" stopIfTrue="1" operator="equal">
      <formula>"Towel"</formula>
    </cfRule>
    <cfRule type="cellIs" dxfId="2603" priority="3590" stopIfTrue="1" operator="equal">
      <formula>"Napkin Hs"</formula>
    </cfRule>
    <cfRule type="cellIs" dxfId="2602" priority="3595" stopIfTrue="1" operator="equal">
      <formula>"Towel"</formula>
    </cfRule>
    <cfRule type="cellIs" dxfId="2601" priority="3596" stopIfTrue="1" operator="equal">
      <formula>"Napkin Hs"</formula>
    </cfRule>
    <cfRule type="cellIs" dxfId="2600" priority="3601" stopIfTrue="1" operator="equal">
      <formula>"Towel"</formula>
    </cfRule>
    <cfRule type="cellIs" dxfId="2599" priority="3602" stopIfTrue="1" operator="equal">
      <formula>"Napkin Hs"</formula>
    </cfRule>
    <cfRule type="cellIs" dxfId="2598" priority="3607" stopIfTrue="1" operator="equal">
      <formula>"Towel"</formula>
    </cfRule>
    <cfRule type="cellIs" dxfId="2597" priority="3608" stopIfTrue="1" operator="equal">
      <formula>"Napkin Hs"</formula>
    </cfRule>
  </conditionalFormatting>
  <conditionalFormatting sqref="C116">
    <cfRule type="cellIs" dxfId="2596" priority="3293" stopIfTrue="1" operator="equal">
      <formula>"Towel"</formula>
    </cfRule>
    <cfRule type="cellIs" dxfId="2595" priority="3294" stopIfTrue="1" operator="equal">
      <formula>"Napkin Hs"</formula>
    </cfRule>
    <cfRule type="cellIs" dxfId="2594" priority="3295" stopIfTrue="1" operator="equal">
      <formula>"Towel"</formula>
    </cfRule>
    <cfRule type="cellIs" dxfId="2593" priority="3296" stopIfTrue="1" operator="equal">
      <formula>"Napkin Hs"</formula>
    </cfRule>
    <cfRule type="cellIs" dxfId="2592" priority="3299" stopIfTrue="1" operator="equal">
      <formula>"Towel"</formula>
    </cfRule>
    <cfRule type="cellIs" dxfId="2591" priority="3300" stopIfTrue="1" operator="equal">
      <formula>"Napkin Hs"</formula>
    </cfRule>
    <cfRule type="cellIs" dxfId="2590" priority="3301" stopIfTrue="1" operator="equal">
      <formula>"Towel"</formula>
    </cfRule>
    <cfRule type="cellIs" dxfId="2589" priority="3302" stopIfTrue="1" operator="equal">
      <formula>"Napkin Hs"</formula>
    </cfRule>
    <cfRule type="cellIs" dxfId="2588" priority="3305" stopIfTrue="1" operator="equal">
      <formula>"Towel"</formula>
    </cfRule>
    <cfRule type="cellIs" dxfId="2587" priority="3306" stopIfTrue="1" operator="equal">
      <formula>"Napkin Hs"</formula>
    </cfRule>
    <cfRule type="cellIs" dxfId="2586" priority="3307" stopIfTrue="1" operator="equal">
      <formula>"Towel"</formula>
    </cfRule>
    <cfRule type="cellIs" dxfId="2585" priority="3308" stopIfTrue="1" operator="equal">
      <formula>"Napkin Hs"</formula>
    </cfRule>
    <cfRule type="cellIs" dxfId="2584" priority="3311" stopIfTrue="1" operator="equal">
      <formula>"Towel"</formula>
    </cfRule>
    <cfRule type="cellIs" dxfId="2583" priority="3312" stopIfTrue="1" operator="equal">
      <formula>"Napkin Hs"</formula>
    </cfRule>
    <cfRule type="cellIs" dxfId="2582" priority="3313" stopIfTrue="1" operator="equal">
      <formula>"Towel"</formula>
    </cfRule>
    <cfRule type="cellIs" dxfId="2581" priority="3314" stopIfTrue="1" operator="equal">
      <formula>"Napkin Hs"</formula>
    </cfRule>
    <cfRule type="cellIs" dxfId="2580" priority="3317" stopIfTrue="1" operator="equal">
      <formula>"Towel"</formula>
    </cfRule>
    <cfRule type="cellIs" dxfId="2579" priority="3318" stopIfTrue="1" operator="equal">
      <formula>"Napkin Hs"</formula>
    </cfRule>
    <cfRule type="cellIs" dxfId="2578" priority="3319" stopIfTrue="1" operator="equal">
      <formula>"Towel"</formula>
    </cfRule>
    <cfRule type="cellIs" dxfId="2577" priority="3320" stopIfTrue="1" operator="equal">
      <formula>"Napkin Hs"</formula>
    </cfRule>
    <cfRule type="cellIs" dxfId="2576" priority="3323" stopIfTrue="1" operator="equal">
      <formula>"Towel"</formula>
    </cfRule>
    <cfRule type="cellIs" dxfId="2575" priority="3324" stopIfTrue="1" operator="equal">
      <formula>"Napkin Hs"</formula>
    </cfRule>
    <cfRule type="cellIs" dxfId="2574" priority="3325" stopIfTrue="1" operator="equal">
      <formula>"Towel"</formula>
    </cfRule>
    <cfRule type="cellIs" dxfId="2573" priority="3326" stopIfTrue="1" operator="equal">
      <formula>"Napkin Hs"</formula>
    </cfRule>
    <cfRule type="cellIs" dxfId="2572" priority="3329" stopIfTrue="1" operator="equal">
      <formula>"Towel"</formula>
    </cfRule>
    <cfRule type="cellIs" dxfId="2571" priority="3330" stopIfTrue="1" operator="equal">
      <formula>"Napkin Hs"</formula>
    </cfRule>
    <cfRule type="cellIs" dxfId="2570" priority="3333" stopIfTrue="1" operator="equal">
      <formula>"Towel"</formula>
    </cfRule>
    <cfRule type="cellIs" dxfId="2569" priority="3334" stopIfTrue="1" operator="equal">
      <formula>"Napkin Hs"</formula>
    </cfRule>
    <cfRule type="cellIs" dxfId="2568" priority="3335" stopIfTrue="1" operator="equal">
      <formula>"Towel"</formula>
    </cfRule>
    <cfRule type="cellIs" dxfId="2567" priority="3336" stopIfTrue="1" operator="equal">
      <formula>"Napkin Hs"</formula>
    </cfRule>
    <cfRule type="cellIs" dxfId="2566" priority="3337" stopIfTrue="1" operator="equal">
      <formula>"Towel"</formula>
    </cfRule>
    <cfRule type="cellIs" dxfId="2565" priority="3338" stopIfTrue="1" operator="equal">
      <formula>"Napkin Hs"</formula>
    </cfRule>
    <cfRule type="cellIs" dxfId="2564" priority="3341" stopIfTrue="1" operator="equal">
      <formula>"Towel"</formula>
    </cfRule>
    <cfRule type="cellIs" dxfId="2563" priority="3342" stopIfTrue="1" operator="equal">
      <formula>"Napkin Hs"</formula>
    </cfRule>
    <cfRule type="cellIs" dxfId="2562" priority="3343" stopIfTrue="1" operator="equal">
      <formula>"Towel"</formula>
    </cfRule>
    <cfRule type="cellIs" dxfId="2561" priority="3344" stopIfTrue="1" operator="equal">
      <formula>"Napkin Hs"</formula>
    </cfRule>
    <cfRule type="cellIs" dxfId="2560" priority="3347" stopIfTrue="1" operator="equal">
      <formula>"Towel"</formula>
    </cfRule>
    <cfRule type="cellIs" dxfId="2559" priority="3348" stopIfTrue="1" operator="equal">
      <formula>"Napkin Hs"</formula>
    </cfRule>
    <cfRule type="cellIs" dxfId="2558" priority="3349" stopIfTrue="1" operator="equal">
      <formula>"Towel"</formula>
    </cfRule>
    <cfRule type="cellIs" dxfId="2557" priority="3350" stopIfTrue="1" operator="equal">
      <formula>"Napkin Hs"</formula>
    </cfRule>
    <cfRule type="cellIs" dxfId="2556" priority="3353" stopIfTrue="1" operator="equal">
      <formula>"Towel"</formula>
    </cfRule>
    <cfRule type="cellIs" dxfId="2555" priority="3354" stopIfTrue="1" operator="equal">
      <formula>"Napkin Hs"</formula>
    </cfRule>
    <cfRule type="cellIs" dxfId="2554" priority="3355" stopIfTrue="1" operator="equal">
      <formula>"Towel"</formula>
    </cfRule>
    <cfRule type="cellIs" dxfId="2553" priority="3356" stopIfTrue="1" operator="equal">
      <formula>"Napkin Hs"</formula>
    </cfRule>
    <cfRule type="cellIs" dxfId="2552" priority="3359" stopIfTrue="1" operator="equal">
      <formula>"Towel"</formula>
    </cfRule>
    <cfRule type="cellIs" dxfId="2551" priority="3360" stopIfTrue="1" operator="equal">
      <formula>"Napkin Hs"</formula>
    </cfRule>
    <cfRule type="cellIs" dxfId="2550" priority="3361" stopIfTrue="1" operator="equal">
      <formula>"Towel"</formula>
    </cfRule>
    <cfRule type="cellIs" dxfId="2549" priority="3362" stopIfTrue="1" operator="equal">
      <formula>"Napkin Hs"</formula>
    </cfRule>
    <cfRule type="cellIs" dxfId="2548" priority="3365" stopIfTrue="1" operator="equal">
      <formula>"Towel"</formula>
    </cfRule>
    <cfRule type="cellIs" dxfId="2547" priority="3366" stopIfTrue="1" operator="equal">
      <formula>"Napkin Hs"</formula>
    </cfRule>
    <cfRule type="cellIs" dxfId="2546" priority="3367" stopIfTrue="1" operator="equal">
      <formula>"Towel"</formula>
    </cfRule>
    <cfRule type="cellIs" dxfId="2545" priority="3368" stopIfTrue="1" operator="equal">
      <formula>"Napkin Hs"</formula>
    </cfRule>
    <cfRule type="cellIs" dxfId="2544" priority="3371" stopIfTrue="1" operator="equal">
      <formula>"Towel"</formula>
    </cfRule>
    <cfRule type="cellIs" dxfId="2543" priority="3372" stopIfTrue="1" operator="equal">
      <formula>"Napkin Hs"</formula>
    </cfRule>
  </conditionalFormatting>
  <conditionalFormatting sqref="C116:C117">
    <cfRule type="cellIs" dxfId="2542" priority="3373" stopIfTrue="1" operator="equal">
      <formula>"Towel"</formula>
    </cfRule>
    <cfRule type="cellIs" dxfId="2541" priority="3374" stopIfTrue="1" operator="equal">
      <formula>"Napkin Hs"</formula>
    </cfRule>
  </conditionalFormatting>
  <conditionalFormatting sqref="C117">
    <cfRule type="cellIs" dxfId="2540" priority="3377" stopIfTrue="1" operator="equal">
      <formula>"Towel"</formula>
    </cfRule>
    <cfRule type="cellIs" dxfId="2539" priority="3378" stopIfTrue="1" operator="equal">
      <formula>"Napkin Hs"</formula>
    </cfRule>
    <cfRule type="cellIs" dxfId="2538" priority="3381" stopIfTrue="1" operator="equal">
      <formula>"Towel"</formula>
    </cfRule>
    <cfRule type="cellIs" dxfId="2537" priority="3382" stopIfTrue="1" operator="equal">
      <formula>"Napkin Hs"</formula>
    </cfRule>
    <cfRule type="cellIs" dxfId="2536" priority="3383" stopIfTrue="1" operator="equal">
      <formula>"Towel"</formula>
    </cfRule>
    <cfRule type="cellIs" dxfId="2535" priority="3384" stopIfTrue="1" operator="equal">
      <formula>"Napkin Hs"</formula>
    </cfRule>
    <cfRule type="cellIs" dxfId="2534" priority="3387" stopIfTrue="1" operator="equal">
      <formula>"Towel"</formula>
    </cfRule>
    <cfRule type="cellIs" dxfId="2533" priority="3388" stopIfTrue="1" operator="equal">
      <formula>"Napkin Hs"</formula>
    </cfRule>
    <cfRule type="cellIs" dxfId="2532" priority="3389" stopIfTrue="1" operator="equal">
      <formula>"Towel"</formula>
    </cfRule>
    <cfRule type="cellIs" dxfId="2531" priority="3390" stopIfTrue="1" operator="equal">
      <formula>"Napkin Hs"</formula>
    </cfRule>
    <cfRule type="cellIs" dxfId="2530" priority="3393" stopIfTrue="1" operator="equal">
      <formula>"Towel"</formula>
    </cfRule>
    <cfRule type="cellIs" dxfId="2529" priority="3394" stopIfTrue="1" operator="equal">
      <formula>"Napkin Hs"</formula>
    </cfRule>
    <cfRule type="cellIs" dxfId="2528" priority="3395" stopIfTrue="1" operator="equal">
      <formula>"Towel"</formula>
    </cfRule>
    <cfRule type="cellIs" dxfId="2527" priority="3396" stopIfTrue="1" operator="equal">
      <formula>"Napkin Hs"</formula>
    </cfRule>
    <cfRule type="cellIs" dxfId="2526" priority="3399" stopIfTrue="1" operator="equal">
      <formula>"Towel"</formula>
    </cfRule>
    <cfRule type="cellIs" dxfId="2525" priority="3400" stopIfTrue="1" operator="equal">
      <formula>"Napkin Hs"</formula>
    </cfRule>
    <cfRule type="cellIs" dxfId="2524" priority="3401" stopIfTrue="1" operator="equal">
      <formula>"Towel"</formula>
    </cfRule>
    <cfRule type="cellIs" dxfId="2523" priority="3402" stopIfTrue="1" operator="equal">
      <formula>"Napkin Hs"</formula>
    </cfRule>
    <cfRule type="cellIs" dxfId="2522" priority="3405" stopIfTrue="1" operator="equal">
      <formula>"Towel"</formula>
    </cfRule>
    <cfRule type="cellIs" dxfId="2521" priority="3406" stopIfTrue="1" operator="equal">
      <formula>"Napkin Hs"</formula>
    </cfRule>
    <cfRule type="cellIs" dxfId="2520" priority="3407" stopIfTrue="1" operator="equal">
      <formula>"Towel"</formula>
    </cfRule>
    <cfRule type="cellIs" dxfId="2519" priority="3408" stopIfTrue="1" operator="equal">
      <formula>"Napkin Hs"</formula>
    </cfRule>
    <cfRule type="cellIs" dxfId="2518" priority="3411" stopIfTrue="1" operator="equal">
      <formula>"Towel"</formula>
    </cfRule>
    <cfRule type="cellIs" dxfId="2517" priority="3412" stopIfTrue="1" operator="equal">
      <formula>"Napkin Hs"</formula>
    </cfRule>
    <cfRule type="cellIs" dxfId="2516" priority="3415" stopIfTrue="1" operator="equal">
      <formula>"Towel"</formula>
    </cfRule>
    <cfRule type="cellIs" dxfId="2515" priority="3416" stopIfTrue="1" operator="equal">
      <formula>"Napkin Hs"</formula>
    </cfRule>
    <cfRule type="cellIs" dxfId="2514" priority="3417" stopIfTrue="1" operator="equal">
      <formula>"Towel"</formula>
    </cfRule>
    <cfRule type="cellIs" dxfId="2513" priority="3418" stopIfTrue="1" operator="equal">
      <formula>"Napkin Hs"</formula>
    </cfRule>
    <cfRule type="cellIs" dxfId="2512" priority="3419" stopIfTrue="1" operator="equal">
      <formula>"Towel"</formula>
    </cfRule>
    <cfRule type="cellIs" dxfId="2511" priority="3420" stopIfTrue="1" operator="equal">
      <formula>"Napkin Hs"</formula>
    </cfRule>
    <cfRule type="cellIs" dxfId="2510" priority="3423" stopIfTrue="1" operator="equal">
      <formula>"Towel"</formula>
    </cfRule>
    <cfRule type="cellIs" dxfId="2509" priority="3424" stopIfTrue="1" operator="equal">
      <formula>"Napkin Hs"</formula>
    </cfRule>
    <cfRule type="cellIs" dxfId="2508" priority="3425" stopIfTrue="1" operator="equal">
      <formula>"Towel"</formula>
    </cfRule>
    <cfRule type="cellIs" dxfId="2507" priority="3426" stopIfTrue="1" operator="equal">
      <formula>"Napkin Hs"</formula>
    </cfRule>
    <cfRule type="cellIs" dxfId="2506" priority="3429" stopIfTrue="1" operator="equal">
      <formula>"Towel"</formula>
    </cfRule>
    <cfRule type="cellIs" dxfId="2505" priority="3430" stopIfTrue="1" operator="equal">
      <formula>"Napkin Hs"</formula>
    </cfRule>
    <cfRule type="cellIs" dxfId="2504" priority="3431" stopIfTrue="1" operator="equal">
      <formula>"Towel"</formula>
    </cfRule>
    <cfRule type="cellIs" dxfId="2503" priority="3432" stopIfTrue="1" operator="equal">
      <formula>"Napkin Hs"</formula>
    </cfRule>
    <cfRule type="cellIs" dxfId="2502" priority="3435" stopIfTrue="1" operator="equal">
      <formula>"Towel"</formula>
    </cfRule>
    <cfRule type="cellIs" dxfId="2501" priority="3436" stopIfTrue="1" operator="equal">
      <formula>"Napkin Hs"</formula>
    </cfRule>
    <cfRule type="cellIs" dxfId="2500" priority="3437" stopIfTrue="1" operator="equal">
      <formula>"Towel"</formula>
    </cfRule>
    <cfRule type="cellIs" dxfId="2499" priority="3438" stopIfTrue="1" operator="equal">
      <formula>"Napkin Hs"</formula>
    </cfRule>
    <cfRule type="cellIs" dxfId="2498" priority="3441" stopIfTrue="1" operator="equal">
      <formula>"Towel"</formula>
    </cfRule>
    <cfRule type="cellIs" dxfId="2497" priority="3442" stopIfTrue="1" operator="equal">
      <formula>"Napkin Hs"</formula>
    </cfRule>
    <cfRule type="cellIs" dxfId="2496" priority="3443" stopIfTrue="1" operator="equal">
      <formula>"Towel"</formula>
    </cfRule>
    <cfRule type="cellIs" dxfId="2495" priority="3444" stopIfTrue="1" operator="equal">
      <formula>"Napkin Hs"</formula>
    </cfRule>
    <cfRule type="cellIs" dxfId="2494" priority="3447" stopIfTrue="1" operator="equal">
      <formula>"Towel"</formula>
    </cfRule>
    <cfRule type="cellIs" dxfId="2493" priority="3448" stopIfTrue="1" operator="equal">
      <formula>"Napkin Hs"</formula>
    </cfRule>
    <cfRule type="cellIs" dxfId="2492" priority="3449" stopIfTrue="1" operator="equal">
      <formula>"Towel"</formula>
    </cfRule>
    <cfRule type="cellIs" dxfId="2491" priority="3450" stopIfTrue="1" operator="equal">
      <formula>"Napkin Hs"</formula>
    </cfRule>
    <cfRule type="cellIs" dxfId="2490" priority="3453" stopIfTrue="1" operator="equal">
      <formula>"Towel"</formula>
    </cfRule>
    <cfRule type="cellIs" dxfId="2489" priority="3454" stopIfTrue="1" operator="equal">
      <formula>"Napkin Hs"</formula>
    </cfRule>
    <cfRule type="cellIs" dxfId="2488" priority="3455" stopIfTrue="1" operator="equal">
      <formula>"Towel"</formula>
    </cfRule>
    <cfRule type="cellIs" dxfId="2487" priority="3456" stopIfTrue="1" operator="equal">
      <formula>"Napkin Hs"</formula>
    </cfRule>
  </conditionalFormatting>
  <conditionalFormatting sqref="C118">
    <cfRule type="cellIs" dxfId="2486" priority="3515" stopIfTrue="1" operator="equal">
      <formula>"Towel"</formula>
    </cfRule>
    <cfRule type="cellIs" dxfId="2485" priority="3516" stopIfTrue="1" operator="equal">
      <formula>"Napkin Hs"</formula>
    </cfRule>
    <cfRule type="cellIs" dxfId="2484" priority="3517" stopIfTrue="1" operator="equal">
      <formula>"Towel"</formula>
    </cfRule>
    <cfRule type="cellIs" dxfId="2483" priority="3518" stopIfTrue="1" operator="equal">
      <formula>"Napkin Hs"</formula>
    </cfRule>
    <cfRule type="cellIs" dxfId="2482" priority="3521" stopIfTrue="1" operator="equal">
      <formula>"Towel"</formula>
    </cfRule>
    <cfRule type="cellIs" dxfId="2481" priority="3522" stopIfTrue="1" operator="equal">
      <formula>"Napkin Hs"</formula>
    </cfRule>
    <cfRule type="cellIs" dxfId="2480" priority="3523" stopIfTrue="1" operator="equal">
      <formula>"Towel"</formula>
    </cfRule>
    <cfRule type="cellIs" dxfId="2479" priority="3524" stopIfTrue="1" operator="equal">
      <formula>"Napkin Hs"</formula>
    </cfRule>
    <cfRule type="cellIs" dxfId="2478" priority="3527" stopIfTrue="1" operator="equal">
      <formula>"Towel"</formula>
    </cfRule>
    <cfRule type="cellIs" dxfId="2477" priority="3528" stopIfTrue="1" operator="equal">
      <formula>"Napkin Hs"</formula>
    </cfRule>
    <cfRule type="cellIs" dxfId="2476" priority="3529" stopIfTrue="1" operator="equal">
      <formula>"Towel"</formula>
    </cfRule>
    <cfRule type="cellIs" dxfId="2475" priority="3530" stopIfTrue="1" operator="equal">
      <formula>"Napkin Hs"</formula>
    </cfRule>
    <cfRule type="cellIs" dxfId="2474" priority="3533" stopIfTrue="1" operator="equal">
      <formula>"Towel"</formula>
    </cfRule>
    <cfRule type="cellIs" dxfId="2473" priority="3534" stopIfTrue="1" operator="equal">
      <formula>"Napkin Hs"</formula>
    </cfRule>
    <cfRule type="cellIs" dxfId="2472" priority="3535" stopIfTrue="1" operator="equal">
      <formula>"Towel"</formula>
    </cfRule>
    <cfRule type="cellIs" dxfId="2471" priority="3536" stopIfTrue="1" operator="equal">
      <formula>"Napkin Hs"</formula>
    </cfRule>
    <cfRule type="cellIs" dxfId="2470" priority="3539" stopIfTrue="1" operator="equal">
      <formula>"Towel"</formula>
    </cfRule>
    <cfRule type="cellIs" dxfId="2469" priority="3540" stopIfTrue="1" operator="equal">
      <formula>"Napkin Hs"</formula>
    </cfRule>
    <cfRule type="cellIs" dxfId="2468" priority="3541" stopIfTrue="1" operator="equal">
      <formula>"Towel"</formula>
    </cfRule>
    <cfRule type="cellIs" dxfId="2467" priority="3542" stopIfTrue="1" operator="equal">
      <formula>"Napkin Hs"</formula>
    </cfRule>
    <cfRule type="cellIs" dxfId="2466" priority="3545" stopIfTrue="1" operator="equal">
      <formula>"Towel"</formula>
    </cfRule>
    <cfRule type="cellIs" dxfId="2465" priority="3546" stopIfTrue="1" operator="equal">
      <formula>"Napkin Hs"</formula>
    </cfRule>
    <cfRule type="cellIs" dxfId="2464" priority="3547" stopIfTrue="1" operator="equal">
      <formula>"Towel"</formula>
    </cfRule>
    <cfRule type="cellIs" dxfId="2463" priority="3548" stopIfTrue="1" operator="equal">
      <formula>"Napkin Hs"</formula>
    </cfRule>
    <cfRule type="cellIs" dxfId="2462" priority="3551" stopIfTrue="1" operator="equal">
      <formula>"Towel"</formula>
    </cfRule>
    <cfRule type="cellIs" dxfId="2461" priority="3552" stopIfTrue="1" operator="equal">
      <formula>"Napkin Hs"</formula>
    </cfRule>
    <cfRule type="cellIs" dxfId="2460" priority="3553" stopIfTrue="1" operator="equal">
      <formula>"Towel"</formula>
    </cfRule>
    <cfRule type="cellIs" dxfId="2459" priority="3554" stopIfTrue="1" operator="equal">
      <formula>"Napkin Hs"</formula>
    </cfRule>
    <cfRule type="cellIs" dxfId="2458" priority="3557" stopIfTrue="1" operator="equal">
      <formula>"Towel"</formula>
    </cfRule>
    <cfRule type="cellIs" dxfId="2457" priority="3558" stopIfTrue="1" operator="equal">
      <formula>"Napkin Hs"</formula>
    </cfRule>
  </conditionalFormatting>
  <conditionalFormatting sqref="C118:C119">
    <cfRule type="cellIs" dxfId="2456" priority="3463" stopIfTrue="1" operator="equal">
      <formula>"Towel"</formula>
    </cfRule>
    <cfRule type="cellIs" dxfId="2455" priority="3464" stopIfTrue="1" operator="equal">
      <formula>"Napkin Hs"</formula>
    </cfRule>
    <cfRule type="cellIs" dxfId="2454" priority="3465" stopIfTrue="1" operator="equal">
      <formula>"Towel"</formula>
    </cfRule>
    <cfRule type="cellIs" dxfId="2453" priority="3466" stopIfTrue="1" operator="equal">
      <formula>"Napkin Hs"</formula>
    </cfRule>
    <cfRule type="cellIs" dxfId="2452" priority="3467" stopIfTrue="1" operator="equal">
      <formula>"Towel"</formula>
    </cfRule>
    <cfRule type="cellIs" dxfId="2451" priority="3468" stopIfTrue="1" operator="equal">
      <formula>"Napkin Hs"</formula>
    </cfRule>
    <cfRule type="cellIs" dxfId="2450" priority="3469" stopIfTrue="1" operator="equal">
      <formula>"Towel"</formula>
    </cfRule>
    <cfRule type="cellIs" dxfId="2449" priority="3470" stopIfTrue="1" operator="equal">
      <formula>"Napkin Hs"</formula>
    </cfRule>
    <cfRule type="cellIs" dxfId="2448" priority="3471" stopIfTrue="1" operator="equal">
      <formula>"Towel"</formula>
    </cfRule>
    <cfRule type="cellIs" dxfId="2447" priority="3472" stopIfTrue="1" operator="equal">
      <formula>"Napkin Hs"</formula>
    </cfRule>
    <cfRule type="cellIs" dxfId="2446" priority="3473" stopIfTrue="1" operator="equal">
      <formula>"Towel"</formula>
    </cfRule>
    <cfRule type="cellIs" dxfId="2445" priority="3474" stopIfTrue="1" operator="equal">
      <formula>"Napkin Hs"</formula>
    </cfRule>
    <cfRule type="cellIs" dxfId="2444" priority="3475" stopIfTrue="1" operator="equal">
      <formula>"Towel"</formula>
    </cfRule>
    <cfRule type="cellIs" dxfId="2443" priority="3476" stopIfTrue="1" operator="equal">
      <formula>"Napkin Hs"</formula>
    </cfRule>
    <cfRule type="cellIs" dxfId="2442" priority="3479" stopIfTrue="1" operator="equal">
      <formula>"Towel"</formula>
    </cfRule>
    <cfRule type="cellIs" dxfId="2441" priority="3480" stopIfTrue="1" operator="equal">
      <formula>"Napkin Hs"</formula>
    </cfRule>
    <cfRule type="cellIs" dxfId="2440" priority="3481" stopIfTrue="1" operator="equal">
      <formula>"Towel"</formula>
    </cfRule>
    <cfRule type="cellIs" dxfId="2439" priority="3482" stopIfTrue="1" operator="equal">
      <formula>"Napkin Hs"</formula>
    </cfRule>
    <cfRule type="cellIs" dxfId="2438" priority="3485" stopIfTrue="1" operator="equal">
      <formula>"Towel"</formula>
    </cfRule>
    <cfRule type="cellIs" dxfId="2437" priority="3486" stopIfTrue="1" operator="equal">
      <formula>"Napkin Hs"</formula>
    </cfRule>
    <cfRule type="cellIs" dxfId="2436" priority="3487" stopIfTrue="1" operator="equal">
      <formula>"Towel"</formula>
    </cfRule>
    <cfRule type="cellIs" dxfId="2435" priority="3488" stopIfTrue="1" operator="equal">
      <formula>"Napkin Hs"</formula>
    </cfRule>
    <cfRule type="cellIs" dxfId="2434" priority="3491" stopIfTrue="1" operator="equal">
      <formula>"Towel"</formula>
    </cfRule>
    <cfRule type="cellIs" dxfId="2433" priority="3492" stopIfTrue="1" operator="equal">
      <formula>"Napkin Hs"</formula>
    </cfRule>
    <cfRule type="cellIs" dxfId="2432" priority="3493" stopIfTrue="1" operator="equal">
      <formula>"Towel"</formula>
    </cfRule>
    <cfRule type="cellIs" dxfId="2431" priority="3494" stopIfTrue="1" operator="equal">
      <formula>"Napkin Hs"</formula>
    </cfRule>
    <cfRule type="cellIs" dxfId="2430" priority="3497" stopIfTrue="1" operator="equal">
      <formula>"Towel"</formula>
    </cfRule>
    <cfRule type="cellIs" dxfId="2429" priority="3498" stopIfTrue="1" operator="equal">
      <formula>"Napkin Hs"</formula>
    </cfRule>
    <cfRule type="cellIs" dxfId="2428" priority="3499" stopIfTrue="1" operator="equal">
      <formula>"Towel"</formula>
    </cfRule>
    <cfRule type="cellIs" dxfId="2427" priority="3500" stopIfTrue="1" operator="equal">
      <formula>"Napkin Hs"</formula>
    </cfRule>
    <cfRule type="cellIs" dxfId="2426" priority="3503" stopIfTrue="1" operator="equal">
      <formula>"Towel"</formula>
    </cfRule>
    <cfRule type="cellIs" dxfId="2425" priority="3504" stopIfTrue="1" operator="equal">
      <formula>"Napkin Hs"</formula>
    </cfRule>
    <cfRule type="cellIs" dxfId="2424" priority="3505" stopIfTrue="1" operator="equal">
      <formula>"Towel"</formula>
    </cfRule>
    <cfRule type="cellIs" dxfId="2423" priority="3506" stopIfTrue="1" operator="equal">
      <formula>"Napkin Hs"</formula>
    </cfRule>
    <cfRule type="cellIs" dxfId="2422" priority="3509" stopIfTrue="1" operator="equal">
      <formula>"Towel"</formula>
    </cfRule>
    <cfRule type="cellIs" dxfId="2421" priority="3510" stopIfTrue="1" operator="equal">
      <formula>"Napkin Hs"</formula>
    </cfRule>
    <cfRule type="cellIs" dxfId="2420" priority="3511" stopIfTrue="1" operator="equal">
      <formula>"Towel"</formula>
    </cfRule>
    <cfRule type="cellIs" dxfId="2419" priority="3512" stopIfTrue="1" operator="equal">
      <formula>"Napkin Hs"</formula>
    </cfRule>
    <cfRule type="cellIs" dxfId="2418" priority="3559" stopIfTrue="1" operator="equal">
      <formula>"Towel"</formula>
    </cfRule>
    <cfRule type="cellIs" dxfId="2417" priority="3560" stopIfTrue="1" operator="equal">
      <formula>"Napkin Hs"</formula>
    </cfRule>
  </conditionalFormatting>
  <conditionalFormatting sqref="C119">
    <cfRule type="cellIs" dxfId="2416" priority="3563" stopIfTrue="1" operator="equal">
      <formula>"Towel"</formula>
    </cfRule>
    <cfRule type="cellIs" dxfId="2415" priority="3564" stopIfTrue="1" operator="equal">
      <formula>"Napkin Hs"</formula>
    </cfRule>
    <cfRule type="cellIs" dxfId="2414" priority="3567" stopIfTrue="1" operator="equal">
      <formula>"Towel"</formula>
    </cfRule>
    <cfRule type="cellIs" dxfId="2413" priority="3568" stopIfTrue="1" operator="equal">
      <formula>"Napkin Hs"</formula>
    </cfRule>
    <cfRule type="cellIs" dxfId="2412" priority="3569" stopIfTrue="1" operator="equal">
      <formula>"Towel"</formula>
    </cfRule>
    <cfRule type="cellIs" dxfId="2411" priority="3570" stopIfTrue="1" operator="equal">
      <formula>"Napkin Hs"</formula>
    </cfRule>
    <cfRule type="cellIs" dxfId="2410" priority="3573" stopIfTrue="1" operator="equal">
      <formula>"Towel"</formula>
    </cfRule>
    <cfRule type="cellIs" dxfId="2409" priority="3574" stopIfTrue="1" operator="equal">
      <formula>"Napkin Hs"</formula>
    </cfRule>
    <cfRule type="cellIs" dxfId="2408" priority="3575" stopIfTrue="1" operator="equal">
      <formula>"Towel"</formula>
    </cfRule>
    <cfRule type="cellIs" dxfId="2407" priority="3576" stopIfTrue="1" operator="equal">
      <formula>"Napkin Hs"</formula>
    </cfRule>
    <cfRule type="cellIs" dxfId="2406" priority="3579" stopIfTrue="1" operator="equal">
      <formula>"Towel"</formula>
    </cfRule>
    <cfRule type="cellIs" dxfId="2405" priority="3580" stopIfTrue="1" operator="equal">
      <formula>"Napkin Hs"</formula>
    </cfRule>
    <cfRule type="cellIs" dxfId="2404" priority="3581" stopIfTrue="1" operator="equal">
      <formula>"Towel"</formula>
    </cfRule>
    <cfRule type="cellIs" dxfId="2403" priority="3582" stopIfTrue="1" operator="equal">
      <formula>"Napkin Hs"</formula>
    </cfRule>
    <cfRule type="cellIs" dxfId="2402" priority="3585" stopIfTrue="1" operator="equal">
      <formula>"Towel"</formula>
    </cfRule>
    <cfRule type="cellIs" dxfId="2401" priority="3586" stopIfTrue="1" operator="equal">
      <formula>"Napkin Hs"</formula>
    </cfRule>
    <cfRule type="cellIs" dxfId="2400" priority="3587" stopIfTrue="1" operator="equal">
      <formula>"Towel"</formula>
    </cfRule>
    <cfRule type="cellIs" dxfId="2399" priority="3588" stopIfTrue="1" operator="equal">
      <formula>"Napkin Hs"</formula>
    </cfRule>
    <cfRule type="cellIs" dxfId="2398" priority="3591" stopIfTrue="1" operator="equal">
      <formula>"Towel"</formula>
    </cfRule>
    <cfRule type="cellIs" dxfId="2397" priority="3592" stopIfTrue="1" operator="equal">
      <formula>"Napkin Hs"</formula>
    </cfRule>
    <cfRule type="cellIs" dxfId="2396" priority="3593" stopIfTrue="1" operator="equal">
      <formula>"Towel"</formula>
    </cfRule>
    <cfRule type="cellIs" dxfId="2395" priority="3594" stopIfTrue="1" operator="equal">
      <formula>"Napkin Hs"</formula>
    </cfRule>
    <cfRule type="cellIs" dxfId="2394" priority="3597" stopIfTrue="1" operator="equal">
      <formula>"Towel"</formula>
    </cfRule>
    <cfRule type="cellIs" dxfId="2393" priority="3598" stopIfTrue="1" operator="equal">
      <formula>"Napkin Hs"</formula>
    </cfRule>
    <cfRule type="cellIs" dxfId="2392" priority="3599" stopIfTrue="1" operator="equal">
      <formula>"Towel"</formula>
    </cfRule>
    <cfRule type="cellIs" dxfId="2391" priority="3600" stopIfTrue="1" operator="equal">
      <formula>"Napkin Hs"</formula>
    </cfRule>
    <cfRule type="cellIs" dxfId="2390" priority="3603" stopIfTrue="1" operator="equal">
      <formula>"Towel"</formula>
    </cfRule>
    <cfRule type="cellIs" dxfId="2389" priority="3604" stopIfTrue="1" operator="equal">
      <formula>"Napkin Hs"</formula>
    </cfRule>
  </conditionalFormatting>
  <conditionalFormatting sqref="C119">
    <cfRule type="cellIs" dxfId="2388" priority="3605" stopIfTrue="1" operator="equal">
      <formula>"Towel"</formula>
    </cfRule>
    <cfRule type="cellIs" dxfId="2387" priority="3606" stopIfTrue="1" operator="equal">
      <formula>"Napkin Hs"</formula>
    </cfRule>
  </conditionalFormatting>
  <conditionalFormatting sqref="B125:C125">
    <cfRule type="cellIs" dxfId="2386" priority="3237" stopIfTrue="1" operator="equal">
      <formula>"Towel"</formula>
    </cfRule>
    <cfRule type="cellIs" dxfId="2385" priority="3238" stopIfTrue="1" operator="equal">
      <formula>"Napkin Hs"</formula>
    </cfRule>
    <cfRule type="cellIs" dxfId="2384" priority="3243" stopIfTrue="1" operator="equal">
      <formula>"Towel"</formula>
    </cfRule>
    <cfRule type="cellIs" dxfId="2383" priority="3244" stopIfTrue="1" operator="equal">
      <formula>"Napkin Hs"</formula>
    </cfRule>
    <cfRule type="cellIs" dxfId="2382" priority="3249" stopIfTrue="1" operator="equal">
      <formula>"Towel"</formula>
    </cfRule>
    <cfRule type="cellIs" dxfId="2381" priority="3250" stopIfTrue="1" operator="equal">
      <formula>"Napkin Hs"</formula>
    </cfRule>
    <cfRule type="cellIs" dxfId="2380" priority="3255" stopIfTrue="1" operator="equal">
      <formula>"Towel"</formula>
    </cfRule>
    <cfRule type="cellIs" dxfId="2379" priority="3256" stopIfTrue="1" operator="equal">
      <formula>"Napkin Hs"</formula>
    </cfRule>
    <cfRule type="cellIs" dxfId="2378" priority="3261" stopIfTrue="1" operator="equal">
      <formula>"Towel"</formula>
    </cfRule>
    <cfRule type="cellIs" dxfId="2377" priority="3262" stopIfTrue="1" operator="equal">
      <formula>"Napkin Hs"</formula>
    </cfRule>
    <cfRule type="cellIs" dxfId="2376" priority="3267" stopIfTrue="1" operator="equal">
      <formula>"Towel"</formula>
    </cfRule>
    <cfRule type="cellIs" dxfId="2375" priority="3268" stopIfTrue="1" operator="equal">
      <formula>"Napkin Hs"</formula>
    </cfRule>
    <cfRule type="cellIs" dxfId="2374" priority="3273" stopIfTrue="1" operator="equal">
      <formula>"Towel"</formula>
    </cfRule>
    <cfRule type="cellIs" dxfId="2373" priority="3274" stopIfTrue="1" operator="equal">
      <formula>"Napkin Hs"</formula>
    </cfRule>
    <cfRule type="cellIs" dxfId="2372" priority="3279" stopIfTrue="1" operator="equal">
      <formula>"Towel"</formula>
    </cfRule>
    <cfRule type="cellIs" dxfId="2371" priority="3280" stopIfTrue="1" operator="equal">
      <formula>"Napkin Hs"</formula>
    </cfRule>
    <cfRule type="cellIs" dxfId="2370" priority="3285" stopIfTrue="1" operator="equal">
      <formula>"Towel"</formula>
    </cfRule>
    <cfRule type="cellIs" dxfId="2369" priority="3286" stopIfTrue="1" operator="equal">
      <formula>"Napkin Hs"</formula>
    </cfRule>
    <cfRule type="cellIs" dxfId="2368" priority="3291" stopIfTrue="1" operator="equal">
      <formula>"Towel"</formula>
    </cfRule>
    <cfRule type="cellIs" dxfId="2367" priority="3292" stopIfTrue="1" operator="equal">
      <formula>"Napkin Hs"</formula>
    </cfRule>
  </conditionalFormatting>
  <conditionalFormatting sqref="B126:C126">
    <cfRule type="cellIs" dxfId="2366" priority="3233" stopIfTrue="1" operator="equal">
      <formula>"Towel"</formula>
    </cfRule>
    <cfRule type="cellIs" dxfId="2365" priority="3234" stopIfTrue="1" operator="equal">
      <formula>"Napkin Hs"</formula>
    </cfRule>
  </conditionalFormatting>
  <conditionalFormatting sqref="C125">
    <cfRule type="cellIs" dxfId="2364" priority="3235" stopIfTrue="1" operator="equal">
      <formula>"Towel"</formula>
    </cfRule>
    <cfRule type="cellIs" dxfId="2363" priority="3236" stopIfTrue="1" operator="equal">
      <formula>"Napkin Hs"</formula>
    </cfRule>
    <cfRule type="cellIs" dxfId="2362" priority="3239" stopIfTrue="1" operator="equal">
      <formula>"Towel"</formula>
    </cfRule>
    <cfRule type="cellIs" dxfId="2361" priority="3240" stopIfTrue="1" operator="equal">
      <formula>"Napkin Hs"</formula>
    </cfRule>
    <cfRule type="cellIs" dxfId="2360" priority="3241" stopIfTrue="1" operator="equal">
      <formula>"Towel"</formula>
    </cfRule>
    <cfRule type="cellIs" dxfId="2359" priority="3242" stopIfTrue="1" operator="equal">
      <formula>"Napkin Hs"</formula>
    </cfRule>
    <cfRule type="cellIs" dxfId="2358" priority="3245" stopIfTrue="1" operator="equal">
      <formula>"Towel"</formula>
    </cfRule>
    <cfRule type="cellIs" dxfId="2357" priority="3246" stopIfTrue="1" operator="equal">
      <formula>"Napkin Hs"</formula>
    </cfRule>
    <cfRule type="cellIs" dxfId="2356" priority="3247" stopIfTrue="1" operator="equal">
      <formula>"Towel"</formula>
    </cfRule>
    <cfRule type="cellIs" dxfId="2355" priority="3248" stopIfTrue="1" operator="equal">
      <formula>"Napkin Hs"</formula>
    </cfRule>
    <cfRule type="cellIs" dxfId="2354" priority="3251" stopIfTrue="1" operator="equal">
      <formula>"Towel"</formula>
    </cfRule>
    <cfRule type="cellIs" dxfId="2353" priority="3252" stopIfTrue="1" operator="equal">
      <formula>"Napkin Hs"</formula>
    </cfRule>
    <cfRule type="cellIs" dxfId="2352" priority="3253" stopIfTrue="1" operator="equal">
      <formula>"Towel"</formula>
    </cfRule>
    <cfRule type="cellIs" dxfId="2351" priority="3254" stopIfTrue="1" operator="equal">
      <formula>"Napkin Hs"</formula>
    </cfRule>
    <cfRule type="cellIs" dxfId="2350" priority="3257" stopIfTrue="1" operator="equal">
      <formula>"Towel"</formula>
    </cfRule>
    <cfRule type="cellIs" dxfId="2349" priority="3258" stopIfTrue="1" operator="equal">
      <formula>"Napkin Hs"</formula>
    </cfRule>
    <cfRule type="cellIs" dxfId="2348" priority="3259" stopIfTrue="1" operator="equal">
      <formula>"Towel"</formula>
    </cfRule>
    <cfRule type="cellIs" dxfId="2347" priority="3260" stopIfTrue="1" operator="equal">
      <formula>"Napkin Hs"</formula>
    </cfRule>
    <cfRule type="cellIs" dxfId="2346" priority="3263" stopIfTrue="1" operator="equal">
      <formula>"Towel"</formula>
    </cfRule>
    <cfRule type="cellIs" dxfId="2345" priority="3264" stopIfTrue="1" operator="equal">
      <formula>"Napkin Hs"</formula>
    </cfRule>
    <cfRule type="cellIs" dxfId="2344" priority="3265" stopIfTrue="1" operator="equal">
      <formula>"Towel"</formula>
    </cfRule>
    <cfRule type="cellIs" dxfId="2343" priority="3266" stopIfTrue="1" operator="equal">
      <formula>"Napkin Hs"</formula>
    </cfRule>
    <cfRule type="cellIs" dxfId="2342" priority="3269" stopIfTrue="1" operator="equal">
      <formula>"Towel"</formula>
    </cfRule>
    <cfRule type="cellIs" dxfId="2341" priority="3270" stopIfTrue="1" operator="equal">
      <formula>"Napkin Hs"</formula>
    </cfRule>
    <cfRule type="cellIs" dxfId="2340" priority="3271" stopIfTrue="1" operator="equal">
      <formula>"Towel"</formula>
    </cfRule>
    <cfRule type="cellIs" dxfId="2339" priority="3272" stopIfTrue="1" operator="equal">
      <formula>"Napkin Hs"</formula>
    </cfRule>
    <cfRule type="cellIs" dxfId="2338" priority="3275" stopIfTrue="1" operator="equal">
      <formula>"Towel"</formula>
    </cfRule>
    <cfRule type="cellIs" dxfId="2337" priority="3276" stopIfTrue="1" operator="equal">
      <formula>"Napkin Hs"</formula>
    </cfRule>
    <cfRule type="cellIs" dxfId="2336" priority="3277" stopIfTrue="1" operator="equal">
      <formula>"Towel"</formula>
    </cfRule>
    <cfRule type="cellIs" dxfId="2335" priority="3278" stopIfTrue="1" operator="equal">
      <formula>"Napkin Hs"</formula>
    </cfRule>
    <cfRule type="cellIs" dxfId="2334" priority="3281" stopIfTrue="1" operator="equal">
      <formula>"Towel"</formula>
    </cfRule>
    <cfRule type="cellIs" dxfId="2333" priority="3282" stopIfTrue="1" operator="equal">
      <formula>"Napkin Hs"</formula>
    </cfRule>
    <cfRule type="cellIs" dxfId="2332" priority="3283" stopIfTrue="1" operator="equal">
      <formula>"Towel"</formula>
    </cfRule>
    <cfRule type="cellIs" dxfId="2331" priority="3284" stopIfTrue="1" operator="equal">
      <formula>"Napkin Hs"</formula>
    </cfRule>
    <cfRule type="cellIs" dxfId="2330" priority="3287" stopIfTrue="1" operator="equal">
      <formula>"Towel"</formula>
    </cfRule>
    <cfRule type="cellIs" dxfId="2329" priority="3288" stopIfTrue="1" operator="equal">
      <formula>"Napkin Hs"</formula>
    </cfRule>
    <cfRule type="cellIs" dxfId="2328" priority="3289" stopIfTrue="1" operator="equal">
      <formula>"Towel"</formula>
    </cfRule>
    <cfRule type="cellIs" dxfId="2327" priority="3290" stopIfTrue="1" operator="equal">
      <formula>"Napkin Hs"</formula>
    </cfRule>
  </conditionalFormatting>
  <conditionalFormatting sqref="C125:C126">
    <cfRule type="cellIs" dxfId="2326" priority="3231" stopIfTrue="1" operator="equal">
      <formula>"Towel"</formula>
    </cfRule>
    <cfRule type="cellIs" dxfId="2325" priority="3232" stopIfTrue="1" operator="equal">
      <formula>"Napkin Hs"</formula>
    </cfRule>
  </conditionalFormatting>
  <conditionalFormatting sqref="C126">
    <cfRule type="cellIs" dxfId="2324" priority="3229" stopIfTrue="1" operator="equal">
      <formula>"Towel"</formula>
    </cfRule>
    <cfRule type="cellIs" dxfId="2323" priority="3230" stopIfTrue="1" operator="equal">
      <formula>"Napkin Hs"</formula>
    </cfRule>
  </conditionalFormatting>
  <conditionalFormatting sqref="B122:B123">
    <cfRule type="cellIs" dxfId="2322" priority="3210" stopIfTrue="1" operator="equal">
      <formula>"Towel"</formula>
    </cfRule>
    <cfRule type="cellIs" dxfId="2321" priority="3211" stopIfTrue="1" operator="equal">
      <formula>"Napkin Hs"</formula>
    </cfRule>
    <cfRule type="cellIs" dxfId="2320" priority="3212" stopIfTrue="1" operator="equal">
      <formula>"Towel"</formula>
    </cfRule>
    <cfRule type="cellIs" dxfId="2319" priority="3213" stopIfTrue="1" operator="equal">
      <formula>"Napkin Hs"</formula>
    </cfRule>
    <cfRule type="cellIs" dxfId="2318" priority="3214" stopIfTrue="1" operator="equal">
      <formula>"Towel"</formula>
    </cfRule>
    <cfRule type="cellIs" dxfId="2317" priority="3215" stopIfTrue="1" operator="equal">
      <formula>"Napkin Hs"</formula>
    </cfRule>
    <cfRule type="cellIs" dxfId="2316" priority="3216" stopIfTrue="1" operator="equal">
      <formula>"Towel"</formula>
    </cfRule>
    <cfRule type="cellIs" dxfId="2315" priority="3217" stopIfTrue="1" operator="equal">
      <formula>"Napkin Hs"</formula>
    </cfRule>
    <cfRule type="cellIs" dxfId="2314" priority="3218" stopIfTrue="1" operator="equal">
      <formula>"Towel"</formula>
    </cfRule>
    <cfRule type="cellIs" dxfId="2313" priority="3219" stopIfTrue="1" operator="equal">
      <formula>"Napkin Hs"</formula>
    </cfRule>
    <cfRule type="cellIs" dxfId="2312" priority="3220" stopIfTrue="1" operator="equal">
      <formula>"Towel"</formula>
    </cfRule>
    <cfRule type="cellIs" dxfId="2311" priority="3221" stopIfTrue="1" operator="equal">
      <formula>"Napkin Hs"</formula>
    </cfRule>
    <cfRule type="cellIs" dxfId="2310" priority="3222" stopIfTrue="1" operator="equal">
      <formula>"Towel"</formula>
    </cfRule>
    <cfRule type="cellIs" dxfId="2309" priority="3223" stopIfTrue="1" operator="equal">
      <formula>"Napkin Hs"</formula>
    </cfRule>
    <cfRule type="cellIs" dxfId="2308" priority="3224" stopIfTrue="1" operator="equal">
      <formula>"Towel"</formula>
    </cfRule>
    <cfRule type="cellIs" dxfId="2307" priority="3225" stopIfTrue="1" operator="equal">
      <formula>"Napkin Hs"</formula>
    </cfRule>
  </conditionalFormatting>
  <conditionalFormatting sqref="B122:C123">
    <cfRule type="cellIs" dxfId="2306" priority="3202" stopIfTrue="1" operator="equal">
      <formula>"Towel"</formula>
    </cfRule>
    <cfRule type="cellIs" dxfId="2305" priority="3203" stopIfTrue="1" operator="equal">
      <formula>"Napkin Hs"</formula>
    </cfRule>
  </conditionalFormatting>
  <conditionalFormatting sqref="B124:C124">
    <cfRule type="cellIs" dxfId="2304" priority="3226" stopIfTrue="1" operator="equal">
      <formula>"Napkin Hs"</formula>
    </cfRule>
  </conditionalFormatting>
  <conditionalFormatting sqref="C122:C123">
    <cfRule type="cellIs" dxfId="2303" priority="3209" stopIfTrue="1" operator="equal">
      <formula>"Napkin Hs"</formula>
    </cfRule>
  </conditionalFormatting>
  <conditionalFormatting sqref="B124:C124 C122:C123">
    <cfRule type="cellIs" dxfId="2302" priority="3208" stopIfTrue="1" operator="equal">
      <formula>"Towel"</formula>
    </cfRule>
  </conditionalFormatting>
  <conditionalFormatting sqref="C122:C123">
    <cfRule type="cellIs" dxfId="2301" priority="3160" stopIfTrue="1" operator="equal">
      <formula>"Towel"</formula>
    </cfRule>
    <cfRule type="cellIs" dxfId="2300" priority="3161" stopIfTrue="1" operator="equal">
      <formula>"Napkin Hs"</formula>
    </cfRule>
    <cfRule type="cellIs" dxfId="2299" priority="3166" stopIfTrue="1" operator="equal">
      <formula>"Towel"</formula>
    </cfRule>
    <cfRule type="cellIs" dxfId="2298" priority="3167" stopIfTrue="1" operator="equal">
      <formula>"Napkin Hs"</formula>
    </cfRule>
    <cfRule type="cellIs" dxfId="2297" priority="3172" stopIfTrue="1" operator="equal">
      <formula>"Towel"</formula>
    </cfRule>
    <cfRule type="cellIs" dxfId="2296" priority="3173" stopIfTrue="1" operator="equal">
      <formula>"Napkin Hs"</formula>
    </cfRule>
    <cfRule type="cellIs" dxfId="2295" priority="3178" stopIfTrue="1" operator="equal">
      <formula>"Towel"</formula>
    </cfRule>
    <cfRule type="cellIs" dxfId="2294" priority="3179" stopIfTrue="1" operator="equal">
      <formula>"Napkin Hs"</formula>
    </cfRule>
    <cfRule type="cellIs" dxfId="2293" priority="3184" stopIfTrue="1" operator="equal">
      <formula>"Towel"</formula>
    </cfRule>
    <cfRule type="cellIs" dxfId="2292" priority="3185" stopIfTrue="1" operator="equal">
      <formula>"Napkin Hs"</formula>
    </cfRule>
    <cfRule type="cellIs" dxfId="2291" priority="3190" stopIfTrue="1" operator="equal">
      <formula>"Towel"</formula>
    </cfRule>
    <cfRule type="cellIs" dxfId="2290" priority="3191" stopIfTrue="1" operator="equal">
      <formula>"Napkin Hs"</formula>
    </cfRule>
    <cfRule type="cellIs" dxfId="2289" priority="3196" stopIfTrue="1" operator="equal">
      <formula>"Towel"</formula>
    </cfRule>
    <cfRule type="cellIs" dxfId="2288" priority="3197" stopIfTrue="1" operator="equal">
      <formula>"Napkin Hs"</formula>
    </cfRule>
  </conditionalFormatting>
  <conditionalFormatting sqref="C122:C123">
    <cfRule type="cellIs" dxfId="2287" priority="3156" stopIfTrue="1" operator="equal">
      <formula>"Towel"</formula>
    </cfRule>
    <cfRule type="cellIs" dxfId="2286" priority="3157" stopIfTrue="1" operator="equal">
      <formula>"Napkin Hs"</formula>
    </cfRule>
    <cfRule type="cellIs" dxfId="2285" priority="3158" stopIfTrue="1" operator="equal">
      <formula>"Towel"</formula>
    </cfRule>
    <cfRule type="cellIs" dxfId="2284" priority="3159" stopIfTrue="1" operator="equal">
      <formula>"Napkin Hs"</formula>
    </cfRule>
    <cfRule type="cellIs" dxfId="2283" priority="3162" stopIfTrue="1" operator="equal">
      <formula>"Towel"</formula>
    </cfRule>
    <cfRule type="cellIs" dxfId="2282" priority="3163" stopIfTrue="1" operator="equal">
      <formula>"Napkin Hs"</formula>
    </cfRule>
    <cfRule type="cellIs" dxfId="2281" priority="3164" stopIfTrue="1" operator="equal">
      <formula>"Towel"</formula>
    </cfRule>
    <cfRule type="cellIs" dxfId="2280" priority="3165" stopIfTrue="1" operator="equal">
      <formula>"Napkin Hs"</formula>
    </cfRule>
    <cfRule type="cellIs" dxfId="2279" priority="3168" stopIfTrue="1" operator="equal">
      <formula>"Towel"</formula>
    </cfRule>
    <cfRule type="cellIs" dxfId="2278" priority="3169" stopIfTrue="1" operator="equal">
      <formula>"Napkin Hs"</formula>
    </cfRule>
    <cfRule type="cellIs" dxfId="2277" priority="3170" stopIfTrue="1" operator="equal">
      <formula>"Towel"</formula>
    </cfRule>
    <cfRule type="cellIs" dxfId="2276" priority="3171" stopIfTrue="1" operator="equal">
      <formula>"Napkin Hs"</formula>
    </cfRule>
    <cfRule type="cellIs" dxfId="2275" priority="3174" stopIfTrue="1" operator="equal">
      <formula>"Towel"</formula>
    </cfRule>
    <cfRule type="cellIs" dxfId="2274" priority="3175" stopIfTrue="1" operator="equal">
      <formula>"Napkin Hs"</formula>
    </cfRule>
    <cfRule type="cellIs" dxfId="2273" priority="3176" stopIfTrue="1" operator="equal">
      <formula>"Towel"</formula>
    </cfRule>
    <cfRule type="cellIs" dxfId="2272" priority="3177" stopIfTrue="1" operator="equal">
      <formula>"Napkin Hs"</formula>
    </cfRule>
    <cfRule type="cellIs" dxfId="2271" priority="3180" stopIfTrue="1" operator="equal">
      <formula>"Towel"</formula>
    </cfRule>
    <cfRule type="cellIs" dxfId="2270" priority="3181" stopIfTrue="1" operator="equal">
      <formula>"Napkin Hs"</formula>
    </cfRule>
    <cfRule type="cellIs" dxfId="2269" priority="3182" stopIfTrue="1" operator="equal">
      <formula>"Towel"</formula>
    </cfRule>
    <cfRule type="cellIs" dxfId="2268" priority="3183" stopIfTrue="1" operator="equal">
      <formula>"Napkin Hs"</formula>
    </cfRule>
    <cfRule type="cellIs" dxfId="2267" priority="3186" stopIfTrue="1" operator="equal">
      <formula>"Towel"</formula>
    </cfRule>
    <cfRule type="cellIs" dxfId="2266" priority="3187" stopIfTrue="1" operator="equal">
      <formula>"Napkin Hs"</formula>
    </cfRule>
    <cfRule type="cellIs" dxfId="2265" priority="3188" stopIfTrue="1" operator="equal">
      <formula>"Towel"</formula>
    </cfRule>
    <cfRule type="cellIs" dxfId="2264" priority="3189" stopIfTrue="1" operator="equal">
      <formula>"Napkin Hs"</formula>
    </cfRule>
    <cfRule type="cellIs" dxfId="2263" priority="3192" stopIfTrue="1" operator="equal">
      <formula>"Towel"</formula>
    </cfRule>
    <cfRule type="cellIs" dxfId="2262" priority="3193" stopIfTrue="1" operator="equal">
      <formula>"Napkin Hs"</formula>
    </cfRule>
    <cfRule type="cellIs" dxfId="2261" priority="3194" stopIfTrue="1" operator="equal">
      <formula>"Towel"</formula>
    </cfRule>
    <cfRule type="cellIs" dxfId="2260" priority="3195" stopIfTrue="1" operator="equal">
      <formula>"Napkin Hs"</formula>
    </cfRule>
    <cfRule type="cellIs" dxfId="2259" priority="3198" stopIfTrue="1" operator="equal">
      <formula>"Towel"</formula>
    </cfRule>
    <cfRule type="cellIs" dxfId="2258" priority="3199" stopIfTrue="1" operator="equal">
      <formula>"Napkin Hs"</formula>
    </cfRule>
    <cfRule type="cellIs" dxfId="2257" priority="3200" stopIfTrue="1" operator="equal">
      <formula>"Towel"</formula>
    </cfRule>
    <cfRule type="cellIs" dxfId="2256" priority="3201" stopIfTrue="1" operator="equal">
      <formula>"Napkin Hs"</formula>
    </cfRule>
    <cfRule type="cellIs" dxfId="2255" priority="3204" stopIfTrue="1" operator="equal">
      <formula>"Towel"</formula>
    </cfRule>
    <cfRule type="cellIs" dxfId="2254" priority="3205" stopIfTrue="1" operator="equal">
      <formula>"Napkin Hs"</formula>
    </cfRule>
  </conditionalFormatting>
  <conditionalFormatting sqref="C122:C124">
    <cfRule type="cellIs" dxfId="2253" priority="3206" stopIfTrue="1" operator="equal">
      <formula>"Towel"</formula>
    </cfRule>
    <cfRule type="cellIs" dxfId="2252" priority="3207" stopIfTrue="1" operator="equal">
      <formula>"Napkin Hs"</formula>
    </cfRule>
  </conditionalFormatting>
  <conditionalFormatting sqref="C124">
    <cfRule type="cellIs" dxfId="2251" priority="3227" stopIfTrue="1" operator="equal">
      <formula>"Towel"</formula>
    </cfRule>
    <cfRule type="cellIs" dxfId="2250" priority="3228" stopIfTrue="1" operator="equal">
      <formula>"Napkin Hs"</formula>
    </cfRule>
  </conditionalFormatting>
  <conditionalFormatting sqref="B124">
    <cfRule type="cellIs" dxfId="2249" priority="3052" stopIfTrue="1" operator="equal">
      <formula>"Towel"</formula>
    </cfRule>
    <cfRule type="cellIs" dxfId="2248" priority="3053" stopIfTrue="1" operator="equal">
      <formula>"Napkin Hs"</formula>
    </cfRule>
  </conditionalFormatting>
  <conditionalFormatting sqref="B122:C123">
    <cfRule type="cellIs" dxfId="2247" priority="2972" stopIfTrue="1" operator="equal">
      <formula>"Towel"</formula>
    </cfRule>
    <cfRule type="cellIs" dxfId="2246" priority="2973" stopIfTrue="1" operator="equal">
      <formula>"Napkin Hs"</formula>
    </cfRule>
    <cfRule type="cellIs" dxfId="2245" priority="2978" stopIfTrue="1" operator="equal">
      <formula>"Towel"</formula>
    </cfRule>
    <cfRule type="cellIs" dxfId="2244" priority="2979" stopIfTrue="1" operator="equal">
      <formula>"Napkin Hs"</formula>
    </cfRule>
    <cfRule type="cellIs" dxfId="2243" priority="2984" stopIfTrue="1" operator="equal">
      <formula>"Towel"</formula>
    </cfRule>
    <cfRule type="cellIs" dxfId="2242" priority="2985" stopIfTrue="1" operator="equal">
      <formula>"Napkin Hs"</formula>
    </cfRule>
    <cfRule type="cellIs" dxfId="2241" priority="2990" stopIfTrue="1" operator="equal">
      <formula>"Towel"</formula>
    </cfRule>
    <cfRule type="cellIs" dxfId="2240" priority="2991" stopIfTrue="1" operator="equal">
      <formula>"Napkin Hs"</formula>
    </cfRule>
    <cfRule type="cellIs" dxfId="2239" priority="2996" stopIfTrue="1" operator="equal">
      <formula>"Towel"</formula>
    </cfRule>
    <cfRule type="cellIs" dxfId="2238" priority="2997" stopIfTrue="1" operator="equal">
      <formula>"Napkin Hs"</formula>
    </cfRule>
    <cfRule type="cellIs" dxfId="2237" priority="3002" stopIfTrue="1" operator="equal">
      <formula>"Towel"</formula>
    </cfRule>
    <cfRule type="cellIs" dxfId="2236" priority="3003" stopIfTrue="1" operator="equal">
      <formula>"Napkin Hs"</formula>
    </cfRule>
    <cfRule type="cellIs" dxfId="2235" priority="3006" stopIfTrue="1" operator="equal">
      <formula>"Towel"</formula>
    </cfRule>
    <cfRule type="cellIs" dxfId="2234" priority="3007" stopIfTrue="1" operator="equal">
      <formula>"Napkin Hs"</formula>
    </cfRule>
    <cfRule type="cellIs" dxfId="2233" priority="3014" stopIfTrue="1" operator="equal">
      <formula>"Towel"</formula>
    </cfRule>
    <cfRule type="cellIs" dxfId="2232" priority="3015" stopIfTrue="1" operator="equal">
      <formula>"Napkin Hs"</formula>
    </cfRule>
    <cfRule type="cellIs" dxfId="2231" priority="3020" stopIfTrue="1" operator="equal">
      <formula>"Towel"</formula>
    </cfRule>
    <cfRule type="cellIs" dxfId="2230" priority="3021" stopIfTrue="1" operator="equal">
      <formula>"Napkin Hs"</formula>
    </cfRule>
    <cfRule type="cellIs" dxfId="2229" priority="3026" stopIfTrue="1" operator="equal">
      <formula>"Towel"</formula>
    </cfRule>
    <cfRule type="cellIs" dxfId="2228" priority="3027" stopIfTrue="1" operator="equal">
      <formula>"Napkin Hs"</formula>
    </cfRule>
    <cfRule type="cellIs" dxfId="2227" priority="3032" stopIfTrue="1" operator="equal">
      <formula>"Towel"</formula>
    </cfRule>
    <cfRule type="cellIs" dxfId="2226" priority="3033" stopIfTrue="1" operator="equal">
      <formula>"Napkin Hs"</formula>
    </cfRule>
    <cfRule type="cellIs" dxfId="2225" priority="3038" stopIfTrue="1" operator="equal">
      <formula>"Towel"</formula>
    </cfRule>
    <cfRule type="cellIs" dxfId="2224" priority="3039" stopIfTrue="1" operator="equal">
      <formula>"Napkin Hs"</formula>
    </cfRule>
    <cfRule type="cellIs" dxfId="2223" priority="3044" stopIfTrue="1" operator="equal">
      <formula>"Towel"</formula>
    </cfRule>
    <cfRule type="cellIs" dxfId="2222" priority="3045" stopIfTrue="1" operator="equal">
      <formula>"Napkin Hs"</formula>
    </cfRule>
    <cfRule type="cellIs" dxfId="2221" priority="3050" stopIfTrue="1" operator="equal">
      <formula>"Towel"</formula>
    </cfRule>
    <cfRule type="cellIs" dxfId="2220" priority="3051" stopIfTrue="1" operator="equal">
      <formula>"Napkin Hs"</formula>
    </cfRule>
  </conditionalFormatting>
  <conditionalFormatting sqref="B124:C124">
    <cfRule type="cellIs" dxfId="2219" priority="3112" stopIfTrue="1" operator="equal">
      <formula>"Towel"</formula>
    </cfRule>
    <cfRule type="cellIs" dxfId="2218" priority="3113" stopIfTrue="1" operator="equal">
      <formula>"Napkin Hs"</formula>
    </cfRule>
    <cfRule type="cellIs" dxfId="2217" priority="3118" stopIfTrue="1" operator="equal">
      <formula>"Towel"</formula>
    </cfRule>
    <cfRule type="cellIs" dxfId="2216" priority="3119" stopIfTrue="1" operator="equal">
      <formula>"Napkin Hs"</formula>
    </cfRule>
    <cfRule type="cellIs" dxfId="2215" priority="3124" stopIfTrue="1" operator="equal">
      <formula>"Towel"</formula>
    </cfRule>
    <cfRule type="cellIs" dxfId="2214" priority="3125" stopIfTrue="1" operator="equal">
      <formula>"Napkin Hs"</formula>
    </cfRule>
    <cfRule type="cellIs" dxfId="2213" priority="3130" stopIfTrue="1" operator="equal">
      <formula>"Towel"</formula>
    </cfRule>
    <cfRule type="cellIs" dxfId="2212" priority="3131" stopIfTrue="1" operator="equal">
      <formula>"Napkin Hs"</formula>
    </cfRule>
    <cfRule type="cellIs" dxfId="2211" priority="3136" stopIfTrue="1" operator="equal">
      <formula>"Towel"</formula>
    </cfRule>
    <cfRule type="cellIs" dxfId="2210" priority="3137" stopIfTrue="1" operator="equal">
      <formula>"Napkin Hs"</formula>
    </cfRule>
    <cfRule type="cellIs" dxfId="2209" priority="3142" stopIfTrue="1" operator="equal">
      <formula>"Towel"</formula>
    </cfRule>
    <cfRule type="cellIs" dxfId="2208" priority="3143" stopIfTrue="1" operator="equal">
      <formula>"Napkin Hs"</formula>
    </cfRule>
    <cfRule type="cellIs" dxfId="2207" priority="3148" stopIfTrue="1" operator="equal">
      <formula>"Towel"</formula>
    </cfRule>
    <cfRule type="cellIs" dxfId="2206" priority="3149" stopIfTrue="1" operator="equal">
      <formula>"Napkin Hs"</formula>
    </cfRule>
    <cfRule type="cellIs" dxfId="2205" priority="3154" stopIfTrue="1" operator="equal">
      <formula>"Towel"</formula>
    </cfRule>
    <cfRule type="cellIs" dxfId="2204" priority="3155" stopIfTrue="1" operator="equal">
      <formula>"Napkin Hs"</formula>
    </cfRule>
  </conditionalFormatting>
  <conditionalFormatting sqref="B124:C124">
    <cfRule type="cellIs" dxfId="2203" priority="3054" stopIfTrue="1" operator="equal">
      <formula>"Towel"</formula>
    </cfRule>
    <cfRule type="cellIs" dxfId="2202" priority="3055" stopIfTrue="1" operator="equal">
      <formula>"Napkin Hs"</formula>
    </cfRule>
    <cfRule type="cellIs" dxfId="2201" priority="3070" stopIfTrue="1" operator="equal">
      <formula>"Towel"</formula>
    </cfRule>
    <cfRule type="cellIs" dxfId="2200" priority="3071" stopIfTrue="1" operator="equal">
      <formula>"Napkin Hs"</formula>
    </cfRule>
    <cfRule type="cellIs" dxfId="2199" priority="3076" stopIfTrue="1" operator="equal">
      <formula>"Towel"</formula>
    </cfRule>
    <cfRule type="cellIs" dxfId="2198" priority="3077" stopIfTrue="1" operator="equal">
      <formula>"Napkin Hs"</formula>
    </cfRule>
    <cfRule type="cellIs" dxfId="2197" priority="3082" stopIfTrue="1" operator="equal">
      <formula>"Towel"</formula>
    </cfRule>
    <cfRule type="cellIs" dxfId="2196" priority="3083" stopIfTrue="1" operator="equal">
      <formula>"Napkin Hs"</formula>
    </cfRule>
    <cfRule type="cellIs" dxfId="2195" priority="3088" stopIfTrue="1" operator="equal">
      <formula>"Towel"</formula>
    </cfRule>
    <cfRule type="cellIs" dxfId="2194" priority="3089" stopIfTrue="1" operator="equal">
      <formula>"Napkin Hs"</formula>
    </cfRule>
    <cfRule type="cellIs" dxfId="2193" priority="3094" stopIfTrue="1" operator="equal">
      <formula>"Towel"</formula>
    </cfRule>
    <cfRule type="cellIs" dxfId="2192" priority="3095" stopIfTrue="1" operator="equal">
      <formula>"Napkin Hs"</formula>
    </cfRule>
    <cfRule type="cellIs" dxfId="2191" priority="3100" stopIfTrue="1" operator="equal">
      <formula>"Towel"</formula>
    </cfRule>
    <cfRule type="cellIs" dxfId="2190" priority="3101" stopIfTrue="1" operator="equal">
      <formula>"Napkin Hs"</formula>
    </cfRule>
    <cfRule type="cellIs" dxfId="2189" priority="3106" stopIfTrue="1" operator="equal">
      <formula>"Towel"</formula>
    </cfRule>
    <cfRule type="cellIs" dxfId="2188" priority="3107" stopIfTrue="1" operator="equal">
      <formula>"Napkin Hs"</formula>
    </cfRule>
  </conditionalFormatting>
  <conditionalFormatting sqref="C122:C123">
    <cfRule type="cellIs" dxfId="2187" priority="2968" stopIfTrue="1" operator="equal">
      <formula>"Towel"</formula>
    </cfRule>
    <cfRule type="cellIs" dxfId="2186" priority="2969" stopIfTrue="1" operator="equal">
      <formula>"Napkin Hs"</formula>
    </cfRule>
    <cfRule type="cellIs" dxfId="2185" priority="2970" stopIfTrue="1" operator="equal">
      <formula>"Towel"</formula>
    </cfRule>
    <cfRule type="cellIs" dxfId="2184" priority="2971" stopIfTrue="1" operator="equal">
      <formula>"Napkin Hs"</formula>
    </cfRule>
    <cfRule type="cellIs" dxfId="2183" priority="2974" stopIfTrue="1" operator="equal">
      <formula>"Towel"</formula>
    </cfRule>
    <cfRule type="cellIs" dxfId="2182" priority="2975" stopIfTrue="1" operator="equal">
      <formula>"Napkin Hs"</formula>
    </cfRule>
    <cfRule type="cellIs" dxfId="2181" priority="2976" stopIfTrue="1" operator="equal">
      <formula>"Towel"</formula>
    </cfRule>
    <cfRule type="cellIs" dxfId="2180" priority="2977" stopIfTrue="1" operator="equal">
      <formula>"Napkin Hs"</formula>
    </cfRule>
    <cfRule type="cellIs" dxfId="2179" priority="2980" stopIfTrue="1" operator="equal">
      <formula>"Towel"</formula>
    </cfRule>
    <cfRule type="cellIs" dxfId="2178" priority="2981" stopIfTrue="1" operator="equal">
      <formula>"Napkin Hs"</formula>
    </cfRule>
    <cfRule type="cellIs" dxfId="2177" priority="2982" stopIfTrue="1" operator="equal">
      <formula>"Towel"</formula>
    </cfRule>
    <cfRule type="cellIs" dxfId="2176" priority="2983" stopIfTrue="1" operator="equal">
      <formula>"Napkin Hs"</formula>
    </cfRule>
    <cfRule type="cellIs" dxfId="2175" priority="2986" stopIfTrue="1" operator="equal">
      <formula>"Towel"</formula>
    </cfRule>
    <cfRule type="cellIs" dxfId="2174" priority="2987" stopIfTrue="1" operator="equal">
      <formula>"Napkin Hs"</formula>
    </cfRule>
    <cfRule type="cellIs" dxfId="2173" priority="2988" stopIfTrue="1" operator="equal">
      <formula>"Towel"</formula>
    </cfRule>
    <cfRule type="cellIs" dxfId="2172" priority="2989" stopIfTrue="1" operator="equal">
      <formula>"Napkin Hs"</formula>
    </cfRule>
    <cfRule type="cellIs" dxfId="2171" priority="2992" stopIfTrue="1" operator="equal">
      <formula>"Towel"</formula>
    </cfRule>
    <cfRule type="cellIs" dxfId="2170" priority="2993" stopIfTrue="1" operator="equal">
      <formula>"Napkin Hs"</formula>
    </cfRule>
    <cfRule type="cellIs" dxfId="2169" priority="2994" stopIfTrue="1" operator="equal">
      <formula>"Towel"</formula>
    </cfRule>
    <cfRule type="cellIs" dxfId="2168" priority="2995" stopIfTrue="1" operator="equal">
      <formula>"Napkin Hs"</formula>
    </cfRule>
    <cfRule type="cellIs" dxfId="2167" priority="2998" stopIfTrue="1" operator="equal">
      <formula>"Towel"</formula>
    </cfRule>
    <cfRule type="cellIs" dxfId="2166" priority="2999" stopIfTrue="1" operator="equal">
      <formula>"Napkin Hs"</formula>
    </cfRule>
    <cfRule type="cellIs" dxfId="2165" priority="3000" stopIfTrue="1" operator="equal">
      <formula>"Towel"</formula>
    </cfRule>
    <cfRule type="cellIs" dxfId="2164" priority="3001" stopIfTrue="1" operator="equal">
      <formula>"Napkin Hs"</formula>
    </cfRule>
    <cfRule type="cellIs" dxfId="2163" priority="3004" stopIfTrue="1" operator="equal">
      <formula>"Towel"</formula>
    </cfRule>
    <cfRule type="cellIs" dxfId="2162" priority="3005" stopIfTrue="1" operator="equal">
      <formula>"Napkin Hs"</formula>
    </cfRule>
    <cfRule type="cellIs" dxfId="2161" priority="3008" stopIfTrue="1" operator="equal">
      <formula>"Towel"</formula>
    </cfRule>
    <cfRule type="cellIs" dxfId="2160" priority="3009" stopIfTrue="1" operator="equal">
      <formula>"Napkin Hs"</formula>
    </cfRule>
    <cfRule type="cellIs" dxfId="2159" priority="3010" stopIfTrue="1" operator="equal">
      <formula>"Towel"</formula>
    </cfRule>
    <cfRule type="cellIs" dxfId="2158" priority="3011" stopIfTrue="1" operator="equal">
      <formula>"Napkin Hs"</formula>
    </cfRule>
    <cfRule type="cellIs" dxfId="2157" priority="3012" stopIfTrue="1" operator="equal">
      <formula>"Towel"</formula>
    </cfRule>
    <cfRule type="cellIs" dxfId="2156" priority="3013" stopIfTrue="1" operator="equal">
      <formula>"Napkin Hs"</formula>
    </cfRule>
    <cfRule type="cellIs" dxfId="2155" priority="3016" stopIfTrue="1" operator="equal">
      <formula>"Towel"</formula>
    </cfRule>
    <cfRule type="cellIs" dxfId="2154" priority="3017" stopIfTrue="1" operator="equal">
      <formula>"Napkin Hs"</formula>
    </cfRule>
    <cfRule type="cellIs" dxfId="2153" priority="3018" stopIfTrue="1" operator="equal">
      <formula>"Towel"</formula>
    </cfRule>
    <cfRule type="cellIs" dxfId="2152" priority="3019" stopIfTrue="1" operator="equal">
      <formula>"Napkin Hs"</formula>
    </cfRule>
    <cfRule type="cellIs" dxfId="2151" priority="3022" stopIfTrue="1" operator="equal">
      <formula>"Towel"</formula>
    </cfRule>
    <cfRule type="cellIs" dxfId="2150" priority="3023" stopIfTrue="1" operator="equal">
      <formula>"Napkin Hs"</formula>
    </cfRule>
    <cfRule type="cellIs" dxfId="2149" priority="3024" stopIfTrue="1" operator="equal">
      <formula>"Towel"</formula>
    </cfRule>
    <cfRule type="cellIs" dxfId="2148" priority="3025" stopIfTrue="1" operator="equal">
      <formula>"Napkin Hs"</formula>
    </cfRule>
    <cfRule type="cellIs" dxfId="2147" priority="3028" stopIfTrue="1" operator="equal">
      <formula>"Towel"</formula>
    </cfRule>
    <cfRule type="cellIs" dxfId="2146" priority="3029" stopIfTrue="1" operator="equal">
      <formula>"Napkin Hs"</formula>
    </cfRule>
    <cfRule type="cellIs" dxfId="2145" priority="3030" stopIfTrue="1" operator="equal">
      <formula>"Towel"</formula>
    </cfRule>
    <cfRule type="cellIs" dxfId="2144" priority="3031" stopIfTrue="1" operator="equal">
      <formula>"Napkin Hs"</formula>
    </cfRule>
    <cfRule type="cellIs" dxfId="2143" priority="3034" stopIfTrue="1" operator="equal">
      <formula>"Towel"</formula>
    </cfRule>
    <cfRule type="cellIs" dxfId="2142" priority="3035" stopIfTrue="1" operator="equal">
      <formula>"Napkin Hs"</formula>
    </cfRule>
    <cfRule type="cellIs" dxfId="2141" priority="3036" stopIfTrue="1" operator="equal">
      <formula>"Towel"</formula>
    </cfRule>
    <cfRule type="cellIs" dxfId="2140" priority="3037" stopIfTrue="1" operator="equal">
      <formula>"Napkin Hs"</formula>
    </cfRule>
    <cfRule type="cellIs" dxfId="2139" priority="3040" stopIfTrue="1" operator="equal">
      <formula>"Towel"</formula>
    </cfRule>
    <cfRule type="cellIs" dxfId="2138" priority="3041" stopIfTrue="1" operator="equal">
      <formula>"Napkin Hs"</formula>
    </cfRule>
    <cfRule type="cellIs" dxfId="2137" priority="3042" stopIfTrue="1" operator="equal">
      <formula>"Towel"</formula>
    </cfRule>
    <cfRule type="cellIs" dxfId="2136" priority="3043" stopIfTrue="1" operator="equal">
      <formula>"Napkin Hs"</formula>
    </cfRule>
    <cfRule type="cellIs" dxfId="2135" priority="3046" stopIfTrue="1" operator="equal">
      <formula>"Towel"</formula>
    </cfRule>
    <cfRule type="cellIs" dxfId="2134" priority="3047" stopIfTrue="1" operator="equal">
      <formula>"Napkin Hs"</formula>
    </cfRule>
  </conditionalFormatting>
  <conditionalFormatting sqref="C122:C123">
    <cfRule type="cellIs" dxfId="2133" priority="3048" stopIfTrue="1" operator="equal">
      <formula>"Towel"</formula>
    </cfRule>
    <cfRule type="cellIs" dxfId="2132" priority="3049" stopIfTrue="1" operator="equal">
      <formula>"Napkin Hs"</formula>
    </cfRule>
  </conditionalFormatting>
  <conditionalFormatting sqref="C124">
    <cfRule type="cellIs" dxfId="2131" priority="3108" stopIfTrue="1" operator="equal">
      <formula>"Towel"</formula>
    </cfRule>
    <cfRule type="cellIs" dxfId="2130" priority="3109" stopIfTrue="1" operator="equal">
      <formula>"Napkin Hs"</formula>
    </cfRule>
    <cfRule type="cellIs" dxfId="2129" priority="3110" stopIfTrue="1" operator="equal">
      <formula>"Towel"</formula>
    </cfRule>
    <cfRule type="cellIs" dxfId="2128" priority="3111" stopIfTrue="1" operator="equal">
      <formula>"Napkin Hs"</formula>
    </cfRule>
    <cfRule type="cellIs" dxfId="2127" priority="3114" stopIfTrue="1" operator="equal">
      <formula>"Towel"</formula>
    </cfRule>
    <cfRule type="cellIs" dxfId="2126" priority="3115" stopIfTrue="1" operator="equal">
      <formula>"Napkin Hs"</formula>
    </cfRule>
    <cfRule type="cellIs" dxfId="2125" priority="3116" stopIfTrue="1" operator="equal">
      <formula>"Towel"</formula>
    </cfRule>
    <cfRule type="cellIs" dxfId="2124" priority="3117" stopIfTrue="1" operator="equal">
      <formula>"Napkin Hs"</formula>
    </cfRule>
    <cfRule type="cellIs" dxfId="2123" priority="3120" stopIfTrue="1" operator="equal">
      <formula>"Towel"</formula>
    </cfRule>
    <cfRule type="cellIs" dxfId="2122" priority="3121" stopIfTrue="1" operator="equal">
      <formula>"Napkin Hs"</formula>
    </cfRule>
    <cfRule type="cellIs" dxfId="2121" priority="3122" stopIfTrue="1" operator="equal">
      <formula>"Towel"</formula>
    </cfRule>
    <cfRule type="cellIs" dxfId="2120" priority="3123" stopIfTrue="1" operator="equal">
      <formula>"Napkin Hs"</formula>
    </cfRule>
    <cfRule type="cellIs" dxfId="2119" priority="3126" stopIfTrue="1" operator="equal">
      <formula>"Towel"</formula>
    </cfRule>
    <cfRule type="cellIs" dxfId="2118" priority="3127" stopIfTrue="1" operator="equal">
      <formula>"Napkin Hs"</formula>
    </cfRule>
    <cfRule type="cellIs" dxfId="2117" priority="3128" stopIfTrue="1" operator="equal">
      <formula>"Towel"</formula>
    </cfRule>
    <cfRule type="cellIs" dxfId="2116" priority="3129" stopIfTrue="1" operator="equal">
      <formula>"Napkin Hs"</formula>
    </cfRule>
    <cfRule type="cellIs" dxfId="2115" priority="3132" stopIfTrue="1" operator="equal">
      <formula>"Towel"</formula>
    </cfRule>
    <cfRule type="cellIs" dxfId="2114" priority="3133" stopIfTrue="1" operator="equal">
      <formula>"Napkin Hs"</formula>
    </cfRule>
    <cfRule type="cellIs" dxfId="2113" priority="3134" stopIfTrue="1" operator="equal">
      <formula>"Towel"</formula>
    </cfRule>
    <cfRule type="cellIs" dxfId="2112" priority="3135" stopIfTrue="1" operator="equal">
      <formula>"Napkin Hs"</formula>
    </cfRule>
    <cfRule type="cellIs" dxfId="2111" priority="3138" stopIfTrue="1" operator="equal">
      <formula>"Towel"</formula>
    </cfRule>
    <cfRule type="cellIs" dxfId="2110" priority="3139" stopIfTrue="1" operator="equal">
      <formula>"Napkin Hs"</formula>
    </cfRule>
    <cfRule type="cellIs" dxfId="2109" priority="3140" stopIfTrue="1" operator="equal">
      <formula>"Towel"</formula>
    </cfRule>
    <cfRule type="cellIs" dxfId="2108" priority="3141" stopIfTrue="1" operator="equal">
      <formula>"Napkin Hs"</formula>
    </cfRule>
    <cfRule type="cellIs" dxfId="2107" priority="3144" stopIfTrue="1" operator="equal">
      <formula>"Towel"</formula>
    </cfRule>
    <cfRule type="cellIs" dxfId="2106" priority="3145" stopIfTrue="1" operator="equal">
      <formula>"Napkin Hs"</formula>
    </cfRule>
    <cfRule type="cellIs" dxfId="2105" priority="3146" stopIfTrue="1" operator="equal">
      <formula>"Towel"</formula>
    </cfRule>
    <cfRule type="cellIs" dxfId="2104" priority="3147" stopIfTrue="1" operator="equal">
      <formula>"Napkin Hs"</formula>
    </cfRule>
    <cfRule type="cellIs" dxfId="2103" priority="3150" stopIfTrue="1" operator="equal">
      <formula>"Towel"</formula>
    </cfRule>
    <cfRule type="cellIs" dxfId="2102" priority="3151" stopIfTrue="1" operator="equal">
      <formula>"Napkin Hs"</formula>
    </cfRule>
  </conditionalFormatting>
  <conditionalFormatting sqref="C124">
    <cfRule type="cellIs" dxfId="2101" priority="3056" stopIfTrue="1" operator="equal">
      <formula>"Towel"</formula>
    </cfRule>
    <cfRule type="cellIs" dxfId="2100" priority="3057" stopIfTrue="1" operator="equal">
      <formula>"Napkin Hs"</formula>
    </cfRule>
    <cfRule type="cellIs" dxfId="2099" priority="3058" stopIfTrue="1" operator="equal">
      <formula>"Towel"</formula>
    </cfRule>
    <cfRule type="cellIs" dxfId="2098" priority="3059" stopIfTrue="1" operator="equal">
      <formula>"Napkin Hs"</formula>
    </cfRule>
    <cfRule type="cellIs" dxfId="2097" priority="3060" stopIfTrue="1" operator="equal">
      <formula>"Towel"</formula>
    </cfRule>
    <cfRule type="cellIs" dxfId="2096" priority="3061" stopIfTrue="1" operator="equal">
      <formula>"Napkin Hs"</formula>
    </cfRule>
    <cfRule type="cellIs" dxfId="2095" priority="3062" stopIfTrue="1" operator="equal">
      <formula>"Towel"</formula>
    </cfRule>
    <cfRule type="cellIs" dxfId="2094" priority="3063" stopIfTrue="1" operator="equal">
      <formula>"Napkin Hs"</formula>
    </cfRule>
    <cfRule type="cellIs" dxfId="2093" priority="3064" stopIfTrue="1" operator="equal">
      <formula>"Towel"</formula>
    </cfRule>
    <cfRule type="cellIs" dxfId="2092" priority="3065" stopIfTrue="1" operator="equal">
      <formula>"Napkin Hs"</formula>
    </cfRule>
    <cfRule type="cellIs" dxfId="2091" priority="3066" stopIfTrue="1" operator="equal">
      <formula>"Towel"</formula>
    </cfRule>
    <cfRule type="cellIs" dxfId="2090" priority="3067" stopIfTrue="1" operator="equal">
      <formula>"Napkin Hs"</formula>
    </cfRule>
    <cfRule type="cellIs" dxfId="2089" priority="3068" stopIfTrue="1" operator="equal">
      <formula>"Towel"</formula>
    </cfRule>
    <cfRule type="cellIs" dxfId="2088" priority="3069" stopIfTrue="1" operator="equal">
      <formula>"Napkin Hs"</formula>
    </cfRule>
    <cfRule type="cellIs" dxfId="2087" priority="3072" stopIfTrue="1" operator="equal">
      <formula>"Towel"</formula>
    </cfRule>
    <cfRule type="cellIs" dxfId="2086" priority="3073" stopIfTrue="1" operator="equal">
      <formula>"Napkin Hs"</formula>
    </cfRule>
    <cfRule type="cellIs" dxfId="2085" priority="3074" stopIfTrue="1" operator="equal">
      <formula>"Towel"</formula>
    </cfRule>
    <cfRule type="cellIs" dxfId="2084" priority="3075" stopIfTrue="1" operator="equal">
      <formula>"Napkin Hs"</formula>
    </cfRule>
    <cfRule type="cellIs" dxfId="2083" priority="3078" stopIfTrue="1" operator="equal">
      <formula>"Towel"</formula>
    </cfRule>
    <cfRule type="cellIs" dxfId="2082" priority="3079" stopIfTrue="1" operator="equal">
      <formula>"Napkin Hs"</formula>
    </cfRule>
    <cfRule type="cellIs" dxfId="2081" priority="3080" stopIfTrue="1" operator="equal">
      <formula>"Towel"</formula>
    </cfRule>
    <cfRule type="cellIs" dxfId="2080" priority="3081" stopIfTrue="1" operator="equal">
      <formula>"Napkin Hs"</formula>
    </cfRule>
    <cfRule type="cellIs" dxfId="2079" priority="3084" stopIfTrue="1" operator="equal">
      <formula>"Towel"</formula>
    </cfRule>
    <cfRule type="cellIs" dxfId="2078" priority="3085" stopIfTrue="1" operator="equal">
      <formula>"Napkin Hs"</formula>
    </cfRule>
    <cfRule type="cellIs" dxfId="2077" priority="3086" stopIfTrue="1" operator="equal">
      <formula>"Towel"</formula>
    </cfRule>
    <cfRule type="cellIs" dxfId="2076" priority="3087" stopIfTrue="1" operator="equal">
      <formula>"Napkin Hs"</formula>
    </cfRule>
    <cfRule type="cellIs" dxfId="2075" priority="3090" stopIfTrue="1" operator="equal">
      <formula>"Towel"</formula>
    </cfRule>
    <cfRule type="cellIs" dxfId="2074" priority="3091" stopIfTrue="1" operator="equal">
      <formula>"Napkin Hs"</formula>
    </cfRule>
    <cfRule type="cellIs" dxfId="2073" priority="3092" stopIfTrue="1" operator="equal">
      <formula>"Towel"</formula>
    </cfRule>
    <cfRule type="cellIs" dxfId="2072" priority="3093" stopIfTrue="1" operator="equal">
      <formula>"Napkin Hs"</formula>
    </cfRule>
    <cfRule type="cellIs" dxfId="2071" priority="3096" stopIfTrue="1" operator="equal">
      <formula>"Towel"</formula>
    </cfRule>
    <cfRule type="cellIs" dxfId="2070" priority="3097" stopIfTrue="1" operator="equal">
      <formula>"Napkin Hs"</formula>
    </cfRule>
    <cfRule type="cellIs" dxfId="2069" priority="3098" stopIfTrue="1" operator="equal">
      <formula>"Towel"</formula>
    </cfRule>
    <cfRule type="cellIs" dxfId="2068" priority="3099" stopIfTrue="1" operator="equal">
      <formula>"Napkin Hs"</formula>
    </cfRule>
    <cfRule type="cellIs" dxfId="2067" priority="3102" stopIfTrue="1" operator="equal">
      <formula>"Towel"</formula>
    </cfRule>
    <cfRule type="cellIs" dxfId="2066" priority="3103" stopIfTrue="1" operator="equal">
      <formula>"Napkin Hs"</formula>
    </cfRule>
    <cfRule type="cellIs" dxfId="2065" priority="3104" stopIfTrue="1" operator="equal">
      <formula>"Towel"</formula>
    </cfRule>
    <cfRule type="cellIs" dxfId="2064" priority="3105" stopIfTrue="1" operator="equal">
      <formula>"Napkin Hs"</formula>
    </cfRule>
    <cfRule type="cellIs" dxfId="2063" priority="3152" stopIfTrue="1" operator="equal">
      <formula>"Towel"</formula>
    </cfRule>
    <cfRule type="cellIs" dxfId="2062" priority="3153" stopIfTrue="1" operator="equal">
      <formula>"Napkin Hs"</formula>
    </cfRule>
  </conditionalFormatting>
  <conditionalFormatting sqref="B130:C130">
    <cfRule type="cellIs" dxfId="2061" priority="2966" stopIfTrue="1" operator="equal">
      <formula>"Towel"</formula>
    </cfRule>
    <cfRule type="cellIs" dxfId="2060" priority="2967" stopIfTrue="1" operator="equal">
      <formula>"Napkin Hs"</formula>
    </cfRule>
  </conditionalFormatting>
  <conditionalFormatting sqref="C130">
    <cfRule type="cellIs" dxfId="2059" priority="2965" stopIfTrue="1" operator="equal">
      <formula>"Napkin Hs"</formula>
    </cfRule>
  </conditionalFormatting>
  <conditionalFormatting sqref="C130">
    <cfRule type="cellIs" dxfId="2058" priority="2964" stopIfTrue="1" operator="equal">
      <formula>"Towel"</formula>
    </cfRule>
  </conditionalFormatting>
  <conditionalFormatting sqref="C130">
    <cfRule type="cellIs" dxfId="2057" priority="2962" stopIfTrue="1" operator="equal">
      <formula>"Towel"</formula>
    </cfRule>
    <cfRule type="cellIs" dxfId="2056" priority="2963" stopIfTrue="1" operator="equal">
      <formula>"Napkin Hs"</formula>
    </cfRule>
  </conditionalFormatting>
  <conditionalFormatting sqref="B128">
    <cfRule type="cellIs" dxfId="2055" priority="2937" stopIfTrue="1" operator="equal">
      <formula>"Towel"</formula>
    </cfRule>
    <cfRule type="cellIs" dxfId="2054" priority="2938" stopIfTrue="1" operator="equal">
      <formula>"Napkin Hs"</formula>
    </cfRule>
    <cfRule type="cellIs" dxfId="2053" priority="2939" stopIfTrue="1" operator="equal">
      <formula>"Towel"</formula>
    </cfRule>
    <cfRule type="cellIs" dxfId="2052" priority="2940" stopIfTrue="1" operator="equal">
      <formula>"Napkin Hs"</formula>
    </cfRule>
    <cfRule type="cellIs" dxfId="2051" priority="2941" stopIfTrue="1" operator="equal">
      <formula>"Towel"</formula>
    </cfRule>
    <cfRule type="cellIs" dxfId="2050" priority="2942" stopIfTrue="1" operator="equal">
      <formula>"Napkin Hs"</formula>
    </cfRule>
    <cfRule type="cellIs" dxfId="2049" priority="2943" stopIfTrue="1" operator="equal">
      <formula>"Towel"</formula>
    </cfRule>
    <cfRule type="cellIs" dxfId="2048" priority="2944" stopIfTrue="1" operator="equal">
      <formula>"Napkin Hs"</formula>
    </cfRule>
    <cfRule type="cellIs" dxfId="2047" priority="2945" stopIfTrue="1" operator="equal">
      <formula>"Towel"</formula>
    </cfRule>
    <cfRule type="cellIs" dxfId="2046" priority="2946" stopIfTrue="1" operator="equal">
      <formula>"Napkin Hs"</formula>
    </cfRule>
    <cfRule type="cellIs" dxfId="2045" priority="2947" stopIfTrue="1" operator="equal">
      <formula>"Towel"</formula>
    </cfRule>
    <cfRule type="cellIs" dxfId="2044" priority="2948" stopIfTrue="1" operator="equal">
      <formula>"Napkin Hs"</formula>
    </cfRule>
    <cfRule type="cellIs" dxfId="2043" priority="2949" stopIfTrue="1" operator="equal">
      <formula>"Towel"</formula>
    </cfRule>
    <cfRule type="cellIs" dxfId="2042" priority="2950" stopIfTrue="1" operator="equal">
      <formula>"Napkin Hs"</formula>
    </cfRule>
    <cfRule type="cellIs" dxfId="2041" priority="2951" stopIfTrue="1" operator="equal">
      <formula>"Towel"</formula>
    </cfRule>
    <cfRule type="cellIs" dxfId="2040" priority="2952" stopIfTrue="1" operator="equal">
      <formula>"Napkin Hs"</formula>
    </cfRule>
  </conditionalFormatting>
  <conditionalFormatting sqref="B128:C128">
    <cfRule type="cellIs" dxfId="2039" priority="2929" stopIfTrue="1" operator="equal">
      <formula>"Towel"</formula>
    </cfRule>
    <cfRule type="cellIs" dxfId="2038" priority="2930" stopIfTrue="1" operator="equal">
      <formula>"Napkin Hs"</formula>
    </cfRule>
  </conditionalFormatting>
  <conditionalFormatting sqref="B129:C129">
    <cfRule type="cellIs" dxfId="2037" priority="2953" stopIfTrue="1" operator="equal">
      <formula>"Napkin Hs"</formula>
    </cfRule>
  </conditionalFormatting>
  <conditionalFormatting sqref="C128">
    <cfRule type="cellIs" dxfId="2036" priority="2936" stopIfTrue="1" operator="equal">
      <formula>"Napkin Hs"</formula>
    </cfRule>
  </conditionalFormatting>
  <conditionalFormatting sqref="B129:C129 C128">
    <cfRule type="cellIs" dxfId="2035" priority="2935" stopIfTrue="1" operator="equal">
      <formula>"Towel"</formula>
    </cfRule>
  </conditionalFormatting>
  <conditionalFormatting sqref="C128">
    <cfRule type="cellIs" dxfId="2034" priority="2887" stopIfTrue="1" operator="equal">
      <formula>"Towel"</formula>
    </cfRule>
    <cfRule type="cellIs" dxfId="2033" priority="2888" stopIfTrue="1" operator="equal">
      <formula>"Napkin Hs"</formula>
    </cfRule>
    <cfRule type="cellIs" dxfId="2032" priority="2893" stopIfTrue="1" operator="equal">
      <formula>"Towel"</formula>
    </cfRule>
    <cfRule type="cellIs" dxfId="2031" priority="2894" stopIfTrue="1" operator="equal">
      <formula>"Napkin Hs"</formula>
    </cfRule>
    <cfRule type="cellIs" dxfId="2030" priority="2899" stopIfTrue="1" operator="equal">
      <formula>"Towel"</formula>
    </cfRule>
    <cfRule type="cellIs" dxfId="2029" priority="2900" stopIfTrue="1" operator="equal">
      <formula>"Napkin Hs"</formula>
    </cfRule>
    <cfRule type="cellIs" dxfId="2028" priority="2905" stopIfTrue="1" operator="equal">
      <formula>"Towel"</formula>
    </cfRule>
    <cfRule type="cellIs" dxfId="2027" priority="2906" stopIfTrue="1" operator="equal">
      <formula>"Napkin Hs"</formula>
    </cfRule>
    <cfRule type="cellIs" dxfId="2026" priority="2911" stopIfTrue="1" operator="equal">
      <formula>"Towel"</formula>
    </cfRule>
    <cfRule type="cellIs" dxfId="2025" priority="2912" stopIfTrue="1" operator="equal">
      <formula>"Napkin Hs"</formula>
    </cfRule>
    <cfRule type="cellIs" dxfId="2024" priority="2917" stopIfTrue="1" operator="equal">
      <formula>"Towel"</formula>
    </cfRule>
    <cfRule type="cellIs" dxfId="2023" priority="2918" stopIfTrue="1" operator="equal">
      <formula>"Napkin Hs"</formula>
    </cfRule>
    <cfRule type="cellIs" dxfId="2022" priority="2923" stopIfTrue="1" operator="equal">
      <formula>"Towel"</formula>
    </cfRule>
    <cfRule type="cellIs" dxfId="2021" priority="2924" stopIfTrue="1" operator="equal">
      <formula>"Napkin Hs"</formula>
    </cfRule>
  </conditionalFormatting>
  <conditionalFormatting sqref="C128">
    <cfRule type="cellIs" dxfId="2020" priority="2883" stopIfTrue="1" operator="equal">
      <formula>"Towel"</formula>
    </cfRule>
    <cfRule type="cellIs" dxfId="2019" priority="2884" stopIfTrue="1" operator="equal">
      <formula>"Napkin Hs"</formula>
    </cfRule>
    <cfRule type="cellIs" dxfId="2018" priority="2885" stopIfTrue="1" operator="equal">
      <formula>"Towel"</formula>
    </cfRule>
    <cfRule type="cellIs" dxfId="2017" priority="2886" stopIfTrue="1" operator="equal">
      <formula>"Napkin Hs"</formula>
    </cfRule>
    <cfRule type="cellIs" dxfId="2016" priority="2889" stopIfTrue="1" operator="equal">
      <formula>"Towel"</formula>
    </cfRule>
    <cfRule type="cellIs" dxfId="2015" priority="2890" stopIfTrue="1" operator="equal">
      <formula>"Napkin Hs"</formula>
    </cfRule>
    <cfRule type="cellIs" dxfId="2014" priority="2891" stopIfTrue="1" operator="equal">
      <formula>"Towel"</formula>
    </cfRule>
    <cfRule type="cellIs" dxfId="2013" priority="2892" stopIfTrue="1" operator="equal">
      <formula>"Napkin Hs"</formula>
    </cfRule>
    <cfRule type="cellIs" dxfId="2012" priority="2895" stopIfTrue="1" operator="equal">
      <formula>"Towel"</formula>
    </cfRule>
    <cfRule type="cellIs" dxfId="2011" priority="2896" stopIfTrue="1" operator="equal">
      <formula>"Napkin Hs"</formula>
    </cfRule>
    <cfRule type="cellIs" dxfId="2010" priority="2897" stopIfTrue="1" operator="equal">
      <formula>"Towel"</formula>
    </cfRule>
    <cfRule type="cellIs" dxfId="2009" priority="2898" stopIfTrue="1" operator="equal">
      <formula>"Napkin Hs"</formula>
    </cfRule>
    <cfRule type="cellIs" dxfId="2008" priority="2901" stopIfTrue="1" operator="equal">
      <formula>"Towel"</formula>
    </cfRule>
    <cfRule type="cellIs" dxfId="2007" priority="2902" stopIfTrue="1" operator="equal">
      <formula>"Napkin Hs"</formula>
    </cfRule>
    <cfRule type="cellIs" dxfId="2006" priority="2903" stopIfTrue="1" operator="equal">
      <formula>"Towel"</formula>
    </cfRule>
    <cfRule type="cellIs" dxfId="2005" priority="2904" stopIfTrue="1" operator="equal">
      <formula>"Napkin Hs"</formula>
    </cfRule>
    <cfRule type="cellIs" dxfId="2004" priority="2907" stopIfTrue="1" operator="equal">
      <formula>"Towel"</formula>
    </cfRule>
    <cfRule type="cellIs" dxfId="2003" priority="2908" stopIfTrue="1" operator="equal">
      <formula>"Napkin Hs"</formula>
    </cfRule>
    <cfRule type="cellIs" dxfId="2002" priority="2909" stopIfTrue="1" operator="equal">
      <formula>"Towel"</formula>
    </cfRule>
    <cfRule type="cellIs" dxfId="2001" priority="2910" stopIfTrue="1" operator="equal">
      <formula>"Napkin Hs"</formula>
    </cfRule>
    <cfRule type="cellIs" dxfId="2000" priority="2913" stopIfTrue="1" operator="equal">
      <formula>"Towel"</formula>
    </cfRule>
    <cfRule type="cellIs" dxfId="1999" priority="2914" stopIfTrue="1" operator="equal">
      <formula>"Napkin Hs"</formula>
    </cfRule>
    <cfRule type="cellIs" dxfId="1998" priority="2915" stopIfTrue="1" operator="equal">
      <formula>"Towel"</formula>
    </cfRule>
    <cfRule type="cellIs" dxfId="1997" priority="2916" stopIfTrue="1" operator="equal">
      <formula>"Napkin Hs"</formula>
    </cfRule>
    <cfRule type="cellIs" dxfId="1996" priority="2919" stopIfTrue="1" operator="equal">
      <formula>"Towel"</formula>
    </cfRule>
    <cfRule type="cellIs" dxfId="1995" priority="2920" stopIfTrue="1" operator="equal">
      <formula>"Napkin Hs"</formula>
    </cfRule>
    <cfRule type="cellIs" dxfId="1994" priority="2921" stopIfTrue="1" operator="equal">
      <formula>"Towel"</formula>
    </cfRule>
    <cfRule type="cellIs" dxfId="1993" priority="2922" stopIfTrue="1" operator="equal">
      <formula>"Napkin Hs"</formula>
    </cfRule>
    <cfRule type="cellIs" dxfId="1992" priority="2925" stopIfTrue="1" operator="equal">
      <formula>"Towel"</formula>
    </cfRule>
    <cfRule type="cellIs" dxfId="1991" priority="2926" stopIfTrue="1" operator="equal">
      <formula>"Napkin Hs"</formula>
    </cfRule>
    <cfRule type="cellIs" dxfId="1990" priority="2927" stopIfTrue="1" operator="equal">
      <formula>"Towel"</formula>
    </cfRule>
    <cfRule type="cellIs" dxfId="1989" priority="2928" stopIfTrue="1" operator="equal">
      <formula>"Napkin Hs"</formula>
    </cfRule>
    <cfRule type="cellIs" dxfId="1988" priority="2931" stopIfTrue="1" operator="equal">
      <formula>"Towel"</formula>
    </cfRule>
    <cfRule type="cellIs" dxfId="1987" priority="2932" stopIfTrue="1" operator="equal">
      <formula>"Napkin Hs"</formula>
    </cfRule>
  </conditionalFormatting>
  <conditionalFormatting sqref="C128:C129">
    <cfRule type="cellIs" dxfId="1986" priority="2933" stopIfTrue="1" operator="equal">
      <formula>"Towel"</formula>
    </cfRule>
    <cfRule type="cellIs" dxfId="1985" priority="2934" stopIfTrue="1" operator="equal">
      <formula>"Napkin Hs"</formula>
    </cfRule>
  </conditionalFormatting>
  <conditionalFormatting sqref="C129">
    <cfRule type="cellIs" dxfId="1984" priority="2954" stopIfTrue="1" operator="equal">
      <formula>"Towel"</formula>
    </cfRule>
    <cfRule type="cellIs" dxfId="1983" priority="2955" stopIfTrue="1" operator="equal">
      <formula>"Napkin Hs"</formula>
    </cfRule>
  </conditionalFormatting>
  <conditionalFormatting sqref="B129">
    <cfRule type="cellIs" dxfId="1982" priority="2779" stopIfTrue="1" operator="equal">
      <formula>"Towel"</formula>
    </cfRule>
    <cfRule type="cellIs" dxfId="1981" priority="2780" stopIfTrue="1" operator="equal">
      <formula>"Napkin Hs"</formula>
    </cfRule>
  </conditionalFormatting>
  <conditionalFormatting sqref="B128:C128">
    <cfRule type="cellIs" dxfId="1980" priority="2699" stopIfTrue="1" operator="equal">
      <formula>"Towel"</formula>
    </cfRule>
    <cfRule type="cellIs" dxfId="1979" priority="2700" stopIfTrue="1" operator="equal">
      <formula>"Napkin Hs"</formula>
    </cfRule>
    <cfRule type="cellIs" dxfId="1978" priority="2705" stopIfTrue="1" operator="equal">
      <formula>"Towel"</formula>
    </cfRule>
    <cfRule type="cellIs" dxfId="1977" priority="2706" stopIfTrue="1" operator="equal">
      <formula>"Napkin Hs"</formula>
    </cfRule>
    <cfRule type="cellIs" dxfId="1976" priority="2711" stopIfTrue="1" operator="equal">
      <formula>"Towel"</formula>
    </cfRule>
    <cfRule type="cellIs" dxfId="1975" priority="2712" stopIfTrue="1" operator="equal">
      <formula>"Napkin Hs"</formula>
    </cfRule>
    <cfRule type="cellIs" dxfId="1974" priority="2717" stopIfTrue="1" operator="equal">
      <formula>"Towel"</formula>
    </cfRule>
    <cfRule type="cellIs" dxfId="1973" priority="2718" stopIfTrue="1" operator="equal">
      <formula>"Napkin Hs"</formula>
    </cfRule>
    <cfRule type="cellIs" dxfId="1972" priority="2723" stopIfTrue="1" operator="equal">
      <formula>"Towel"</formula>
    </cfRule>
    <cfRule type="cellIs" dxfId="1971" priority="2724" stopIfTrue="1" operator="equal">
      <formula>"Napkin Hs"</formula>
    </cfRule>
    <cfRule type="cellIs" dxfId="1970" priority="2729" stopIfTrue="1" operator="equal">
      <formula>"Towel"</formula>
    </cfRule>
    <cfRule type="cellIs" dxfId="1969" priority="2730" stopIfTrue="1" operator="equal">
      <formula>"Napkin Hs"</formula>
    </cfRule>
    <cfRule type="cellIs" dxfId="1968" priority="2733" stopIfTrue="1" operator="equal">
      <formula>"Towel"</formula>
    </cfRule>
    <cfRule type="cellIs" dxfId="1967" priority="2734" stopIfTrue="1" operator="equal">
      <formula>"Napkin Hs"</formula>
    </cfRule>
    <cfRule type="cellIs" dxfId="1966" priority="2741" stopIfTrue="1" operator="equal">
      <formula>"Towel"</formula>
    </cfRule>
    <cfRule type="cellIs" dxfId="1965" priority="2742" stopIfTrue="1" operator="equal">
      <formula>"Napkin Hs"</formula>
    </cfRule>
    <cfRule type="cellIs" dxfId="1964" priority="2747" stopIfTrue="1" operator="equal">
      <formula>"Towel"</formula>
    </cfRule>
    <cfRule type="cellIs" dxfId="1963" priority="2748" stopIfTrue="1" operator="equal">
      <formula>"Napkin Hs"</formula>
    </cfRule>
    <cfRule type="cellIs" dxfId="1962" priority="2753" stopIfTrue="1" operator="equal">
      <formula>"Towel"</formula>
    </cfRule>
    <cfRule type="cellIs" dxfId="1961" priority="2754" stopIfTrue="1" operator="equal">
      <formula>"Napkin Hs"</formula>
    </cfRule>
    <cfRule type="cellIs" dxfId="1960" priority="2759" stopIfTrue="1" operator="equal">
      <formula>"Towel"</formula>
    </cfRule>
    <cfRule type="cellIs" dxfId="1959" priority="2760" stopIfTrue="1" operator="equal">
      <formula>"Napkin Hs"</formula>
    </cfRule>
    <cfRule type="cellIs" dxfId="1958" priority="2765" stopIfTrue="1" operator="equal">
      <formula>"Towel"</formula>
    </cfRule>
    <cfRule type="cellIs" dxfId="1957" priority="2766" stopIfTrue="1" operator="equal">
      <formula>"Napkin Hs"</formula>
    </cfRule>
    <cfRule type="cellIs" dxfId="1956" priority="2771" stopIfTrue="1" operator="equal">
      <formula>"Towel"</formula>
    </cfRule>
    <cfRule type="cellIs" dxfId="1955" priority="2772" stopIfTrue="1" operator="equal">
      <formula>"Napkin Hs"</formula>
    </cfRule>
    <cfRule type="cellIs" dxfId="1954" priority="2777" stopIfTrue="1" operator="equal">
      <formula>"Towel"</formula>
    </cfRule>
    <cfRule type="cellIs" dxfId="1953" priority="2778" stopIfTrue="1" operator="equal">
      <formula>"Napkin Hs"</formula>
    </cfRule>
  </conditionalFormatting>
  <conditionalFormatting sqref="B129:C129">
    <cfRule type="cellIs" dxfId="1952" priority="2839" stopIfTrue="1" operator="equal">
      <formula>"Towel"</formula>
    </cfRule>
    <cfRule type="cellIs" dxfId="1951" priority="2840" stopIfTrue="1" operator="equal">
      <formula>"Napkin Hs"</formula>
    </cfRule>
    <cfRule type="cellIs" dxfId="1950" priority="2845" stopIfTrue="1" operator="equal">
      <formula>"Towel"</formula>
    </cfRule>
    <cfRule type="cellIs" dxfId="1949" priority="2846" stopIfTrue="1" operator="equal">
      <formula>"Napkin Hs"</formula>
    </cfRule>
    <cfRule type="cellIs" dxfId="1948" priority="2851" stopIfTrue="1" operator="equal">
      <formula>"Towel"</formula>
    </cfRule>
    <cfRule type="cellIs" dxfId="1947" priority="2852" stopIfTrue="1" operator="equal">
      <formula>"Napkin Hs"</formula>
    </cfRule>
    <cfRule type="cellIs" dxfId="1946" priority="2857" stopIfTrue="1" operator="equal">
      <formula>"Towel"</formula>
    </cfRule>
    <cfRule type="cellIs" dxfId="1945" priority="2858" stopIfTrue="1" operator="equal">
      <formula>"Napkin Hs"</formula>
    </cfRule>
    <cfRule type="cellIs" dxfId="1944" priority="2863" stopIfTrue="1" operator="equal">
      <formula>"Towel"</formula>
    </cfRule>
    <cfRule type="cellIs" dxfId="1943" priority="2864" stopIfTrue="1" operator="equal">
      <formula>"Napkin Hs"</formula>
    </cfRule>
    <cfRule type="cellIs" dxfId="1942" priority="2869" stopIfTrue="1" operator="equal">
      <formula>"Towel"</formula>
    </cfRule>
    <cfRule type="cellIs" dxfId="1941" priority="2870" stopIfTrue="1" operator="equal">
      <formula>"Napkin Hs"</formula>
    </cfRule>
    <cfRule type="cellIs" dxfId="1940" priority="2875" stopIfTrue="1" operator="equal">
      <formula>"Towel"</formula>
    </cfRule>
    <cfRule type="cellIs" dxfId="1939" priority="2876" stopIfTrue="1" operator="equal">
      <formula>"Napkin Hs"</formula>
    </cfRule>
    <cfRule type="cellIs" dxfId="1938" priority="2881" stopIfTrue="1" operator="equal">
      <formula>"Towel"</formula>
    </cfRule>
    <cfRule type="cellIs" dxfId="1937" priority="2882" stopIfTrue="1" operator="equal">
      <formula>"Napkin Hs"</formula>
    </cfRule>
  </conditionalFormatting>
  <conditionalFormatting sqref="B129:C129">
    <cfRule type="cellIs" dxfId="1936" priority="2781" stopIfTrue="1" operator="equal">
      <formula>"Towel"</formula>
    </cfRule>
    <cfRule type="cellIs" dxfId="1935" priority="2782" stopIfTrue="1" operator="equal">
      <formula>"Napkin Hs"</formula>
    </cfRule>
    <cfRule type="cellIs" dxfId="1934" priority="2797" stopIfTrue="1" operator="equal">
      <formula>"Towel"</formula>
    </cfRule>
    <cfRule type="cellIs" dxfId="1933" priority="2798" stopIfTrue="1" operator="equal">
      <formula>"Napkin Hs"</formula>
    </cfRule>
    <cfRule type="cellIs" dxfId="1932" priority="2803" stopIfTrue="1" operator="equal">
      <formula>"Towel"</formula>
    </cfRule>
    <cfRule type="cellIs" dxfId="1931" priority="2804" stopIfTrue="1" operator="equal">
      <formula>"Napkin Hs"</formula>
    </cfRule>
    <cfRule type="cellIs" dxfId="1930" priority="2809" stopIfTrue="1" operator="equal">
      <formula>"Towel"</formula>
    </cfRule>
    <cfRule type="cellIs" dxfId="1929" priority="2810" stopIfTrue="1" operator="equal">
      <formula>"Napkin Hs"</formula>
    </cfRule>
    <cfRule type="cellIs" dxfId="1928" priority="2815" stopIfTrue="1" operator="equal">
      <formula>"Towel"</formula>
    </cfRule>
    <cfRule type="cellIs" dxfId="1927" priority="2816" stopIfTrue="1" operator="equal">
      <formula>"Napkin Hs"</formula>
    </cfRule>
    <cfRule type="cellIs" dxfId="1926" priority="2821" stopIfTrue="1" operator="equal">
      <formula>"Towel"</formula>
    </cfRule>
    <cfRule type="cellIs" dxfId="1925" priority="2822" stopIfTrue="1" operator="equal">
      <formula>"Napkin Hs"</formula>
    </cfRule>
    <cfRule type="cellIs" dxfId="1924" priority="2827" stopIfTrue="1" operator="equal">
      <formula>"Towel"</formula>
    </cfRule>
    <cfRule type="cellIs" dxfId="1923" priority="2828" stopIfTrue="1" operator="equal">
      <formula>"Napkin Hs"</formula>
    </cfRule>
    <cfRule type="cellIs" dxfId="1922" priority="2833" stopIfTrue="1" operator="equal">
      <formula>"Towel"</formula>
    </cfRule>
    <cfRule type="cellIs" dxfId="1921" priority="2834" stopIfTrue="1" operator="equal">
      <formula>"Napkin Hs"</formula>
    </cfRule>
  </conditionalFormatting>
  <conditionalFormatting sqref="C128">
    <cfRule type="cellIs" dxfId="1920" priority="2695" stopIfTrue="1" operator="equal">
      <formula>"Towel"</formula>
    </cfRule>
    <cfRule type="cellIs" dxfId="1919" priority="2696" stopIfTrue="1" operator="equal">
      <formula>"Napkin Hs"</formula>
    </cfRule>
    <cfRule type="cellIs" dxfId="1918" priority="2697" stopIfTrue="1" operator="equal">
      <formula>"Towel"</formula>
    </cfRule>
    <cfRule type="cellIs" dxfId="1917" priority="2698" stopIfTrue="1" operator="equal">
      <formula>"Napkin Hs"</formula>
    </cfRule>
    <cfRule type="cellIs" dxfId="1916" priority="2701" stopIfTrue="1" operator="equal">
      <formula>"Towel"</formula>
    </cfRule>
    <cfRule type="cellIs" dxfId="1915" priority="2702" stopIfTrue="1" operator="equal">
      <formula>"Napkin Hs"</formula>
    </cfRule>
    <cfRule type="cellIs" dxfId="1914" priority="2703" stopIfTrue="1" operator="equal">
      <formula>"Towel"</formula>
    </cfRule>
    <cfRule type="cellIs" dxfId="1913" priority="2704" stopIfTrue="1" operator="equal">
      <formula>"Napkin Hs"</formula>
    </cfRule>
    <cfRule type="cellIs" dxfId="1912" priority="2707" stopIfTrue="1" operator="equal">
      <formula>"Towel"</formula>
    </cfRule>
    <cfRule type="cellIs" dxfId="1911" priority="2708" stopIfTrue="1" operator="equal">
      <formula>"Napkin Hs"</formula>
    </cfRule>
    <cfRule type="cellIs" dxfId="1910" priority="2709" stopIfTrue="1" operator="equal">
      <formula>"Towel"</formula>
    </cfRule>
    <cfRule type="cellIs" dxfId="1909" priority="2710" stopIfTrue="1" operator="equal">
      <formula>"Napkin Hs"</formula>
    </cfRule>
    <cfRule type="cellIs" dxfId="1908" priority="2713" stopIfTrue="1" operator="equal">
      <formula>"Towel"</formula>
    </cfRule>
    <cfRule type="cellIs" dxfId="1907" priority="2714" stopIfTrue="1" operator="equal">
      <formula>"Napkin Hs"</formula>
    </cfRule>
    <cfRule type="cellIs" dxfId="1906" priority="2715" stopIfTrue="1" operator="equal">
      <formula>"Towel"</formula>
    </cfRule>
    <cfRule type="cellIs" dxfId="1905" priority="2716" stopIfTrue="1" operator="equal">
      <formula>"Napkin Hs"</formula>
    </cfRule>
    <cfRule type="cellIs" dxfId="1904" priority="2719" stopIfTrue="1" operator="equal">
      <formula>"Towel"</formula>
    </cfRule>
    <cfRule type="cellIs" dxfId="1903" priority="2720" stopIfTrue="1" operator="equal">
      <formula>"Napkin Hs"</formula>
    </cfRule>
    <cfRule type="cellIs" dxfId="1902" priority="2721" stopIfTrue="1" operator="equal">
      <formula>"Towel"</formula>
    </cfRule>
    <cfRule type="cellIs" dxfId="1901" priority="2722" stopIfTrue="1" operator="equal">
      <formula>"Napkin Hs"</formula>
    </cfRule>
    <cfRule type="cellIs" dxfId="1900" priority="2725" stopIfTrue="1" operator="equal">
      <formula>"Towel"</formula>
    </cfRule>
    <cfRule type="cellIs" dxfId="1899" priority="2726" stopIfTrue="1" operator="equal">
      <formula>"Napkin Hs"</formula>
    </cfRule>
    <cfRule type="cellIs" dxfId="1898" priority="2727" stopIfTrue="1" operator="equal">
      <formula>"Towel"</formula>
    </cfRule>
    <cfRule type="cellIs" dxfId="1897" priority="2728" stopIfTrue="1" operator="equal">
      <formula>"Napkin Hs"</formula>
    </cfRule>
    <cfRule type="cellIs" dxfId="1896" priority="2731" stopIfTrue="1" operator="equal">
      <formula>"Towel"</formula>
    </cfRule>
    <cfRule type="cellIs" dxfId="1895" priority="2732" stopIfTrue="1" operator="equal">
      <formula>"Napkin Hs"</formula>
    </cfRule>
    <cfRule type="cellIs" dxfId="1894" priority="2735" stopIfTrue="1" operator="equal">
      <formula>"Towel"</formula>
    </cfRule>
    <cfRule type="cellIs" dxfId="1893" priority="2736" stopIfTrue="1" operator="equal">
      <formula>"Napkin Hs"</formula>
    </cfRule>
    <cfRule type="cellIs" dxfId="1892" priority="2737" stopIfTrue="1" operator="equal">
      <formula>"Towel"</formula>
    </cfRule>
    <cfRule type="cellIs" dxfId="1891" priority="2738" stopIfTrue="1" operator="equal">
      <formula>"Napkin Hs"</formula>
    </cfRule>
    <cfRule type="cellIs" dxfId="1890" priority="2739" stopIfTrue="1" operator="equal">
      <formula>"Towel"</formula>
    </cfRule>
    <cfRule type="cellIs" dxfId="1889" priority="2740" stopIfTrue="1" operator="equal">
      <formula>"Napkin Hs"</formula>
    </cfRule>
    <cfRule type="cellIs" dxfId="1888" priority="2743" stopIfTrue="1" operator="equal">
      <formula>"Towel"</formula>
    </cfRule>
    <cfRule type="cellIs" dxfId="1887" priority="2744" stopIfTrue="1" operator="equal">
      <formula>"Napkin Hs"</formula>
    </cfRule>
    <cfRule type="cellIs" dxfId="1886" priority="2745" stopIfTrue="1" operator="equal">
      <formula>"Towel"</formula>
    </cfRule>
    <cfRule type="cellIs" dxfId="1885" priority="2746" stopIfTrue="1" operator="equal">
      <formula>"Napkin Hs"</formula>
    </cfRule>
    <cfRule type="cellIs" dxfId="1884" priority="2749" stopIfTrue="1" operator="equal">
      <formula>"Towel"</formula>
    </cfRule>
    <cfRule type="cellIs" dxfId="1883" priority="2750" stopIfTrue="1" operator="equal">
      <formula>"Napkin Hs"</formula>
    </cfRule>
    <cfRule type="cellIs" dxfId="1882" priority="2751" stopIfTrue="1" operator="equal">
      <formula>"Towel"</formula>
    </cfRule>
    <cfRule type="cellIs" dxfId="1881" priority="2752" stopIfTrue="1" operator="equal">
      <formula>"Napkin Hs"</formula>
    </cfRule>
    <cfRule type="cellIs" dxfId="1880" priority="2755" stopIfTrue="1" operator="equal">
      <formula>"Towel"</formula>
    </cfRule>
    <cfRule type="cellIs" dxfId="1879" priority="2756" stopIfTrue="1" operator="equal">
      <formula>"Napkin Hs"</formula>
    </cfRule>
    <cfRule type="cellIs" dxfId="1878" priority="2757" stopIfTrue="1" operator="equal">
      <formula>"Towel"</formula>
    </cfRule>
    <cfRule type="cellIs" dxfId="1877" priority="2758" stopIfTrue="1" operator="equal">
      <formula>"Napkin Hs"</formula>
    </cfRule>
    <cfRule type="cellIs" dxfId="1876" priority="2761" stopIfTrue="1" operator="equal">
      <formula>"Towel"</formula>
    </cfRule>
    <cfRule type="cellIs" dxfId="1875" priority="2762" stopIfTrue="1" operator="equal">
      <formula>"Napkin Hs"</formula>
    </cfRule>
    <cfRule type="cellIs" dxfId="1874" priority="2763" stopIfTrue="1" operator="equal">
      <formula>"Towel"</formula>
    </cfRule>
    <cfRule type="cellIs" dxfId="1873" priority="2764" stopIfTrue="1" operator="equal">
      <formula>"Napkin Hs"</formula>
    </cfRule>
    <cfRule type="cellIs" dxfId="1872" priority="2767" stopIfTrue="1" operator="equal">
      <formula>"Towel"</formula>
    </cfRule>
    <cfRule type="cellIs" dxfId="1871" priority="2768" stopIfTrue="1" operator="equal">
      <formula>"Napkin Hs"</formula>
    </cfRule>
    <cfRule type="cellIs" dxfId="1870" priority="2769" stopIfTrue="1" operator="equal">
      <formula>"Towel"</formula>
    </cfRule>
    <cfRule type="cellIs" dxfId="1869" priority="2770" stopIfTrue="1" operator="equal">
      <formula>"Napkin Hs"</formula>
    </cfRule>
    <cfRule type="cellIs" dxfId="1868" priority="2773" stopIfTrue="1" operator="equal">
      <formula>"Towel"</formula>
    </cfRule>
    <cfRule type="cellIs" dxfId="1867" priority="2774" stopIfTrue="1" operator="equal">
      <formula>"Napkin Hs"</formula>
    </cfRule>
  </conditionalFormatting>
  <conditionalFormatting sqref="C128">
    <cfRule type="cellIs" dxfId="1866" priority="2775" stopIfTrue="1" operator="equal">
      <formula>"Towel"</formula>
    </cfRule>
    <cfRule type="cellIs" dxfId="1865" priority="2776" stopIfTrue="1" operator="equal">
      <formula>"Napkin Hs"</formula>
    </cfRule>
  </conditionalFormatting>
  <conditionalFormatting sqref="C129">
    <cfRule type="cellIs" dxfId="1864" priority="2835" stopIfTrue="1" operator="equal">
      <formula>"Towel"</formula>
    </cfRule>
    <cfRule type="cellIs" dxfId="1863" priority="2836" stopIfTrue="1" operator="equal">
      <formula>"Napkin Hs"</formula>
    </cfRule>
    <cfRule type="cellIs" dxfId="1862" priority="2837" stopIfTrue="1" operator="equal">
      <formula>"Towel"</formula>
    </cfRule>
    <cfRule type="cellIs" dxfId="1861" priority="2838" stopIfTrue="1" operator="equal">
      <formula>"Napkin Hs"</formula>
    </cfRule>
    <cfRule type="cellIs" dxfId="1860" priority="2841" stopIfTrue="1" operator="equal">
      <formula>"Towel"</formula>
    </cfRule>
    <cfRule type="cellIs" dxfId="1859" priority="2842" stopIfTrue="1" operator="equal">
      <formula>"Napkin Hs"</formula>
    </cfRule>
    <cfRule type="cellIs" dxfId="1858" priority="2843" stopIfTrue="1" operator="equal">
      <formula>"Towel"</formula>
    </cfRule>
    <cfRule type="cellIs" dxfId="1857" priority="2844" stopIfTrue="1" operator="equal">
      <formula>"Napkin Hs"</formula>
    </cfRule>
    <cfRule type="cellIs" dxfId="1856" priority="2847" stopIfTrue="1" operator="equal">
      <formula>"Towel"</formula>
    </cfRule>
    <cfRule type="cellIs" dxfId="1855" priority="2848" stopIfTrue="1" operator="equal">
      <formula>"Napkin Hs"</formula>
    </cfRule>
    <cfRule type="cellIs" dxfId="1854" priority="2849" stopIfTrue="1" operator="equal">
      <formula>"Towel"</formula>
    </cfRule>
    <cfRule type="cellIs" dxfId="1853" priority="2850" stopIfTrue="1" operator="equal">
      <formula>"Napkin Hs"</formula>
    </cfRule>
    <cfRule type="cellIs" dxfId="1852" priority="2853" stopIfTrue="1" operator="equal">
      <formula>"Towel"</formula>
    </cfRule>
    <cfRule type="cellIs" dxfId="1851" priority="2854" stopIfTrue="1" operator="equal">
      <formula>"Napkin Hs"</formula>
    </cfRule>
    <cfRule type="cellIs" dxfId="1850" priority="2855" stopIfTrue="1" operator="equal">
      <formula>"Towel"</formula>
    </cfRule>
    <cfRule type="cellIs" dxfId="1849" priority="2856" stopIfTrue="1" operator="equal">
      <formula>"Napkin Hs"</formula>
    </cfRule>
    <cfRule type="cellIs" dxfId="1848" priority="2859" stopIfTrue="1" operator="equal">
      <formula>"Towel"</formula>
    </cfRule>
    <cfRule type="cellIs" dxfId="1847" priority="2860" stopIfTrue="1" operator="equal">
      <formula>"Napkin Hs"</formula>
    </cfRule>
    <cfRule type="cellIs" dxfId="1846" priority="2861" stopIfTrue="1" operator="equal">
      <formula>"Towel"</formula>
    </cfRule>
    <cfRule type="cellIs" dxfId="1845" priority="2862" stopIfTrue="1" operator="equal">
      <formula>"Napkin Hs"</formula>
    </cfRule>
    <cfRule type="cellIs" dxfId="1844" priority="2865" stopIfTrue="1" operator="equal">
      <formula>"Towel"</formula>
    </cfRule>
    <cfRule type="cellIs" dxfId="1843" priority="2866" stopIfTrue="1" operator="equal">
      <formula>"Napkin Hs"</formula>
    </cfRule>
    <cfRule type="cellIs" dxfId="1842" priority="2867" stopIfTrue="1" operator="equal">
      <formula>"Towel"</formula>
    </cfRule>
    <cfRule type="cellIs" dxfId="1841" priority="2868" stopIfTrue="1" operator="equal">
      <formula>"Napkin Hs"</formula>
    </cfRule>
    <cfRule type="cellIs" dxfId="1840" priority="2871" stopIfTrue="1" operator="equal">
      <formula>"Towel"</formula>
    </cfRule>
    <cfRule type="cellIs" dxfId="1839" priority="2872" stopIfTrue="1" operator="equal">
      <formula>"Napkin Hs"</formula>
    </cfRule>
    <cfRule type="cellIs" dxfId="1838" priority="2873" stopIfTrue="1" operator="equal">
      <formula>"Towel"</formula>
    </cfRule>
    <cfRule type="cellIs" dxfId="1837" priority="2874" stopIfTrue="1" operator="equal">
      <formula>"Napkin Hs"</formula>
    </cfRule>
    <cfRule type="cellIs" dxfId="1836" priority="2877" stopIfTrue="1" operator="equal">
      <formula>"Towel"</formula>
    </cfRule>
    <cfRule type="cellIs" dxfId="1835" priority="2878" stopIfTrue="1" operator="equal">
      <formula>"Napkin Hs"</formula>
    </cfRule>
  </conditionalFormatting>
  <conditionalFormatting sqref="C129">
    <cfRule type="cellIs" dxfId="1834" priority="2783" stopIfTrue="1" operator="equal">
      <formula>"Towel"</formula>
    </cfRule>
    <cfRule type="cellIs" dxfId="1833" priority="2784" stopIfTrue="1" operator="equal">
      <formula>"Napkin Hs"</formula>
    </cfRule>
    <cfRule type="cellIs" dxfId="1832" priority="2785" stopIfTrue="1" operator="equal">
      <formula>"Towel"</formula>
    </cfRule>
    <cfRule type="cellIs" dxfId="1831" priority="2786" stopIfTrue="1" operator="equal">
      <formula>"Napkin Hs"</formula>
    </cfRule>
    <cfRule type="cellIs" dxfId="1830" priority="2787" stopIfTrue="1" operator="equal">
      <formula>"Towel"</formula>
    </cfRule>
    <cfRule type="cellIs" dxfId="1829" priority="2788" stopIfTrue="1" operator="equal">
      <formula>"Napkin Hs"</formula>
    </cfRule>
    <cfRule type="cellIs" dxfId="1828" priority="2789" stopIfTrue="1" operator="equal">
      <formula>"Towel"</formula>
    </cfRule>
    <cfRule type="cellIs" dxfId="1827" priority="2790" stopIfTrue="1" operator="equal">
      <formula>"Napkin Hs"</formula>
    </cfRule>
    <cfRule type="cellIs" dxfId="1826" priority="2791" stopIfTrue="1" operator="equal">
      <formula>"Towel"</formula>
    </cfRule>
    <cfRule type="cellIs" dxfId="1825" priority="2792" stopIfTrue="1" operator="equal">
      <formula>"Napkin Hs"</formula>
    </cfRule>
    <cfRule type="cellIs" dxfId="1824" priority="2793" stopIfTrue="1" operator="equal">
      <formula>"Towel"</formula>
    </cfRule>
    <cfRule type="cellIs" dxfId="1823" priority="2794" stopIfTrue="1" operator="equal">
      <formula>"Napkin Hs"</formula>
    </cfRule>
    <cfRule type="cellIs" dxfId="1822" priority="2795" stopIfTrue="1" operator="equal">
      <formula>"Towel"</formula>
    </cfRule>
    <cfRule type="cellIs" dxfId="1821" priority="2796" stopIfTrue="1" operator="equal">
      <formula>"Napkin Hs"</formula>
    </cfRule>
    <cfRule type="cellIs" dxfId="1820" priority="2799" stopIfTrue="1" operator="equal">
      <formula>"Towel"</formula>
    </cfRule>
    <cfRule type="cellIs" dxfId="1819" priority="2800" stopIfTrue="1" operator="equal">
      <formula>"Napkin Hs"</formula>
    </cfRule>
    <cfRule type="cellIs" dxfId="1818" priority="2801" stopIfTrue="1" operator="equal">
      <formula>"Towel"</formula>
    </cfRule>
    <cfRule type="cellIs" dxfId="1817" priority="2802" stopIfTrue="1" operator="equal">
      <formula>"Napkin Hs"</formula>
    </cfRule>
    <cfRule type="cellIs" dxfId="1816" priority="2805" stopIfTrue="1" operator="equal">
      <formula>"Towel"</formula>
    </cfRule>
    <cfRule type="cellIs" dxfId="1815" priority="2806" stopIfTrue="1" operator="equal">
      <formula>"Napkin Hs"</formula>
    </cfRule>
    <cfRule type="cellIs" dxfId="1814" priority="2807" stopIfTrue="1" operator="equal">
      <formula>"Towel"</formula>
    </cfRule>
    <cfRule type="cellIs" dxfId="1813" priority="2808" stopIfTrue="1" operator="equal">
      <formula>"Napkin Hs"</formula>
    </cfRule>
    <cfRule type="cellIs" dxfId="1812" priority="2811" stopIfTrue="1" operator="equal">
      <formula>"Towel"</formula>
    </cfRule>
    <cfRule type="cellIs" dxfId="1811" priority="2812" stopIfTrue="1" operator="equal">
      <formula>"Napkin Hs"</formula>
    </cfRule>
    <cfRule type="cellIs" dxfId="1810" priority="2813" stopIfTrue="1" operator="equal">
      <formula>"Towel"</formula>
    </cfRule>
    <cfRule type="cellIs" dxfId="1809" priority="2814" stopIfTrue="1" operator="equal">
      <formula>"Napkin Hs"</formula>
    </cfRule>
    <cfRule type="cellIs" dxfId="1808" priority="2817" stopIfTrue="1" operator="equal">
      <formula>"Towel"</formula>
    </cfRule>
    <cfRule type="cellIs" dxfId="1807" priority="2818" stopIfTrue="1" operator="equal">
      <formula>"Napkin Hs"</formula>
    </cfRule>
    <cfRule type="cellIs" dxfId="1806" priority="2819" stopIfTrue="1" operator="equal">
      <formula>"Towel"</formula>
    </cfRule>
    <cfRule type="cellIs" dxfId="1805" priority="2820" stopIfTrue="1" operator="equal">
      <formula>"Napkin Hs"</formula>
    </cfRule>
    <cfRule type="cellIs" dxfId="1804" priority="2823" stopIfTrue="1" operator="equal">
      <formula>"Towel"</formula>
    </cfRule>
    <cfRule type="cellIs" dxfId="1803" priority="2824" stopIfTrue="1" operator="equal">
      <formula>"Napkin Hs"</formula>
    </cfRule>
    <cfRule type="cellIs" dxfId="1802" priority="2825" stopIfTrue="1" operator="equal">
      <formula>"Towel"</formula>
    </cfRule>
    <cfRule type="cellIs" dxfId="1801" priority="2826" stopIfTrue="1" operator="equal">
      <formula>"Napkin Hs"</formula>
    </cfRule>
    <cfRule type="cellIs" dxfId="1800" priority="2829" stopIfTrue="1" operator="equal">
      <formula>"Towel"</formula>
    </cfRule>
    <cfRule type="cellIs" dxfId="1799" priority="2830" stopIfTrue="1" operator="equal">
      <formula>"Napkin Hs"</formula>
    </cfRule>
    <cfRule type="cellIs" dxfId="1798" priority="2831" stopIfTrue="1" operator="equal">
      <formula>"Towel"</formula>
    </cfRule>
    <cfRule type="cellIs" dxfId="1797" priority="2832" stopIfTrue="1" operator="equal">
      <formula>"Napkin Hs"</formula>
    </cfRule>
    <cfRule type="cellIs" dxfId="1796" priority="2879" stopIfTrue="1" operator="equal">
      <formula>"Towel"</formula>
    </cfRule>
    <cfRule type="cellIs" dxfId="1795" priority="2880" stopIfTrue="1" operator="equal">
      <formula>"Napkin Hs"</formula>
    </cfRule>
  </conditionalFormatting>
  <conditionalFormatting sqref="B127">
    <cfRule type="cellIs" dxfId="1794" priority="2679" stopIfTrue="1" operator="equal">
      <formula>"Towel"</formula>
    </cfRule>
    <cfRule type="cellIs" dxfId="1793" priority="2680" stopIfTrue="1" operator="equal">
      <formula>"Napkin Hs"</formula>
    </cfRule>
    <cfRule type="cellIs" dxfId="1792" priority="2681" stopIfTrue="1" operator="equal">
      <formula>"Towel"</formula>
    </cfRule>
    <cfRule type="cellIs" dxfId="1791" priority="2682" stopIfTrue="1" operator="equal">
      <formula>"Napkin Hs"</formula>
    </cfRule>
    <cfRule type="cellIs" dxfId="1790" priority="2683" stopIfTrue="1" operator="equal">
      <formula>"Towel"</formula>
    </cfRule>
    <cfRule type="cellIs" dxfId="1789" priority="2684" stopIfTrue="1" operator="equal">
      <formula>"Napkin Hs"</formula>
    </cfRule>
    <cfRule type="cellIs" dxfId="1788" priority="2685" stopIfTrue="1" operator="equal">
      <formula>"Towel"</formula>
    </cfRule>
    <cfRule type="cellIs" dxfId="1787" priority="2686" stopIfTrue="1" operator="equal">
      <formula>"Napkin Hs"</formula>
    </cfRule>
    <cfRule type="cellIs" dxfId="1786" priority="2687" stopIfTrue="1" operator="equal">
      <formula>"Towel"</formula>
    </cfRule>
    <cfRule type="cellIs" dxfId="1785" priority="2688" stopIfTrue="1" operator="equal">
      <formula>"Napkin Hs"</formula>
    </cfRule>
    <cfRule type="cellIs" dxfId="1784" priority="2689" stopIfTrue="1" operator="equal">
      <formula>"Towel"</formula>
    </cfRule>
    <cfRule type="cellIs" dxfId="1783" priority="2690" stopIfTrue="1" operator="equal">
      <formula>"Napkin Hs"</formula>
    </cfRule>
    <cfRule type="cellIs" dxfId="1782" priority="2691" stopIfTrue="1" operator="equal">
      <formula>"Towel"</formula>
    </cfRule>
    <cfRule type="cellIs" dxfId="1781" priority="2692" stopIfTrue="1" operator="equal">
      <formula>"Napkin Hs"</formula>
    </cfRule>
    <cfRule type="cellIs" dxfId="1780" priority="2693" stopIfTrue="1" operator="equal">
      <formula>"Towel"</formula>
    </cfRule>
    <cfRule type="cellIs" dxfId="1779" priority="2694" stopIfTrue="1" operator="equal">
      <formula>"Napkin Hs"</formula>
    </cfRule>
  </conditionalFormatting>
  <conditionalFormatting sqref="B127:C127">
    <cfRule type="cellIs" dxfId="1778" priority="2671" stopIfTrue="1" operator="equal">
      <formula>"Towel"</formula>
    </cfRule>
    <cfRule type="cellIs" dxfId="1777" priority="2672" stopIfTrue="1" operator="equal">
      <formula>"Napkin Hs"</formula>
    </cfRule>
  </conditionalFormatting>
  <conditionalFormatting sqref="C127">
    <cfRule type="cellIs" dxfId="1776" priority="2678" stopIfTrue="1" operator="equal">
      <formula>"Napkin Hs"</formula>
    </cfRule>
  </conditionalFormatting>
  <conditionalFormatting sqref="C127">
    <cfRule type="cellIs" dxfId="1775" priority="2677" stopIfTrue="1" operator="equal">
      <formula>"Towel"</formula>
    </cfRule>
  </conditionalFormatting>
  <conditionalFormatting sqref="C127">
    <cfRule type="cellIs" dxfId="1774" priority="2629" stopIfTrue="1" operator="equal">
      <formula>"Towel"</formula>
    </cfRule>
    <cfRule type="cellIs" dxfId="1773" priority="2630" stopIfTrue="1" operator="equal">
      <formula>"Napkin Hs"</formula>
    </cfRule>
    <cfRule type="cellIs" dxfId="1772" priority="2635" stopIfTrue="1" operator="equal">
      <formula>"Towel"</formula>
    </cfRule>
    <cfRule type="cellIs" dxfId="1771" priority="2636" stopIfTrue="1" operator="equal">
      <formula>"Napkin Hs"</formula>
    </cfRule>
    <cfRule type="cellIs" dxfId="1770" priority="2641" stopIfTrue="1" operator="equal">
      <formula>"Towel"</formula>
    </cfRule>
    <cfRule type="cellIs" dxfId="1769" priority="2642" stopIfTrue="1" operator="equal">
      <formula>"Napkin Hs"</formula>
    </cfRule>
    <cfRule type="cellIs" dxfId="1768" priority="2647" stopIfTrue="1" operator="equal">
      <formula>"Towel"</formula>
    </cfRule>
    <cfRule type="cellIs" dxfId="1767" priority="2648" stopIfTrue="1" operator="equal">
      <formula>"Napkin Hs"</formula>
    </cfRule>
    <cfRule type="cellIs" dxfId="1766" priority="2653" stopIfTrue="1" operator="equal">
      <formula>"Towel"</formula>
    </cfRule>
    <cfRule type="cellIs" dxfId="1765" priority="2654" stopIfTrue="1" operator="equal">
      <formula>"Napkin Hs"</formula>
    </cfRule>
    <cfRule type="cellIs" dxfId="1764" priority="2659" stopIfTrue="1" operator="equal">
      <formula>"Towel"</formula>
    </cfRule>
    <cfRule type="cellIs" dxfId="1763" priority="2660" stopIfTrue="1" operator="equal">
      <formula>"Napkin Hs"</formula>
    </cfRule>
    <cfRule type="cellIs" dxfId="1762" priority="2665" stopIfTrue="1" operator="equal">
      <formula>"Towel"</formula>
    </cfRule>
    <cfRule type="cellIs" dxfId="1761" priority="2666" stopIfTrue="1" operator="equal">
      <formula>"Napkin Hs"</formula>
    </cfRule>
  </conditionalFormatting>
  <conditionalFormatting sqref="C127">
    <cfRule type="cellIs" dxfId="1760" priority="2625" stopIfTrue="1" operator="equal">
      <formula>"Towel"</formula>
    </cfRule>
    <cfRule type="cellIs" dxfId="1759" priority="2626" stopIfTrue="1" operator="equal">
      <formula>"Napkin Hs"</formula>
    </cfRule>
    <cfRule type="cellIs" dxfId="1758" priority="2627" stopIfTrue="1" operator="equal">
      <formula>"Towel"</formula>
    </cfRule>
    <cfRule type="cellIs" dxfId="1757" priority="2628" stopIfTrue="1" operator="equal">
      <formula>"Napkin Hs"</formula>
    </cfRule>
    <cfRule type="cellIs" dxfId="1756" priority="2631" stopIfTrue="1" operator="equal">
      <formula>"Towel"</formula>
    </cfRule>
    <cfRule type="cellIs" dxfId="1755" priority="2632" stopIfTrue="1" operator="equal">
      <formula>"Napkin Hs"</formula>
    </cfRule>
    <cfRule type="cellIs" dxfId="1754" priority="2633" stopIfTrue="1" operator="equal">
      <formula>"Towel"</formula>
    </cfRule>
    <cfRule type="cellIs" dxfId="1753" priority="2634" stopIfTrue="1" operator="equal">
      <formula>"Napkin Hs"</formula>
    </cfRule>
    <cfRule type="cellIs" dxfId="1752" priority="2637" stopIfTrue="1" operator="equal">
      <formula>"Towel"</formula>
    </cfRule>
    <cfRule type="cellIs" dxfId="1751" priority="2638" stopIfTrue="1" operator="equal">
      <formula>"Napkin Hs"</formula>
    </cfRule>
    <cfRule type="cellIs" dxfId="1750" priority="2639" stopIfTrue="1" operator="equal">
      <formula>"Towel"</formula>
    </cfRule>
    <cfRule type="cellIs" dxfId="1749" priority="2640" stopIfTrue="1" operator="equal">
      <formula>"Napkin Hs"</formula>
    </cfRule>
    <cfRule type="cellIs" dxfId="1748" priority="2643" stopIfTrue="1" operator="equal">
      <formula>"Towel"</formula>
    </cfRule>
    <cfRule type="cellIs" dxfId="1747" priority="2644" stopIfTrue="1" operator="equal">
      <formula>"Napkin Hs"</formula>
    </cfRule>
    <cfRule type="cellIs" dxfId="1746" priority="2645" stopIfTrue="1" operator="equal">
      <formula>"Towel"</formula>
    </cfRule>
    <cfRule type="cellIs" dxfId="1745" priority="2646" stopIfTrue="1" operator="equal">
      <formula>"Napkin Hs"</formula>
    </cfRule>
    <cfRule type="cellIs" dxfId="1744" priority="2649" stopIfTrue="1" operator="equal">
      <formula>"Towel"</formula>
    </cfRule>
    <cfRule type="cellIs" dxfId="1743" priority="2650" stopIfTrue="1" operator="equal">
      <formula>"Napkin Hs"</formula>
    </cfRule>
    <cfRule type="cellIs" dxfId="1742" priority="2651" stopIfTrue="1" operator="equal">
      <formula>"Towel"</formula>
    </cfRule>
    <cfRule type="cellIs" dxfId="1741" priority="2652" stopIfTrue="1" operator="equal">
      <formula>"Napkin Hs"</formula>
    </cfRule>
    <cfRule type="cellIs" dxfId="1740" priority="2655" stopIfTrue="1" operator="equal">
      <formula>"Towel"</formula>
    </cfRule>
    <cfRule type="cellIs" dxfId="1739" priority="2656" stopIfTrue="1" operator="equal">
      <formula>"Napkin Hs"</formula>
    </cfRule>
    <cfRule type="cellIs" dxfId="1738" priority="2657" stopIfTrue="1" operator="equal">
      <formula>"Towel"</formula>
    </cfRule>
    <cfRule type="cellIs" dxfId="1737" priority="2658" stopIfTrue="1" operator="equal">
      <formula>"Napkin Hs"</formula>
    </cfRule>
    <cfRule type="cellIs" dxfId="1736" priority="2661" stopIfTrue="1" operator="equal">
      <formula>"Towel"</formula>
    </cfRule>
    <cfRule type="cellIs" dxfId="1735" priority="2662" stopIfTrue="1" operator="equal">
      <formula>"Napkin Hs"</formula>
    </cfRule>
    <cfRule type="cellIs" dxfId="1734" priority="2663" stopIfTrue="1" operator="equal">
      <formula>"Towel"</formula>
    </cfRule>
    <cfRule type="cellIs" dxfId="1733" priority="2664" stopIfTrue="1" operator="equal">
      <formula>"Napkin Hs"</formula>
    </cfRule>
    <cfRule type="cellIs" dxfId="1732" priority="2667" stopIfTrue="1" operator="equal">
      <formula>"Towel"</formula>
    </cfRule>
    <cfRule type="cellIs" dxfId="1731" priority="2668" stopIfTrue="1" operator="equal">
      <formula>"Napkin Hs"</formula>
    </cfRule>
    <cfRule type="cellIs" dxfId="1730" priority="2669" stopIfTrue="1" operator="equal">
      <formula>"Towel"</formula>
    </cfRule>
    <cfRule type="cellIs" dxfId="1729" priority="2670" stopIfTrue="1" operator="equal">
      <formula>"Napkin Hs"</formula>
    </cfRule>
    <cfRule type="cellIs" dxfId="1728" priority="2673" stopIfTrue="1" operator="equal">
      <formula>"Towel"</formula>
    </cfRule>
    <cfRule type="cellIs" dxfId="1727" priority="2674" stopIfTrue="1" operator="equal">
      <formula>"Napkin Hs"</formula>
    </cfRule>
  </conditionalFormatting>
  <conditionalFormatting sqref="C127">
    <cfRule type="cellIs" dxfId="1726" priority="2675" stopIfTrue="1" operator="equal">
      <formula>"Towel"</formula>
    </cfRule>
    <cfRule type="cellIs" dxfId="1725" priority="2676" stopIfTrue="1" operator="equal">
      <formula>"Napkin Hs"</formula>
    </cfRule>
  </conditionalFormatting>
  <conditionalFormatting sqref="B127:C127">
    <cfRule type="cellIs" dxfId="1724" priority="2545" stopIfTrue="1" operator="equal">
      <formula>"Towel"</formula>
    </cfRule>
    <cfRule type="cellIs" dxfId="1723" priority="2546" stopIfTrue="1" operator="equal">
      <formula>"Napkin Hs"</formula>
    </cfRule>
    <cfRule type="cellIs" dxfId="1722" priority="2551" stopIfTrue="1" operator="equal">
      <formula>"Towel"</formula>
    </cfRule>
    <cfRule type="cellIs" dxfId="1721" priority="2552" stopIfTrue="1" operator="equal">
      <formula>"Napkin Hs"</formula>
    </cfRule>
    <cfRule type="cellIs" dxfId="1720" priority="2557" stopIfTrue="1" operator="equal">
      <formula>"Towel"</formula>
    </cfRule>
    <cfRule type="cellIs" dxfId="1719" priority="2558" stopIfTrue="1" operator="equal">
      <formula>"Napkin Hs"</formula>
    </cfRule>
    <cfRule type="cellIs" dxfId="1718" priority="2563" stopIfTrue="1" operator="equal">
      <formula>"Towel"</formula>
    </cfRule>
    <cfRule type="cellIs" dxfId="1717" priority="2564" stopIfTrue="1" operator="equal">
      <formula>"Napkin Hs"</formula>
    </cfRule>
    <cfRule type="cellIs" dxfId="1716" priority="2569" stopIfTrue="1" operator="equal">
      <formula>"Towel"</formula>
    </cfRule>
    <cfRule type="cellIs" dxfId="1715" priority="2570" stopIfTrue="1" operator="equal">
      <formula>"Napkin Hs"</formula>
    </cfRule>
    <cfRule type="cellIs" dxfId="1714" priority="2575" stopIfTrue="1" operator="equal">
      <formula>"Towel"</formula>
    </cfRule>
    <cfRule type="cellIs" dxfId="1713" priority="2576" stopIfTrue="1" operator="equal">
      <formula>"Napkin Hs"</formula>
    </cfRule>
    <cfRule type="cellIs" dxfId="1712" priority="2579" stopIfTrue="1" operator="equal">
      <formula>"Towel"</formula>
    </cfRule>
    <cfRule type="cellIs" dxfId="1711" priority="2580" stopIfTrue="1" operator="equal">
      <formula>"Napkin Hs"</formula>
    </cfRule>
    <cfRule type="cellIs" dxfId="1710" priority="2587" stopIfTrue="1" operator="equal">
      <formula>"Towel"</formula>
    </cfRule>
    <cfRule type="cellIs" dxfId="1709" priority="2588" stopIfTrue="1" operator="equal">
      <formula>"Napkin Hs"</formula>
    </cfRule>
    <cfRule type="cellIs" dxfId="1708" priority="2593" stopIfTrue="1" operator="equal">
      <formula>"Towel"</formula>
    </cfRule>
    <cfRule type="cellIs" dxfId="1707" priority="2594" stopIfTrue="1" operator="equal">
      <formula>"Napkin Hs"</formula>
    </cfRule>
    <cfRule type="cellIs" dxfId="1706" priority="2599" stopIfTrue="1" operator="equal">
      <formula>"Towel"</formula>
    </cfRule>
    <cfRule type="cellIs" dxfId="1705" priority="2600" stopIfTrue="1" operator="equal">
      <formula>"Napkin Hs"</formula>
    </cfRule>
    <cfRule type="cellIs" dxfId="1704" priority="2605" stopIfTrue="1" operator="equal">
      <formula>"Towel"</formula>
    </cfRule>
    <cfRule type="cellIs" dxfId="1703" priority="2606" stopIfTrue="1" operator="equal">
      <formula>"Napkin Hs"</formula>
    </cfRule>
    <cfRule type="cellIs" dxfId="1702" priority="2611" stopIfTrue="1" operator="equal">
      <formula>"Towel"</formula>
    </cfRule>
    <cfRule type="cellIs" dxfId="1701" priority="2612" stopIfTrue="1" operator="equal">
      <formula>"Napkin Hs"</formula>
    </cfRule>
    <cfRule type="cellIs" dxfId="1700" priority="2617" stopIfTrue="1" operator="equal">
      <formula>"Towel"</formula>
    </cfRule>
    <cfRule type="cellIs" dxfId="1699" priority="2618" stopIfTrue="1" operator="equal">
      <formula>"Napkin Hs"</formula>
    </cfRule>
    <cfRule type="cellIs" dxfId="1698" priority="2623" stopIfTrue="1" operator="equal">
      <formula>"Towel"</formula>
    </cfRule>
    <cfRule type="cellIs" dxfId="1697" priority="2624" stopIfTrue="1" operator="equal">
      <formula>"Napkin Hs"</formula>
    </cfRule>
  </conditionalFormatting>
  <conditionalFormatting sqref="C127">
    <cfRule type="cellIs" dxfId="1696" priority="2541" stopIfTrue="1" operator="equal">
      <formula>"Towel"</formula>
    </cfRule>
    <cfRule type="cellIs" dxfId="1695" priority="2542" stopIfTrue="1" operator="equal">
      <formula>"Napkin Hs"</formula>
    </cfRule>
    <cfRule type="cellIs" dxfId="1694" priority="2543" stopIfTrue="1" operator="equal">
      <formula>"Towel"</formula>
    </cfRule>
    <cfRule type="cellIs" dxfId="1693" priority="2544" stopIfTrue="1" operator="equal">
      <formula>"Napkin Hs"</formula>
    </cfRule>
    <cfRule type="cellIs" dxfId="1692" priority="2547" stopIfTrue="1" operator="equal">
      <formula>"Towel"</formula>
    </cfRule>
    <cfRule type="cellIs" dxfId="1691" priority="2548" stopIfTrue="1" operator="equal">
      <formula>"Napkin Hs"</formula>
    </cfRule>
    <cfRule type="cellIs" dxfId="1690" priority="2549" stopIfTrue="1" operator="equal">
      <formula>"Towel"</formula>
    </cfRule>
    <cfRule type="cellIs" dxfId="1689" priority="2550" stopIfTrue="1" operator="equal">
      <formula>"Napkin Hs"</formula>
    </cfRule>
    <cfRule type="cellIs" dxfId="1688" priority="2553" stopIfTrue="1" operator="equal">
      <formula>"Towel"</formula>
    </cfRule>
    <cfRule type="cellIs" dxfId="1687" priority="2554" stopIfTrue="1" operator="equal">
      <formula>"Napkin Hs"</formula>
    </cfRule>
    <cfRule type="cellIs" dxfId="1686" priority="2555" stopIfTrue="1" operator="equal">
      <formula>"Towel"</formula>
    </cfRule>
    <cfRule type="cellIs" dxfId="1685" priority="2556" stopIfTrue="1" operator="equal">
      <formula>"Napkin Hs"</formula>
    </cfRule>
    <cfRule type="cellIs" dxfId="1684" priority="2559" stopIfTrue="1" operator="equal">
      <formula>"Towel"</formula>
    </cfRule>
    <cfRule type="cellIs" dxfId="1683" priority="2560" stopIfTrue="1" operator="equal">
      <formula>"Napkin Hs"</formula>
    </cfRule>
    <cfRule type="cellIs" dxfId="1682" priority="2561" stopIfTrue="1" operator="equal">
      <formula>"Towel"</formula>
    </cfRule>
    <cfRule type="cellIs" dxfId="1681" priority="2562" stopIfTrue="1" operator="equal">
      <formula>"Napkin Hs"</formula>
    </cfRule>
    <cfRule type="cellIs" dxfId="1680" priority="2565" stopIfTrue="1" operator="equal">
      <formula>"Towel"</formula>
    </cfRule>
    <cfRule type="cellIs" dxfId="1679" priority="2566" stopIfTrue="1" operator="equal">
      <formula>"Napkin Hs"</formula>
    </cfRule>
    <cfRule type="cellIs" dxfId="1678" priority="2567" stopIfTrue="1" operator="equal">
      <formula>"Towel"</formula>
    </cfRule>
    <cfRule type="cellIs" dxfId="1677" priority="2568" stopIfTrue="1" operator="equal">
      <formula>"Napkin Hs"</formula>
    </cfRule>
    <cfRule type="cellIs" dxfId="1676" priority="2571" stopIfTrue="1" operator="equal">
      <formula>"Towel"</formula>
    </cfRule>
    <cfRule type="cellIs" dxfId="1675" priority="2572" stopIfTrue="1" operator="equal">
      <formula>"Napkin Hs"</formula>
    </cfRule>
    <cfRule type="cellIs" dxfId="1674" priority="2573" stopIfTrue="1" operator="equal">
      <formula>"Towel"</formula>
    </cfRule>
    <cfRule type="cellIs" dxfId="1673" priority="2574" stopIfTrue="1" operator="equal">
      <formula>"Napkin Hs"</formula>
    </cfRule>
    <cfRule type="cellIs" dxfId="1672" priority="2577" stopIfTrue="1" operator="equal">
      <formula>"Towel"</formula>
    </cfRule>
    <cfRule type="cellIs" dxfId="1671" priority="2578" stopIfTrue="1" operator="equal">
      <formula>"Napkin Hs"</formula>
    </cfRule>
    <cfRule type="cellIs" dxfId="1670" priority="2581" stopIfTrue="1" operator="equal">
      <formula>"Towel"</formula>
    </cfRule>
    <cfRule type="cellIs" dxfId="1669" priority="2582" stopIfTrue="1" operator="equal">
      <formula>"Napkin Hs"</formula>
    </cfRule>
    <cfRule type="cellIs" dxfId="1668" priority="2583" stopIfTrue="1" operator="equal">
      <formula>"Towel"</formula>
    </cfRule>
    <cfRule type="cellIs" dxfId="1667" priority="2584" stopIfTrue="1" operator="equal">
      <formula>"Napkin Hs"</formula>
    </cfRule>
    <cfRule type="cellIs" dxfId="1666" priority="2585" stopIfTrue="1" operator="equal">
      <formula>"Towel"</formula>
    </cfRule>
    <cfRule type="cellIs" dxfId="1665" priority="2586" stopIfTrue="1" operator="equal">
      <formula>"Napkin Hs"</formula>
    </cfRule>
    <cfRule type="cellIs" dxfId="1664" priority="2589" stopIfTrue="1" operator="equal">
      <formula>"Towel"</formula>
    </cfRule>
    <cfRule type="cellIs" dxfId="1663" priority="2590" stopIfTrue="1" operator="equal">
      <formula>"Napkin Hs"</formula>
    </cfRule>
    <cfRule type="cellIs" dxfId="1662" priority="2591" stopIfTrue="1" operator="equal">
      <formula>"Towel"</formula>
    </cfRule>
    <cfRule type="cellIs" dxfId="1661" priority="2592" stopIfTrue="1" operator="equal">
      <formula>"Napkin Hs"</formula>
    </cfRule>
    <cfRule type="cellIs" dxfId="1660" priority="2595" stopIfTrue="1" operator="equal">
      <formula>"Towel"</formula>
    </cfRule>
    <cfRule type="cellIs" dxfId="1659" priority="2596" stopIfTrue="1" operator="equal">
      <formula>"Napkin Hs"</formula>
    </cfRule>
    <cfRule type="cellIs" dxfId="1658" priority="2597" stopIfTrue="1" operator="equal">
      <formula>"Towel"</formula>
    </cfRule>
    <cfRule type="cellIs" dxfId="1657" priority="2598" stopIfTrue="1" operator="equal">
      <formula>"Napkin Hs"</formula>
    </cfRule>
    <cfRule type="cellIs" dxfId="1656" priority="2601" stopIfTrue="1" operator="equal">
      <formula>"Towel"</formula>
    </cfRule>
    <cfRule type="cellIs" dxfId="1655" priority="2602" stopIfTrue="1" operator="equal">
      <formula>"Napkin Hs"</formula>
    </cfRule>
    <cfRule type="cellIs" dxfId="1654" priority="2603" stopIfTrue="1" operator="equal">
      <formula>"Towel"</formula>
    </cfRule>
    <cfRule type="cellIs" dxfId="1653" priority="2604" stopIfTrue="1" operator="equal">
      <formula>"Napkin Hs"</formula>
    </cfRule>
    <cfRule type="cellIs" dxfId="1652" priority="2607" stopIfTrue="1" operator="equal">
      <formula>"Towel"</formula>
    </cfRule>
    <cfRule type="cellIs" dxfId="1651" priority="2608" stopIfTrue="1" operator="equal">
      <formula>"Napkin Hs"</formula>
    </cfRule>
    <cfRule type="cellIs" dxfId="1650" priority="2609" stopIfTrue="1" operator="equal">
      <formula>"Towel"</formula>
    </cfRule>
    <cfRule type="cellIs" dxfId="1649" priority="2610" stopIfTrue="1" operator="equal">
      <formula>"Napkin Hs"</formula>
    </cfRule>
    <cfRule type="cellIs" dxfId="1648" priority="2613" stopIfTrue="1" operator="equal">
      <formula>"Towel"</formula>
    </cfRule>
    <cfRule type="cellIs" dxfId="1647" priority="2614" stopIfTrue="1" operator="equal">
      <formula>"Napkin Hs"</formula>
    </cfRule>
    <cfRule type="cellIs" dxfId="1646" priority="2615" stopIfTrue="1" operator="equal">
      <formula>"Towel"</formula>
    </cfRule>
    <cfRule type="cellIs" dxfId="1645" priority="2616" stopIfTrue="1" operator="equal">
      <formula>"Napkin Hs"</formula>
    </cfRule>
    <cfRule type="cellIs" dxfId="1644" priority="2619" stopIfTrue="1" operator="equal">
      <formula>"Towel"</formula>
    </cfRule>
    <cfRule type="cellIs" dxfId="1643" priority="2620" stopIfTrue="1" operator="equal">
      <formula>"Napkin Hs"</formula>
    </cfRule>
  </conditionalFormatting>
  <conditionalFormatting sqref="C127">
    <cfRule type="cellIs" dxfId="1642" priority="2621" stopIfTrue="1" operator="equal">
      <formula>"Towel"</formula>
    </cfRule>
    <cfRule type="cellIs" dxfId="1641" priority="2622" stopIfTrue="1" operator="equal">
      <formula>"Napkin Hs"</formula>
    </cfRule>
  </conditionalFormatting>
  <conditionalFormatting sqref="B134:C134">
    <cfRule type="cellIs" dxfId="1640" priority="2539" stopIfTrue="1" operator="equal">
      <formula>"Towel"</formula>
    </cfRule>
    <cfRule type="cellIs" dxfId="1639" priority="2540" stopIfTrue="1" operator="equal">
      <formula>"Napkin Hs"</formula>
    </cfRule>
  </conditionalFormatting>
  <conditionalFormatting sqref="C134">
    <cfRule type="cellIs" dxfId="1638" priority="2538" stopIfTrue="1" operator="equal">
      <formula>"Napkin Hs"</formula>
    </cfRule>
  </conditionalFormatting>
  <conditionalFormatting sqref="C134">
    <cfRule type="cellIs" dxfId="1637" priority="2537" stopIfTrue="1" operator="equal">
      <formula>"Towel"</formula>
    </cfRule>
  </conditionalFormatting>
  <conditionalFormatting sqref="C134">
    <cfRule type="cellIs" dxfId="1636" priority="2535" stopIfTrue="1" operator="equal">
      <formula>"Towel"</formula>
    </cfRule>
    <cfRule type="cellIs" dxfId="1635" priority="2536" stopIfTrue="1" operator="equal">
      <formula>"Napkin Hs"</formula>
    </cfRule>
  </conditionalFormatting>
  <conditionalFormatting sqref="B132">
    <cfRule type="cellIs" dxfId="1634" priority="2448" stopIfTrue="1" operator="equal">
      <formula>"Towel"</formula>
    </cfRule>
    <cfRule type="cellIs" dxfId="1633" priority="2449" stopIfTrue="1" operator="equal">
      <formula>"Napkin Hs"</formula>
    </cfRule>
    <cfRule type="cellIs" dxfId="1632" priority="2450" stopIfTrue="1" operator="equal">
      <formula>"Towel"</formula>
    </cfRule>
    <cfRule type="cellIs" dxfId="1631" priority="2451" stopIfTrue="1" operator="equal">
      <formula>"Napkin Hs"</formula>
    </cfRule>
    <cfRule type="cellIs" dxfId="1630" priority="2452" stopIfTrue="1" operator="equal">
      <formula>"Towel"</formula>
    </cfRule>
    <cfRule type="cellIs" dxfId="1629" priority="2453" stopIfTrue="1" operator="equal">
      <formula>"Napkin Hs"</formula>
    </cfRule>
    <cfRule type="cellIs" dxfId="1628" priority="2454" stopIfTrue="1" operator="equal">
      <formula>"Towel"</formula>
    </cfRule>
    <cfRule type="cellIs" dxfId="1627" priority="2455" stopIfTrue="1" operator="equal">
      <formula>"Napkin Hs"</formula>
    </cfRule>
    <cfRule type="cellIs" dxfId="1626" priority="2456" stopIfTrue="1" operator="equal">
      <formula>"Towel"</formula>
    </cfRule>
    <cfRule type="cellIs" dxfId="1625" priority="2457" stopIfTrue="1" operator="equal">
      <formula>"Napkin Hs"</formula>
    </cfRule>
    <cfRule type="cellIs" dxfId="1624" priority="2458" stopIfTrue="1" operator="equal">
      <formula>"Towel"</formula>
    </cfRule>
    <cfRule type="cellIs" dxfId="1623" priority="2459" stopIfTrue="1" operator="equal">
      <formula>"Napkin Hs"</formula>
    </cfRule>
    <cfRule type="cellIs" dxfId="1622" priority="2460" stopIfTrue="1" operator="equal">
      <formula>"Towel"</formula>
    </cfRule>
    <cfRule type="cellIs" dxfId="1621" priority="2461" stopIfTrue="1" operator="equal">
      <formula>"Napkin Hs"</formula>
    </cfRule>
    <cfRule type="cellIs" dxfId="1620" priority="2462" stopIfTrue="1" operator="equal">
      <formula>"Towel"</formula>
    </cfRule>
    <cfRule type="cellIs" dxfId="1619" priority="2463" stopIfTrue="1" operator="equal">
      <formula>"Napkin Hs"</formula>
    </cfRule>
  </conditionalFormatting>
  <conditionalFormatting sqref="B132:C132">
    <cfRule type="cellIs" dxfId="1618" priority="2440" stopIfTrue="1" operator="equal">
      <formula>"Towel"</formula>
    </cfRule>
    <cfRule type="cellIs" dxfId="1617" priority="2441" stopIfTrue="1" operator="equal">
      <formula>"Napkin Hs"</formula>
    </cfRule>
  </conditionalFormatting>
  <conditionalFormatting sqref="B133:C133">
    <cfRule type="cellIs" dxfId="1616" priority="2464" stopIfTrue="1" operator="equal">
      <formula>"Napkin Hs"</formula>
    </cfRule>
  </conditionalFormatting>
  <conditionalFormatting sqref="C132">
    <cfRule type="cellIs" dxfId="1615" priority="2447" stopIfTrue="1" operator="equal">
      <formula>"Napkin Hs"</formula>
    </cfRule>
  </conditionalFormatting>
  <conditionalFormatting sqref="B133:C133 C132">
    <cfRule type="cellIs" dxfId="1614" priority="2446" stopIfTrue="1" operator="equal">
      <formula>"Towel"</formula>
    </cfRule>
  </conditionalFormatting>
  <conditionalFormatting sqref="C132">
    <cfRule type="cellIs" dxfId="1613" priority="2398" stopIfTrue="1" operator="equal">
      <formula>"Towel"</formula>
    </cfRule>
    <cfRule type="cellIs" dxfId="1612" priority="2399" stopIfTrue="1" operator="equal">
      <formula>"Napkin Hs"</formula>
    </cfRule>
    <cfRule type="cellIs" dxfId="1611" priority="2404" stopIfTrue="1" operator="equal">
      <formula>"Towel"</formula>
    </cfRule>
    <cfRule type="cellIs" dxfId="1610" priority="2405" stopIfTrue="1" operator="equal">
      <formula>"Napkin Hs"</formula>
    </cfRule>
    <cfRule type="cellIs" dxfId="1609" priority="2410" stopIfTrue="1" operator="equal">
      <formula>"Towel"</formula>
    </cfRule>
    <cfRule type="cellIs" dxfId="1608" priority="2411" stopIfTrue="1" operator="equal">
      <formula>"Napkin Hs"</formula>
    </cfRule>
    <cfRule type="cellIs" dxfId="1607" priority="2416" stopIfTrue="1" operator="equal">
      <formula>"Towel"</formula>
    </cfRule>
    <cfRule type="cellIs" dxfId="1606" priority="2417" stopIfTrue="1" operator="equal">
      <formula>"Napkin Hs"</formula>
    </cfRule>
    <cfRule type="cellIs" dxfId="1605" priority="2422" stopIfTrue="1" operator="equal">
      <formula>"Towel"</formula>
    </cfRule>
    <cfRule type="cellIs" dxfId="1604" priority="2423" stopIfTrue="1" operator="equal">
      <formula>"Napkin Hs"</formula>
    </cfRule>
    <cfRule type="cellIs" dxfId="1603" priority="2428" stopIfTrue="1" operator="equal">
      <formula>"Towel"</formula>
    </cfRule>
    <cfRule type="cellIs" dxfId="1602" priority="2429" stopIfTrue="1" operator="equal">
      <formula>"Napkin Hs"</formula>
    </cfRule>
    <cfRule type="cellIs" dxfId="1601" priority="2434" stopIfTrue="1" operator="equal">
      <formula>"Towel"</formula>
    </cfRule>
    <cfRule type="cellIs" dxfId="1600" priority="2435" stopIfTrue="1" operator="equal">
      <formula>"Napkin Hs"</formula>
    </cfRule>
  </conditionalFormatting>
  <conditionalFormatting sqref="C132">
    <cfRule type="cellIs" dxfId="1599" priority="2394" stopIfTrue="1" operator="equal">
      <formula>"Towel"</formula>
    </cfRule>
    <cfRule type="cellIs" dxfId="1598" priority="2395" stopIfTrue="1" operator="equal">
      <formula>"Napkin Hs"</formula>
    </cfRule>
    <cfRule type="cellIs" dxfId="1597" priority="2396" stopIfTrue="1" operator="equal">
      <formula>"Towel"</formula>
    </cfRule>
    <cfRule type="cellIs" dxfId="1596" priority="2397" stopIfTrue="1" operator="equal">
      <formula>"Napkin Hs"</formula>
    </cfRule>
    <cfRule type="cellIs" dxfId="1595" priority="2400" stopIfTrue="1" operator="equal">
      <formula>"Towel"</formula>
    </cfRule>
    <cfRule type="cellIs" dxfId="1594" priority="2401" stopIfTrue="1" operator="equal">
      <formula>"Napkin Hs"</formula>
    </cfRule>
    <cfRule type="cellIs" dxfId="1593" priority="2402" stopIfTrue="1" operator="equal">
      <formula>"Towel"</formula>
    </cfRule>
    <cfRule type="cellIs" dxfId="1592" priority="2403" stopIfTrue="1" operator="equal">
      <formula>"Napkin Hs"</formula>
    </cfRule>
    <cfRule type="cellIs" dxfId="1591" priority="2406" stopIfTrue="1" operator="equal">
      <formula>"Towel"</formula>
    </cfRule>
    <cfRule type="cellIs" dxfId="1590" priority="2407" stopIfTrue="1" operator="equal">
      <formula>"Napkin Hs"</formula>
    </cfRule>
    <cfRule type="cellIs" dxfId="1589" priority="2408" stopIfTrue="1" operator="equal">
      <formula>"Towel"</formula>
    </cfRule>
    <cfRule type="cellIs" dxfId="1588" priority="2409" stopIfTrue="1" operator="equal">
      <formula>"Napkin Hs"</formula>
    </cfRule>
    <cfRule type="cellIs" dxfId="1587" priority="2412" stopIfTrue="1" operator="equal">
      <formula>"Towel"</formula>
    </cfRule>
    <cfRule type="cellIs" dxfId="1586" priority="2413" stopIfTrue="1" operator="equal">
      <formula>"Napkin Hs"</formula>
    </cfRule>
    <cfRule type="cellIs" dxfId="1585" priority="2414" stopIfTrue="1" operator="equal">
      <formula>"Towel"</formula>
    </cfRule>
    <cfRule type="cellIs" dxfId="1584" priority="2415" stopIfTrue="1" operator="equal">
      <formula>"Napkin Hs"</formula>
    </cfRule>
    <cfRule type="cellIs" dxfId="1583" priority="2418" stopIfTrue="1" operator="equal">
      <formula>"Towel"</formula>
    </cfRule>
    <cfRule type="cellIs" dxfId="1582" priority="2419" stopIfTrue="1" operator="equal">
      <formula>"Napkin Hs"</formula>
    </cfRule>
    <cfRule type="cellIs" dxfId="1581" priority="2420" stopIfTrue="1" operator="equal">
      <formula>"Towel"</formula>
    </cfRule>
    <cfRule type="cellIs" dxfId="1580" priority="2421" stopIfTrue="1" operator="equal">
      <formula>"Napkin Hs"</formula>
    </cfRule>
    <cfRule type="cellIs" dxfId="1579" priority="2424" stopIfTrue="1" operator="equal">
      <formula>"Towel"</formula>
    </cfRule>
    <cfRule type="cellIs" dxfId="1578" priority="2425" stopIfTrue="1" operator="equal">
      <formula>"Napkin Hs"</formula>
    </cfRule>
    <cfRule type="cellIs" dxfId="1577" priority="2426" stopIfTrue="1" operator="equal">
      <formula>"Towel"</formula>
    </cfRule>
    <cfRule type="cellIs" dxfId="1576" priority="2427" stopIfTrue="1" operator="equal">
      <formula>"Napkin Hs"</formula>
    </cfRule>
    <cfRule type="cellIs" dxfId="1575" priority="2430" stopIfTrue="1" operator="equal">
      <formula>"Towel"</formula>
    </cfRule>
    <cfRule type="cellIs" dxfId="1574" priority="2431" stopIfTrue="1" operator="equal">
      <formula>"Napkin Hs"</formula>
    </cfRule>
    <cfRule type="cellIs" dxfId="1573" priority="2432" stopIfTrue="1" operator="equal">
      <formula>"Towel"</formula>
    </cfRule>
    <cfRule type="cellIs" dxfId="1572" priority="2433" stopIfTrue="1" operator="equal">
      <formula>"Napkin Hs"</formula>
    </cfRule>
    <cfRule type="cellIs" dxfId="1571" priority="2436" stopIfTrue="1" operator="equal">
      <formula>"Towel"</formula>
    </cfRule>
    <cfRule type="cellIs" dxfId="1570" priority="2437" stopIfTrue="1" operator="equal">
      <formula>"Napkin Hs"</formula>
    </cfRule>
    <cfRule type="cellIs" dxfId="1569" priority="2438" stopIfTrue="1" operator="equal">
      <formula>"Towel"</formula>
    </cfRule>
    <cfRule type="cellIs" dxfId="1568" priority="2439" stopIfTrue="1" operator="equal">
      <formula>"Napkin Hs"</formula>
    </cfRule>
    <cfRule type="cellIs" dxfId="1567" priority="2442" stopIfTrue="1" operator="equal">
      <formula>"Towel"</formula>
    </cfRule>
    <cfRule type="cellIs" dxfId="1566" priority="2443" stopIfTrue="1" operator="equal">
      <formula>"Napkin Hs"</formula>
    </cfRule>
  </conditionalFormatting>
  <conditionalFormatting sqref="C132:C133">
    <cfRule type="cellIs" dxfId="1565" priority="2444" stopIfTrue="1" operator="equal">
      <formula>"Towel"</formula>
    </cfRule>
    <cfRule type="cellIs" dxfId="1564" priority="2445" stopIfTrue="1" operator="equal">
      <formula>"Napkin Hs"</formula>
    </cfRule>
  </conditionalFormatting>
  <conditionalFormatting sqref="C133">
    <cfRule type="cellIs" dxfId="1563" priority="2465" stopIfTrue="1" operator="equal">
      <formula>"Towel"</formula>
    </cfRule>
    <cfRule type="cellIs" dxfId="1562" priority="2466" stopIfTrue="1" operator="equal">
      <formula>"Napkin Hs"</formula>
    </cfRule>
  </conditionalFormatting>
  <conditionalFormatting sqref="B133">
    <cfRule type="cellIs" dxfId="1561" priority="2290" stopIfTrue="1" operator="equal">
      <formula>"Towel"</formula>
    </cfRule>
    <cfRule type="cellIs" dxfId="1560" priority="2291" stopIfTrue="1" operator="equal">
      <formula>"Napkin Hs"</formula>
    </cfRule>
  </conditionalFormatting>
  <conditionalFormatting sqref="B132:C132">
    <cfRule type="cellIs" dxfId="1559" priority="2210" stopIfTrue="1" operator="equal">
      <formula>"Towel"</formula>
    </cfRule>
    <cfRule type="cellIs" dxfId="1558" priority="2211" stopIfTrue="1" operator="equal">
      <formula>"Napkin Hs"</formula>
    </cfRule>
    <cfRule type="cellIs" dxfId="1557" priority="2216" stopIfTrue="1" operator="equal">
      <formula>"Towel"</formula>
    </cfRule>
    <cfRule type="cellIs" dxfId="1556" priority="2217" stopIfTrue="1" operator="equal">
      <formula>"Napkin Hs"</formula>
    </cfRule>
    <cfRule type="cellIs" dxfId="1555" priority="2222" stopIfTrue="1" operator="equal">
      <formula>"Towel"</formula>
    </cfRule>
    <cfRule type="cellIs" dxfId="1554" priority="2223" stopIfTrue="1" operator="equal">
      <formula>"Napkin Hs"</formula>
    </cfRule>
    <cfRule type="cellIs" dxfId="1553" priority="2228" stopIfTrue="1" operator="equal">
      <formula>"Towel"</formula>
    </cfRule>
    <cfRule type="cellIs" dxfId="1552" priority="2229" stopIfTrue="1" operator="equal">
      <formula>"Napkin Hs"</formula>
    </cfRule>
    <cfRule type="cellIs" dxfId="1551" priority="2234" stopIfTrue="1" operator="equal">
      <formula>"Towel"</formula>
    </cfRule>
    <cfRule type="cellIs" dxfId="1550" priority="2235" stopIfTrue="1" operator="equal">
      <formula>"Napkin Hs"</formula>
    </cfRule>
    <cfRule type="cellIs" dxfId="1549" priority="2240" stopIfTrue="1" operator="equal">
      <formula>"Towel"</formula>
    </cfRule>
    <cfRule type="cellIs" dxfId="1548" priority="2241" stopIfTrue="1" operator="equal">
      <formula>"Napkin Hs"</formula>
    </cfRule>
    <cfRule type="cellIs" dxfId="1547" priority="2244" stopIfTrue="1" operator="equal">
      <formula>"Towel"</formula>
    </cfRule>
    <cfRule type="cellIs" dxfId="1546" priority="2245" stopIfTrue="1" operator="equal">
      <formula>"Napkin Hs"</formula>
    </cfRule>
    <cfRule type="cellIs" dxfId="1545" priority="2252" stopIfTrue="1" operator="equal">
      <formula>"Towel"</formula>
    </cfRule>
    <cfRule type="cellIs" dxfId="1544" priority="2253" stopIfTrue="1" operator="equal">
      <formula>"Napkin Hs"</formula>
    </cfRule>
    <cfRule type="cellIs" dxfId="1543" priority="2258" stopIfTrue="1" operator="equal">
      <formula>"Towel"</formula>
    </cfRule>
    <cfRule type="cellIs" dxfId="1542" priority="2259" stopIfTrue="1" operator="equal">
      <formula>"Napkin Hs"</formula>
    </cfRule>
    <cfRule type="cellIs" dxfId="1541" priority="2264" stopIfTrue="1" operator="equal">
      <formula>"Towel"</formula>
    </cfRule>
    <cfRule type="cellIs" dxfId="1540" priority="2265" stopIfTrue="1" operator="equal">
      <formula>"Napkin Hs"</formula>
    </cfRule>
    <cfRule type="cellIs" dxfId="1539" priority="2270" stopIfTrue="1" operator="equal">
      <formula>"Towel"</formula>
    </cfRule>
    <cfRule type="cellIs" dxfId="1538" priority="2271" stopIfTrue="1" operator="equal">
      <formula>"Napkin Hs"</formula>
    </cfRule>
    <cfRule type="cellIs" dxfId="1537" priority="2276" stopIfTrue="1" operator="equal">
      <formula>"Towel"</formula>
    </cfRule>
    <cfRule type="cellIs" dxfId="1536" priority="2277" stopIfTrue="1" operator="equal">
      <formula>"Napkin Hs"</formula>
    </cfRule>
    <cfRule type="cellIs" dxfId="1535" priority="2282" stopIfTrue="1" operator="equal">
      <formula>"Towel"</formula>
    </cfRule>
    <cfRule type="cellIs" dxfId="1534" priority="2283" stopIfTrue="1" operator="equal">
      <formula>"Napkin Hs"</formula>
    </cfRule>
    <cfRule type="cellIs" dxfId="1533" priority="2288" stopIfTrue="1" operator="equal">
      <formula>"Towel"</formula>
    </cfRule>
    <cfRule type="cellIs" dxfId="1532" priority="2289" stopIfTrue="1" operator="equal">
      <formula>"Napkin Hs"</formula>
    </cfRule>
  </conditionalFormatting>
  <conditionalFormatting sqref="B133:C133">
    <cfRule type="cellIs" dxfId="1531" priority="2350" stopIfTrue="1" operator="equal">
      <formula>"Towel"</formula>
    </cfRule>
    <cfRule type="cellIs" dxfId="1530" priority="2351" stopIfTrue="1" operator="equal">
      <formula>"Napkin Hs"</formula>
    </cfRule>
    <cfRule type="cellIs" dxfId="1529" priority="2356" stopIfTrue="1" operator="equal">
      <formula>"Towel"</formula>
    </cfRule>
    <cfRule type="cellIs" dxfId="1528" priority="2357" stopIfTrue="1" operator="equal">
      <formula>"Napkin Hs"</formula>
    </cfRule>
    <cfRule type="cellIs" dxfId="1527" priority="2362" stopIfTrue="1" operator="equal">
      <formula>"Towel"</formula>
    </cfRule>
    <cfRule type="cellIs" dxfId="1526" priority="2363" stopIfTrue="1" operator="equal">
      <formula>"Napkin Hs"</formula>
    </cfRule>
    <cfRule type="cellIs" dxfId="1525" priority="2368" stopIfTrue="1" operator="equal">
      <formula>"Towel"</formula>
    </cfRule>
    <cfRule type="cellIs" dxfId="1524" priority="2369" stopIfTrue="1" operator="equal">
      <formula>"Napkin Hs"</formula>
    </cfRule>
    <cfRule type="cellIs" dxfId="1523" priority="2374" stopIfTrue="1" operator="equal">
      <formula>"Towel"</formula>
    </cfRule>
    <cfRule type="cellIs" dxfId="1522" priority="2375" stopIfTrue="1" operator="equal">
      <formula>"Napkin Hs"</formula>
    </cfRule>
    <cfRule type="cellIs" dxfId="1521" priority="2380" stopIfTrue="1" operator="equal">
      <formula>"Towel"</formula>
    </cfRule>
    <cfRule type="cellIs" dxfId="1520" priority="2381" stopIfTrue="1" operator="equal">
      <formula>"Napkin Hs"</formula>
    </cfRule>
    <cfRule type="cellIs" dxfId="1519" priority="2386" stopIfTrue="1" operator="equal">
      <formula>"Towel"</formula>
    </cfRule>
    <cfRule type="cellIs" dxfId="1518" priority="2387" stopIfTrue="1" operator="equal">
      <formula>"Napkin Hs"</formula>
    </cfRule>
    <cfRule type="cellIs" dxfId="1517" priority="2392" stopIfTrue="1" operator="equal">
      <formula>"Towel"</formula>
    </cfRule>
    <cfRule type="cellIs" dxfId="1516" priority="2393" stopIfTrue="1" operator="equal">
      <formula>"Napkin Hs"</formula>
    </cfRule>
  </conditionalFormatting>
  <conditionalFormatting sqref="B133:C133">
    <cfRule type="cellIs" dxfId="1515" priority="2292" stopIfTrue="1" operator="equal">
      <formula>"Towel"</formula>
    </cfRule>
    <cfRule type="cellIs" dxfId="1514" priority="2293" stopIfTrue="1" operator="equal">
      <formula>"Napkin Hs"</formula>
    </cfRule>
    <cfRule type="cellIs" dxfId="1513" priority="2308" stopIfTrue="1" operator="equal">
      <formula>"Towel"</formula>
    </cfRule>
    <cfRule type="cellIs" dxfId="1512" priority="2309" stopIfTrue="1" operator="equal">
      <formula>"Napkin Hs"</formula>
    </cfRule>
    <cfRule type="cellIs" dxfId="1511" priority="2314" stopIfTrue="1" operator="equal">
      <formula>"Towel"</formula>
    </cfRule>
    <cfRule type="cellIs" dxfId="1510" priority="2315" stopIfTrue="1" operator="equal">
      <formula>"Napkin Hs"</formula>
    </cfRule>
    <cfRule type="cellIs" dxfId="1509" priority="2320" stopIfTrue="1" operator="equal">
      <formula>"Towel"</formula>
    </cfRule>
    <cfRule type="cellIs" dxfId="1508" priority="2321" stopIfTrue="1" operator="equal">
      <formula>"Napkin Hs"</formula>
    </cfRule>
    <cfRule type="cellIs" dxfId="1507" priority="2326" stopIfTrue="1" operator="equal">
      <formula>"Towel"</formula>
    </cfRule>
    <cfRule type="cellIs" dxfId="1506" priority="2327" stopIfTrue="1" operator="equal">
      <formula>"Napkin Hs"</formula>
    </cfRule>
    <cfRule type="cellIs" dxfId="1505" priority="2332" stopIfTrue="1" operator="equal">
      <formula>"Towel"</formula>
    </cfRule>
    <cfRule type="cellIs" dxfId="1504" priority="2333" stopIfTrue="1" operator="equal">
      <formula>"Napkin Hs"</formula>
    </cfRule>
    <cfRule type="cellIs" dxfId="1503" priority="2338" stopIfTrue="1" operator="equal">
      <formula>"Towel"</formula>
    </cfRule>
    <cfRule type="cellIs" dxfId="1502" priority="2339" stopIfTrue="1" operator="equal">
      <formula>"Napkin Hs"</formula>
    </cfRule>
    <cfRule type="cellIs" dxfId="1501" priority="2344" stopIfTrue="1" operator="equal">
      <formula>"Towel"</formula>
    </cfRule>
    <cfRule type="cellIs" dxfId="1500" priority="2345" stopIfTrue="1" operator="equal">
      <formula>"Napkin Hs"</formula>
    </cfRule>
  </conditionalFormatting>
  <conditionalFormatting sqref="C132">
    <cfRule type="cellIs" dxfId="1499" priority="2206" stopIfTrue="1" operator="equal">
      <formula>"Towel"</formula>
    </cfRule>
    <cfRule type="cellIs" dxfId="1498" priority="2207" stopIfTrue="1" operator="equal">
      <formula>"Napkin Hs"</formula>
    </cfRule>
    <cfRule type="cellIs" dxfId="1497" priority="2208" stopIfTrue="1" operator="equal">
      <formula>"Towel"</formula>
    </cfRule>
    <cfRule type="cellIs" dxfId="1496" priority="2209" stopIfTrue="1" operator="equal">
      <formula>"Napkin Hs"</formula>
    </cfRule>
    <cfRule type="cellIs" dxfId="1495" priority="2212" stopIfTrue="1" operator="equal">
      <formula>"Towel"</formula>
    </cfRule>
    <cfRule type="cellIs" dxfId="1494" priority="2213" stopIfTrue="1" operator="equal">
      <formula>"Napkin Hs"</formula>
    </cfRule>
    <cfRule type="cellIs" dxfId="1493" priority="2214" stopIfTrue="1" operator="equal">
      <formula>"Towel"</formula>
    </cfRule>
    <cfRule type="cellIs" dxfId="1492" priority="2215" stopIfTrue="1" operator="equal">
      <formula>"Napkin Hs"</formula>
    </cfRule>
    <cfRule type="cellIs" dxfId="1491" priority="2218" stopIfTrue="1" operator="equal">
      <formula>"Towel"</formula>
    </cfRule>
    <cfRule type="cellIs" dxfId="1490" priority="2219" stopIfTrue="1" operator="equal">
      <formula>"Napkin Hs"</formula>
    </cfRule>
    <cfRule type="cellIs" dxfId="1489" priority="2220" stopIfTrue="1" operator="equal">
      <formula>"Towel"</formula>
    </cfRule>
    <cfRule type="cellIs" dxfId="1488" priority="2221" stopIfTrue="1" operator="equal">
      <formula>"Napkin Hs"</formula>
    </cfRule>
    <cfRule type="cellIs" dxfId="1487" priority="2224" stopIfTrue="1" operator="equal">
      <formula>"Towel"</formula>
    </cfRule>
    <cfRule type="cellIs" dxfId="1486" priority="2225" stopIfTrue="1" operator="equal">
      <formula>"Napkin Hs"</formula>
    </cfRule>
    <cfRule type="cellIs" dxfId="1485" priority="2226" stopIfTrue="1" operator="equal">
      <formula>"Towel"</formula>
    </cfRule>
    <cfRule type="cellIs" dxfId="1484" priority="2227" stopIfTrue="1" operator="equal">
      <formula>"Napkin Hs"</formula>
    </cfRule>
    <cfRule type="cellIs" dxfId="1483" priority="2230" stopIfTrue="1" operator="equal">
      <formula>"Towel"</formula>
    </cfRule>
    <cfRule type="cellIs" dxfId="1482" priority="2231" stopIfTrue="1" operator="equal">
      <formula>"Napkin Hs"</formula>
    </cfRule>
    <cfRule type="cellIs" dxfId="1481" priority="2232" stopIfTrue="1" operator="equal">
      <formula>"Towel"</formula>
    </cfRule>
    <cfRule type="cellIs" dxfId="1480" priority="2233" stopIfTrue="1" operator="equal">
      <formula>"Napkin Hs"</formula>
    </cfRule>
    <cfRule type="cellIs" dxfId="1479" priority="2236" stopIfTrue="1" operator="equal">
      <formula>"Towel"</formula>
    </cfRule>
    <cfRule type="cellIs" dxfId="1478" priority="2237" stopIfTrue="1" operator="equal">
      <formula>"Napkin Hs"</formula>
    </cfRule>
    <cfRule type="cellIs" dxfId="1477" priority="2238" stopIfTrue="1" operator="equal">
      <formula>"Towel"</formula>
    </cfRule>
    <cfRule type="cellIs" dxfId="1476" priority="2239" stopIfTrue="1" operator="equal">
      <formula>"Napkin Hs"</formula>
    </cfRule>
    <cfRule type="cellIs" dxfId="1475" priority="2242" stopIfTrue="1" operator="equal">
      <formula>"Towel"</formula>
    </cfRule>
    <cfRule type="cellIs" dxfId="1474" priority="2243" stopIfTrue="1" operator="equal">
      <formula>"Napkin Hs"</formula>
    </cfRule>
    <cfRule type="cellIs" dxfId="1473" priority="2246" stopIfTrue="1" operator="equal">
      <formula>"Towel"</formula>
    </cfRule>
    <cfRule type="cellIs" dxfId="1472" priority="2247" stopIfTrue="1" operator="equal">
      <formula>"Napkin Hs"</formula>
    </cfRule>
    <cfRule type="cellIs" dxfId="1471" priority="2248" stopIfTrue="1" operator="equal">
      <formula>"Towel"</formula>
    </cfRule>
    <cfRule type="cellIs" dxfId="1470" priority="2249" stopIfTrue="1" operator="equal">
      <formula>"Napkin Hs"</formula>
    </cfRule>
    <cfRule type="cellIs" dxfId="1469" priority="2250" stopIfTrue="1" operator="equal">
      <formula>"Towel"</formula>
    </cfRule>
    <cfRule type="cellIs" dxfId="1468" priority="2251" stopIfTrue="1" operator="equal">
      <formula>"Napkin Hs"</formula>
    </cfRule>
    <cfRule type="cellIs" dxfId="1467" priority="2254" stopIfTrue="1" operator="equal">
      <formula>"Towel"</formula>
    </cfRule>
    <cfRule type="cellIs" dxfId="1466" priority="2255" stopIfTrue="1" operator="equal">
      <formula>"Napkin Hs"</formula>
    </cfRule>
    <cfRule type="cellIs" dxfId="1465" priority="2256" stopIfTrue="1" operator="equal">
      <formula>"Towel"</formula>
    </cfRule>
    <cfRule type="cellIs" dxfId="1464" priority="2257" stopIfTrue="1" operator="equal">
      <formula>"Napkin Hs"</formula>
    </cfRule>
    <cfRule type="cellIs" dxfId="1463" priority="2260" stopIfTrue="1" operator="equal">
      <formula>"Towel"</formula>
    </cfRule>
    <cfRule type="cellIs" dxfId="1462" priority="2261" stopIfTrue="1" operator="equal">
      <formula>"Napkin Hs"</formula>
    </cfRule>
    <cfRule type="cellIs" dxfId="1461" priority="2262" stopIfTrue="1" operator="equal">
      <formula>"Towel"</formula>
    </cfRule>
    <cfRule type="cellIs" dxfId="1460" priority="2263" stopIfTrue="1" operator="equal">
      <formula>"Napkin Hs"</formula>
    </cfRule>
    <cfRule type="cellIs" dxfId="1459" priority="2266" stopIfTrue="1" operator="equal">
      <formula>"Towel"</formula>
    </cfRule>
    <cfRule type="cellIs" dxfId="1458" priority="2267" stopIfTrue="1" operator="equal">
      <formula>"Napkin Hs"</formula>
    </cfRule>
    <cfRule type="cellIs" dxfId="1457" priority="2268" stopIfTrue="1" operator="equal">
      <formula>"Towel"</formula>
    </cfRule>
    <cfRule type="cellIs" dxfId="1456" priority="2269" stopIfTrue="1" operator="equal">
      <formula>"Napkin Hs"</formula>
    </cfRule>
    <cfRule type="cellIs" dxfId="1455" priority="2272" stopIfTrue="1" operator="equal">
      <formula>"Towel"</formula>
    </cfRule>
    <cfRule type="cellIs" dxfId="1454" priority="2273" stopIfTrue="1" operator="equal">
      <formula>"Napkin Hs"</formula>
    </cfRule>
    <cfRule type="cellIs" dxfId="1453" priority="2274" stopIfTrue="1" operator="equal">
      <formula>"Towel"</formula>
    </cfRule>
    <cfRule type="cellIs" dxfId="1452" priority="2275" stopIfTrue="1" operator="equal">
      <formula>"Napkin Hs"</formula>
    </cfRule>
    <cfRule type="cellIs" dxfId="1451" priority="2278" stopIfTrue="1" operator="equal">
      <formula>"Towel"</formula>
    </cfRule>
    <cfRule type="cellIs" dxfId="1450" priority="2279" stopIfTrue="1" operator="equal">
      <formula>"Napkin Hs"</formula>
    </cfRule>
    <cfRule type="cellIs" dxfId="1449" priority="2280" stopIfTrue="1" operator="equal">
      <formula>"Towel"</formula>
    </cfRule>
    <cfRule type="cellIs" dxfId="1448" priority="2281" stopIfTrue="1" operator="equal">
      <formula>"Napkin Hs"</formula>
    </cfRule>
    <cfRule type="cellIs" dxfId="1447" priority="2284" stopIfTrue="1" operator="equal">
      <formula>"Towel"</formula>
    </cfRule>
    <cfRule type="cellIs" dxfId="1446" priority="2285" stopIfTrue="1" operator="equal">
      <formula>"Napkin Hs"</formula>
    </cfRule>
  </conditionalFormatting>
  <conditionalFormatting sqref="C132">
    <cfRule type="cellIs" dxfId="1445" priority="2286" stopIfTrue="1" operator="equal">
      <formula>"Towel"</formula>
    </cfRule>
    <cfRule type="cellIs" dxfId="1444" priority="2287" stopIfTrue="1" operator="equal">
      <formula>"Napkin Hs"</formula>
    </cfRule>
  </conditionalFormatting>
  <conditionalFormatting sqref="C133">
    <cfRule type="cellIs" dxfId="1443" priority="2346" stopIfTrue="1" operator="equal">
      <formula>"Towel"</formula>
    </cfRule>
    <cfRule type="cellIs" dxfId="1442" priority="2347" stopIfTrue="1" operator="equal">
      <formula>"Napkin Hs"</formula>
    </cfRule>
    <cfRule type="cellIs" dxfId="1441" priority="2348" stopIfTrue="1" operator="equal">
      <formula>"Towel"</formula>
    </cfRule>
    <cfRule type="cellIs" dxfId="1440" priority="2349" stopIfTrue="1" operator="equal">
      <formula>"Napkin Hs"</formula>
    </cfRule>
    <cfRule type="cellIs" dxfId="1439" priority="2352" stopIfTrue="1" operator="equal">
      <formula>"Towel"</formula>
    </cfRule>
    <cfRule type="cellIs" dxfId="1438" priority="2353" stopIfTrue="1" operator="equal">
      <formula>"Napkin Hs"</formula>
    </cfRule>
    <cfRule type="cellIs" dxfId="1437" priority="2354" stopIfTrue="1" operator="equal">
      <formula>"Towel"</formula>
    </cfRule>
    <cfRule type="cellIs" dxfId="1436" priority="2355" stopIfTrue="1" operator="equal">
      <formula>"Napkin Hs"</formula>
    </cfRule>
    <cfRule type="cellIs" dxfId="1435" priority="2358" stopIfTrue="1" operator="equal">
      <formula>"Towel"</formula>
    </cfRule>
    <cfRule type="cellIs" dxfId="1434" priority="2359" stopIfTrue="1" operator="equal">
      <formula>"Napkin Hs"</formula>
    </cfRule>
    <cfRule type="cellIs" dxfId="1433" priority="2360" stopIfTrue="1" operator="equal">
      <formula>"Towel"</formula>
    </cfRule>
    <cfRule type="cellIs" dxfId="1432" priority="2361" stopIfTrue="1" operator="equal">
      <formula>"Napkin Hs"</formula>
    </cfRule>
    <cfRule type="cellIs" dxfId="1431" priority="2364" stopIfTrue="1" operator="equal">
      <formula>"Towel"</formula>
    </cfRule>
    <cfRule type="cellIs" dxfId="1430" priority="2365" stopIfTrue="1" operator="equal">
      <formula>"Napkin Hs"</formula>
    </cfRule>
    <cfRule type="cellIs" dxfId="1429" priority="2366" stopIfTrue="1" operator="equal">
      <formula>"Towel"</formula>
    </cfRule>
    <cfRule type="cellIs" dxfId="1428" priority="2367" stopIfTrue="1" operator="equal">
      <formula>"Napkin Hs"</formula>
    </cfRule>
    <cfRule type="cellIs" dxfId="1427" priority="2370" stopIfTrue="1" operator="equal">
      <formula>"Towel"</formula>
    </cfRule>
    <cfRule type="cellIs" dxfId="1426" priority="2371" stopIfTrue="1" operator="equal">
      <formula>"Napkin Hs"</formula>
    </cfRule>
    <cfRule type="cellIs" dxfId="1425" priority="2372" stopIfTrue="1" operator="equal">
      <formula>"Towel"</formula>
    </cfRule>
    <cfRule type="cellIs" dxfId="1424" priority="2373" stopIfTrue="1" operator="equal">
      <formula>"Napkin Hs"</formula>
    </cfRule>
    <cfRule type="cellIs" dxfId="1423" priority="2376" stopIfTrue="1" operator="equal">
      <formula>"Towel"</formula>
    </cfRule>
    <cfRule type="cellIs" dxfId="1422" priority="2377" stopIfTrue="1" operator="equal">
      <formula>"Napkin Hs"</formula>
    </cfRule>
    <cfRule type="cellIs" dxfId="1421" priority="2378" stopIfTrue="1" operator="equal">
      <formula>"Towel"</formula>
    </cfRule>
    <cfRule type="cellIs" dxfId="1420" priority="2379" stopIfTrue="1" operator="equal">
      <formula>"Napkin Hs"</formula>
    </cfRule>
    <cfRule type="cellIs" dxfId="1419" priority="2382" stopIfTrue="1" operator="equal">
      <formula>"Towel"</formula>
    </cfRule>
    <cfRule type="cellIs" dxfId="1418" priority="2383" stopIfTrue="1" operator="equal">
      <formula>"Napkin Hs"</formula>
    </cfRule>
    <cfRule type="cellIs" dxfId="1417" priority="2384" stopIfTrue="1" operator="equal">
      <formula>"Towel"</formula>
    </cfRule>
    <cfRule type="cellIs" dxfId="1416" priority="2385" stopIfTrue="1" operator="equal">
      <formula>"Napkin Hs"</formula>
    </cfRule>
    <cfRule type="cellIs" dxfId="1415" priority="2388" stopIfTrue="1" operator="equal">
      <formula>"Towel"</formula>
    </cfRule>
    <cfRule type="cellIs" dxfId="1414" priority="2389" stopIfTrue="1" operator="equal">
      <formula>"Napkin Hs"</formula>
    </cfRule>
  </conditionalFormatting>
  <conditionalFormatting sqref="C133">
    <cfRule type="cellIs" dxfId="1413" priority="2294" stopIfTrue="1" operator="equal">
      <formula>"Towel"</formula>
    </cfRule>
    <cfRule type="cellIs" dxfId="1412" priority="2295" stopIfTrue="1" operator="equal">
      <formula>"Napkin Hs"</formula>
    </cfRule>
    <cfRule type="cellIs" dxfId="1411" priority="2296" stopIfTrue="1" operator="equal">
      <formula>"Towel"</formula>
    </cfRule>
    <cfRule type="cellIs" dxfId="1410" priority="2297" stopIfTrue="1" operator="equal">
      <formula>"Napkin Hs"</formula>
    </cfRule>
    <cfRule type="cellIs" dxfId="1409" priority="2298" stopIfTrue="1" operator="equal">
      <formula>"Towel"</formula>
    </cfRule>
    <cfRule type="cellIs" dxfId="1408" priority="2299" stopIfTrue="1" operator="equal">
      <formula>"Napkin Hs"</formula>
    </cfRule>
    <cfRule type="cellIs" dxfId="1407" priority="2300" stopIfTrue="1" operator="equal">
      <formula>"Towel"</formula>
    </cfRule>
    <cfRule type="cellIs" dxfId="1406" priority="2301" stopIfTrue="1" operator="equal">
      <formula>"Napkin Hs"</formula>
    </cfRule>
    <cfRule type="cellIs" dxfId="1405" priority="2302" stopIfTrue="1" operator="equal">
      <formula>"Towel"</formula>
    </cfRule>
    <cfRule type="cellIs" dxfId="1404" priority="2303" stopIfTrue="1" operator="equal">
      <formula>"Napkin Hs"</formula>
    </cfRule>
    <cfRule type="cellIs" dxfId="1403" priority="2304" stopIfTrue="1" operator="equal">
      <formula>"Towel"</formula>
    </cfRule>
    <cfRule type="cellIs" dxfId="1402" priority="2305" stopIfTrue="1" operator="equal">
      <formula>"Napkin Hs"</formula>
    </cfRule>
    <cfRule type="cellIs" dxfId="1401" priority="2306" stopIfTrue="1" operator="equal">
      <formula>"Towel"</formula>
    </cfRule>
    <cfRule type="cellIs" dxfId="1400" priority="2307" stopIfTrue="1" operator="equal">
      <formula>"Napkin Hs"</formula>
    </cfRule>
    <cfRule type="cellIs" dxfId="1399" priority="2310" stopIfTrue="1" operator="equal">
      <formula>"Towel"</formula>
    </cfRule>
    <cfRule type="cellIs" dxfId="1398" priority="2311" stopIfTrue="1" operator="equal">
      <formula>"Napkin Hs"</formula>
    </cfRule>
    <cfRule type="cellIs" dxfId="1397" priority="2312" stopIfTrue="1" operator="equal">
      <formula>"Towel"</formula>
    </cfRule>
    <cfRule type="cellIs" dxfId="1396" priority="2313" stopIfTrue="1" operator="equal">
      <formula>"Napkin Hs"</formula>
    </cfRule>
    <cfRule type="cellIs" dxfId="1395" priority="2316" stopIfTrue="1" operator="equal">
      <formula>"Towel"</formula>
    </cfRule>
    <cfRule type="cellIs" dxfId="1394" priority="2317" stopIfTrue="1" operator="equal">
      <formula>"Napkin Hs"</formula>
    </cfRule>
    <cfRule type="cellIs" dxfId="1393" priority="2318" stopIfTrue="1" operator="equal">
      <formula>"Towel"</formula>
    </cfRule>
    <cfRule type="cellIs" dxfId="1392" priority="2319" stopIfTrue="1" operator="equal">
      <formula>"Napkin Hs"</formula>
    </cfRule>
    <cfRule type="cellIs" dxfId="1391" priority="2322" stopIfTrue="1" operator="equal">
      <formula>"Towel"</formula>
    </cfRule>
    <cfRule type="cellIs" dxfId="1390" priority="2323" stopIfTrue="1" operator="equal">
      <formula>"Napkin Hs"</formula>
    </cfRule>
    <cfRule type="cellIs" dxfId="1389" priority="2324" stopIfTrue="1" operator="equal">
      <formula>"Towel"</formula>
    </cfRule>
    <cfRule type="cellIs" dxfId="1388" priority="2325" stopIfTrue="1" operator="equal">
      <formula>"Napkin Hs"</formula>
    </cfRule>
    <cfRule type="cellIs" dxfId="1387" priority="2328" stopIfTrue="1" operator="equal">
      <formula>"Towel"</formula>
    </cfRule>
    <cfRule type="cellIs" dxfId="1386" priority="2329" stopIfTrue="1" operator="equal">
      <formula>"Napkin Hs"</formula>
    </cfRule>
    <cfRule type="cellIs" dxfId="1385" priority="2330" stopIfTrue="1" operator="equal">
      <formula>"Towel"</formula>
    </cfRule>
    <cfRule type="cellIs" dxfId="1384" priority="2331" stopIfTrue="1" operator="equal">
      <formula>"Napkin Hs"</formula>
    </cfRule>
    <cfRule type="cellIs" dxfId="1383" priority="2334" stopIfTrue="1" operator="equal">
      <formula>"Towel"</formula>
    </cfRule>
    <cfRule type="cellIs" dxfId="1382" priority="2335" stopIfTrue="1" operator="equal">
      <formula>"Napkin Hs"</formula>
    </cfRule>
    <cfRule type="cellIs" dxfId="1381" priority="2336" stopIfTrue="1" operator="equal">
      <formula>"Towel"</formula>
    </cfRule>
    <cfRule type="cellIs" dxfId="1380" priority="2337" stopIfTrue="1" operator="equal">
      <formula>"Napkin Hs"</formula>
    </cfRule>
    <cfRule type="cellIs" dxfId="1379" priority="2340" stopIfTrue="1" operator="equal">
      <formula>"Towel"</formula>
    </cfRule>
    <cfRule type="cellIs" dxfId="1378" priority="2341" stopIfTrue="1" operator="equal">
      <formula>"Napkin Hs"</formula>
    </cfRule>
    <cfRule type="cellIs" dxfId="1377" priority="2342" stopIfTrue="1" operator="equal">
      <formula>"Towel"</formula>
    </cfRule>
    <cfRule type="cellIs" dxfId="1376" priority="2343" stopIfTrue="1" operator="equal">
      <formula>"Napkin Hs"</formula>
    </cfRule>
    <cfRule type="cellIs" dxfId="1375" priority="2390" stopIfTrue="1" operator="equal">
      <formula>"Towel"</formula>
    </cfRule>
    <cfRule type="cellIs" dxfId="1374" priority="2391" stopIfTrue="1" operator="equal">
      <formula>"Napkin Hs"</formula>
    </cfRule>
  </conditionalFormatting>
  <conditionalFormatting sqref="B131">
    <cfRule type="cellIs" dxfId="1373" priority="2190" stopIfTrue="1" operator="equal">
      <formula>"Towel"</formula>
    </cfRule>
    <cfRule type="cellIs" dxfId="1372" priority="2191" stopIfTrue="1" operator="equal">
      <formula>"Napkin Hs"</formula>
    </cfRule>
    <cfRule type="cellIs" dxfId="1371" priority="2192" stopIfTrue="1" operator="equal">
      <formula>"Towel"</formula>
    </cfRule>
    <cfRule type="cellIs" dxfId="1370" priority="2193" stopIfTrue="1" operator="equal">
      <formula>"Napkin Hs"</formula>
    </cfRule>
    <cfRule type="cellIs" dxfId="1369" priority="2194" stopIfTrue="1" operator="equal">
      <formula>"Towel"</formula>
    </cfRule>
    <cfRule type="cellIs" dxfId="1368" priority="2195" stopIfTrue="1" operator="equal">
      <formula>"Napkin Hs"</formula>
    </cfRule>
    <cfRule type="cellIs" dxfId="1367" priority="2196" stopIfTrue="1" operator="equal">
      <formula>"Towel"</formula>
    </cfRule>
    <cfRule type="cellIs" dxfId="1366" priority="2197" stopIfTrue="1" operator="equal">
      <formula>"Napkin Hs"</formula>
    </cfRule>
    <cfRule type="cellIs" dxfId="1365" priority="2198" stopIfTrue="1" operator="equal">
      <formula>"Towel"</formula>
    </cfRule>
    <cfRule type="cellIs" dxfId="1364" priority="2199" stopIfTrue="1" operator="equal">
      <formula>"Napkin Hs"</formula>
    </cfRule>
    <cfRule type="cellIs" dxfId="1363" priority="2200" stopIfTrue="1" operator="equal">
      <formula>"Towel"</formula>
    </cfRule>
    <cfRule type="cellIs" dxfId="1362" priority="2201" stopIfTrue="1" operator="equal">
      <formula>"Napkin Hs"</formula>
    </cfRule>
    <cfRule type="cellIs" dxfId="1361" priority="2202" stopIfTrue="1" operator="equal">
      <formula>"Towel"</formula>
    </cfRule>
    <cfRule type="cellIs" dxfId="1360" priority="2203" stopIfTrue="1" operator="equal">
      <formula>"Napkin Hs"</formula>
    </cfRule>
    <cfRule type="cellIs" dxfId="1359" priority="2204" stopIfTrue="1" operator="equal">
      <formula>"Towel"</formula>
    </cfRule>
    <cfRule type="cellIs" dxfId="1358" priority="2205" stopIfTrue="1" operator="equal">
      <formula>"Napkin Hs"</formula>
    </cfRule>
  </conditionalFormatting>
  <conditionalFormatting sqref="B131:C131">
    <cfRule type="cellIs" dxfId="1357" priority="2182" stopIfTrue="1" operator="equal">
      <formula>"Towel"</formula>
    </cfRule>
    <cfRule type="cellIs" dxfId="1356" priority="2183" stopIfTrue="1" operator="equal">
      <formula>"Napkin Hs"</formula>
    </cfRule>
  </conditionalFormatting>
  <conditionalFormatting sqref="C131">
    <cfRule type="cellIs" dxfId="1355" priority="2189" stopIfTrue="1" operator="equal">
      <formula>"Napkin Hs"</formula>
    </cfRule>
  </conditionalFormatting>
  <conditionalFormatting sqref="C131">
    <cfRule type="cellIs" dxfId="1354" priority="2188" stopIfTrue="1" operator="equal">
      <formula>"Towel"</formula>
    </cfRule>
  </conditionalFormatting>
  <conditionalFormatting sqref="C131">
    <cfRule type="cellIs" dxfId="1353" priority="2140" stopIfTrue="1" operator="equal">
      <formula>"Towel"</formula>
    </cfRule>
    <cfRule type="cellIs" dxfId="1352" priority="2141" stopIfTrue="1" operator="equal">
      <formula>"Napkin Hs"</formula>
    </cfRule>
    <cfRule type="cellIs" dxfId="1351" priority="2146" stopIfTrue="1" operator="equal">
      <formula>"Towel"</formula>
    </cfRule>
    <cfRule type="cellIs" dxfId="1350" priority="2147" stopIfTrue="1" operator="equal">
      <formula>"Napkin Hs"</formula>
    </cfRule>
    <cfRule type="cellIs" dxfId="1349" priority="2152" stopIfTrue="1" operator="equal">
      <formula>"Towel"</formula>
    </cfRule>
    <cfRule type="cellIs" dxfId="1348" priority="2153" stopIfTrue="1" operator="equal">
      <formula>"Napkin Hs"</formula>
    </cfRule>
    <cfRule type="cellIs" dxfId="1347" priority="2158" stopIfTrue="1" operator="equal">
      <formula>"Towel"</formula>
    </cfRule>
    <cfRule type="cellIs" dxfId="1346" priority="2159" stopIfTrue="1" operator="equal">
      <formula>"Napkin Hs"</formula>
    </cfRule>
    <cfRule type="cellIs" dxfId="1345" priority="2164" stopIfTrue="1" operator="equal">
      <formula>"Towel"</formula>
    </cfRule>
    <cfRule type="cellIs" dxfId="1344" priority="2165" stopIfTrue="1" operator="equal">
      <formula>"Napkin Hs"</formula>
    </cfRule>
    <cfRule type="cellIs" dxfId="1343" priority="2170" stopIfTrue="1" operator="equal">
      <formula>"Towel"</formula>
    </cfRule>
    <cfRule type="cellIs" dxfId="1342" priority="2171" stopIfTrue="1" operator="equal">
      <formula>"Napkin Hs"</formula>
    </cfRule>
    <cfRule type="cellIs" dxfId="1341" priority="2176" stopIfTrue="1" operator="equal">
      <formula>"Towel"</formula>
    </cfRule>
    <cfRule type="cellIs" dxfId="1340" priority="2177" stopIfTrue="1" operator="equal">
      <formula>"Napkin Hs"</formula>
    </cfRule>
  </conditionalFormatting>
  <conditionalFormatting sqref="C131">
    <cfRule type="cellIs" dxfId="1339" priority="2136" stopIfTrue="1" operator="equal">
      <formula>"Towel"</formula>
    </cfRule>
    <cfRule type="cellIs" dxfId="1338" priority="2137" stopIfTrue="1" operator="equal">
      <formula>"Napkin Hs"</formula>
    </cfRule>
    <cfRule type="cellIs" dxfId="1337" priority="2138" stopIfTrue="1" operator="equal">
      <formula>"Towel"</formula>
    </cfRule>
    <cfRule type="cellIs" dxfId="1336" priority="2139" stopIfTrue="1" operator="equal">
      <formula>"Napkin Hs"</formula>
    </cfRule>
    <cfRule type="cellIs" dxfId="1335" priority="2142" stopIfTrue="1" operator="equal">
      <formula>"Towel"</formula>
    </cfRule>
    <cfRule type="cellIs" dxfId="1334" priority="2143" stopIfTrue="1" operator="equal">
      <formula>"Napkin Hs"</formula>
    </cfRule>
    <cfRule type="cellIs" dxfId="1333" priority="2144" stopIfTrue="1" operator="equal">
      <formula>"Towel"</formula>
    </cfRule>
    <cfRule type="cellIs" dxfId="1332" priority="2145" stopIfTrue="1" operator="equal">
      <formula>"Napkin Hs"</formula>
    </cfRule>
    <cfRule type="cellIs" dxfId="1331" priority="2148" stopIfTrue="1" operator="equal">
      <formula>"Towel"</formula>
    </cfRule>
    <cfRule type="cellIs" dxfId="1330" priority="2149" stopIfTrue="1" operator="equal">
      <formula>"Napkin Hs"</formula>
    </cfRule>
    <cfRule type="cellIs" dxfId="1329" priority="2150" stopIfTrue="1" operator="equal">
      <formula>"Towel"</formula>
    </cfRule>
    <cfRule type="cellIs" dxfId="1328" priority="2151" stopIfTrue="1" operator="equal">
      <formula>"Napkin Hs"</formula>
    </cfRule>
    <cfRule type="cellIs" dxfId="1327" priority="2154" stopIfTrue="1" operator="equal">
      <formula>"Towel"</formula>
    </cfRule>
    <cfRule type="cellIs" dxfId="1326" priority="2155" stopIfTrue="1" operator="equal">
      <formula>"Napkin Hs"</formula>
    </cfRule>
    <cfRule type="cellIs" dxfId="1325" priority="2156" stopIfTrue="1" operator="equal">
      <formula>"Towel"</formula>
    </cfRule>
    <cfRule type="cellIs" dxfId="1324" priority="2157" stopIfTrue="1" operator="equal">
      <formula>"Napkin Hs"</formula>
    </cfRule>
    <cfRule type="cellIs" dxfId="1323" priority="2160" stopIfTrue="1" operator="equal">
      <formula>"Towel"</formula>
    </cfRule>
    <cfRule type="cellIs" dxfId="1322" priority="2161" stopIfTrue="1" operator="equal">
      <formula>"Napkin Hs"</formula>
    </cfRule>
    <cfRule type="cellIs" dxfId="1321" priority="2162" stopIfTrue="1" operator="equal">
      <formula>"Towel"</formula>
    </cfRule>
    <cfRule type="cellIs" dxfId="1320" priority="2163" stopIfTrue="1" operator="equal">
      <formula>"Napkin Hs"</formula>
    </cfRule>
    <cfRule type="cellIs" dxfId="1319" priority="2166" stopIfTrue="1" operator="equal">
      <formula>"Towel"</formula>
    </cfRule>
    <cfRule type="cellIs" dxfId="1318" priority="2167" stopIfTrue="1" operator="equal">
      <formula>"Napkin Hs"</formula>
    </cfRule>
    <cfRule type="cellIs" dxfId="1317" priority="2168" stopIfTrue="1" operator="equal">
      <formula>"Towel"</formula>
    </cfRule>
    <cfRule type="cellIs" dxfId="1316" priority="2169" stopIfTrue="1" operator="equal">
      <formula>"Napkin Hs"</formula>
    </cfRule>
    <cfRule type="cellIs" dxfId="1315" priority="2172" stopIfTrue="1" operator="equal">
      <formula>"Towel"</formula>
    </cfRule>
    <cfRule type="cellIs" dxfId="1314" priority="2173" stopIfTrue="1" operator="equal">
      <formula>"Napkin Hs"</formula>
    </cfRule>
    <cfRule type="cellIs" dxfId="1313" priority="2174" stopIfTrue="1" operator="equal">
      <formula>"Towel"</formula>
    </cfRule>
    <cfRule type="cellIs" dxfId="1312" priority="2175" stopIfTrue="1" operator="equal">
      <formula>"Napkin Hs"</formula>
    </cfRule>
    <cfRule type="cellIs" dxfId="1311" priority="2178" stopIfTrue="1" operator="equal">
      <formula>"Towel"</formula>
    </cfRule>
    <cfRule type="cellIs" dxfId="1310" priority="2179" stopIfTrue="1" operator="equal">
      <formula>"Napkin Hs"</formula>
    </cfRule>
    <cfRule type="cellIs" dxfId="1309" priority="2180" stopIfTrue="1" operator="equal">
      <formula>"Towel"</formula>
    </cfRule>
    <cfRule type="cellIs" dxfId="1308" priority="2181" stopIfTrue="1" operator="equal">
      <formula>"Napkin Hs"</formula>
    </cfRule>
    <cfRule type="cellIs" dxfId="1307" priority="2184" stopIfTrue="1" operator="equal">
      <formula>"Towel"</formula>
    </cfRule>
    <cfRule type="cellIs" dxfId="1306" priority="2185" stopIfTrue="1" operator="equal">
      <formula>"Napkin Hs"</formula>
    </cfRule>
  </conditionalFormatting>
  <conditionalFormatting sqref="C131">
    <cfRule type="cellIs" dxfId="1305" priority="2186" stopIfTrue="1" operator="equal">
      <formula>"Towel"</formula>
    </cfRule>
    <cfRule type="cellIs" dxfId="1304" priority="2187" stopIfTrue="1" operator="equal">
      <formula>"Napkin Hs"</formula>
    </cfRule>
  </conditionalFormatting>
  <conditionalFormatting sqref="B131:C131">
    <cfRule type="cellIs" dxfId="1303" priority="2056" stopIfTrue="1" operator="equal">
      <formula>"Towel"</formula>
    </cfRule>
    <cfRule type="cellIs" dxfId="1302" priority="2057" stopIfTrue="1" operator="equal">
      <formula>"Napkin Hs"</formula>
    </cfRule>
    <cfRule type="cellIs" dxfId="1301" priority="2062" stopIfTrue="1" operator="equal">
      <formula>"Towel"</formula>
    </cfRule>
    <cfRule type="cellIs" dxfId="1300" priority="2063" stopIfTrue="1" operator="equal">
      <formula>"Napkin Hs"</formula>
    </cfRule>
    <cfRule type="cellIs" dxfId="1299" priority="2068" stopIfTrue="1" operator="equal">
      <formula>"Towel"</formula>
    </cfRule>
    <cfRule type="cellIs" dxfId="1298" priority="2069" stopIfTrue="1" operator="equal">
      <formula>"Napkin Hs"</formula>
    </cfRule>
    <cfRule type="cellIs" dxfId="1297" priority="2074" stopIfTrue="1" operator="equal">
      <formula>"Towel"</formula>
    </cfRule>
    <cfRule type="cellIs" dxfId="1296" priority="2075" stopIfTrue="1" operator="equal">
      <formula>"Napkin Hs"</formula>
    </cfRule>
    <cfRule type="cellIs" dxfId="1295" priority="2080" stopIfTrue="1" operator="equal">
      <formula>"Towel"</formula>
    </cfRule>
    <cfRule type="cellIs" dxfId="1294" priority="2081" stopIfTrue="1" operator="equal">
      <formula>"Napkin Hs"</formula>
    </cfRule>
    <cfRule type="cellIs" dxfId="1293" priority="2086" stopIfTrue="1" operator="equal">
      <formula>"Towel"</formula>
    </cfRule>
    <cfRule type="cellIs" dxfId="1292" priority="2087" stopIfTrue="1" operator="equal">
      <formula>"Napkin Hs"</formula>
    </cfRule>
    <cfRule type="cellIs" dxfId="1291" priority="2090" stopIfTrue="1" operator="equal">
      <formula>"Towel"</formula>
    </cfRule>
    <cfRule type="cellIs" dxfId="1290" priority="2091" stopIfTrue="1" operator="equal">
      <formula>"Napkin Hs"</formula>
    </cfRule>
    <cfRule type="cellIs" dxfId="1289" priority="2098" stopIfTrue="1" operator="equal">
      <formula>"Towel"</formula>
    </cfRule>
    <cfRule type="cellIs" dxfId="1288" priority="2099" stopIfTrue="1" operator="equal">
      <formula>"Napkin Hs"</formula>
    </cfRule>
    <cfRule type="cellIs" dxfId="1287" priority="2104" stopIfTrue="1" operator="equal">
      <formula>"Towel"</formula>
    </cfRule>
    <cfRule type="cellIs" dxfId="1286" priority="2105" stopIfTrue="1" operator="equal">
      <formula>"Napkin Hs"</formula>
    </cfRule>
    <cfRule type="cellIs" dxfId="1285" priority="2110" stopIfTrue="1" operator="equal">
      <formula>"Towel"</formula>
    </cfRule>
    <cfRule type="cellIs" dxfId="1284" priority="2111" stopIfTrue="1" operator="equal">
      <formula>"Napkin Hs"</formula>
    </cfRule>
    <cfRule type="cellIs" dxfId="1283" priority="2116" stopIfTrue="1" operator="equal">
      <formula>"Towel"</formula>
    </cfRule>
    <cfRule type="cellIs" dxfId="1282" priority="2117" stopIfTrue="1" operator="equal">
      <formula>"Napkin Hs"</formula>
    </cfRule>
    <cfRule type="cellIs" dxfId="1281" priority="2122" stopIfTrue="1" operator="equal">
      <formula>"Towel"</formula>
    </cfRule>
    <cfRule type="cellIs" dxfId="1280" priority="2123" stopIfTrue="1" operator="equal">
      <formula>"Napkin Hs"</formula>
    </cfRule>
    <cfRule type="cellIs" dxfId="1279" priority="2128" stopIfTrue="1" operator="equal">
      <formula>"Towel"</formula>
    </cfRule>
    <cfRule type="cellIs" dxfId="1278" priority="2129" stopIfTrue="1" operator="equal">
      <formula>"Napkin Hs"</formula>
    </cfRule>
    <cfRule type="cellIs" dxfId="1277" priority="2134" stopIfTrue="1" operator="equal">
      <formula>"Towel"</formula>
    </cfRule>
    <cfRule type="cellIs" dxfId="1276" priority="2135" stopIfTrue="1" operator="equal">
      <formula>"Napkin Hs"</formula>
    </cfRule>
  </conditionalFormatting>
  <conditionalFormatting sqref="C131">
    <cfRule type="cellIs" dxfId="1275" priority="2052" stopIfTrue="1" operator="equal">
      <formula>"Towel"</formula>
    </cfRule>
    <cfRule type="cellIs" dxfId="1274" priority="2053" stopIfTrue="1" operator="equal">
      <formula>"Napkin Hs"</formula>
    </cfRule>
    <cfRule type="cellIs" dxfId="1273" priority="2054" stopIfTrue="1" operator="equal">
      <formula>"Towel"</formula>
    </cfRule>
    <cfRule type="cellIs" dxfId="1272" priority="2055" stopIfTrue="1" operator="equal">
      <formula>"Napkin Hs"</formula>
    </cfRule>
    <cfRule type="cellIs" dxfId="1271" priority="2058" stopIfTrue="1" operator="equal">
      <formula>"Towel"</formula>
    </cfRule>
    <cfRule type="cellIs" dxfId="1270" priority="2059" stopIfTrue="1" operator="equal">
      <formula>"Napkin Hs"</formula>
    </cfRule>
    <cfRule type="cellIs" dxfId="1269" priority="2060" stopIfTrue="1" operator="equal">
      <formula>"Towel"</formula>
    </cfRule>
    <cfRule type="cellIs" dxfId="1268" priority="2061" stopIfTrue="1" operator="equal">
      <formula>"Napkin Hs"</formula>
    </cfRule>
    <cfRule type="cellIs" dxfId="1267" priority="2064" stopIfTrue="1" operator="equal">
      <formula>"Towel"</formula>
    </cfRule>
    <cfRule type="cellIs" dxfId="1266" priority="2065" stopIfTrue="1" operator="equal">
      <formula>"Napkin Hs"</formula>
    </cfRule>
    <cfRule type="cellIs" dxfId="1265" priority="2066" stopIfTrue="1" operator="equal">
      <formula>"Towel"</formula>
    </cfRule>
    <cfRule type="cellIs" dxfId="1264" priority="2067" stopIfTrue="1" operator="equal">
      <formula>"Napkin Hs"</formula>
    </cfRule>
    <cfRule type="cellIs" dxfId="1263" priority="2070" stopIfTrue="1" operator="equal">
      <formula>"Towel"</formula>
    </cfRule>
    <cfRule type="cellIs" dxfId="1262" priority="2071" stopIfTrue="1" operator="equal">
      <formula>"Napkin Hs"</formula>
    </cfRule>
    <cfRule type="cellIs" dxfId="1261" priority="2072" stopIfTrue="1" operator="equal">
      <formula>"Towel"</formula>
    </cfRule>
    <cfRule type="cellIs" dxfId="1260" priority="2073" stopIfTrue="1" operator="equal">
      <formula>"Napkin Hs"</formula>
    </cfRule>
    <cfRule type="cellIs" dxfId="1259" priority="2076" stopIfTrue="1" operator="equal">
      <formula>"Towel"</formula>
    </cfRule>
    <cfRule type="cellIs" dxfId="1258" priority="2077" stopIfTrue="1" operator="equal">
      <formula>"Napkin Hs"</formula>
    </cfRule>
    <cfRule type="cellIs" dxfId="1257" priority="2078" stopIfTrue="1" operator="equal">
      <formula>"Towel"</formula>
    </cfRule>
    <cfRule type="cellIs" dxfId="1256" priority="2079" stopIfTrue="1" operator="equal">
      <formula>"Napkin Hs"</formula>
    </cfRule>
    <cfRule type="cellIs" dxfId="1255" priority="2082" stopIfTrue="1" operator="equal">
      <formula>"Towel"</formula>
    </cfRule>
    <cfRule type="cellIs" dxfId="1254" priority="2083" stopIfTrue="1" operator="equal">
      <formula>"Napkin Hs"</formula>
    </cfRule>
    <cfRule type="cellIs" dxfId="1253" priority="2084" stopIfTrue="1" operator="equal">
      <formula>"Towel"</formula>
    </cfRule>
    <cfRule type="cellIs" dxfId="1252" priority="2085" stopIfTrue="1" operator="equal">
      <formula>"Napkin Hs"</formula>
    </cfRule>
    <cfRule type="cellIs" dxfId="1251" priority="2088" stopIfTrue="1" operator="equal">
      <formula>"Towel"</formula>
    </cfRule>
    <cfRule type="cellIs" dxfId="1250" priority="2089" stopIfTrue="1" operator="equal">
      <formula>"Napkin Hs"</formula>
    </cfRule>
    <cfRule type="cellIs" dxfId="1249" priority="2092" stopIfTrue="1" operator="equal">
      <formula>"Towel"</formula>
    </cfRule>
    <cfRule type="cellIs" dxfId="1248" priority="2093" stopIfTrue="1" operator="equal">
      <formula>"Napkin Hs"</formula>
    </cfRule>
    <cfRule type="cellIs" dxfId="1247" priority="2094" stopIfTrue="1" operator="equal">
      <formula>"Towel"</formula>
    </cfRule>
    <cfRule type="cellIs" dxfId="1246" priority="2095" stopIfTrue="1" operator="equal">
      <formula>"Napkin Hs"</formula>
    </cfRule>
    <cfRule type="cellIs" dxfId="1245" priority="2096" stopIfTrue="1" operator="equal">
      <formula>"Towel"</formula>
    </cfRule>
    <cfRule type="cellIs" dxfId="1244" priority="2097" stopIfTrue="1" operator="equal">
      <formula>"Napkin Hs"</formula>
    </cfRule>
    <cfRule type="cellIs" dxfId="1243" priority="2100" stopIfTrue="1" operator="equal">
      <formula>"Towel"</formula>
    </cfRule>
    <cfRule type="cellIs" dxfId="1242" priority="2101" stopIfTrue="1" operator="equal">
      <formula>"Napkin Hs"</formula>
    </cfRule>
    <cfRule type="cellIs" dxfId="1241" priority="2102" stopIfTrue="1" operator="equal">
      <formula>"Towel"</formula>
    </cfRule>
    <cfRule type="cellIs" dxfId="1240" priority="2103" stopIfTrue="1" operator="equal">
      <formula>"Napkin Hs"</formula>
    </cfRule>
    <cfRule type="cellIs" dxfId="1239" priority="2106" stopIfTrue="1" operator="equal">
      <formula>"Towel"</formula>
    </cfRule>
    <cfRule type="cellIs" dxfId="1238" priority="2107" stopIfTrue="1" operator="equal">
      <formula>"Napkin Hs"</formula>
    </cfRule>
    <cfRule type="cellIs" dxfId="1237" priority="2108" stopIfTrue="1" operator="equal">
      <formula>"Towel"</formula>
    </cfRule>
    <cfRule type="cellIs" dxfId="1236" priority="2109" stopIfTrue="1" operator="equal">
      <formula>"Napkin Hs"</formula>
    </cfRule>
    <cfRule type="cellIs" dxfId="1235" priority="2112" stopIfTrue="1" operator="equal">
      <formula>"Towel"</formula>
    </cfRule>
    <cfRule type="cellIs" dxfId="1234" priority="2113" stopIfTrue="1" operator="equal">
      <formula>"Napkin Hs"</formula>
    </cfRule>
    <cfRule type="cellIs" dxfId="1233" priority="2114" stopIfTrue="1" operator="equal">
      <formula>"Towel"</formula>
    </cfRule>
    <cfRule type="cellIs" dxfId="1232" priority="2115" stopIfTrue="1" operator="equal">
      <formula>"Napkin Hs"</formula>
    </cfRule>
    <cfRule type="cellIs" dxfId="1231" priority="2118" stopIfTrue="1" operator="equal">
      <formula>"Towel"</formula>
    </cfRule>
    <cfRule type="cellIs" dxfId="1230" priority="2119" stopIfTrue="1" operator="equal">
      <formula>"Napkin Hs"</formula>
    </cfRule>
    <cfRule type="cellIs" dxfId="1229" priority="2120" stopIfTrue="1" operator="equal">
      <formula>"Towel"</formula>
    </cfRule>
    <cfRule type="cellIs" dxfId="1228" priority="2121" stopIfTrue="1" operator="equal">
      <formula>"Napkin Hs"</formula>
    </cfRule>
    <cfRule type="cellIs" dxfId="1227" priority="2124" stopIfTrue="1" operator="equal">
      <formula>"Towel"</formula>
    </cfRule>
    <cfRule type="cellIs" dxfId="1226" priority="2125" stopIfTrue="1" operator="equal">
      <formula>"Napkin Hs"</formula>
    </cfRule>
    <cfRule type="cellIs" dxfId="1225" priority="2126" stopIfTrue="1" operator="equal">
      <formula>"Towel"</formula>
    </cfRule>
    <cfRule type="cellIs" dxfId="1224" priority="2127" stopIfTrue="1" operator="equal">
      <formula>"Napkin Hs"</formula>
    </cfRule>
    <cfRule type="cellIs" dxfId="1223" priority="2130" stopIfTrue="1" operator="equal">
      <formula>"Towel"</formula>
    </cfRule>
    <cfRule type="cellIs" dxfId="1222" priority="2131" stopIfTrue="1" operator="equal">
      <formula>"Napkin Hs"</formula>
    </cfRule>
  </conditionalFormatting>
  <conditionalFormatting sqref="C131">
    <cfRule type="cellIs" dxfId="1221" priority="2132" stopIfTrue="1" operator="equal">
      <formula>"Towel"</formula>
    </cfRule>
    <cfRule type="cellIs" dxfId="1220" priority="2133" stopIfTrue="1" operator="equal">
      <formula>"Napkin Hs"</formula>
    </cfRule>
  </conditionalFormatting>
  <conditionalFormatting sqref="B139:C139">
    <cfRule type="cellIs" dxfId="1219" priority="2050" stopIfTrue="1" operator="equal">
      <formula>"Towel"</formula>
    </cfRule>
    <cfRule type="cellIs" dxfId="1218" priority="2051" stopIfTrue="1" operator="equal">
      <formula>"Napkin Hs"</formula>
    </cfRule>
  </conditionalFormatting>
  <conditionalFormatting sqref="C139">
    <cfRule type="cellIs" dxfId="1217" priority="2049" stopIfTrue="1" operator="equal">
      <formula>"Napkin Hs"</formula>
    </cfRule>
  </conditionalFormatting>
  <conditionalFormatting sqref="C139">
    <cfRule type="cellIs" dxfId="1216" priority="2048" stopIfTrue="1" operator="equal">
      <formula>"Towel"</formula>
    </cfRule>
  </conditionalFormatting>
  <conditionalFormatting sqref="C139">
    <cfRule type="cellIs" dxfId="1215" priority="2046" stopIfTrue="1" operator="equal">
      <formula>"Towel"</formula>
    </cfRule>
    <cfRule type="cellIs" dxfId="1214" priority="2047" stopIfTrue="1" operator="equal">
      <formula>"Napkin Hs"</formula>
    </cfRule>
  </conditionalFormatting>
  <conditionalFormatting sqref="B138:C138">
    <cfRule type="cellIs" dxfId="1213" priority="2044" stopIfTrue="1" operator="equal">
      <formula>"Towel"</formula>
    </cfRule>
    <cfRule type="cellIs" dxfId="1212" priority="2045" stopIfTrue="1" operator="equal">
      <formula>"Napkin Hs"</formula>
    </cfRule>
  </conditionalFormatting>
  <conditionalFormatting sqref="C138">
    <cfRule type="cellIs" dxfId="1211" priority="2043" stopIfTrue="1" operator="equal">
      <formula>"Napkin Hs"</formula>
    </cfRule>
  </conditionalFormatting>
  <conditionalFormatting sqref="C138">
    <cfRule type="cellIs" dxfId="1210" priority="2042" stopIfTrue="1" operator="equal">
      <formula>"Towel"</formula>
    </cfRule>
  </conditionalFormatting>
  <conditionalFormatting sqref="C138">
    <cfRule type="cellIs" dxfId="1209" priority="2040" stopIfTrue="1" operator="equal">
      <formula>"Towel"</formula>
    </cfRule>
    <cfRule type="cellIs" dxfId="1208" priority="2041" stopIfTrue="1" operator="equal">
      <formula>"Napkin Hs"</formula>
    </cfRule>
  </conditionalFormatting>
  <conditionalFormatting sqref="B137:C137">
    <cfRule type="cellIs" dxfId="1207" priority="2037" stopIfTrue="1" operator="equal">
      <formula>"Napkin Hs"</formula>
    </cfRule>
  </conditionalFormatting>
  <conditionalFormatting sqref="B137:C137">
    <cfRule type="cellIs" dxfId="1206" priority="2019" stopIfTrue="1" operator="equal">
      <formula>"Towel"</formula>
    </cfRule>
  </conditionalFormatting>
  <conditionalFormatting sqref="C137">
    <cfRule type="cellIs" dxfId="1205" priority="2017" stopIfTrue="1" operator="equal">
      <formula>"Towel"</formula>
    </cfRule>
    <cfRule type="cellIs" dxfId="1204" priority="2018" stopIfTrue="1" operator="equal">
      <formula>"Napkin Hs"</formula>
    </cfRule>
  </conditionalFormatting>
  <conditionalFormatting sqref="C137">
    <cfRule type="cellIs" dxfId="1203" priority="2038" stopIfTrue="1" operator="equal">
      <formula>"Towel"</formula>
    </cfRule>
    <cfRule type="cellIs" dxfId="1202" priority="2039" stopIfTrue="1" operator="equal">
      <formula>"Napkin Hs"</formula>
    </cfRule>
  </conditionalFormatting>
  <conditionalFormatting sqref="B137">
    <cfRule type="cellIs" dxfId="1201" priority="1863" stopIfTrue="1" operator="equal">
      <formula>"Towel"</formula>
    </cfRule>
    <cfRule type="cellIs" dxfId="1200" priority="1864" stopIfTrue="1" operator="equal">
      <formula>"Napkin Hs"</formula>
    </cfRule>
  </conditionalFormatting>
  <conditionalFormatting sqref="B137:C137">
    <cfRule type="cellIs" dxfId="1199" priority="1923" stopIfTrue="1" operator="equal">
      <formula>"Towel"</formula>
    </cfRule>
    <cfRule type="cellIs" dxfId="1198" priority="1924" stopIfTrue="1" operator="equal">
      <formula>"Napkin Hs"</formula>
    </cfRule>
    <cfRule type="cellIs" dxfId="1197" priority="1929" stopIfTrue="1" operator="equal">
      <formula>"Towel"</formula>
    </cfRule>
    <cfRule type="cellIs" dxfId="1196" priority="1930" stopIfTrue="1" operator="equal">
      <formula>"Napkin Hs"</formula>
    </cfRule>
    <cfRule type="cellIs" dxfId="1195" priority="1935" stopIfTrue="1" operator="equal">
      <formula>"Towel"</formula>
    </cfRule>
    <cfRule type="cellIs" dxfId="1194" priority="1936" stopIfTrue="1" operator="equal">
      <formula>"Napkin Hs"</formula>
    </cfRule>
    <cfRule type="cellIs" dxfId="1193" priority="1941" stopIfTrue="1" operator="equal">
      <formula>"Towel"</formula>
    </cfRule>
    <cfRule type="cellIs" dxfId="1192" priority="1942" stopIfTrue="1" operator="equal">
      <formula>"Napkin Hs"</formula>
    </cfRule>
    <cfRule type="cellIs" dxfId="1191" priority="1947" stopIfTrue="1" operator="equal">
      <formula>"Towel"</formula>
    </cfRule>
    <cfRule type="cellIs" dxfId="1190" priority="1948" stopIfTrue="1" operator="equal">
      <formula>"Napkin Hs"</formula>
    </cfRule>
    <cfRule type="cellIs" dxfId="1189" priority="1953" stopIfTrue="1" operator="equal">
      <formula>"Towel"</formula>
    </cfRule>
    <cfRule type="cellIs" dxfId="1188" priority="1954" stopIfTrue="1" operator="equal">
      <formula>"Napkin Hs"</formula>
    </cfRule>
    <cfRule type="cellIs" dxfId="1187" priority="1959" stopIfTrue="1" operator="equal">
      <formula>"Towel"</formula>
    </cfRule>
    <cfRule type="cellIs" dxfId="1186" priority="1960" stopIfTrue="1" operator="equal">
      <formula>"Napkin Hs"</formula>
    </cfRule>
    <cfRule type="cellIs" dxfId="1185" priority="1965" stopIfTrue="1" operator="equal">
      <formula>"Towel"</formula>
    </cfRule>
    <cfRule type="cellIs" dxfId="1184" priority="1966" stopIfTrue="1" operator="equal">
      <formula>"Napkin Hs"</formula>
    </cfRule>
  </conditionalFormatting>
  <conditionalFormatting sqref="B137:C137">
    <cfRule type="cellIs" dxfId="1183" priority="1865" stopIfTrue="1" operator="equal">
      <formula>"Towel"</formula>
    </cfRule>
    <cfRule type="cellIs" dxfId="1182" priority="1866" stopIfTrue="1" operator="equal">
      <formula>"Napkin Hs"</formula>
    </cfRule>
    <cfRule type="cellIs" dxfId="1181" priority="1881" stopIfTrue="1" operator="equal">
      <formula>"Towel"</formula>
    </cfRule>
    <cfRule type="cellIs" dxfId="1180" priority="1882" stopIfTrue="1" operator="equal">
      <formula>"Napkin Hs"</formula>
    </cfRule>
    <cfRule type="cellIs" dxfId="1179" priority="1887" stopIfTrue="1" operator="equal">
      <formula>"Towel"</formula>
    </cfRule>
    <cfRule type="cellIs" dxfId="1178" priority="1888" stopIfTrue="1" operator="equal">
      <formula>"Napkin Hs"</formula>
    </cfRule>
    <cfRule type="cellIs" dxfId="1177" priority="1893" stopIfTrue="1" operator="equal">
      <formula>"Towel"</formula>
    </cfRule>
    <cfRule type="cellIs" dxfId="1176" priority="1894" stopIfTrue="1" operator="equal">
      <formula>"Napkin Hs"</formula>
    </cfRule>
    <cfRule type="cellIs" dxfId="1175" priority="1899" stopIfTrue="1" operator="equal">
      <formula>"Towel"</formula>
    </cfRule>
    <cfRule type="cellIs" dxfId="1174" priority="1900" stopIfTrue="1" operator="equal">
      <formula>"Napkin Hs"</formula>
    </cfRule>
    <cfRule type="cellIs" dxfId="1173" priority="1905" stopIfTrue="1" operator="equal">
      <formula>"Towel"</formula>
    </cfRule>
    <cfRule type="cellIs" dxfId="1172" priority="1906" stopIfTrue="1" operator="equal">
      <formula>"Napkin Hs"</formula>
    </cfRule>
    <cfRule type="cellIs" dxfId="1171" priority="1911" stopIfTrue="1" operator="equal">
      <formula>"Towel"</formula>
    </cfRule>
    <cfRule type="cellIs" dxfId="1170" priority="1912" stopIfTrue="1" operator="equal">
      <formula>"Napkin Hs"</formula>
    </cfRule>
    <cfRule type="cellIs" dxfId="1169" priority="1917" stopIfTrue="1" operator="equal">
      <formula>"Towel"</formula>
    </cfRule>
    <cfRule type="cellIs" dxfId="1168" priority="1918" stopIfTrue="1" operator="equal">
      <formula>"Napkin Hs"</formula>
    </cfRule>
  </conditionalFormatting>
  <conditionalFormatting sqref="C137">
    <cfRule type="cellIs" dxfId="1167" priority="1919" stopIfTrue="1" operator="equal">
      <formula>"Towel"</formula>
    </cfRule>
    <cfRule type="cellIs" dxfId="1166" priority="1920" stopIfTrue="1" operator="equal">
      <formula>"Napkin Hs"</formula>
    </cfRule>
    <cfRule type="cellIs" dxfId="1165" priority="1921" stopIfTrue="1" operator="equal">
      <formula>"Towel"</formula>
    </cfRule>
    <cfRule type="cellIs" dxfId="1164" priority="1922" stopIfTrue="1" operator="equal">
      <formula>"Napkin Hs"</formula>
    </cfRule>
    <cfRule type="cellIs" dxfId="1163" priority="1925" stopIfTrue="1" operator="equal">
      <formula>"Towel"</formula>
    </cfRule>
    <cfRule type="cellIs" dxfId="1162" priority="1926" stopIfTrue="1" operator="equal">
      <formula>"Napkin Hs"</formula>
    </cfRule>
    <cfRule type="cellIs" dxfId="1161" priority="1927" stopIfTrue="1" operator="equal">
      <formula>"Towel"</formula>
    </cfRule>
    <cfRule type="cellIs" dxfId="1160" priority="1928" stopIfTrue="1" operator="equal">
      <formula>"Napkin Hs"</formula>
    </cfRule>
    <cfRule type="cellIs" dxfId="1159" priority="1931" stopIfTrue="1" operator="equal">
      <formula>"Towel"</formula>
    </cfRule>
    <cfRule type="cellIs" dxfId="1158" priority="1932" stopIfTrue="1" operator="equal">
      <formula>"Napkin Hs"</formula>
    </cfRule>
    <cfRule type="cellIs" dxfId="1157" priority="1933" stopIfTrue="1" operator="equal">
      <formula>"Towel"</formula>
    </cfRule>
    <cfRule type="cellIs" dxfId="1156" priority="1934" stopIfTrue="1" operator="equal">
      <formula>"Napkin Hs"</formula>
    </cfRule>
    <cfRule type="cellIs" dxfId="1155" priority="1937" stopIfTrue="1" operator="equal">
      <formula>"Towel"</formula>
    </cfRule>
    <cfRule type="cellIs" dxfId="1154" priority="1938" stopIfTrue="1" operator="equal">
      <formula>"Napkin Hs"</formula>
    </cfRule>
    <cfRule type="cellIs" dxfId="1153" priority="1939" stopIfTrue="1" operator="equal">
      <formula>"Towel"</formula>
    </cfRule>
    <cfRule type="cellIs" dxfId="1152" priority="1940" stopIfTrue="1" operator="equal">
      <formula>"Napkin Hs"</formula>
    </cfRule>
    <cfRule type="cellIs" dxfId="1151" priority="1943" stopIfTrue="1" operator="equal">
      <formula>"Towel"</formula>
    </cfRule>
    <cfRule type="cellIs" dxfId="1150" priority="1944" stopIfTrue="1" operator="equal">
      <formula>"Napkin Hs"</formula>
    </cfRule>
    <cfRule type="cellIs" dxfId="1149" priority="1945" stopIfTrue="1" operator="equal">
      <formula>"Towel"</formula>
    </cfRule>
    <cfRule type="cellIs" dxfId="1148" priority="1946" stopIfTrue="1" operator="equal">
      <formula>"Napkin Hs"</formula>
    </cfRule>
    <cfRule type="cellIs" dxfId="1147" priority="1949" stopIfTrue="1" operator="equal">
      <formula>"Towel"</formula>
    </cfRule>
    <cfRule type="cellIs" dxfId="1146" priority="1950" stopIfTrue="1" operator="equal">
      <formula>"Napkin Hs"</formula>
    </cfRule>
    <cfRule type="cellIs" dxfId="1145" priority="1951" stopIfTrue="1" operator="equal">
      <formula>"Towel"</formula>
    </cfRule>
    <cfRule type="cellIs" dxfId="1144" priority="1952" stopIfTrue="1" operator="equal">
      <formula>"Napkin Hs"</formula>
    </cfRule>
    <cfRule type="cellIs" dxfId="1143" priority="1955" stopIfTrue="1" operator="equal">
      <formula>"Towel"</formula>
    </cfRule>
    <cfRule type="cellIs" dxfId="1142" priority="1956" stopIfTrue="1" operator="equal">
      <formula>"Napkin Hs"</formula>
    </cfRule>
    <cfRule type="cellIs" dxfId="1141" priority="1957" stopIfTrue="1" operator="equal">
      <formula>"Towel"</formula>
    </cfRule>
    <cfRule type="cellIs" dxfId="1140" priority="1958" stopIfTrue="1" operator="equal">
      <formula>"Napkin Hs"</formula>
    </cfRule>
    <cfRule type="cellIs" dxfId="1139" priority="1961" stopIfTrue="1" operator="equal">
      <formula>"Towel"</formula>
    </cfRule>
    <cfRule type="cellIs" dxfId="1138" priority="1962" stopIfTrue="1" operator="equal">
      <formula>"Napkin Hs"</formula>
    </cfRule>
  </conditionalFormatting>
  <conditionalFormatting sqref="C137">
    <cfRule type="cellIs" dxfId="1137" priority="1867" stopIfTrue="1" operator="equal">
      <formula>"Towel"</formula>
    </cfRule>
    <cfRule type="cellIs" dxfId="1136" priority="1868" stopIfTrue="1" operator="equal">
      <formula>"Napkin Hs"</formula>
    </cfRule>
    <cfRule type="cellIs" dxfId="1135" priority="1869" stopIfTrue="1" operator="equal">
      <formula>"Towel"</formula>
    </cfRule>
    <cfRule type="cellIs" dxfId="1134" priority="1870" stopIfTrue="1" operator="equal">
      <formula>"Napkin Hs"</formula>
    </cfRule>
    <cfRule type="cellIs" dxfId="1133" priority="1871" stopIfTrue="1" operator="equal">
      <formula>"Towel"</formula>
    </cfRule>
    <cfRule type="cellIs" dxfId="1132" priority="1872" stopIfTrue="1" operator="equal">
      <formula>"Napkin Hs"</formula>
    </cfRule>
    <cfRule type="cellIs" dxfId="1131" priority="1873" stopIfTrue="1" operator="equal">
      <formula>"Towel"</formula>
    </cfRule>
    <cfRule type="cellIs" dxfId="1130" priority="1874" stopIfTrue="1" operator="equal">
      <formula>"Napkin Hs"</formula>
    </cfRule>
    <cfRule type="cellIs" dxfId="1129" priority="1875" stopIfTrue="1" operator="equal">
      <formula>"Towel"</formula>
    </cfRule>
    <cfRule type="cellIs" dxfId="1128" priority="1876" stopIfTrue="1" operator="equal">
      <formula>"Napkin Hs"</formula>
    </cfRule>
    <cfRule type="cellIs" dxfId="1127" priority="1877" stopIfTrue="1" operator="equal">
      <formula>"Towel"</formula>
    </cfRule>
    <cfRule type="cellIs" dxfId="1126" priority="1878" stopIfTrue="1" operator="equal">
      <formula>"Napkin Hs"</formula>
    </cfRule>
    <cfRule type="cellIs" dxfId="1125" priority="1879" stopIfTrue="1" operator="equal">
      <formula>"Towel"</formula>
    </cfRule>
    <cfRule type="cellIs" dxfId="1124" priority="1880" stopIfTrue="1" operator="equal">
      <formula>"Napkin Hs"</formula>
    </cfRule>
    <cfRule type="cellIs" dxfId="1123" priority="1883" stopIfTrue="1" operator="equal">
      <formula>"Towel"</formula>
    </cfRule>
    <cfRule type="cellIs" dxfId="1122" priority="1884" stopIfTrue="1" operator="equal">
      <formula>"Napkin Hs"</formula>
    </cfRule>
    <cfRule type="cellIs" dxfId="1121" priority="1885" stopIfTrue="1" operator="equal">
      <formula>"Towel"</formula>
    </cfRule>
    <cfRule type="cellIs" dxfId="1120" priority="1886" stopIfTrue="1" operator="equal">
      <formula>"Napkin Hs"</formula>
    </cfRule>
    <cfRule type="cellIs" dxfId="1119" priority="1889" stopIfTrue="1" operator="equal">
      <formula>"Towel"</formula>
    </cfRule>
    <cfRule type="cellIs" dxfId="1118" priority="1890" stopIfTrue="1" operator="equal">
      <formula>"Napkin Hs"</formula>
    </cfRule>
    <cfRule type="cellIs" dxfId="1117" priority="1891" stopIfTrue="1" operator="equal">
      <formula>"Towel"</formula>
    </cfRule>
    <cfRule type="cellIs" dxfId="1116" priority="1892" stopIfTrue="1" operator="equal">
      <formula>"Napkin Hs"</formula>
    </cfRule>
    <cfRule type="cellIs" dxfId="1115" priority="1895" stopIfTrue="1" operator="equal">
      <formula>"Towel"</formula>
    </cfRule>
    <cfRule type="cellIs" dxfId="1114" priority="1896" stopIfTrue="1" operator="equal">
      <formula>"Napkin Hs"</formula>
    </cfRule>
    <cfRule type="cellIs" dxfId="1113" priority="1897" stopIfTrue="1" operator="equal">
      <formula>"Towel"</formula>
    </cfRule>
    <cfRule type="cellIs" dxfId="1112" priority="1898" stopIfTrue="1" operator="equal">
      <formula>"Napkin Hs"</formula>
    </cfRule>
    <cfRule type="cellIs" dxfId="1111" priority="1901" stopIfTrue="1" operator="equal">
      <formula>"Towel"</formula>
    </cfRule>
    <cfRule type="cellIs" dxfId="1110" priority="1902" stopIfTrue="1" operator="equal">
      <formula>"Napkin Hs"</formula>
    </cfRule>
    <cfRule type="cellIs" dxfId="1109" priority="1903" stopIfTrue="1" operator="equal">
      <formula>"Towel"</formula>
    </cfRule>
    <cfRule type="cellIs" dxfId="1108" priority="1904" stopIfTrue="1" operator="equal">
      <formula>"Napkin Hs"</formula>
    </cfRule>
    <cfRule type="cellIs" dxfId="1107" priority="1907" stopIfTrue="1" operator="equal">
      <formula>"Towel"</formula>
    </cfRule>
    <cfRule type="cellIs" dxfId="1106" priority="1908" stopIfTrue="1" operator="equal">
      <formula>"Napkin Hs"</formula>
    </cfRule>
    <cfRule type="cellIs" dxfId="1105" priority="1909" stopIfTrue="1" operator="equal">
      <formula>"Towel"</formula>
    </cfRule>
    <cfRule type="cellIs" dxfId="1104" priority="1910" stopIfTrue="1" operator="equal">
      <formula>"Napkin Hs"</formula>
    </cfRule>
    <cfRule type="cellIs" dxfId="1103" priority="1913" stopIfTrue="1" operator="equal">
      <formula>"Towel"</formula>
    </cfRule>
    <cfRule type="cellIs" dxfId="1102" priority="1914" stopIfTrue="1" operator="equal">
      <formula>"Napkin Hs"</formula>
    </cfRule>
    <cfRule type="cellIs" dxfId="1101" priority="1915" stopIfTrue="1" operator="equal">
      <formula>"Towel"</formula>
    </cfRule>
    <cfRule type="cellIs" dxfId="1100" priority="1916" stopIfTrue="1" operator="equal">
      <formula>"Napkin Hs"</formula>
    </cfRule>
    <cfRule type="cellIs" dxfId="1099" priority="1963" stopIfTrue="1" operator="equal">
      <formula>"Towel"</formula>
    </cfRule>
    <cfRule type="cellIs" dxfId="1098" priority="1964" stopIfTrue="1" operator="equal">
      <formula>"Napkin Hs"</formula>
    </cfRule>
  </conditionalFormatting>
  <conditionalFormatting sqref="B135">
    <cfRule type="cellIs" dxfId="1097" priority="1609" stopIfTrue="1" operator="equal">
      <formula>"Towel"</formula>
    </cfRule>
    <cfRule type="cellIs" dxfId="1096" priority="1610" stopIfTrue="1" operator="equal">
      <formula>"Napkin Hs"</formula>
    </cfRule>
    <cfRule type="cellIs" dxfId="1095" priority="1611" stopIfTrue="1" operator="equal">
      <formula>"Towel"</formula>
    </cfRule>
    <cfRule type="cellIs" dxfId="1094" priority="1612" stopIfTrue="1" operator="equal">
      <formula>"Napkin Hs"</formula>
    </cfRule>
    <cfRule type="cellIs" dxfId="1093" priority="1613" stopIfTrue="1" operator="equal">
      <formula>"Towel"</formula>
    </cfRule>
    <cfRule type="cellIs" dxfId="1092" priority="1614" stopIfTrue="1" operator="equal">
      <formula>"Napkin Hs"</formula>
    </cfRule>
    <cfRule type="cellIs" dxfId="1091" priority="1615" stopIfTrue="1" operator="equal">
      <formula>"Towel"</formula>
    </cfRule>
    <cfRule type="cellIs" dxfId="1090" priority="1616" stopIfTrue="1" operator="equal">
      <formula>"Napkin Hs"</formula>
    </cfRule>
    <cfRule type="cellIs" dxfId="1089" priority="1617" stopIfTrue="1" operator="equal">
      <formula>"Towel"</formula>
    </cfRule>
    <cfRule type="cellIs" dxfId="1088" priority="1618" stopIfTrue="1" operator="equal">
      <formula>"Napkin Hs"</formula>
    </cfRule>
    <cfRule type="cellIs" dxfId="1087" priority="1619" stopIfTrue="1" operator="equal">
      <formula>"Towel"</formula>
    </cfRule>
    <cfRule type="cellIs" dxfId="1086" priority="1620" stopIfTrue="1" operator="equal">
      <formula>"Napkin Hs"</formula>
    </cfRule>
    <cfRule type="cellIs" dxfId="1085" priority="1621" stopIfTrue="1" operator="equal">
      <formula>"Towel"</formula>
    </cfRule>
    <cfRule type="cellIs" dxfId="1084" priority="1622" stopIfTrue="1" operator="equal">
      <formula>"Napkin Hs"</formula>
    </cfRule>
    <cfRule type="cellIs" dxfId="1083" priority="1623" stopIfTrue="1" operator="equal">
      <formula>"Towel"</formula>
    </cfRule>
    <cfRule type="cellIs" dxfId="1082" priority="1624" stopIfTrue="1" operator="equal">
      <formula>"Napkin Hs"</formula>
    </cfRule>
  </conditionalFormatting>
  <conditionalFormatting sqref="B135:C135">
    <cfRule type="cellIs" dxfId="1081" priority="1601" stopIfTrue="1" operator="equal">
      <formula>"Towel"</formula>
    </cfRule>
    <cfRule type="cellIs" dxfId="1080" priority="1602" stopIfTrue="1" operator="equal">
      <formula>"Napkin Hs"</formula>
    </cfRule>
  </conditionalFormatting>
  <conditionalFormatting sqref="C135">
    <cfRule type="cellIs" dxfId="1079" priority="1608" stopIfTrue="1" operator="equal">
      <formula>"Napkin Hs"</formula>
    </cfRule>
  </conditionalFormatting>
  <conditionalFormatting sqref="C135">
    <cfRule type="cellIs" dxfId="1078" priority="1607" stopIfTrue="1" operator="equal">
      <formula>"Towel"</formula>
    </cfRule>
  </conditionalFormatting>
  <conditionalFormatting sqref="C135">
    <cfRule type="cellIs" dxfId="1077" priority="1559" stopIfTrue="1" operator="equal">
      <formula>"Towel"</formula>
    </cfRule>
    <cfRule type="cellIs" dxfId="1076" priority="1560" stopIfTrue="1" operator="equal">
      <formula>"Napkin Hs"</formula>
    </cfRule>
    <cfRule type="cellIs" dxfId="1075" priority="1565" stopIfTrue="1" operator="equal">
      <formula>"Towel"</formula>
    </cfRule>
    <cfRule type="cellIs" dxfId="1074" priority="1566" stopIfTrue="1" operator="equal">
      <formula>"Napkin Hs"</formula>
    </cfRule>
    <cfRule type="cellIs" dxfId="1073" priority="1571" stopIfTrue="1" operator="equal">
      <formula>"Towel"</formula>
    </cfRule>
    <cfRule type="cellIs" dxfId="1072" priority="1572" stopIfTrue="1" operator="equal">
      <formula>"Napkin Hs"</formula>
    </cfRule>
    <cfRule type="cellIs" dxfId="1071" priority="1577" stopIfTrue="1" operator="equal">
      <formula>"Towel"</formula>
    </cfRule>
    <cfRule type="cellIs" dxfId="1070" priority="1578" stopIfTrue="1" operator="equal">
      <formula>"Napkin Hs"</formula>
    </cfRule>
    <cfRule type="cellIs" dxfId="1069" priority="1583" stopIfTrue="1" operator="equal">
      <formula>"Towel"</formula>
    </cfRule>
    <cfRule type="cellIs" dxfId="1068" priority="1584" stopIfTrue="1" operator="equal">
      <formula>"Napkin Hs"</formula>
    </cfRule>
    <cfRule type="cellIs" dxfId="1067" priority="1589" stopIfTrue="1" operator="equal">
      <formula>"Towel"</formula>
    </cfRule>
    <cfRule type="cellIs" dxfId="1066" priority="1590" stopIfTrue="1" operator="equal">
      <formula>"Napkin Hs"</formula>
    </cfRule>
    <cfRule type="cellIs" dxfId="1065" priority="1595" stopIfTrue="1" operator="equal">
      <formula>"Towel"</formula>
    </cfRule>
    <cfRule type="cellIs" dxfId="1064" priority="1596" stopIfTrue="1" operator="equal">
      <formula>"Napkin Hs"</formula>
    </cfRule>
  </conditionalFormatting>
  <conditionalFormatting sqref="C135">
    <cfRule type="cellIs" dxfId="1063" priority="1555" stopIfTrue="1" operator="equal">
      <formula>"Towel"</formula>
    </cfRule>
    <cfRule type="cellIs" dxfId="1062" priority="1556" stopIfTrue="1" operator="equal">
      <formula>"Napkin Hs"</formula>
    </cfRule>
    <cfRule type="cellIs" dxfId="1061" priority="1557" stopIfTrue="1" operator="equal">
      <formula>"Towel"</formula>
    </cfRule>
    <cfRule type="cellIs" dxfId="1060" priority="1558" stopIfTrue="1" operator="equal">
      <formula>"Napkin Hs"</formula>
    </cfRule>
    <cfRule type="cellIs" dxfId="1059" priority="1561" stopIfTrue="1" operator="equal">
      <formula>"Towel"</formula>
    </cfRule>
    <cfRule type="cellIs" dxfId="1058" priority="1562" stopIfTrue="1" operator="equal">
      <formula>"Napkin Hs"</formula>
    </cfRule>
    <cfRule type="cellIs" dxfId="1057" priority="1563" stopIfTrue="1" operator="equal">
      <formula>"Towel"</formula>
    </cfRule>
    <cfRule type="cellIs" dxfId="1056" priority="1564" stopIfTrue="1" operator="equal">
      <formula>"Napkin Hs"</formula>
    </cfRule>
    <cfRule type="cellIs" dxfId="1055" priority="1567" stopIfTrue="1" operator="equal">
      <formula>"Towel"</formula>
    </cfRule>
    <cfRule type="cellIs" dxfId="1054" priority="1568" stopIfTrue="1" operator="equal">
      <formula>"Napkin Hs"</formula>
    </cfRule>
    <cfRule type="cellIs" dxfId="1053" priority="1569" stopIfTrue="1" operator="equal">
      <formula>"Towel"</formula>
    </cfRule>
    <cfRule type="cellIs" dxfId="1052" priority="1570" stopIfTrue="1" operator="equal">
      <formula>"Napkin Hs"</formula>
    </cfRule>
    <cfRule type="cellIs" dxfId="1051" priority="1573" stopIfTrue="1" operator="equal">
      <formula>"Towel"</formula>
    </cfRule>
    <cfRule type="cellIs" dxfId="1050" priority="1574" stopIfTrue="1" operator="equal">
      <formula>"Napkin Hs"</formula>
    </cfRule>
    <cfRule type="cellIs" dxfId="1049" priority="1575" stopIfTrue="1" operator="equal">
      <formula>"Towel"</formula>
    </cfRule>
    <cfRule type="cellIs" dxfId="1048" priority="1576" stopIfTrue="1" operator="equal">
      <formula>"Napkin Hs"</formula>
    </cfRule>
    <cfRule type="cellIs" dxfId="1047" priority="1579" stopIfTrue="1" operator="equal">
      <formula>"Towel"</formula>
    </cfRule>
    <cfRule type="cellIs" dxfId="1046" priority="1580" stopIfTrue="1" operator="equal">
      <formula>"Napkin Hs"</formula>
    </cfRule>
    <cfRule type="cellIs" dxfId="1045" priority="1581" stopIfTrue="1" operator="equal">
      <formula>"Towel"</formula>
    </cfRule>
    <cfRule type="cellIs" dxfId="1044" priority="1582" stopIfTrue="1" operator="equal">
      <formula>"Napkin Hs"</formula>
    </cfRule>
    <cfRule type="cellIs" dxfId="1043" priority="1585" stopIfTrue="1" operator="equal">
      <formula>"Towel"</formula>
    </cfRule>
    <cfRule type="cellIs" dxfId="1042" priority="1586" stopIfTrue="1" operator="equal">
      <formula>"Napkin Hs"</formula>
    </cfRule>
    <cfRule type="cellIs" dxfId="1041" priority="1587" stopIfTrue="1" operator="equal">
      <formula>"Towel"</formula>
    </cfRule>
    <cfRule type="cellIs" dxfId="1040" priority="1588" stopIfTrue="1" operator="equal">
      <formula>"Napkin Hs"</formula>
    </cfRule>
    <cfRule type="cellIs" dxfId="1039" priority="1591" stopIfTrue="1" operator="equal">
      <formula>"Towel"</formula>
    </cfRule>
    <cfRule type="cellIs" dxfId="1038" priority="1592" stopIfTrue="1" operator="equal">
      <formula>"Napkin Hs"</formula>
    </cfRule>
    <cfRule type="cellIs" dxfId="1037" priority="1593" stopIfTrue="1" operator="equal">
      <formula>"Towel"</formula>
    </cfRule>
    <cfRule type="cellIs" dxfId="1036" priority="1594" stopIfTrue="1" operator="equal">
      <formula>"Napkin Hs"</formula>
    </cfRule>
    <cfRule type="cellIs" dxfId="1035" priority="1597" stopIfTrue="1" operator="equal">
      <formula>"Towel"</formula>
    </cfRule>
    <cfRule type="cellIs" dxfId="1034" priority="1598" stopIfTrue="1" operator="equal">
      <formula>"Napkin Hs"</formula>
    </cfRule>
    <cfRule type="cellIs" dxfId="1033" priority="1599" stopIfTrue="1" operator="equal">
      <formula>"Towel"</formula>
    </cfRule>
    <cfRule type="cellIs" dxfId="1032" priority="1600" stopIfTrue="1" operator="equal">
      <formula>"Napkin Hs"</formula>
    </cfRule>
    <cfRule type="cellIs" dxfId="1031" priority="1603" stopIfTrue="1" operator="equal">
      <formula>"Towel"</formula>
    </cfRule>
    <cfRule type="cellIs" dxfId="1030" priority="1604" stopIfTrue="1" operator="equal">
      <formula>"Napkin Hs"</formula>
    </cfRule>
  </conditionalFormatting>
  <conditionalFormatting sqref="C135">
    <cfRule type="cellIs" dxfId="1029" priority="1605" stopIfTrue="1" operator="equal">
      <formula>"Towel"</formula>
    </cfRule>
    <cfRule type="cellIs" dxfId="1028" priority="1606" stopIfTrue="1" operator="equal">
      <formula>"Napkin Hs"</formula>
    </cfRule>
  </conditionalFormatting>
  <conditionalFormatting sqref="B135:C135">
    <cfRule type="cellIs" dxfId="1027" priority="1475" stopIfTrue="1" operator="equal">
      <formula>"Towel"</formula>
    </cfRule>
    <cfRule type="cellIs" dxfId="1026" priority="1476" stopIfTrue="1" operator="equal">
      <formula>"Napkin Hs"</formula>
    </cfRule>
    <cfRule type="cellIs" dxfId="1025" priority="1481" stopIfTrue="1" operator="equal">
      <formula>"Towel"</formula>
    </cfRule>
    <cfRule type="cellIs" dxfId="1024" priority="1482" stopIfTrue="1" operator="equal">
      <formula>"Napkin Hs"</formula>
    </cfRule>
    <cfRule type="cellIs" dxfId="1023" priority="1487" stopIfTrue="1" operator="equal">
      <formula>"Towel"</formula>
    </cfRule>
    <cfRule type="cellIs" dxfId="1022" priority="1488" stopIfTrue="1" operator="equal">
      <formula>"Napkin Hs"</formula>
    </cfRule>
    <cfRule type="cellIs" dxfId="1021" priority="1493" stopIfTrue="1" operator="equal">
      <formula>"Towel"</formula>
    </cfRule>
    <cfRule type="cellIs" dxfId="1020" priority="1494" stopIfTrue="1" operator="equal">
      <formula>"Napkin Hs"</formula>
    </cfRule>
    <cfRule type="cellIs" dxfId="1019" priority="1499" stopIfTrue="1" operator="equal">
      <formula>"Towel"</formula>
    </cfRule>
    <cfRule type="cellIs" dxfId="1018" priority="1500" stopIfTrue="1" operator="equal">
      <formula>"Napkin Hs"</formula>
    </cfRule>
    <cfRule type="cellIs" dxfId="1017" priority="1505" stopIfTrue="1" operator="equal">
      <formula>"Towel"</formula>
    </cfRule>
    <cfRule type="cellIs" dxfId="1016" priority="1506" stopIfTrue="1" operator="equal">
      <formula>"Napkin Hs"</formula>
    </cfRule>
    <cfRule type="cellIs" dxfId="1015" priority="1509" stopIfTrue="1" operator="equal">
      <formula>"Towel"</formula>
    </cfRule>
    <cfRule type="cellIs" dxfId="1014" priority="1510" stopIfTrue="1" operator="equal">
      <formula>"Napkin Hs"</formula>
    </cfRule>
    <cfRule type="cellIs" dxfId="1013" priority="1517" stopIfTrue="1" operator="equal">
      <formula>"Towel"</formula>
    </cfRule>
    <cfRule type="cellIs" dxfId="1012" priority="1518" stopIfTrue="1" operator="equal">
      <formula>"Napkin Hs"</formula>
    </cfRule>
    <cfRule type="cellIs" dxfId="1011" priority="1523" stopIfTrue="1" operator="equal">
      <formula>"Towel"</formula>
    </cfRule>
    <cfRule type="cellIs" dxfId="1010" priority="1524" stopIfTrue="1" operator="equal">
      <formula>"Napkin Hs"</formula>
    </cfRule>
    <cfRule type="cellIs" dxfId="1009" priority="1529" stopIfTrue="1" operator="equal">
      <formula>"Towel"</formula>
    </cfRule>
    <cfRule type="cellIs" dxfId="1008" priority="1530" stopIfTrue="1" operator="equal">
      <formula>"Napkin Hs"</formula>
    </cfRule>
    <cfRule type="cellIs" dxfId="1007" priority="1535" stopIfTrue="1" operator="equal">
      <formula>"Towel"</formula>
    </cfRule>
    <cfRule type="cellIs" dxfId="1006" priority="1536" stopIfTrue="1" operator="equal">
      <formula>"Napkin Hs"</formula>
    </cfRule>
    <cfRule type="cellIs" dxfId="1005" priority="1541" stopIfTrue="1" operator="equal">
      <formula>"Towel"</formula>
    </cfRule>
    <cfRule type="cellIs" dxfId="1004" priority="1542" stopIfTrue="1" operator="equal">
      <formula>"Napkin Hs"</formula>
    </cfRule>
    <cfRule type="cellIs" dxfId="1003" priority="1547" stopIfTrue="1" operator="equal">
      <formula>"Towel"</formula>
    </cfRule>
    <cfRule type="cellIs" dxfId="1002" priority="1548" stopIfTrue="1" operator="equal">
      <formula>"Napkin Hs"</formula>
    </cfRule>
    <cfRule type="cellIs" dxfId="1001" priority="1553" stopIfTrue="1" operator="equal">
      <formula>"Towel"</formula>
    </cfRule>
    <cfRule type="cellIs" dxfId="1000" priority="1554" stopIfTrue="1" operator="equal">
      <formula>"Napkin Hs"</formula>
    </cfRule>
  </conditionalFormatting>
  <conditionalFormatting sqref="C135">
    <cfRule type="cellIs" dxfId="999" priority="1471" stopIfTrue="1" operator="equal">
      <formula>"Towel"</formula>
    </cfRule>
    <cfRule type="cellIs" dxfId="998" priority="1472" stopIfTrue="1" operator="equal">
      <formula>"Napkin Hs"</formula>
    </cfRule>
    <cfRule type="cellIs" dxfId="997" priority="1473" stopIfTrue="1" operator="equal">
      <formula>"Towel"</formula>
    </cfRule>
    <cfRule type="cellIs" dxfId="996" priority="1474" stopIfTrue="1" operator="equal">
      <formula>"Napkin Hs"</formula>
    </cfRule>
    <cfRule type="cellIs" dxfId="995" priority="1477" stopIfTrue="1" operator="equal">
      <formula>"Towel"</formula>
    </cfRule>
    <cfRule type="cellIs" dxfId="994" priority="1478" stopIfTrue="1" operator="equal">
      <formula>"Napkin Hs"</formula>
    </cfRule>
    <cfRule type="cellIs" dxfId="993" priority="1479" stopIfTrue="1" operator="equal">
      <formula>"Towel"</formula>
    </cfRule>
    <cfRule type="cellIs" dxfId="992" priority="1480" stopIfTrue="1" operator="equal">
      <formula>"Napkin Hs"</formula>
    </cfRule>
    <cfRule type="cellIs" dxfId="991" priority="1483" stopIfTrue="1" operator="equal">
      <formula>"Towel"</formula>
    </cfRule>
    <cfRule type="cellIs" dxfId="990" priority="1484" stopIfTrue="1" operator="equal">
      <formula>"Napkin Hs"</formula>
    </cfRule>
    <cfRule type="cellIs" dxfId="989" priority="1485" stopIfTrue="1" operator="equal">
      <formula>"Towel"</formula>
    </cfRule>
    <cfRule type="cellIs" dxfId="988" priority="1486" stopIfTrue="1" operator="equal">
      <formula>"Napkin Hs"</formula>
    </cfRule>
    <cfRule type="cellIs" dxfId="987" priority="1489" stopIfTrue="1" operator="equal">
      <formula>"Towel"</formula>
    </cfRule>
    <cfRule type="cellIs" dxfId="986" priority="1490" stopIfTrue="1" operator="equal">
      <formula>"Napkin Hs"</formula>
    </cfRule>
    <cfRule type="cellIs" dxfId="985" priority="1491" stopIfTrue="1" operator="equal">
      <formula>"Towel"</formula>
    </cfRule>
    <cfRule type="cellIs" dxfId="984" priority="1492" stopIfTrue="1" operator="equal">
      <formula>"Napkin Hs"</formula>
    </cfRule>
    <cfRule type="cellIs" dxfId="983" priority="1495" stopIfTrue="1" operator="equal">
      <formula>"Towel"</formula>
    </cfRule>
    <cfRule type="cellIs" dxfId="982" priority="1496" stopIfTrue="1" operator="equal">
      <formula>"Napkin Hs"</formula>
    </cfRule>
    <cfRule type="cellIs" dxfId="981" priority="1497" stopIfTrue="1" operator="equal">
      <formula>"Towel"</formula>
    </cfRule>
    <cfRule type="cellIs" dxfId="980" priority="1498" stopIfTrue="1" operator="equal">
      <formula>"Napkin Hs"</formula>
    </cfRule>
    <cfRule type="cellIs" dxfId="979" priority="1501" stopIfTrue="1" operator="equal">
      <formula>"Towel"</formula>
    </cfRule>
    <cfRule type="cellIs" dxfId="978" priority="1502" stopIfTrue="1" operator="equal">
      <formula>"Napkin Hs"</formula>
    </cfRule>
    <cfRule type="cellIs" dxfId="977" priority="1503" stopIfTrue="1" operator="equal">
      <formula>"Towel"</formula>
    </cfRule>
    <cfRule type="cellIs" dxfId="976" priority="1504" stopIfTrue="1" operator="equal">
      <formula>"Napkin Hs"</formula>
    </cfRule>
    <cfRule type="cellIs" dxfId="975" priority="1507" stopIfTrue="1" operator="equal">
      <formula>"Towel"</formula>
    </cfRule>
    <cfRule type="cellIs" dxfId="974" priority="1508" stopIfTrue="1" operator="equal">
      <formula>"Napkin Hs"</formula>
    </cfRule>
    <cfRule type="cellIs" dxfId="973" priority="1511" stopIfTrue="1" operator="equal">
      <formula>"Towel"</formula>
    </cfRule>
    <cfRule type="cellIs" dxfId="972" priority="1512" stopIfTrue="1" operator="equal">
      <formula>"Napkin Hs"</formula>
    </cfRule>
    <cfRule type="cellIs" dxfId="971" priority="1513" stopIfTrue="1" operator="equal">
      <formula>"Towel"</formula>
    </cfRule>
    <cfRule type="cellIs" dxfId="970" priority="1514" stopIfTrue="1" operator="equal">
      <formula>"Napkin Hs"</formula>
    </cfRule>
    <cfRule type="cellIs" dxfId="969" priority="1515" stopIfTrue="1" operator="equal">
      <formula>"Towel"</formula>
    </cfRule>
    <cfRule type="cellIs" dxfId="968" priority="1516" stopIfTrue="1" operator="equal">
      <formula>"Napkin Hs"</formula>
    </cfRule>
    <cfRule type="cellIs" dxfId="967" priority="1519" stopIfTrue="1" operator="equal">
      <formula>"Towel"</formula>
    </cfRule>
    <cfRule type="cellIs" dxfId="966" priority="1520" stopIfTrue="1" operator="equal">
      <formula>"Napkin Hs"</formula>
    </cfRule>
    <cfRule type="cellIs" dxfId="965" priority="1521" stopIfTrue="1" operator="equal">
      <formula>"Towel"</formula>
    </cfRule>
    <cfRule type="cellIs" dxfId="964" priority="1522" stopIfTrue="1" operator="equal">
      <formula>"Napkin Hs"</formula>
    </cfRule>
    <cfRule type="cellIs" dxfId="963" priority="1525" stopIfTrue="1" operator="equal">
      <formula>"Towel"</formula>
    </cfRule>
    <cfRule type="cellIs" dxfId="962" priority="1526" stopIfTrue="1" operator="equal">
      <formula>"Napkin Hs"</formula>
    </cfRule>
    <cfRule type="cellIs" dxfId="961" priority="1527" stopIfTrue="1" operator="equal">
      <formula>"Towel"</formula>
    </cfRule>
    <cfRule type="cellIs" dxfId="960" priority="1528" stopIfTrue="1" operator="equal">
      <formula>"Napkin Hs"</formula>
    </cfRule>
    <cfRule type="cellIs" dxfId="959" priority="1531" stopIfTrue="1" operator="equal">
      <formula>"Towel"</formula>
    </cfRule>
    <cfRule type="cellIs" dxfId="958" priority="1532" stopIfTrue="1" operator="equal">
      <formula>"Napkin Hs"</formula>
    </cfRule>
    <cfRule type="cellIs" dxfId="957" priority="1533" stopIfTrue="1" operator="equal">
      <formula>"Towel"</formula>
    </cfRule>
    <cfRule type="cellIs" dxfId="956" priority="1534" stopIfTrue="1" operator="equal">
      <formula>"Napkin Hs"</formula>
    </cfRule>
    <cfRule type="cellIs" dxfId="955" priority="1537" stopIfTrue="1" operator="equal">
      <formula>"Towel"</formula>
    </cfRule>
    <cfRule type="cellIs" dxfId="954" priority="1538" stopIfTrue="1" operator="equal">
      <formula>"Napkin Hs"</formula>
    </cfRule>
    <cfRule type="cellIs" dxfId="953" priority="1539" stopIfTrue="1" operator="equal">
      <formula>"Towel"</formula>
    </cfRule>
    <cfRule type="cellIs" dxfId="952" priority="1540" stopIfTrue="1" operator="equal">
      <formula>"Napkin Hs"</formula>
    </cfRule>
    <cfRule type="cellIs" dxfId="951" priority="1543" stopIfTrue="1" operator="equal">
      <formula>"Towel"</formula>
    </cfRule>
    <cfRule type="cellIs" dxfId="950" priority="1544" stopIfTrue="1" operator="equal">
      <formula>"Napkin Hs"</formula>
    </cfRule>
    <cfRule type="cellIs" dxfId="949" priority="1545" stopIfTrue="1" operator="equal">
      <formula>"Towel"</formula>
    </cfRule>
    <cfRule type="cellIs" dxfId="948" priority="1546" stopIfTrue="1" operator="equal">
      <formula>"Napkin Hs"</formula>
    </cfRule>
    <cfRule type="cellIs" dxfId="947" priority="1549" stopIfTrue="1" operator="equal">
      <formula>"Towel"</formula>
    </cfRule>
    <cfRule type="cellIs" dxfId="946" priority="1550" stopIfTrue="1" operator="equal">
      <formula>"Napkin Hs"</formula>
    </cfRule>
  </conditionalFormatting>
  <conditionalFormatting sqref="C135">
    <cfRule type="cellIs" dxfId="945" priority="1551" stopIfTrue="1" operator="equal">
      <formula>"Towel"</formula>
    </cfRule>
    <cfRule type="cellIs" dxfId="944" priority="1552" stopIfTrue="1" operator="equal">
      <formula>"Napkin Hs"</formula>
    </cfRule>
  </conditionalFormatting>
  <conditionalFormatting sqref="B136:C136">
    <cfRule type="cellIs" dxfId="943" priority="1393" stopIfTrue="1" operator="equal">
      <formula>"Towel"</formula>
    </cfRule>
    <cfRule type="cellIs" dxfId="942" priority="1394" stopIfTrue="1" operator="equal">
      <formula>"Napkin Hs"</formula>
    </cfRule>
    <cfRule type="cellIs" dxfId="941" priority="1399" stopIfTrue="1" operator="equal">
      <formula>"Towel"</formula>
    </cfRule>
    <cfRule type="cellIs" dxfId="940" priority="1400" stopIfTrue="1" operator="equal">
      <formula>"Napkin Hs"</formula>
    </cfRule>
    <cfRule type="cellIs" dxfId="939" priority="1405" stopIfTrue="1" operator="equal">
      <formula>"Towel"</formula>
    </cfRule>
    <cfRule type="cellIs" dxfId="938" priority="1406" stopIfTrue="1" operator="equal">
      <formula>"Napkin Hs"</formula>
    </cfRule>
    <cfRule type="cellIs" dxfId="937" priority="1411" stopIfTrue="1" operator="equal">
      <formula>"Towel"</formula>
    </cfRule>
    <cfRule type="cellIs" dxfId="936" priority="1412" stopIfTrue="1" operator="equal">
      <formula>"Napkin Hs"</formula>
    </cfRule>
    <cfRule type="cellIs" dxfId="935" priority="1417" stopIfTrue="1" operator="equal">
      <formula>"Towel"</formula>
    </cfRule>
    <cfRule type="cellIs" dxfId="934" priority="1418" stopIfTrue="1" operator="equal">
      <formula>"Napkin Hs"</formula>
    </cfRule>
    <cfRule type="cellIs" dxfId="933" priority="1423" stopIfTrue="1" operator="equal">
      <formula>"Towel"</formula>
    </cfRule>
    <cfRule type="cellIs" dxfId="932" priority="1424" stopIfTrue="1" operator="equal">
      <formula>"Napkin Hs"</formula>
    </cfRule>
    <cfRule type="cellIs" dxfId="931" priority="1427" stopIfTrue="1" operator="equal">
      <formula>"Towel"</formula>
    </cfRule>
    <cfRule type="cellIs" dxfId="930" priority="1428" stopIfTrue="1" operator="equal">
      <formula>"Napkin Hs"</formula>
    </cfRule>
    <cfRule type="cellIs" dxfId="929" priority="1433" stopIfTrue="1" operator="equal">
      <formula>"Towel"</formula>
    </cfRule>
    <cfRule type="cellIs" dxfId="928" priority="1434" stopIfTrue="1" operator="equal">
      <formula>"Napkin Hs"</formula>
    </cfRule>
    <cfRule type="cellIs" dxfId="927" priority="1439" stopIfTrue="1" operator="equal">
      <formula>"Towel"</formula>
    </cfRule>
    <cfRule type="cellIs" dxfId="926" priority="1440" stopIfTrue="1" operator="equal">
      <formula>"Napkin Hs"</formula>
    </cfRule>
    <cfRule type="cellIs" dxfId="925" priority="1445" stopIfTrue="1" operator="equal">
      <formula>"Towel"</formula>
    </cfRule>
    <cfRule type="cellIs" dxfId="924" priority="1446" stopIfTrue="1" operator="equal">
      <formula>"Napkin Hs"</formula>
    </cfRule>
    <cfRule type="cellIs" dxfId="923" priority="1451" stopIfTrue="1" operator="equal">
      <formula>"Towel"</formula>
    </cfRule>
    <cfRule type="cellIs" dxfId="922" priority="1452" stopIfTrue="1" operator="equal">
      <formula>"Napkin Hs"</formula>
    </cfRule>
    <cfRule type="cellIs" dxfId="921" priority="1457" stopIfTrue="1" operator="equal">
      <formula>"Towel"</formula>
    </cfRule>
    <cfRule type="cellIs" dxfId="920" priority="1458" stopIfTrue="1" operator="equal">
      <formula>"Napkin Hs"</formula>
    </cfRule>
    <cfRule type="cellIs" dxfId="919" priority="1463" stopIfTrue="1" operator="equal">
      <formula>"Towel"</formula>
    </cfRule>
    <cfRule type="cellIs" dxfId="918" priority="1464" stopIfTrue="1" operator="equal">
      <formula>"Napkin Hs"</formula>
    </cfRule>
    <cfRule type="cellIs" dxfId="917" priority="1468" stopIfTrue="1" operator="equal">
      <formula>"Napkin Hs"</formula>
    </cfRule>
  </conditionalFormatting>
  <conditionalFormatting sqref="B136:C136">
    <cfRule type="cellIs" dxfId="916" priority="1467" stopIfTrue="1" operator="equal">
      <formula>"Towel"</formula>
    </cfRule>
  </conditionalFormatting>
  <conditionalFormatting sqref="C136">
    <cfRule type="cellIs" dxfId="915" priority="1389" stopIfTrue="1" operator="equal">
      <formula>"Towel"</formula>
    </cfRule>
    <cfRule type="cellIs" dxfId="914" priority="1390" stopIfTrue="1" operator="equal">
      <formula>"Napkin Hs"</formula>
    </cfRule>
  </conditionalFormatting>
  <conditionalFormatting sqref="C136">
    <cfRule type="cellIs" dxfId="913" priority="1429" stopIfTrue="1" operator="equal">
      <formula>"Towel"</formula>
    </cfRule>
    <cfRule type="cellIs" dxfId="912" priority="1430" stopIfTrue="1" operator="equal">
      <formula>"Napkin Hs"</formula>
    </cfRule>
    <cfRule type="cellIs" dxfId="911" priority="1469" stopIfTrue="1" operator="equal">
      <formula>"Towel"</formula>
    </cfRule>
    <cfRule type="cellIs" dxfId="910" priority="1470" stopIfTrue="1" operator="equal">
      <formula>"Napkin Hs"</formula>
    </cfRule>
  </conditionalFormatting>
  <conditionalFormatting sqref="C136">
    <cfRule type="cellIs" dxfId="909" priority="1391" stopIfTrue="1" operator="equal">
      <formula>"Towel"</formula>
    </cfRule>
    <cfRule type="cellIs" dxfId="908" priority="1392" stopIfTrue="1" operator="equal">
      <formula>"Napkin Hs"</formula>
    </cfRule>
    <cfRule type="cellIs" dxfId="907" priority="1395" stopIfTrue="1" operator="equal">
      <formula>"Towel"</formula>
    </cfRule>
    <cfRule type="cellIs" dxfId="906" priority="1396" stopIfTrue="1" operator="equal">
      <formula>"Napkin Hs"</formula>
    </cfRule>
    <cfRule type="cellIs" dxfId="905" priority="1397" stopIfTrue="1" operator="equal">
      <formula>"Towel"</formula>
    </cfRule>
    <cfRule type="cellIs" dxfId="904" priority="1398" stopIfTrue="1" operator="equal">
      <formula>"Napkin Hs"</formula>
    </cfRule>
    <cfRule type="cellIs" dxfId="903" priority="1401" stopIfTrue="1" operator="equal">
      <formula>"Towel"</formula>
    </cfRule>
    <cfRule type="cellIs" dxfId="902" priority="1402" stopIfTrue="1" operator="equal">
      <formula>"Napkin Hs"</formula>
    </cfRule>
    <cfRule type="cellIs" dxfId="901" priority="1403" stopIfTrue="1" operator="equal">
      <formula>"Towel"</formula>
    </cfRule>
    <cfRule type="cellIs" dxfId="900" priority="1404" stopIfTrue="1" operator="equal">
      <formula>"Napkin Hs"</formula>
    </cfRule>
    <cfRule type="cellIs" dxfId="899" priority="1407" stopIfTrue="1" operator="equal">
      <formula>"Towel"</formula>
    </cfRule>
    <cfRule type="cellIs" dxfId="898" priority="1408" stopIfTrue="1" operator="equal">
      <formula>"Napkin Hs"</formula>
    </cfRule>
    <cfRule type="cellIs" dxfId="897" priority="1409" stopIfTrue="1" operator="equal">
      <formula>"Towel"</formula>
    </cfRule>
    <cfRule type="cellIs" dxfId="896" priority="1410" stopIfTrue="1" operator="equal">
      <formula>"Napkin Hs"</formula>
    </cfRule>
    <cfRule type="cellIs" dxfId="895" priority="1413" stopIfTrue="1" operator="equal">
      <formula>"Towel"</formula>
    </cfRule>
    <cfRule type="cellIs" dxfId="894" priority="1414" stopIfTrue="1" operator="equal">
      <formula>"Napkin Hs"</formula>
    </cfRule>
    <cfRule type="cellIs" dxfId="893" priority="1415" stopIfTrue="1" operator="equal">
      <formula>"Towel"</formula>
    </cfRule>
    <cfRule type="cellIs" dxfId="892" priority="1416" stopIfTrue="1" operator="equal">
      <formula>"Napkin Hs"</formula>
    </cfRule>
    <cfRule type="cellIs" dxfId="891" priority="1419" stopIfTrue="1" operator="equal">
      <formula>"Towel"</formula>
    </cfRule>
    <cfRule type="cellIs" dxfId="890" priority="1420" stopIfTrue="1" operator="equal">
      <formula>"Napkin Hs"</formula>
    </cfRule>
    <cfRule type="cellIs" dxfId="889" priority="1421" stopIfTrue="1" operator="equal">
      <formula>"Towel"</formula>
    </cfRule>
    <cfRule type="cellIs" dxfId="888" priority="1422" stopIfTrue="1" operator="equal">
      <formula>"Napkin Hs"</formula>
    </cfRule>
    <cfRule type="cellIs" dxfId="887" priority="1425" stopIfTrue="1" operator="equal">
      <formula>"Towel"</formula>
    </cfRule>
    <cfRule type="cellIs" dxfId="886" priority="1426" stopIfTrue="1" operator="equal">
      <formula>"Napkin Hs"</formula>
    </cfRule>
    <cfRule type="cellIs" dxfId="885" priority="1431" stopIfTrue="1" operator="equal">
      <formula>"Towel"</formula>
    </cfRule>
    <cfRule type="cellIs" dxfId="884" priority="1432" stopIfTrue="1" operator="equal">
      <formula>"Napkin Hs"</formula>
    </cfRule>
    <cfRule type="cellIs" dxfId="883" priority="1435" stopIfTrue="1" operator="equal">
      <formula>"Towel"</formula>
    </cfRule>
    <cfRule type="cellIs" dxfId="882" priority="1436" stopIfTrue="1" operator="equal">
      <formula>"Napkin Hs"</formula>
    </cfRule>
    <cfRule type="cellIs" dxfId="881" priority="1437" stopIfTrue="1" operator="equal">
      <formula>"Towel"</formula>
    </cfRule>
    <cfRule type="cellIs" dxfId="880" priority="1438" stopIfTrue="1" operator="equal">
      <formula>"Napkin Hs"</formula>
    </cfRule>
    <cfRule type="cellIs" dxfId="879" priority="1441" stopIfTrue="1" operator="equal">
      <formula>"Towel"</formula>
    </cfRule>
    <cfRule type="cellIs" dxfId="878" priority="1442" stopIfTrue="1" operator="equal">
      <formula>"Napkin Hs"</formula>
    </cfRule>
    <cfRule type="cellIs" dxfId="877" priority="1443" stopIfTrue="1" operator="equal">
      <formula>"Towel"</formula>
    </cfRule>
    <cfRule type="cellIs" dxfId="876" priority="1444" stopIfTrue="1" operator="equal">
      <formula>"Napkin Hs"</formula>
    </cfRule>
    <cfRule type="cellIs" dxfId="875" priority="1447" stopIfTrue="1" operator="equal">
      <formula>"Towel"</formula>
    </cfRule>
    <cfRule type="cellIs" dxfId="874" priority="1448" stopIfTrue="1" operator="equal">
      <formula>"Napkin Hs"</formula>
    </cfRule>
    <cfRule type="cellIs" dxfId="873" priority="1449" stopIfTrue="1" operator="equal">
      <formula>"Towel"</formula>
    </cfRule>
    <cfRule type="cellIs" dxfId="872" priority="1450" stopIfTrue="1" operator="equal">
      <formula>"Napkin Hs"</formula>
    </cfRule>
    <cfRule type="cellIs" dxfId="871" priority="1453" stopIfTrue="1" operator="equal">
      <formula>"Towel"</formula>
    </cfRule>
    <cfRule type="cellIs" dxfId="870" priority="1454" stopIfTrue="1" operator="equal">
      <formula>"Napkin Hs"</formula>
    </cfRule>
    <cfRule type="cellIs" dxfId="869" priority="1455" stopIfTrue="1" operator="equal">
      <formula>"Towel"</formula>
    </cfRule>
    <cfRule type="cellIs" dxfId="868" priority="1456" stopIfTrue="1" operator="equal">
      <formula>"Napkin Hs"</formula>
    </cfRule>
    <cfRule type="cellIs" dxfId="867" priority="1459" stopIfTrue="1" operator="equal">
      <formula>"Towel"</formula>
    </cfRule>
    <cfRule type="cellIs" dxfId="866" priority="1460" stopIfTrue="1" operator="equal">
      <formula>"Napkin Hs"</formula>
    </cfRule>
    <cfRule type="cellIs" dxfId="865" priority="1461" stopIfTrue="1" operator="equal">
      <formula>"Towel"</formula>
    </cfRule>
    <cfRule type="cellIs" dxfId="864" priority="1462" stopIfTrue="1" operator="equal">
      <formula>"Napkin Hs"</formula>
    </cfRule>
  </conditionalFormatting>
  <conditionalFormatting sqref="C136">
    <cfRule type="cellIs" dxfId="863" priority="1465" stopIfTrue="1" operator="equal">
      <formula>"Towel"</formula>
    </cfRule>
    <cfRule type="cellIs" dxfId="862" priority="1466" stopIfTrue="1" operator="equal">
      <formula>"Napkin Hs"</formula>
    </cfRule>
  </conditionalFormatting>
  <conditionalFormatting sqref="B143:C143">
    <cfRule type="cellIs" dxfId="861" priority="1387" stopIfTrue="1" operator="equal">
      <formula>"Towel"</formula>
    </cfRule>
    <cfRule type="cellIs" dxfId="860" priority="1388" stopIfTrue="1" operator="equal">
      <formula>"Napkin Hs"</formula>
    </cfRule>
  </conditionalFormatting>
  <conditionalFormatting sqref="C143">
    <cfRule type="cellIs" dxfId="859" priority="1386" stopIfTrue="1" operator="equal">
      <formula>"Napkin Hs"</formula>
    </cfRule>
  </conditionalFormatting>
  <conditionalFormatting sqref="C143">
    <cfRule type="cellIs" dxfId="858" priority="1385" stopIfTrue="1" operator="equal">
      <formula>"Towel"</formula>
    </cfRule>
  </conditionalFormatting>
  <conditionalFormatting sqref="C143">
    <cfRule type="cellIs" dxfId="857" priority="1383" stopIfTrue="1" operator="equal">
      <formula>"Towel"</formula>
    </cfRule>
    <cfRule type="cellIs" dxfId="856" priority="1384" stopIfTrue="1" operator="equal">
      <formula>"Napkin Hs"</formula>
    </cfRule>
  </conditionalFormatting>
  <conditionalFormatting sqref="B142:C142">
    <cfRule type="cellIs" dxfId="855" priority="1380" stopIfTrue="1" operator="equal">
      <formula>"Napkin Hs"</formula>
    </cfRule>
  </conditionalFormatting>
  <conditionalFormatting sqref="B142:C142">
    <cfRule type="cellIs" dxfId="854" priority="1379" stopIfTrue="1" operator="equal">
      <formula>"Towel"</formula>
    </cfRule>
  </conditionalFormatting>
  <conditionalFormatting sqref="C142">
    <cfRule type="cellIs" dxfId="853" priority="1377" stopIfTrue="1" operator="equal">
      <formula>"Towel"</formula>
    </cfRule>
    <cfRule type="cellIs" dxfId="852" priority="1378" stopIfTrue="1" operator="equal">
      <formula>"Napkin Hs"</formula>
    </cfRule>
  </conditionalFormatting>
  <conditionalFormatting sqref="C142">
    <cfRule type="cellIs" dxfId="851" priority="1381" stopIfTrue="1" operator="equal">
      <formula>"Towel"</formula>
    </cfRule>
    <cfRule type="cellIs" dxfId="850" priority="1382" stopIfTrue="1" operator="equal">
      <formula>"Napkin Hs"</formula>
    </cfRule>
  </conditionalFormatting>
  <conditionalFormatting sqref="B142">
    <cfRule type="cellIs" dxfId="849" priority="1273" stopIfTrue="1" operator="equal">
      <formula>"Towel"</formula>
    </cfRule>
    <cfRule type="cellIs" dxfId="848" priority="1274" stopIfTrue="1" operator="equal">
      <formula>"Napkin Hs"</formula>
    </cfRule>
  </conditionalFormatting>
  <conditionalFormatting sqref="B142:C142">
    <cfRule type="cellIs" dxfId="847" priority="1333" stopIfTrue="1" operator="equal">
      <formula>"Towel"</formula>
    </cfRule>
    <cfRule type="cellIs" dxfId="846" priority="1334" stopIfTrue="1" operator="equal">
      <formula>"Napkin Hs"</formula>
    </cfRule>
    <cfRule type="cellIs" dxfId="845" priority="1339" stopIfTrue="1" operator="equal">
      <formula>"Towel"</formula>
    </cfRule>
    <cfRule type="cellIs" dxfId="844" priority="1340" stopIfTrue="1" operator="equal">
      <formula>"Napkin Hs"</formula>
    </cfRule>
    <cfRule type="cellIs" dxfId="843" priority="1345" stopIfTrue="1" operator="equal">
      <formula>"Towel"</formula>
    </cfRule>
    <cfRule type="cellIs" dxfId="842" priority="1346" stopIfTrue="1" operator="equal">
      <formula>"Napkin Hs"</formula>
    </cfRule>
    <cfRule type="cellIs" dxfId="841" priority="1351" stopIfTrue="1" operator="equal">
      <formula>"Towel"</formula>
    </cfRule>
    <cfRule type="cellIs" dxfId="840" priority="1352" stopIfTrue="1" operator="equal">
      <formula>"Napkin Hs"</formula>
    </cfRule>
    <cfRule type="cellIs" dxfId="839" priority="1357" stopIfTrue="1" operator="equal">
      <formula>"Towel"</formula>
    </cfRule>
    <cfRule type="cellIs" dxfId="838" priority="1358" stopIfTrue="1" operator="equal">
      <formula>"Napkin Hs"</formula>
    </cfRule>
    <cfRule type="cellIs" dxfId="837" priority="1363" stopIfTrue="1" operator="equal">
      <formula>"Towel"</formula>
    </cfRule>
    <cfRule type="cellIs" dxfId="836" priority="1364" stopIfTrue="1" operator="equal">
      <formula>"Napkin Hs"</formula>
    </cfRule>
    <cfRule type="cellIs" dxfId="835" priority="1369" stopIfTrue="1" operator="equal">
      <formula>"Towel"</formula>
    </cfRule>
    <cfRule type="cellIs" dxfId="834" priority="1370" stopIfTrue="1" operator="equal">
      <formula>"Napkin Hs"</formula>
    </cfRule>
    <cfRule type="cellIs" dxfId="833" priority="1375" stopIfTrue="1" operator="equal">
      <formula>"Towel"</formula>
    </cfRule>
    <cfRule type="cellIs" dxfId="832" priority="1376" stopIfTrue="1" operator="equal">
      <formula>"Napkin Hs"</formula>
    </cfRule>
  </conditionalFormatting>
  <conditionalFormatting sqref="B142:C142">
    <cfRule type="cellIs" dxfId="831" priority="1275" stopIfTrue="1" operator="equal">
      <formula>"Towel"</formula>
    </cfRule>
    <cfRule type="cellIs" dxfId="830" priority="1276" stopIfTrue="1" operator="equal">
      <formula>"Napkin Hs"</formula>
    </cfRule>
    <cfRule type="cellIs" dxfId="829" priority="1291" stopIfTrue="1" operator="equal">
      <formula>"Towel"</formula>
    </cfRule>
    <cfRule type="cellIs" dxfId="828" priority="1292" stopIfTrue="1" operator="equal">
      <formula>"Napkin Hs"</formula>
    </cfRule>
    <cfRule type="cellIs" dxfId="827" priority="1297" stopIfTrue="1" operator="equal">
      <formula>"Towel"</formula>
    </cfRule>
    <cfRule type="cellIs" dxfId="826" priority="1298" stopIfTrue="1" operator="equal">
      <formula>"Napkin Hs"</formula>
    </cfRule>
    <cfRule type="cellIs" dxfId="825" priority="1303" stopIfTrue="1" operator="equal">
      <formula>"Towel"</formula>
    </cfRule>
    <cfRule type="cellIs" dxfId="824" priority="1304" stopIfTrue="1" operator="equal">
      <formula>"Napkin Hs"</formula>
    </cfRule>
    <cfRule type="cellIs" dxfId="823" priority="1309" stopIfTrue="1" operator="equal">
      <formula>"Towel"</formula>
    </cfRule>
    <cfRule type="cellIs" dxfId="822" priority="1310" stopIfTrue="1" operator="equal">
      <formula>"Napkin Hs"</formula>
    </cfRule>
    <cfRule type="cellIs" dxfId="821" priority="1315" stopIfTrue="1" operator="equal">
      <formula>"Towel"</formula>
    </cfRule>
    <cfRule type="cellIs" dxfId="820" priority="1316" stopIfTrue="1" operator="equal">
      <formula>"Napkin Hs"</formula>
    </cfRule>
    <cfRule type="cellIs" dxfId="819" priority="1321" stopIfTrue="1" operator="equal">
      <formula>"Towel"</formula>
    </cfRule>
    <cfRule type="cellIs" dxfId="818" priority="1322" stopIfTrue="1" operator="equal">
      <formula>"Napkin Hs"</formula>
    </cfRule>
    <cfRule type="cellIs" dxfId="817" priority="1327" stopIfTrue="1" operator="equal">
      <formula>"Towel"</formula>
    </cfRule>
    <cfRule type="cellIs" dxfId="816" priority="1328" stopIfTrue="1" operator="equal">
      <formula>"Napkin Hs"</formula>
    </cfRule>
  </conditionalFormatting>
  <conditionalFormatting sqref="C142">
    <cfRule type="cellIs" dxfId="815" priority="1329" stopIfTrue="1" operator="equal">
      <formula>"Towel"</formula>
    </cfRule>
    <cfRule type="cellIs" dxfId="814" priority="1330" stopIfTrue="1" operator="equal">
      <formula>"Napkin Hs"</formula>
    </cfRule>
    <cfRule type="cellIs" dxfId="813" priority="1331" stopIfTrue="1" operator="equal">
      <formula>"Towel"</formula>
    </cfRule>
    <cfRule type="cellIs" dxfId="812" priority="1332" stopIfTrue="1" operator="equal">
      <formula>"Napkin Hs"</formula>
    </cfRule>
    <cfRule type="cellIs" dxfId="811" priority="1335" stopIfTrue="1" operator="equal">
      <formula>"Towel"</formula>
    </cfRule>
    <cfRule type="cellIs" dxfId="810" priority="1336" stopIfTrue="1" operator="equal">
      <formula>"Napkin Hs"</formula>
    </cfRule>
    <cfRule type="cellIs" dxfId="809" priority="1337" stopIfTrue="1" operator="equal">
      <formula>"Towel"</formula>
    </cfRule>
    <cfRule type="cellIs" dxfId="808" priority="1338" stopIfTrue="1" operator="equal">
      <formula>"Napkin Hs"</formula>
    </cfRule>
    <cfRule type="cellIs" dxfId="807" priority="1341" stopIfTrue="1" operator="equal">
      <formula>"Towel"</formula>
    </cfRule>
    <cfRule type="cellIs" dxfId="806" priority="1342" stopIfTrue="1" operator="equal">
      <formula>"Napkin Hs"</formula>
    </cfRule>
    <cfRule type="cellIs" dxfId="805" priority="1343" stopIfTrue="1" operator="equal">
      <formula>"Towel"</formula>
    </cfRule>
    <cfRule type="cellIs" dxfId="804" priority="1344" stopIfTrue="1" operator="equal">
      <formula>"Napkin Hs"</formula>
    </cfRule>
    <cfRule type="cellIs" dxfId="803" priority="1347" stopIfTrue="1" operator="equal">
      <formula>"Towel"</formula>
    </cfRule>
    <cfRule type="cellIs" dxfId="802" priority="1348" stopIfTrue="1" operator="equal">
      <formula>"Napkin Hs"</formula>
    </cfRule>
    <cfRule type="cellIs" dxfId="801" priority="1349" stopIfTrue="1" operator="equal">
      <formula>"Towel"</formula>
    </cfRule>
    <cfRule type="cellIs" dxfId="800" priority="1350" stopIfTrue="1" operator="equal">
      <formula>"Napkin Hs"</formula>
    </cfRule>
    <cfRule type="cellIs" dxfId="799" priority="1353" stopIfTrue="1" operator="equal">
      <formula>"Towel"</formula>
    </cfRule>
    <cfRule type="cellIs" dxfId="798" priority="1354" stopIfTrue="1" operator="equal">
      <formula>"Napkin Hs"</formula>
    </cfRule>
    <cfRule type="cellIs" dxfId="797" priority="1355" stopIfTrue="1" operator="equal">
      <formula>"Towel"</formula>
    </cfRule>
    <cfRule type="cellIs" dxfId="796" priority="1356" stopIfTrue="1" operator="equal">
      <formula>"Napkin Hs"</formula>
    </cfRule>
    <cfRule type="cellIs" dxfId="795" priority="1359" stopIfTrue="1" operator="equal">
      <formula>"Towel"</formula>
    </cfRule>
    <cfRule type="cellIs" dxfId="794" priority="1360" stopIfTrue="1" operator="equal">
      <formula>"Napkin Hs"</formula>
    </cfRule>
    <cfRule type="cellIs" dxfId="793" priority="1361" stopIfTrue="1" operator="equal">
      <formula>"Towel"</formula>
    </cfRule>
    <cfRule type="cellIs" dxfId="792" priority="1362" stopIfTrue="1" operator="equal">
      <formula>"Napkin Hs"</formula>
    </cfRule>
    <cfRule type="cellIs" dxfId="791" priority="1365" stopIfTrue="1" operator="equal">
      <formula>"Towel"</formula>
    </cfRule>
    <cfRule type="cellIs" dxfId="790" priority="1366" stopIfTrue="1" operator="equal">
      <formula>"Napkin Hs"</formula>
    </cfRule>
    <cfRule type="cellIs" dxfId="789" priority="1367" stopIfTrue="1" operator="equal">
      <formula>"Towel"</formula>
    </cfRule>
    <cfRule type="cellIs" dxfId="788" priority="1368" stopIfTrue="1" operator="equal">
      <formula>"Napkin Hs"</formula>
    </cfRule>
    <cfRule type="cellIs" dxfId="787" priority="1371" stopIfTrue="1" operator="equal">
      <formula>"Towel"</formula>
    </cfRule>
    <cfRule type="cellIs" dxfId="786" priority="1372" stopIfTrue="1" operator="equal">
      <formula>"Napkin Hs"</formula>
    </cfRule>
  </conditionalFormatting>
  <conditionalFormatting sqref="C142">
    <cfRule type="cellIs" dxfId="785" priority="1277" stopIfTrue="1" operator="equal">
      <formula>"Towel"</formula>
    </cfRule>
    <cfRule type="cellIs" dxfId="784" priority="1278" stopIfTrue="1" operator="equal">
      <formula>"Napkin Hs"</formula>
    </cfRule>
    <cfRule type="cellIs" dxfId="783" priority="1279" stopIfTrue="1" operator="equal">
      <formula>"Towel"</formula>
    </cfRule>
    <cfRule type="cellIs" dxfId="782" priority="1280" stopIfTrue="1" operator="equal">
      <formula>"Napkin Hs"</formula>
    </cfRule>
    <cfRule type="cellIs" dxfId="781" priority="1281" stopIfTrue="1" operator="equal">
      <formula>"Towel"</formula>
    </cfRule>
    <cfRule type="cellIs" dxfId="780" priority="1282" stopIfTrue="1" operator="equal">
      <formula>"Napkin Hs"</formula>
    </cfRule>
    <cfRule type="cellIs" dxfId="779" priority="1283" stopIfTrue="1" operator="equal">
      <formula>"Towel"</formula>
    </cfRule>
    <cfRule type="cellIs" dxfId="778" priority="1284" stopIfTrue="1" operator="equal">
      <formula>"Napkin Hs"</formula>
    </cfRule>
    <cfRule type="cellIs" dxfId="777" priority="1285" stopIfTrue="1" operator="equal">
      <formula>"Towel"</formula>
    </cfRule>
    <cfRule type="cellIs" dxfId="776" priority="1286" stopIfTrue="1" operator="equal">
      <formula>"Napkin Hs"</formula>
    </cfRule>
    <cfRule type="cellIs" dxfId="775" priority="1287" stopIfTrue="1" operator="equal">
      <formula>"Towel"</formula>
    </cfRule>
    <cfRule type="cellIs" dxfId="774" priority="1288" stopIfTrue="1" operator="equal">
      <formula>"Napkin Hs"</formula>
    </cfRule>
    <cfRule type="cellIs" dxfId="773" priority="1289" stopIfTrue="1" operator="equal">
      <formula>"Towel"</formula>
    </cfRule>
    <cfRule type="cellIs" dxfId="772" priority="1290" stopIfTrue="1" operator="equal">
      <formula>"Napkin Hs"</formula>
    </cfRule>
    <cfRule type="cellIs" dxfId="771" priority="1293" stopIfTrue="1" operator="equal">
      <formula>"Towel"</formula>
    </cfRule>
    <cfRule type="cellIs" dxfId="770" priority="1294" stopIfTrue="1" operator="equal">
      <formula>"Napkin Hs"</formula>
    </cfRule>
    <cfRule type="cellIs" dxfId="769" priority="1295" stopIfTrue="1" operator="equal">
      <formula>"Towel"</formula>
    </cfRule>
    <cfRule type="cellIs" dxfId="768" priority="1296" stopIfTrue="1" operator="equal">
      <formula>"Napkin Hs"</formula>
    </cfRule>
    <cfRule type="cellIs" dxfId="767" priority="1299" stopIfTrue="1" operator="equal">
      <formula>"Towel"</formula>
    </cfRule>
    <cfRule type="cellIs" dxfId="766" priority="1300" stopIfTrue="1" operator="equal">
      <formula>"Napkin Hs"</formula>
    </cfRule>
    <cfRule type="cellIs" dxfId="765" priority="1301" stopIfTrue="1" operator="equal">
      <formula>"Towel"</formula>
    </cfRule>
    <cfRule type="cellIs" dxfId="764" priority="1302" stopIfTrue="1" operator="equal">
      <formula>"Napkin Hs"</formula>
    </cfRule>
    <cfRule type="cellIs" dxfId="763" priority="1305" stopIfTrue="1" operator="equal">
      <formula>"Towel"</formula>
    </cfRule>
    <cfRule type="cellIs" dxfId="762" priority="1306" stopIfTrue="1" operator="equal">
      <formula>"Napkin Hs"</formula>
    </cfRule>
    <cfRule type="cellIs" dxfId="761" priority="1307" stopIfTrue="1" operator="equal">
      <formula>"Towel"</formula>
    </cfRule>
    <cfRule type="cellIs" dxfId="760" priority="1308" stopIfTrue="1" operator="equal">
      <formula>"Napkin Hs"</formula>
    </cfRule>
    <cfRule type="cellIs" dxfId="759" priority="1311" stopIfTrue="1" operator="equal">
      <formula>"Towel"</formula>
    </cfRule>
    <cfRule type="cellIs" dxfId="758" priority="1312" stopIfTrue="1" operator="equal">
      <formula>"Napkin Hs"</formula>
    </cfRule>
    <cfRule type="cellIs" dxfId="757" priority="1313" stopIfTrue="1" operator="equal">
      <formula>"Towel"</formula>
    </cfRule>
    <cfRule type="cellIs" dxfId="756" priority="1314" stopIfTrue="1" operator="equal">
      <formula>"Napkin Hs"</formula>
    </cfRule>
    <cfRule type="cellIs" dxfId="755" priority="1317" stopIfTrue="1" operator="equal">
      <formula>"Towel"</formula>
    </cfRule>
    <cfRule type="cellIs" dxfId="754" priority="1318" stopIfTrue="1" operator="equal">
      <formula>"Napkin Hs"</formula>
    </cfRule>
    <cfRule type="cellIs" dxfId="753" priority="1319" stopIfTrue="1" operator="equal">
      <formula>"Towel"</formula>
    </cfRule>
    <cfRule type="cellIs" dxfId="752" priority="1320" stopIfTrue="1" operator="equal">
      <formula>"Napkin Hs"</formula>
    </cfRule>
    <cfRule type="cellIs" dxfId="751" priority="1323" stopIfTrue="1" operator="equal">
      <formula>"Towel"</formula>
    </cfRule>
    <cfRule type="cellIs" dxfId="750" priority="1324" stopIfTrue="1" operator="equal">
      <formula>"Napkin Hs"</formula>
    </cfRule>
    <cfRule type="cellIs" dxfId="749" priority="1325" stopIfTrue="1" operator="equal">
      <formula>"Towel"</formula>
    </cfRule>
    <cfRule type="cellIs" dxfId="748" priority="1326" stopIfTrue="1" operator="equal">
      <formula>"Napkin Hs"</formula>
    </cfRule>
    <cfRule type="cellIs" dxfId="747" priority="1373" stopIfTrue="1" operator="equal">
      <formula>"Towel"</formula>
    </cfRule>
    <cfRule type="cellIs" dxfId="746" priority="1374" stopIfTrue="1" operator="equal">
      <formula>"Napkin Hs"</formula>
    </cfRule>
  </conditionalFormatting>
  <conditionalFormatting sqref="B141:C141">
    <cfRule type="cellIs" dxfId="745" priority="1195" stopIfTrue="1" operator="equal">
      <formula>"Towel"</formula>
    </cfRule>
    <cfRule type="cellIs" dxfId="744" priority="1196" stopIfTrue="1" operator="equal">
      <formula>"Napkin Hs"</formula>
    </cfRule>
    <cfRule type="cellIs" dxfId="743" priority="1201" stopIfTrue="1" operator="equal">
      <formula>"Towel"</formula>
    </cfRule>
    <cfRule type="cellIs" dxfId="742" priority="1202" stopIfTrue="1" operator="equal">
      <formula>"Napkin Hs"</formula>
    </cfRule>
    <cfRule type="cellIs" dxfId="741" priority="1207" stopIfTrue="1" operator="equal">
      <formula>"Towel"</formula>
    </cfRule>
    <cfRule type="cellIs" dxfId="740" priority="1208" stopIfTrue="1" operator="equal">
      <formula>"Napkin Hs"</formula>
    </cfRule>
    <cfRule type="cellIs" dxfId="739" priority="1213" stopIfTrue="1" operator="equal">
      <formula>"Towel"</formula>
    </cfRule>
    <cfRule type="cellIs" dxfId="738" priority="1214" stopIfTrue="1" operator="equal">
      <formula>"Napkin Hs"</formula>
    </cfRule>
    <cfRule type="cellIs" dxfId="737" priority="1219" stopIfTrue="1" operator="equal">
      <formula>"Towel"</formula>
    </cfRule>
    <cfRule type="cellIs" dxfId="736" priority="1220" stopIfTrue="1" operator="equal">
      <formula>"Napkin Hs"</formula>
    </cfRule>
    <cfRule type="cellIs" dxfId="735" priority="1225" stopIfTrue="1" operator="equal">
      <formula>"Towel"</formula>
    </cfRule>
    <cfRule type="cellIs" dxfId="734" priority="1226" stopIfTrue="1" operator="equal">
      <formula>"Napkin Hs"</formula>
    </cfRule>
    <cfRule type="cellIs" dxfId="733" priority="1229" stopIfTrue="1" operator="equal">
      <formula>"Towel"</formula>
    </cfRule>
    <cfRule type="cellIs" dxfId="732" priority="1230" stopIfTrue="1" operator="equal">
      <formula>"Napkin Hs"</formula>
    </cfRule>
    <cfRule type="cellIs" dxfId="731" priority="1235" stopIfTrue="1" operator="equal">
      <formula>"Towel"</formula>
    </cfRule>
    <cfRule type="cellIs" dxfId="730" priority="1236" stopIfTrue="1" operator="equal">
      <formula>"Napkin Hs"</formula>
    </cfRule>
    <cfRule type="cellIs" dxfId="729" priority="1241" stopIfTrue="1" operator="equal">
      <formula>"Towel"</formula>
    </cfRule>
    <cfRule type="cellIs" dxfId="728" priority="1242" stopIfTrue="1" operator="equal">
      <formula>"Napkin Hs"</formula>
    </cfRule>
    <cfRule type="cellIs" dxfId="727" priority="1247" stopIfTrue="1" operator="equal">
      <formula>"Towel"</formula>
    </cfRule>
    <cfRule type="cellIs" dxfId="726" priority="1248" stopIfTrue="1" operator="equal">
      <formula>"Napkin Hs"</formula>
    </cfRule>
    <cfRule type="cellIs" dxfId="725" priority="1253" stopIfTrue="1" operator="equal">
      <formula>"Towel"</formula>
    </cfRule>
    <cfRule type="cellIs" dxfId="724" priority="1254" stopIfTrue="1" operator="equal">
      <formula>"Napkin Hs"</formula>
    </cfRule>
    <cfRule type="cellIs" dxfId="723" priority="1259" stopIfTrue="1" operator="equal">
      <formula>"Towel"</formula>
    </cfRule>
    <cfRule type="cellIs" dxfId="722" priority="1260" stopIfTrue="1" operator="equal">
      <formula>"Napkin Hs"</formula>
    </cfRule>
    <cfRule type="cellIs" dxfId="721" priority="1265" stopIfTrue="1" operator="equal">
      <formula>"Towel"</formula>
    </cfRule>
    <cfRule type="cellIs" dxfId="720" priority="1266" stopIfTrue="1" operator="equal">
      <formula>"Napkin Hs"</formula>
    </cfRule>
    <cfRule type="cellIs" dxfId="719" priority="1270" stopIfTrue="1" operator="equal">
      <formula>"Napkin Hs"</formula>
    </cfRule>
  </conditionalFormatting>
  <conditionalFormatting sqref="B141:C141">
    <cfRule type="cellIs" dxfId="718" priority="1269" stopIfTrue="1" operator="equal">
      <formula>"Towel"</formula>
    </cfRule>
  </conditionalFormatting>
  <conditionalFormatting sqref="C141">
    <cfRule type="cellIs" dxfId="717" priority="1191" stopIfTrue="1" operator="equal">
      <formula>"Towel"</formula>
    </cfRule>
    <cfRule type="cellIs" dxfId="716" priority="1192" stopIfTrue="1" operator="equal">
      <formula>"Napkin Hs"</formula>
    </cfRule>
  </conditionalFormatting>
  <conditionalFormatting sqref="C141">
    <cfRule type="cellIs" dxfId="715" priority="1231" stopIfTrue="1" operator="equal">
      <formula>"Towel"</formula>
    </cfRule>
    <cfRule type="cellIs" dxfId="714" priority="1232" stopIfTrue="1" operator="equal">
      <formula>"Napkin Hs"</formula>
    </cfRule>
    <cfRule type="cellIs" dxfId="713" priority="1271" stopIfTrue="1" operator="equal">
      <formula>"Towel"</formula>
    </cfRule>
    <cfRule type="cellIs" dxfId="712" priority="1272" stopIfTrue="1" operator="equal">
      <formula>"Napkin Hs"</formula>
    </cfRule>
  </conditionalFormatting>
  <conditionalFormatting sqref="C141">
    <cfRule type="cellIs" dxfId="711" priority="1193" stopIfTrue="1" operator="equal">
      <formula>"Towel"</formula>
    </cfRule>
    <cfRule type="cellIs" dxfId="710" priority="1194" stopIfTrue="1" operator="equal">
      <formula>"Napkin Hs"</formula>
    </cfRule>
    <cfRule type="cellIs" dxfId="709" priority="1197" stopIfTrue="1" operator="equal">
      <formula>"Towel"</formula>
    </cfRule>
    <cfRule type="cellIs" dxfId="708" priority="1198" stopIfTrue="1" operator="equal">
      <formula>"Napkin Hs"</formula>
    </cfRule>
    <cfRule type="cellIs" dxfId="707" priority="1199" stopIfTrue="1" operator="equal">
      <formula>"Towel"</formula>
    </cfRule>
    <cfRule type="cellIs" dxfId="706" priority="1200" stopIfTrue="1" operator="equal">
      <formula>"Napkin Hs"</formula>
    </cfRule>
    <cfRule type="cellIs" dxfId="705" priority="1203" stopIfTrue="1" operator="equal">
      <formula>"Towel"</formula>
    </cfRule>
    <cfRule type="cellIs" dxfId="704" priority="1204" stopIfTrue="1" operator="equal">
      <formula>"Napkin Hs"</formula>
    </cfRule>
    <cfRule type="cellIs" dxfId="703" priority="1205" stopIfTrue="1" operator="equal">
      <formula>"Towel"</formula>
    </cfRule>
    <cfRule type="cellIs" dxfId="702" priority="1206" stopIfTrue="1" operator="equal">
      <formula>"Napkin Hs"</formula>
    </cfRule>
    <cfRule type="cellIs" dxfId="701" priority="1209" stopIfTrue="1" operator="equal">
      <formula>"Towel"</formula>
    </cfRule>
    <cfRule type="cellIs" dxfId="700" priority="1210" stopIfTrue="1" operator="equal">
      <formula>"Napkin Hs"</formula>
    </cfRule>
    <cfRule type="cellIs" dxfId="699" priority="1211" stopIfTrue="1" operator="equal">
      <formula>"Towel"</formula>
    </cfRule>
    <cfRule type="cellIs" dxfId="698" priority="1212" stopIfTrue="1" operator="equal">
      <formula>"Napkin Hs"</formula>
    </cfRule>
    <cfRule type="cellIs" dxfId="697" priority="1215" stopIfTrue="1" operator="equal">
      <formula>"Towel"</formula>
    </cfRule>
    <cfRule type="cellIs" dxfId="696" priority="1216" stopIfTrue="1" operator="equal">
      <formula>"Napkin Hs"</formula>
    </cfRule>
    <cfRule type="cellIs" dxfId="695" priority="1217" stopIfTrue="1" operator="equal">
      <formula>"Towel"</formula>
    </cfRule>
    <cfRule type="cellIs" dxfId="694" priority="1218" stopIfTrue="1" operator="equal">
      <formula>"Napkin Hs"</formula>
    </cfRule>
    <cfRule type="cellIs" dxfId="693" priority="1221" stopIfTrue="1" operator="equal">
      <formula>"Towel"</formula>
    </cfRule>
    <cfRule type="cellIs" dxfId="692" priority="1222" stopIfTrue="1" operator="equal">
      <formula>"Napkin Hs"</formula>
    </cfRule>
    <cfRule type="cellIs" dxfId="691" priority="1223" stopIfTrue="1" operator="equal">
      <formula>"Towel"</formula>
    </cfRule>
    <cfRule type="cellIs" dxfId="690" priority="1224" stopIfTrue="1" operator="equal">
      <formula>"Napkin Hs"</formula>
    </cfRule>
    <cfRule type="cellIs" dxfId="689" priority="1227" stopIfTrue="1" operator="equal">
      <formula>"Towel"</formula>
    </cfRule>
    <cfRule type="cellIs" dxfId="688" priority="1228" stopIfTrue="1" operator="equal">
      <formula>"Napkin Hs"</formula>
    </cfRule>
    <cfRule type="cellIs" dxfId="687" priority="1233" stopIfTrue="1" operator="equal">
      <formula>"Towel"</formula>
    </cfRule>
    <cfRule type="cellIs" dxfId="686" priority="1234" stopIfTrue="1" operator="equal">
      <formula>"Napkin Hs"</formula>
    </cfRule>
    <cfRule type="cellIs" dxfId="685" priority="1237" stopIfTrue="1" operator="equal">
      <formula>"Towel"</formula>
    </cfRule>
    <cfRule type="cellIs" dxfId="684" priority="1238" stopIfTrue="1" operator="equal">
      <formula>"Napkin Hs"</formula>
    </cfRule>
    <cfRule type="cellIs" dxfId="683" priority="1239" stopIfTrue="1" operator="equal">
      <formula>"Towel"</formula>
    </cfRule>
    <cfRule type="cellIs" dxfId="682" priority="1240" stopIfTrue="1" operator="equal">
      <formula>"Napkin Hs"</formula>
    </cfRule>
    <cfRule type="cellIs" dxfId="681" priority="1243" stopIfTrue="1" operator="equal">
      <formula>"Towel"</formula>
    </cfRule>
    <cfRule type="cellIs" dxfId="680" priority="1244" stopIfTrue="1" operator="equal">
      <formula>"Napkin Hs"</formula>
    </cfRule>
    <cfRule type="cellIs" dxfId="679" priority="1245" stopIfTrue="1" operator="equal">
      <formula>"Towel"</formula>
    </cfRule>
    <cfRule type="cellIs" dxfId="678" priority="1246" stopIfTrue="1" operator="equal">
      <formula>"Napkin Hs"</formula>
    </cfRule>
    <cfRule type="cellIs" dxfId="677" priority="1249" stopIfTrue="1" operator="equal">
      <formula>"Towel"</formula>
    </cfRule>
    <cfRule type="cellIs" dxfId="676" priority="1250" stopIfTrue="1" operator="equal">
      <formula>"Napkin Hs"</formula>
    </cfRule>
    <cfRule type="cellIs" dxfId="675" priority="1251" stopIfTrue="1" operator="equal">
      <formula>"Towel"</formula>
    </cfRule>
    <cfRule type="cellIs" dxfId="674" priority="1252" stopIfTrue="1" operator="equal">
      <formula>"Napkin Hs"</formula>
    </cfRule>
    <cfRule type="cellIs" dxfId="673" priority="1255" stopIfTrue="1" operator="equal">
      <formula>"Towel"</formula>
    </cfRule>
    <cfRule type="cellIs" dxfId="672" priority="1256" stopIfTrue="1" operator="equal">
      <formula>"Napkin Hs"</formula>
    </cfRule>
    <cfRule type="cellIs" dxfId="671" priority="1257" stopIfTrue="1" operator="equal">
      <formula>"Towel"</formula>
    </cfRule>
    <cfRule type="cellIs" dxfId="670" priority="1258" stopIfTrue="1" operator="equal">
      <formula>"Napkin Hs"</formula>
    </cfRule>
    <cfRule type="cellIs" dxfId="669" priority="1261" stopIfTrue="1" operator="equal">
      <formula>"Towel"</formula>
    </cfRule>
    <cfRule type="cellIs" dxfId="668" priority="1262" stopIfTrue="1" operator="equal">
      <formula>"Napkin Hs"</formula>
    </cfRule>
    <cfRule type="cellIs" dxfId="667" priority="1263" stopIfTrue="1" operator="equal">
      <formula>"Towel"</formula>
    </cfRule>
    <cfRule type="cellIs" dxfId="666" priority="1264" stopIfTrue="1" operator="equal">
      <formula>"Napkin Hs"</formula>
    </cfRule>
  </conditionalFormatting>
  <conditionalFormatting sqref="C141">
    <cfRule type="cellIs" dxfId="665" priority="1267" stopIfTrue="1" operator="equal">
      <formula>"Towel"</formula>
    </cfRule>
    <cfRule type="cellIs" dxfId="664" priority="1268" stopIfTrue="1" operator="equal">
      <formula>"Napkin Hs"</formula>
    </cfRule>
  </conditionalFormatting>
  <conditionalFormatting sqref="B140:C140">
    <cfRule type="cellIs" dxfId="663" priority="1113" stopIfTrue="1" operator="equal">
      <formula>"Towel"</formula>
    </cfRule>
    <cfRule type="cellIs" dxfId="662" priority="1114" stopIfTrue="1" operator="equal">
      <formula>"Napkin Hs"</formula>
    </cfRule>
    <cfRule type="cellIs" dxfId="661" priority="1119" stopIfTrue="1" operator="equal">
      <formula>"Towel"</formula>
    </cfRule>
    <cfRule type="cellIs" dxfId="660" priority="1120" stopIfTrue="1" operator="equal">
      <formula>"Napkin Hs"</formula>
    </cfRule>
    <cfRule type="cellIs" dxfId="659" priority="1125" stopIfTrue="1" operator="equal">
      <formula>"Towel"</formula>
    </cfRule>
    <cfRule type="cellIs" dxfId="658" priority="1126" stopIfTrue="1" operator="equal">
      <formula>"Napkin Hs"</formula>
    </cfRule>
    <cfRule type="cellIs" dxfId="657" priority="1131" stopIfTrue="1" operator="equal">
      <formula>"Towel"</formula>
    </cfRule>
    <cfRule type="cellIs" dxfId="656" priority="1132" stopIfTrue="1" operator="equal">
      <formula>"Napkin Hs"</formula>
    </cfRule>
    <cfRule type="cellIs" dxfId="655" priority="1137" stopIfTrue="1" operator="equal">
      <formula>"Towel"</formula>
    </cfRule>
    <cfRule type="cellIs" dxfId="654" priority="1138" stopIfTrue="1" operator="equal">
      <formula>"Napkin Hs"</formula>
    </cfRule>
    <cfRule type="cellIs" dxfId="653" priority="1143" stopIfTrue="1" operator="equal">
      <formula>"Towel"</formula>
    </cfRule>
    <cfRule type="cellIs" dxfId="652" priority="1144" stopIfTrue="1" operator="equal">
      <formula>"Napkin Hs"</formula>
    </cfRule>
    <cfRule type="cellIs" dxfId="651" priority="1147" stopIfTrue="1" operator="equal">
      <formula>"Towel"</formula>
    </cfRule>
    <cfRule type="cellIs" dxfId="650" priority="1148" stopIfTrue="1" operator="equal">
      <formula>"Napkin Hs"</formula>
    </cfRule>
    <cfRule type="cellIs" dxfId="649" priority="1153" stopIfTrue="1" operator="equal">
      <formula>"Towel"</formula>
    </cfRule>
    <cfRule type="cellIs" dxfId="648" priority="1154" stopIfTrue="1" operator="equal">
      <formula>"Napkin Hs"</formula>
    </cfRule>
    <cfRule type="cellIs" dxfId="647" priority="1159" stopIfTrue="1" operator="equal">
      <formula>"Towel"</formula>
    </cfRule>
    <cfRule type="cellIs" dxfId="646" priority="1160" stopIfTrue="1" operator="equal">
      <formula>"Napkin Hs"</formula>
    </cfRule>
    <cfRule type="cellIs" dxfId="645" priority="1165" stopIfTrue="1" operator="equal">
      <formula>"Towel"</formula>
    </cfRule>
    <cfRule type="cellIs" dxfId="644" priority="1166" stopIfTrue="1" operator="equal">
      <formula>"Napkin Hs"</formula>
    </cfRule>
    <cfRule type="cellIs" dxfId="643" priority="1171" stopIfTrue="1" operator="equal">
      <formula>"Towel"</formula>
    </cfRule>
    <cfRule type="cellIs" dxfId="642" priority="1172" stopIfTrue="1" operator="equal">
      <formula>"Napkin Hs"</formula>
    </cfRule>
    <cfRule type="cellIs" dxfId="641" priority="1177" stopIfTrue="1" operator="equal">
      <formula>"Towel"</formula>
    </cfRule>
    <cfRule type="cellIs" dxfId="640" priority="1178" stopIfTrue="1" operator="equal">
      <formula>"Napkin Hs"</formula>
    </cfRule>
    <cfRule type="cellIs" dxfId="639" priority="1183" stopIfTrue="1" operator="equal">
      <formula>"Towel"</formula>
    </cfRule>
    <cfRule type="cellIs" dxfId="638" priority="1184" stopIfTrue="1" operator="equal">
      <formula>"Napkin Hs"</formula>
    </cfRule>
    <cfRule type="cellIs" dxfId="637" priority="1188" stopIfTrue="1" operator="equal">
      <formula>"Napkin Hs"</formula>
    </cfRule>
  </conditionalFormatting>
  <conditionalFormatting sqref="B140:C140">
    <cfRule type="cellIs" dxfId="636" priority="1187" stopIfTrue="1" operator="equal">
      <formula>"Towel"</formula>
    </cfRule>
  </conditionalFormatting>
  <conditionalFormatting sqref="C140">
    <cfRule type="cellIs" dxfId="635" priority="1109" stopIfTrue="1" operator="equal">
      <formula>"Towel"</formula>
    </cfRule>
    <cfRule type="cellIs" dxfId="634" priority="1110" stopIfTrue="1" operator="equal">
      <formula>"Napkin Hs"</formula>
    </cfRule>
  </conditionalFormatting>
  <conditionalFormatting sqref="C140">
    <cfRule type="cellIs" dxfId="633" priority="1149" stopIfTrue="1" operator="equal">
      <formula>"Towel"</formula>
    </cfRule>
    <cfRule type="cellIs" dxfId="632" priority="1150" stopIfTrue="1" operator="equal">
      <formula>"Napkin Hs"</formula>
    </cfRule>
    <cfRule type="cellIs" dxfId="631" priority="1189" stopIfTrue="1" operator="equal">
      <formula>"Towel"</formula>
    </cfRule>
    <cfRule type="cellIs" dxfId="630" priority="1190" stopIfTrue="1" operator="equal">
      <formula>"Napkin Hs"</formula>
    </cfRule>
  </conditionalFormatting>
  <conditionalFormatting sqref="C140">
    <cfRule type="cellIs" dxfId="629" priority="1111" stopIfTrue="1" operator="equal">
      <formula>"Towel"</formula>
    </cfRule>
    <cfRule type="cellIs" dxfId="628" priority="1112" stopIfTrue="1" operator="equal">
      <formula>"Napkin Hs"</formula>
    </cfRule>
    <cfRule type="cellIs" dxfId="627" priority="1115" stopIfTrue="1" operator="equal">
      <formula>"Towel"</formula>
    </cfRule>
    <cfRule type="cellIs" dxfId="626" priority="1116" stopIfTrue="1" operator="equal">
      <formula>"Napkin Hs"</formula>
    </cfRule>
    <cfRule type="cellIs" dxfId="625" priority="1117" stopIfTrue="1" operator="equal">
      <formula>"Towel"</formula>
    </cfRule>
    <cfRule type="cellIs" dxfId="624" priority="1118" stopIfTrue="1" operator="equal">
      <formula>"Napkin Hs"</formula>
    </cfRule>
    <cfRule type="cellIs" dxfId="623" priority="1121" stopIfTrue="1" operator="equal">
      <formula>"Towel"</formula>
    </cfRule>
    <cfRule type="cellIs" dxfId="622" priority="1122" stopIfTrue="1" operator="equal">
      <formula>"Napkin Hs"</formula>
    </cfRule>
    <cfRule type="cellIs" dxfId="621" priority="1123" stopIfTrue="1" operator="equal">
      <formula>"Towel"</formula>
    </cfRule>
    <cfRule type="cellIs" dxfId="620" priority="1124" stopIfTrue="1" operator="equal">
      <formula>"Napkin Hs"</formula>
    </cfRule>
    <cfRule type="cellIs" dxfId="619" priority="1127" stopIfTrue="1" operator="equal">
      <formula>"Towel"</formula>
    </cfRule>
    <cfRule type="cellIs" dxfId="618" priority="1128" stopIfTrue="1" operator="equal">
      <formula>"Napkin Hs"</formula>
    </cfRule>
    <cfRule type="cellIs" dxfId="617" priority="1129" stopIfTrue="1" operator="equal">
      <formula>"Towel"</formula>
    </cfRule>
    <cfRule type="cellIs" dxfId="616" priority="1130" stopIfTrue="1" operator="equal">
      <formula>"Napkin Hs"</formula>
    </cfRule>
    <cfRule type="cellIs" dxfId="615" priority="1133" stopIfTrue="1" operator="equal">
      <formula>"Towel"</formula>
    </cfRule>
    <cfRule type="cellIs" dxfId="614" priority="1134" stopIfTrue="1" operator="equal">
      <formula>"Napkin Hs"</formula>
    </cfRule>
    <cfRule type="cellIs" dxfId="613" priority="1135" stopIfTrue="1" operator="equal">
      <formula>"Towel"</formula>
    </cfRule>
    <cfRule type="cellIs" dxfId="612" priority="1136" stopIfTrue="1" operator="equal">
      <formula>"Napkin Hs"</formula>
    </cfRule>
    <cfRule type="cellIs" dxfId="611" priority="1139" stopIfTrue="1" operator="equal">
      <formula>"Towel"</formula>
    </cfRule>
    <cfRule type="cellIs" dxfId="610" priority="1140" stopIfTrue="1" operator="equal">
      <formula>"Napkin Hs"</formula>
    </cfRule>
    <cfRule type="cellIs" dxfId="609" priority="1141" stopIfTrue="1" operator="equal">
      <formula>"Towel"</formula>
    </cfRule>
    <cfRule type="cellIs" dxfId="608" priority="1142" stopIfTrue="1" operator="equal">
      <formula>"Napkin Hs"</formula>
    </cfRule>
    <cfRule type="cellIs" dxfId="607" priority="1145" stopIfTrue="1" operator="equal">
      <formula>"Towel"</formula>
    </cfRule>
    <cfRule type="cellIs" dxfId="606" priority="1146" stopIfTrue="1" operator="equal">
      <formula>"Napkin Hs"</formula>
    </cfRule>
    <cfRule type="cellIs" dxfId="605" priority="1151" stopIfTrue="1" operator="equal">
      <formula>"Towel"</formula>
    </cfRule>
    <cfRule type="cellIs" dxfId="604" priority="1152" stopIfTrue="1" operator="equal">
      <formula>"Napkin Hs"</formula>
    </cfRule>
    <cfRule type="cellIs" dxfId="603" priority="1155" stopIfTrue="1" operator="equal">
      <formula>"Towel"</formula>
    </cfRule>
    <cfRule type="cellIs" dxfId="602" priority="1156" stopIfTrue="1" operator="equal">
      <formula>"Napkin Hs"</formula>
    </cfRule>
    <cfRule type="cellIs" dxfId="601" priority="1157" stopIfTrue="1" operator="equal">
      <formula>"Towel"</formula>
    </cfRule>
    <cfRule type="cellIs" dxfId="600" priority="1158" stopIfTrue="1" operator="equal">
      <formula>"Napkin Hs"</formula>
    </cfRule>
    <cfRule type="cellIs" dxfId="599" priority="1161" stopIfTrue="1" operator="equal">
      <formula>"Towel"</formula>
    </cfRule>
    <cfRule type="cellIs" dxfId="598" priority="1162" stopIfTrue="1" operator="equal">
      <formula>"Napkin Hs"</formula>
    </cfRule>
    <cfRule type="cellIs" dxfId="597" priority="1163" stopIfTrue="1" operator="equal">
      <formula>"Towel"</formula>
    </cfRule>
    <cfRule type="cellIs" dxfId="596" priority="1164" stopIfTrue="1" operator="equal">
      <formula>"Napkin Hs"</formula>
    </cfRule>
    <cfRule type="cellIs" dxfId="595" priority="1167" stopIfTrue="1" operator="equal">
      <formula>"Towel"</formula>
    </cfRule>
    <cfRule type="cellIs" dxfId="594" priority="1168" stopIfTrue="1" operator="equal">
      <formula>"Napkin Hs"</formula>
    </cfRule>
    <cfRule type="cellIs" dxfId="593" priority="1169" stopIfTrue="1" operator="equal">
      <formula>"Towel"</formula>
    </cfRule>
    <cfRule type="cellIs" dxfId="592" priority="1170" stopIfTrue="1" operator="equal">
      <formula>"Napkin Hs"</formula>
    </cfRule>
    <cfRule type="cellIs" dxfId="591" priority="1173" stopIfTrue="1" operator="equal">
      <formula>"Towel"</formula>
    </cfRule>
    <cfRule type="cellIs" dxfId="590" priority="1174" stopIfTrue="1" operator="equal">
      <formula>"Napkin Hs"</formula>
    </cfRule>
    <cfRule type="cellIs" dxfId="589" priority="1175" stopIfTrue="1" operator="equal">
      <formula>"Towel"</formula>
    </cfRule>
    <cfRule type="cellIs" dxfId="588" priority="1176" stopIfTrue="1" operator="equal">
      <formula>"Napkin Hs"</formula>
    </cfRule>
    <cfRule type="cellIs" dxfId="587" priority="1179" stopIfTrue="1" operator="equal">
      <formula>"Towel"</formula>
    </cfRule>
    <cfRule type="cellIs" dxfId="586" priority="1180" stopIfTrue="1" operator="equal">
      <formula>"Napkin Hs"</formula>
    </cfRule>
    <cfRule type="cellIs" dxfId="585" priority="1181" stopIfTrue="1" operator="equal">
      <formula>"Towel"</formula>
    </cfRule>
    <cfRule type="cellIs" dxfId="584" priority="1182" stopIfTrue="1" operator="equal">
      <formula>"Napkin Hs"</formula>
    </cfRule>
  </conditionalFormatting>
  <conditionalFormatting sqref="C140">
    <cfRule type="cellIs" dxfId="583" priority="1185" stopIfTrue="1" operator="equal">
      <formula>"Towel"</formula>
    </cfRule>
    <cfRule type="cellIs" dxfId="582" priority="1186" stopIfTrue="1" operator="equal">
      <formula>"Napkin Hs"</formula>
    </cfRule>
  </conditionalFormatting>
  <conditionalFormatting sqref="B147:C147">
    <cfRule type="cellIs" dxfId="581" priority="553" stopIfTrue="1" operator="equal">
      <formula>"Towel"</formula>
    </cfRule>
    <cfRule type="cellIs" dxfId="580" priority="554" stopIfTrue="1" operator="equal">
      <formula>"Napkin Hs"</formula>
    </cfRule>
  </conditionalFormatting>
  <conditionalFormatting sqref="C147">
    <cfRule type="cellIs" dxfId="579" priority="552" stopIfTrue="1" operator="equal">
      <formula>"Napkin Hs"</formula>
    </cfRule>
  </conditionalFormatting>
  <conditionalFormatting sqref="C147">
    <cfRule type="cellIs" dxfId="578" priority="551" stopIfTrue="1" operator="equal">
      <formula>"Towel"</formula>
    </cfRule>
  </conditionalFormatting>
  <conditionalFormatting sqref="C147">
    <cfRule type="cellIs" dxfId="577" priority="549" stopIfTrue="1" operator="equal">
      <formula>"Towel"</formula>
    </cfRule>
    <cfRule type="cellIs" dxfId="576" priority="550" stopIfTrue="1" operator="equal">
      <formula>"Napkin Hs"</formula>
    </cfRule>
  </conditionalFormatting>
  <conditionalFormatting sqref="B146:C146">
    <cfRule type="cellIs" dxfId="575" priority="546" stopIfTrue="1" operator="equal">
      <formula>"Napkin Hs"</formula>
    </cfRule>
  </conditionalFormatting>
  <conditionalFormatting sqref="B146:C146">
    <cfRule type="cellIs" dxfId="574" priority="545" stopIfTrue="1" operator="equal">
      <formula>"Towel"</formula>
    </cfRule>
  </conditionalFormatting>
  <conditionalFormatting sqref="C146">
    <cfRule type="cellIs" dxfId="573" priority="543" stopIfTrue="1" operator="equal">
      <formula>"Towel"</formula>
    </cfRule>
    <cfRule type="cellIs" dxfId="572" priority="544" stopIfTrue="1" operator="equal">
      <formula>"Napkin Hs"</formula>
    </cfRule>
  </conditionalFormatting>
  <conditionalFormatting sqref="C146">
    <cfRule type="cellIs" dxfId="571" priority="547" stopIfTrue="1" operator="equal">
      <formula>"Towel"</formula>
    </cfRule>
    <cfRule type="cellIs" dxfId="570" priority="548" stopIfTrue="1" operator="equal">
      <formula>"Napkin Hs"</formula>
    </cfRule>
  </conditionalFormatting>
  <conditionalFormatting sqref="B146">
    <cfRule type="cellIs" dxfId="569" priority="439" stopIfTrue="1" operator="equal">
      <formula>"Towel"</formula>
    </cfRule>
    <cfRule type="cellIs" dxfId="568" priority="440" stopIfTrue="1" operator="equal">
      <formula>"Napkin Hs"</formula>
    </cfRule>
  </conditionalFormatting>
  <conditionalFormatting sqref="B146:C146">
    <cfRule type="cellIs" dxfId="567" priority="499" stopIfTrue="1" operator="equal">
      <formula>"Towel"</formula>
    </cfRule>
    <cfRule type="cellIs" dxfId="566" priority="500" stopIfTrue="1" operator="equal">
      <formula>"Napkin Hs"</formula>
    </cfRule>
    <cfRule type="cellIs" dxfId="565" priority="505" stopIfTrue="1" operator="equal">
      <formula>"Towel"</formula>
    </cfRule>
    <cfRule type="cellIs" dxfId="564" priority="506" stopIfTrue="1" operator="equal">
      <formula>"Napkin Hs"</formula>
    </cfRule>
    <cfRule type="cellIs" dxfId="563" priority="511" stopIfTrue="1" operator="equal">
      <formula>"Towel"</formula>
    </cfRule>
    <cfRule type="cellIs" dxfId="562" priority="512" stopIfTrue="1" operator="equal">
      <formula>"Napkin Hs"</formula>
    </cfRule>
    <cfRule type="cellIs" dxfId="561" priority="517" stopIfTrue="1" operator="equal">
      <formula>"Towel"</formula>
    </cfRule>
    <cfRule type="cellIs" dxfId="560" priority="518" stopIfTrue="1" operator="equal">
      <formula>"Napkin Hs"</formula>
    </cfRule>
    <cfRule type="cellIs" dxfId="559" priority="523" stopIfTrue="1" operator="equal">
      <formula>"Towel"</formula>
    </cfRule>
    <cfRule type="cellIs" dxfId="558" priority="524" stopIfTrue="1" operator="equal">
      <formula>"Napkin Hs"</formula>
    </cfRule>
    <cfRule type="cellIs" dxfId="557" priority="529" stopIfTrue="1" operator="equal">
      <formula>"Towel"</formula>
    </cfRule>
    <cfRule type="cellIs" dxfId="556" priority="530" stopIfTrue="1" operator="equal">
      <formula>"Napkin Hs"</formula>
    </cfRule>
    <cfRule type="cellIs" dxfId="555" priority="535" stopIfTrue="1" operator="equal">
      <formula>"Towel"</formula>
    </cfRule>
    <cfRule type="cellIs" dxfId="554" priority="536" stopIfTrue="1" operator="equal">
      <formula>"Napkin Hs"</formula>
    </cfRule>
    <cfRule type="cellIs" dxfId="553" priority="541" stopIfTrue="1" operator="equal">
      <formula>"Towel"</formula>
    </cfRule>
    <cfRule type="cellIs" dxfId="552" priority="542" stopIfTrue="1" operator="equal">
      <formula>"Napkin Hs"</formula>
    </cfRule>
  </conditionalFormatting>
  <conditionalFormatting sqref="B146:C146">
    <cfRule type="cellIs" dxfId="551" priority="441" stopIfTrue="1" operator="equal">
      <formula>"Towel"</formula>
    </cfRule>
    <cfRule type="cellIs" dxfId="550" priority="442" stopIfTrue="1" operator="equal">
      <formula>"Napkin Hs"</formula>
    </cfRule>
    <cfRule type="cellIs" dxfId="549" priority="457" stopIfTrue="1" operator="equal">
      <formula>"Towel"</formula>
    </cfRule>
    <cfRule type="cellIs" dxfId="548" priority="458" stopIfTrue="1" operator="equal">
      <formula>"Napkin Hs"</formula>
    </cfRule>
    <cfRule type="cellIs" dxfId="547" priority="463" stopIfTrue="1" operator="equal">
      <formula>"Towel"</formula>
    </cfRule>
    <cfRule type="cellIs" dxfId="546" priority="464" stopIfTrue="1" operator="equal">
      <formula>"Napkin Hs"</formula>
    </cfRule>
    <cfRule type="cellIs" dxfId="545" priority="469" stopIfTrue="1" operator="equal">
      <formula>"Towel"</formula>
    </cfRule>
    <cfRule type="cellIs" dxfId="544" priority="470" stopIfTrue="1" operator="equal">
      <formula>"Napkin Hs"</formula>
    </cfRule>
    <cfRule type="cellIs" dxfId="543" priority="475" stopIfTrue="1" operator="equal">
      <formula>"Towel"</formula>
    </cfRule>
    <cfRule type="cellIs" dxfId="542" priority="476" stopIfTrue="1" operator="equal">
      <formula>"Napkin Hs"</formula>
    </cfRule>
    <cfRule type="cellIs" dxfId="541" priority="481" stopIfTrue="1" operator="equal">
      <formula>"Towel"</formula>
    </cfRule>
    <cfRule type="cellIs" dxfId="540" priority="482" stopIfTrue="1" operator="equal">
      <formula>"Napkin Hs"</formula>
    </cfRule>
    <cfRule type="cellIs" dxfId="539" priority="487" stopIfTrue="1" operator="equal">
      <formula>"Towel"</formula>
    </cfRule>
    <cfRule type="cellIs" dxfId="538" priority="488" stopIfTrue="1" operator="equal">
      <formula>"Napkin Hs"</formula>
    </cfRule>
    <cfRule type="cellIs" dxfId="537" priority="493" stopIfTrue="1" operator="equal">
      <formula>"Towel"</formula>
    </cfRule>
    <cfRule type="cellIs" dxfId="536" priority="494" stopIfTrue="1" operator="equal">
      <formula>"Napkin Hs"</formula>
    </cfRule>
  </conditionalFormatting>
  <conditionalFormatting sqref="C146">
    <cfRule type="cellIs" dxfId="535" priority="495" stopIfTrue="1" operator="equal">
      <formula>"Towel"</formula>
    </cfRule>
    <cfRule type="cellIs" dxfId="534" priority="496" stopIfTrue="1" operator="equal">
      <formula>"Napkin Hs"</formula>
    </cfRule>
    <cfRule type="cellIs" dxfId="533" priority="497" stopIfTrue="1" operator="equal">
      <formula>"Towel"</formula>
    </cfRule>
    <cfRule type="cellIs" dxfId="532" priority="498" stopIfTrue="1" operator="equal">
      <formula>"Napkin Hs"</formula>
    </cfRule>
    <cfRule type="cellIs" dxfId="531" priority="501" stopIfTrue="1" operator="equal">
      <formula>"Towel"</formula>
    </cfRule>
    <cfRule type="cellIs" dxfId="530" priority="502" stopIfTrue="1" operator="equal">
      <formula>"Napkin Hs"</formula>
    </cfRule>
    <cfRule type="cellIs" dxfId="529" priority="503" stopIfTrue="1" operator="equal">
      <formula>"Towel"</formula>
    </cfRule>
    <cfRule type="cellIs" dxfId="528" priority="504" stopIfTrue="1" operator="equal">
      <formula>"Napkin Hs"</formula>
    </cfRule>
    <cfRule type="cellIs" dxfId="527" priority="507" stopIfTrue="1" operator="equal">
      <formula>"Towel"</formula>
    </cfRule>
    <cfRule type="cellIs" dxfId="526" priority="508" stopIfTrue="1" operator="equal">
      <formula>"Napkin Hs"</formula>
    </cfRule>
    <cfRule type="cellIs" dxfId="525" priority="509" stopIfTrue="1" operator="equal">
      <formula>"Towel"</formula>
    </cfRule>
    <cfRule type="cellIs" dxfId="524" priority="510" stopIfTrue="1" operator="equal">
      <formula>"Napkin Hs"</formula>
    </cfRule>
    <cfRule type="cellIs" dxfId="523" priority="513" stopIfTrue="1" operator="equal">
      <formula>"Towel"</formula>
    </cfRule>
    <cfRule type="cellIs" dxfId="522" priority="514" stopIfTrue="1" operator="equal">
      <formula>"Napkin Hs"</formula>
    </cfRule>
    <cfRule type="cellIs" dxfId="521" priority="515" stopIfTrue="1" operator="equal">
      <formula>"Towel"</formula>
    </cfRule>
    <cfRule type="cellIs" dxfId="520" priority="516" stopIfTrue="1" operator="equal">
      <formula>"Napkin Hs"</formula>
    </cfRule>
    <cfRule type="cellIs" dxfId="519" priority="519" stopIfTrue="1" operator="equal">
      <formula>"Towel"</formula>
    </cfRule>
    <cfRule type="cellIs" dxfId="518" priority="520" stopIfTrue="1" operator="equal">
      <formula>"Napkin Hs"</formula>
    </cfRule>
    <cfRule type="cellIs" dxfId="517" priority="521" stopIfTrue="1" operator="equal">
      <formula>"Towel"</formula>
    </cfRule>
    <cfRule type="cellIs" dxfId="516" priority="522" stopIfTrue="1" operator="equal">
      <formula>"Napkin Hs"</formula>
    </cfRule>
    <cfRule type="cellIs" dxfId="515" priority="525" stopIfTrue="1" operator="equal">
      <formula>"Towel"</formula>
    </cfRule>
    <cfRule type="cellIs" dxfId="514" priority="526" stopIfTrue="1" operator="equal">
      <formula>"Napkin Hs"</formula>
    </cfRule>
    <cfRule type="cellIs" dxfId="513" priority="527" stopIfTrue="1" operator="equal">
      <formula>"Towel"</formula>
    </cfRule>
    <cfRule type="cellIs" dxfId="512" priority="528" stopIfTrue="1" operator="equal">
      <formula>"Napkin Hs"</formula>
    </cfRule>
    <cfRule type="cellIs" dxfId="511" priority="531" stopIfTrue="1" operator="equal">
      <formula>"Towel"</formula>
    </cfRule>
    <cfRule type="cellIs" dxfId="510" priority="532" stopIfTrue="1" operator="equal">
      <formula>"Napkin Hs"</formula>
    </cfRule>
    <cfRule type="cellIs" dxfId="509" priority="533" stopIfTrue="1" operator="equal">
      <formula>"Towel"</formula>
    </cfRule>
    <cfRule type="cellIs" dxfId="508" priority="534" stopIfTrue="1" operator="equal">
      <formula>"Napkin Hs"</formula>
    </cfRule>
    <cfRule type="cellIs" dxfId="507" priority="537" stopIfTrue="1" operator="equal">
      <formula>"Towel"</formula>
    </cfRule>
    <cfRule type="cellIs" dxfId="506" priority="538" stopIfTrue="1" operator="equal">
      <formula>"Napkin Hs"</formula>
    </cfRule>
  </conditionalFormatting>
  <conditionalFormatting sqref="C146">
    <cfRule type="cellIs" dxfId="505" priority="443" stopIfTrue="1" operator="equal">
      <formula>"Towel"</formula>
    </cfRule>
    <cfRule type="cellIs" dxfId="504" priority="444" stopIfTrue="1" operator="equal">
      <formula>"Napkin Hs"</formula>
    </cfRule>
    <cfRule type="cellIs" dxfId="503" priority="445" stopIfTrue="1" operator="equal">
      <formula>"Towel"</formula>
    </cfRule>
    <cfRule type="cellIs" dxfId="502" priority="446" stopIfTrue="1" operator="equal">
      <formula>"Napkin Hs"</formula>
    </cfRule>
    <cfRule type="cellIs" dxfId="501" priority="447" stopIfTrue="1" operator="equal">
      <formula>"Towel"</formula>
    </cfRule>
    <cfRule type="cellIs" dxfId="500" priority="448" stopIfTrue="1" operator="equal">
      <formula>"Napkin Hs"</formula>
    </cfRule>
    <cfRule type="cellIs" dxfId="499" priority="449" stopIfTrue="1" operator="equal">
      <formula>"Towel"</formula>
    </cfRule>
    <cfRule type="cellIs" dxfId="498" priority="450" stopIfTrue="1" operator="equal">
      <formula>"Napkin Hs"</formula>
    </cfRule>
    <cfRule type="cellIs" dxfId="497" priority="451" stopIfTrue="1" operator="equal">
      <formula>"Towel"</formula>
    </cfRule>
    <cfRule type="cellIs" dxfId="496" priority="452" stopIfTrue="1" operator="equal">
      <formula>"Napkin Hs"</formula>
    </cfRule>
    <cfRule type="cellIs" dxfId="495" priority="453" stopIfTrue="1" operator="equal">
      <formula>"Towel"</formula>
    </cfRule>
    <cfRule type="cellIs" dxfId="494" priority="454" stopIfTrue="1" operator="equal">
      <formula>"Napkin Hs"</formula>
    </cfRule>
    <cfRule type="cellIs" dxfId="493" priority="455" stopIfTrue="1" operator="equal">
      <formula>"Towel"</formula>
    </cfRule>
    <cfRule type="cellIs" dxfId="492" priority="456" stopIfTrue="1" operator="equal">
      <formula>"Napkin Hs"</formula>
    </cfRule>
    <cfRule type="cellIs" dxfId="491" priority="459" stopIfTrue="1" operator="equal">
      <formula>"Towel"</formula>
    </cfRule>
    <cfRule type="cellIs" dxfId="490" priority="460" stopIfTrue="1" operator="equal">
      <formula>"Napkin Hs"</formula>
    </cfRule>
    <cfRule type="cellIs" dxfId="489" priority="461" stopIfTrue="1" operator="equal">
      <formula>"Towel"</formula>
    </cfRule>
    <cfRule type="cellIs" dxfId="488" priority="462" stopIfTrue="1" operator="equal">
      <formula>"Napkin Hs"</formula>
    </cfRule>
    <cfRule type="cellIs" dxfId="487" priority="465" stopIfTrue="1" operator="equal">
      <formula>"Towel"</formula>
    </cfRule>
    <cfRule type="cellIs" dxfId="486" priority="466" stopIfTrue="1" operator="equal">
      <formula>"Napkin Hs"</formula>
    </cfRule>
    <cfRule type="cellIs" dxfId="485" priority="467" stopIfTrue="1" operator="equal">
      <formula>"Towel"</formula>
    </cfRule>
    <cfRule type="cellIs" dxfId="484" priority="468" stopIfTrue="1" operator="equal">
      <formula>"Napkin Hs"</formula>
    </cfRule>
    <cfRule type="cellIs" dxfId="483" priority="471" stopIfTrue="1" operator="equal">
      <formula>"Towel"</formula>
    </cfRule>
    <cfRule type="cellIs" dxfId="482" priority="472" stopIfTrue="1" operator="equal">
      <formula>"Napkin Hs"</formula>
    </cfRule>
    <cfRule type="cellIs" dxfId="481" priority="473" stopIfTrue="1" operator="equal">
      <formula>"Towel"</formula>
    </cfRule>
    <cfRule type="cellIs" dxfId="480" priority="474" stopIfTrue="1" operator="equal">
      <formula>"Napkin Hs"</formula>
    </cfRule>
    <cfRule type="cellIs" dxfId="479" priority="477" stopIfTrue="1" operator="equal">
      <formula>"Towel"</formula>
    </cfRule>
    <cfRule type="cellIs" dxfId="478" priority="478" stopIfTrue="1" operator="equal">
      <formula>"Napkin Hs"</formula>
    </cfRule>
    <cfRule type="cellIs" dxfId="477" priority="479" stopIfTrue="1" operator="equal">
      <formula>"Towel"</formula>
    </cfRule>
    <cfRule type="cellIs" dxfId="476" priority="480" stopIfTrue="1" operator="equal">
      <formula>"Napkin Hs"</formula>
    </cfRule>
    <cfRule type="cellIs" dxfId="475" priority="483" stopIfTrue="1" operator="equal">
      <formula>"Towel"</formula>
    </cfRule>
    <cfRule type="cellIs" dxfId="474" priority="484" stopIfTrue="1" operator="equal">
      <formula>"Napkin Hs"</formula>
    </cfRule>
    <cfRule type="cellIs" dxfId="473" priority="485" stopIfTrue="1" operator="equal">
      <formula>"Towel"</formula>
    </cfRule>
    <cfRule type="cellIs" dxfId="472" priority="486" stopIfTrue="1" operator="equal">
      <formula>"Napkin Hs"</formula>
    </cfRule>
    <cfRule type="cellIs" dxfId="471" priority="489" stopIfTrue="1" operator="equal">
      <formula>"Towel"</formula>
    </cfRule>
    <cfRule type="cellIs" dxfId="470" priority="490" stopIfTrue="1" operator="equal">
      <formula>"Napkin Hs"</formula>
    </cfRule>
    <cfRule type="cellIs" dxfId="469" priority="491" stopIfTrue="1" operator="equal">
      <formula>"Towel"</formula>
    </cfRule>
    <cfRule type="cellIs" dxfId="468" priority="492" stopIfTrue="1" operator="equal">
      <formula>"Napkin Hs"</formula>
    </cfRule>
    <cfRule type="cellIs" dxfId="467" priority="539" stopIfTrue="1" operator="equal">
      <formula>"Towel"</formula>
    </cfRule>
    <cfRule type="cellIs" dxfId="466" priority="540" stopIfTrue="1" operator="equal">
      <formula>"Napkin Hs"</formula>
    </cfRule>
  </conditionalFormatting>
  <conditionalFormatting sqref="B145:C145">
    <cfRule type="cellIs" dxfId="465" priority="361" stopIfTrue="1" operator="equal">
      <formula>"Towel"</formula>
    </cfRule>
    <cfRule type="cellIs" dxfId="464" priority="362" stopIfTrue="1" operator="equal">
      <formula>"Napkin Hs"</formula>
    </cfRule>
    <cfRule type="cellIs" dxfId="463" priority="367" stopIfTrue="1" operator="equal">
      <formula>"Towel"</formula>
    </cfRule>
    <cfRule type="cellIs" dxfId="462" priority="368" stopIfTrue="1" operator="equal">
      <formula>"Napkin Hs"</formula>
    </cfRule>
    <cfRule type="cellIs" dxfId="461" priority="373" stopIfTrue="1" operator="equal">
      <formula>"Towel"</formula>
    </cfRule>
    <cfRule type="cellIs" dxfId="460" priority="374" stopIfTrue="1" operator="equal">
      <formula>"Napkin Hs"</formula>
    </cfRule>
    <cfRule type="cellIs" dxfId="459" priority="379" stopIfTrue="1" operator="equal">
      <formula>"Towel"</formula>
    </cfRule>
    <cfRule type="cellIs" dxfId="458" priority="380" stopIfTrue="1" operator="equal">
      <formula>"Napkin Hs"</formula>
    </cfRule>
    <cfRule type="cellIs" dxfId="457" priority="385" stopIfTrue="1" operator="equal">
      <formula>"Towel"</formula>
    </cfRule>
    <cfRule type="cellIs" dxfId="456" priority="386" stopIfTrue="1" operator="equal">
      <formula>"Napkin Hs"</formula>
    </cfRule>
    <cfRule type="cellIs" dxfId="455" priority="391" stopIfTrue="1" operator="equal">
      <formula>"Towel"</formula>
    </cfRule>
    <cfRule type="cellIs" dxfId="454" priority="392" stopIfTrue="1" operator="equal">
      <formula>"Napkin Hs"</formula>
    </cfRule>
    <cfRule type="cellIs" dxfId="453" priority="395" stopIfTrue="1" operator="equal">
      <formula>"Towel"</formula>
    </cfRule>
    <cfRule type="cellIs" dxfId="452" priority="396" stopIfTrue="1" operator="equal">
      <formula>"Napkin Hs"</formula>
    </cfRule>
    <cfRule type="cellIs" dxfId="451" priority="401" stopIfTrue="1" operator="equal">
      <formula>"Towel"</formula>
    </cfRule>
    <cfRule type="cellIs" dxfId="450" priority="402" stopIfTrue="1" operator="equal">
      <formula>"Napkin Hs"</formula>
    </cfRule>
    <cfRule type="cellIs" dxfId="449" priority="407" stopIfTrue="1" operator="equal">
      <formula>"Towel"</formula>
    </cfRule>
    <cfRule type="cellIs" dxfId="448" priority="408" stopIfTrue="1" operator="equal">
      <formula>"Napkin Hs"</formula>
    </cfRule>
    <cfRule type="cellIs" dxfId="447" priority="413" stopIfTrue="1" operator="equal">
      <formula>"Towel"</formula>
    </cfRule>
    <cfRule type="cellIs" dxfId="446" priority="414" stopIfTrue="1" operator="equal">
      <formula>"Napkin Hs"</formula>
    </cfRule>
    <cfRule type="cellIs" dxfId="445" priority="419" stopIfTrue="1" operator="equal">
      <formula>"Towel"</formula>
    </cfRule>
    <cfRule type="cellIs" dxfId="444" priority="420" stopIfTrue="1" operator="equal">
      <formula>"Napkin Hs"</formula>
    </cfRule>
    <cfRule type="cellIs" dxfId="443" priority="425" stopIfTrue="1" operator="equal">
      <formula>"Towel"</formula>
    </cfRule>
    <cfRule type="cellIs" dxfId="442" priority="426" stopIfTrue="1" operator="equal">
      <formula>"Napkin Hs"</formula>
    </cfRule>
    <cfRule type="cellIs" dxfId="441" priority="431" stopIfTrue="1" operator="equal">
      <formula>"Towel"</formula>
    </cfRule>
    <cfRule type="cellIs" dxfId="440" priority="432" stopIfTrue="1" operator="equal">
      <formula>"Napkin Hs"</formula>
    </cfRule>
    <cfRule type="cellIs" dxfId="439" priority="436" stopIfTrue="1" operator="equal">
      <formula>"Napkin Hs"</formula>
    </cfRule>
  </conditionalFormatting>
  <conditionalFormatting sqref="B145:C145">
    <cfRule type="cellIs" dxfId="438" priority="435" stopIfTrue="1" operator="equal">
      <formula>"Towel"</formula>
    </cfRule>
  </conditionalFormatting>
  <conditionalFormatting sqref="C145">
    <cfRule type="cellIs" dxfId="437" priority="357" stopIfTrue="1" operator="equal">
      <formula>"Towel"</formula>
    </cfRule>
    <cfRule type="cellIs" dxfId="436" priority="358" stopIfTrue="1" operator="equal">
      <formula>"Napkin Hs"</formula>
    </cfRule>
  </conditionalFormatting>
  <conditionalFormatting sqref="C145">
    <cfRule type="cellIs" dxfId="435" priority="397" stopIfTrue="1" operator="equal">
      <formula>"Towel"</formula>
    </cfRule>
    <cfRule type="cellIs" dxfId="434" priority="398" stopIfTrue="1" operator="equal">
      <formula>"Napkin Hs"</formula>
    </cfRule>
    <cfRule type="cellIs" dxfId="433" priority="437" stopIfTrue="1" operator="equal">
      <formula>"Towel"</formula>
    </cfRule>
    <cfRule type="cellIs" dxfId="432" priority="438" stopIfTrue="1" operator="equal">
      <formula>"Napkin Hs"</formula>
    </cfRule>
  </conditionalFormatting>
  <conditionalFormatting sqref="C145">
    <cfRule type="cellIs" dxfId="431" priority="359" stopIfTrue="1" operator="equal">
      <formula>"Towel"</formula>
    </cfRule>
    <cfRule type="cellIs" dxfId="430" priority="360" stopIfTrue="1" operator="equal">
      <formula>"Napkin Hs"</formula>
    </cfRule>
    <cfRule type="cellIs" dxfId="429" priority="363" stopIfTrue="1" operator="equal">
      <formula>"Towel"</formula>
    </cfRule>
    <cfRule type="cellIs" dxfId="428" priority="364" stopIfTrue="1" operator="equal">
      <formula>"Napkin Hs"</formula>
    </cfRule>
    <cfRule type="cellIs" dxfId="427" priority="365" stopIfTrue="1" operator="equal">
      <formula>"Towel"</formula>
    </cfRule>
    <cfRule type="cellIs" dxfId="426" priority="366" stopIfTrue="1" operator="equal">
      <formula>"Napkin Hs"</formula>
    </cfRule>
    <cfRule type="cellIs" dxfId="425" priority="369" stopIfTrue="1" operator="equal">
      <formula>"Towel"</formula>
    </cfRule>
    <cfRule type="cellIs" dxfId="424" priority="370" stopIfTrue="1" operator="equal">
      <formula>"Napkin Hs"</formula>
    </cfRule>
    <cfRule type="cellIs" dxfId="423" priority="371" stopIfTrue="1" operator="equal">
      <formula>"Towel"</formula>
    </cfRule>
    <cfRule type="cellIs" dxfId="422" priority="372" stopIfTrue="1" operator="equal">
      <formula>"Napkin Hs"</formula>
    </cfRule>
    <cfRule type="cellIs" dxfId="421" priority="375" stopIfTrue="1" operator="equal">
      <formula>"Towel"</formula>
    </cfRule>
    <cfRule type="cellIs" dxfId="420" priority="376" stopIfTrue="1" operator="equal">
      <formula>"Napkin Hs"</formula>
    </cfRule>
    <cfRule type="cellIs" dxfId="419" priority="377" stopIfTrue="1" operator="equal">
      <formula>"Towel"</formula>
    </cfRule>
    <cfRule type="cellIs" dxfId="418" priority="378" stopIfTrue="1" operator="equal">
      <formula>"Napkin Hs"</formula>
    </cfRule>
    <cfRule type="cellIs" dxfId="417" priority="381" stopIfTrue="1" operator="equal">
      <formula>"Towel"</formula>
    </cfRule>
    <cfRule type="cellIs" dxfId="416" priority="382" stopIfTrue="1" operator="equal">
      <formula>"Napkin Hs"</formula>
    </cfRule>
    <cfRule type="cellIs" dxfId="415" priority="383" stopIfTrue="1" operator="equal">
      <formula>"Towel"</formula>
    </cfRule>
    <cfRule type="cellIs" dxfId="414" priority="384" stopIfTrue="1" operator="equal">
      <formula>"Napkin Hs"</formula>
    </cfRule>
    <cfRule type="cellIs" dxfId="413" priority="387" stopIfTrue="1" operator="equal">
      <formula>"Towel"</formula>
    </cfRule>
    <cfRule type="cellIs" dxfId="412" priority="388" stopIfTrue="1" operator="equal">
      <formula>"Napkin Hs"</formula>
    </cfRule>
    <cfRule type="cellIs" dxfId="411" priority="389" stopIfTrue="1" operator="equal">
      <formula>"Towel"</formula>
    </cfRule>
    <cfRule type="cellIs" dxfId="410" priority="390" stopIfTrue="1" operator="equal">
      <formula>"Napkin Hs"</formula>
    </cfRule>
    <cfRule type="cellIs" dxfId="409" priority="393" stopIfTrue="1" operator="equal">
      <formula>"Towel"</formula>
    </cfRule>
    <cfRule type="cellIs" dxfId="408" priority="394" stopIfTrue="1" operator="equal">
      <formula>"Napkin Hs"</formula>
    </cfRule>
    <cfRule type="cellIs" dxfId="407" priority="399" stopIfTrue="1" operator="equal">
      <formula>"Towel"</formula>
    </cfRule>
    <cfRule type="cellIs" dxfId="406" priority="400" stopIfTrue="1" operator="equal">
      <formula>"Napkin Hs"</formula>
    </cfRule>
    <cfRule type="cellIs" dxfId="405" priority="403" stopIfTrue="1" operator="equal">
      <formula>"Towel"</formula>
    </cfRule>
    <cfRule type="cellIs" dxfId="404" priority="404" stopIfTrue="1" operator="equal">
      <formula>"Napkin Hs"</formula>
    </cfRule>
    <cfRule type="cellIs" dxfId="403" priority="405" stopIfTrue="1" operator="equal">
      <formula>"Towel"</formula>
    </cfRule>
    <cfRule type="cellIs" dxfId="402" priority="406" stopIfTrue="1" operator="equal">
      <formula>"Napkin Hs"</formula>
    </cfRule>
    <cfRule type="cellIs" dxfId="401" priority="409" stopIfTrue="1" operator="equal">
      <formula>"Towel"</formula>
    </cfRule>
    <cfRule type="cellIs" dxfId="400" priority="410" stopIfTrue="1" operator="equal">
      <formula>"Napkin Hs"</formula>
    </cfRule>
    <cfRule type="cellIs" dxfId="399" priority="411" stopIfTrue="1" operator="equal">
      <formula>"Towel"</formula>
    </cfRule>
    <cfRule type="cellIs" dxfId="398" priority="412" stopIfTrue="1" operator="equal">
      <formula>"Napkin Hs"</formula>
    </cfRule>
    <cfRule type="cellIs" dxfId="397" priority="415" stopIfTrue="1" operator="equal">
      <formula>"Towel"</formula>
    </cfRule>
    <cfRule type="cellIs" dxfId="396" priority="416" stopIfTrue="1" operator="equal">
      <formula>"Napkin Hs"</formula>
    </cfRule>
    <cfRule type="cellIs" dxfId="395" priority="417" stopIfTrue="1" operator="equal">
      <formula>"Towel"</formula>
    </cfRule>
    <cfRule type="cellIs" dxfId="394" priority="418" stopIfTrue="1" operator="equal">
      <formula>"Napkin Hs"</formula>
    </cfRule>
    <cfRule type="cellIs" dxfId="393" priority="421" stopIfTrue="1" operator="equal">
      <formula>"Towel"</formula>
    </cfRule>
    <cfRule type="cellIs" dxfId="392" priority="422" stopIfTrue="1" operator="equal">
      <formula>"Napkin Hs"</formula>
    </cfRule>
    <cfRule type="cellIs" dxfId="391" priority="423" stopIfTrue="1" operator="equal">
      <formula>"Towel"</formula>
    </cfRule>
    <cfRule type="cellIs" dxfId="390" priority="424" stopIfTrue="1" operator="equal">
      <formula>"Napkin Hs"</formula>
    </cfRule>
    <cfRule type="cellIs" dxfId="389" priority="427" stopIfTrue="1" operator="equal">
      <formula>"Towel"</formula>
    </cfRule>
    <cfRule type="cellIs" dxfId="388" priority="428" stopIfTrue="1" operator="equal">
      <formula>"Napkin Hs"</formula>
    </cfRule>
    <cfRule type="cellIs" dxfId="387" priority="429" stopIfTrue="1" operator="equal">
      <formula>"Towel"</formula>
    </cfRule>
    <cfRule type="cellIs" dxfId="386" priority="430" stopIfTrue="1" operator="equal">
      <formula>"Napkin Hs"</formula>
    </cfRule>
  </conditionalFormatting>
  <conditionalFormatting sqref="C145">
    <cfRule type="cellIs" dxfId="385" priority="433" stopIfTrue="1" operator="equal">
      <formula>"Towel"</formula>
    </cfRule>
    <cfRule type="cellIs" dxfId="384" priority="434" stopIfTrue="1" operator="equal">
      <formula>"Napkin Hs"</formula>
    </cfRule>
  </conditionalFormatting>
  <conditionalFormatting sqref="B144:C144">
    <cfRule type="cellIs" dxfId="383" priority="279" stopIfTrue="1" operator="equal">
      <formula>"Towel"</formula>
    </cfRule>
    <cfRule type="cellIs" dxfId="382" priority="280" stopIfTrue="1" operator="equal">
      <formula>"Napkin Hs"</formula>
    </cfRule>
    <cfRule type="cellIs" dxfId="381" priority="285" stopIfTrue="1" operator="equal">
      <formula>"Towel"</formula>
    </cfRule>
    <cfRule type="cellIs" dxfId="380" priority="286" stopIfTrue="1" operator="equal">
      <formula>"Napkin Hs"</formula>
    </cfRule>
    <cfRule type="cellIs" dxfId="379" priority="291" stopIfTrue="1" operator="equal">
      <formula>"Towel"</formula>
    </cfRule>
    <cfRule type="cellIs" dxfId="378" priority="292" stopIfTrue="1" operator="equal">
      <formula>"Napkin Hs"</formula>
    </cfRule>
    <cfRule type="cellIs" dxfId="377" priority="297" stopIfTrue="1" operator="equal">
      <formula>"Towel"</formula>
    </cfRule>
    <cfRule type="cellIs" dxfId="376" priority="298" stopIfTrue="1" operator="equal">
      <formula>"Napkin Hs"</formula>
    </cfRule>
    <cfRule type="cellIs" dxfId="375" priority="303" stopIfTrue="1" operator="equal">
      <formula>"Towel"</formula>
    </cfRule>
    <cfRule type="cellIs" dxfId="374" priority="304" stopIfTrue="1" operator="equal">
      <formula>"Napkin Hs"</formula>
    </cfRule>
    <cfRule type="cellIs" dxfId="373" priority="309" stopIfTrue="1" operator="equal">
      <formula>"Towel"</formula>
    </cfRule>
    <cfRule type="cellIs" dxfId="372" priority="310" stopIfTrue="1" operator="equal">
      <formula>"Napkin Hs"</formula>
    </cfRule>
    <cfRule type="cellIs" dxfId="371" priority="313" stopIfTrue="1" operator="equal">
      <formula>"Towel"</formula>
    </cfRule>
    <cfRule type="cellIs" dxfId="370" priority="314" stopIfTrue="1" operator="equal">
      <formula>"Napkin Hs"</formula>
    </cfRule>
    <cfRule type="cellIs" dxfId="369" priority="319" stopIfTrue="1" operator="equal">
      <formula>"Towel"</formula>
    </cfRule>
    <cfRule type="cellIs" dxfId="368" priority="320" stopIfTrue="1" operator="equal">
      <formula>"Napkin Hs"</formula>
    </cfRule>
    <cfRule type="cellIs" dxfId="367" priority="325" stopIfTrue="1" operator="equal">
      <formula>"Towel"</formula>
    </cfRule>
    <cfRule type="cellIs" dxfId="366" priority="326" stopIfTrue="1" operator="equal">
      <formula>"Napkin Hs"</formula>
    </cfRule>
    <cfRule type="cellIs" dxfId="365" priority="331" stopIfTrue="1" operator="equal">
      <formula>"Towel"</formula>
    </cfRule>
    <cfRule type="cellIs" dxfId="364" priority="332" stopIfTrue="1" operator="equal">
      <formula>"Napkin Hs"</formula>
    </cfRule>
    <cfRule type="cellIs" dxfId="363" priority="337" stopIfTrue="1" operator="equal">
      <formula>"Towel"</formula>
    </cfRule>
    <cfRule type="cellIs" dxfId="362" priority="338" stopIfTrue="1" operator="equal">
      <formula>"Napkin Hs"</formula>
    </cfRule>
    <cfRule type="cellIs" dxfId="361" priority="343" stopIfTrue="1" operator="equal">
      <formula>"Towel"</formula>
    </cfRule>
    <cfRule type="cellIs" dxfId="360" priority="344" stopIfTrue="1" operator="equal">
      <formula>"Napkin Hs"</formula>
    </cfRule>
    <cfRule type="cellIs" dxfId="359" priority="349" stopIfTrue="1" operator="equal">
      <formula>"Towel"</formula>
    </cfRule>
    <cfRule type="cellIs" dxfId="358" priority="350" stopIfTrue="1" operator="equal">
      <formula>"Napkin Hs"</formula>
    </cfRule>
    <cfRule type="cellIs" dxfId="357" priority="354" stopIfTrue="1" operator="equal">
      <formula>"Napkin Hs"</formula>
    </cfRule>
  </conditionalFormatting>
  <conditionalFormatting sqref="B144:C144">
    <cfRule type="cellIs" dxfId="356" priority="353" stopIfTrue="1" operator="equal">
      <formula>"Towel"</formula>
    </cfRule>
  </conditionalFormatting>
  <conditionalFormatting sqref="C144">
    <cfRule type="cellIs" dxfId="355" priority="275" stopIfTrue="1" operator="equal">
      <formula>"Towel"</formula>
    </cfRule>
    <cfRule type="cellIs" dxfId="354" priority="276" stopIfTrue="1" operator="equal">
      <formula>"Napkin Hs"</formula>
    </cfRule>
  </conditionalFormatting>
  <conditionalFormatting sqref="C144">
    <cfRule type="cellIs" dxfId="353" priority="315" stopIfTrue="1" operator="equal">
      <formula>"Towel"</formula>
    </cfRule>
    <cfRule type="cellIs" dxfId="352" priority="316" stopIfTrue="1" operator="equal">
      <formula>"Napkin Hs"</formula>
    </cfRule>
    <cfRule type="cellIs" dxfId="351" priority="355" stopIfTrue="1" operator="equal">
      <formula>"Towel"</formula>
    </cfRule>
    <cfRule type="cellIs" dxfId="350" priority="356" stopIfTrue="1" operator="equal">
      <formula>"Napkin Hs"</formula>
    </cfRule>
  </conditionalFormatting>
  <conditionalFormatting sqref="C144">
    <cfRule type="cellIs" dxfId="349" priority="277" stopIfTrue="1" operator="equal">
      <formula>"Towel"</formula>
    </cfRule>
    <cfRule type="cellIs" dxfId="348" priority="278" stopIfTrue="1" operator="equal">
      <formula>"Napkin Hs"</formula>
    </cfRule>
    <cfRule type="cellIs" dxfId="347" priority="281" stopIfTrue="1" operator="equal">
      <formula>"Towel"</formula>
    </cfRule>
    <cfRule type="cellIs" dxfId="346" priority="282" stopIfTrue="1" operator="equal">
      <formula>"Napkin Hs"</formula>
    </cfRule>
    <cfRule type="cellIs" dxfId="345" priority="283" stopIfTrue="1" operator="equal">
      <formula>"Towel"</formula>
    </cfRule>
    <cfRule type="cellIs" dxfId="344" priority="284" stopIfTrue="1" operator="equal">
      <formula>"Napkin Hs"</formula>
    </cfRule>
    <cfRule type="cellIs" dxfId="343" priority="287" stopIfTrue="1" operator="equal">
      <formula>"Towel"</formula>
    </cfRule>
    <cfRule type="cellIs" dxfId="342" priority="288" stopIfTrue="1" operator="equal">
      <formula>"Napkin Hs"</formula>
    </cfRule>
    <cfRule type="cellIs" dxfId="341" priority="289" stopIfTrue="1" operator="equal">
      <formula>"Towel"</formula>
    </cfRule>
    <cfRule type="cellIs" dxfId="340" priority="290" stopIfTrue="1" operator="equal">
      <formula>"Napkin Hs"</formula>
    </cfRule>
    <cfRule type="cellIs" dxfId="339" priority="293" stopIfTrue="1" operator="equal">
      <formula>"Towel"</formula>
    </cfRule>
    <cfRule type="cellIs" dxfId="338" priority="294" stopIfTrue="1" operator="equal">
      <formula>"Napkin Hs"</formula>
    </cfRule>
    <cfRule type="cellIs" dxfId="337" priority="295" stopIfTrue="1" operator="equal">
      <formula>"Towel"</formula>
    </cfRule>
    <cfRule type="cellIs" dxfId="336" priority="296" stopIfTrue="1" operator="equal">
      <formula>"Napkin Hs"</formula>
    </cfRule>
    <cfRule type="cellIs" dxfId="335" priority="299" stopIfTrue="1" operator="equal">
      <formula>"Towel"</formula>
    </cfRule>
    <cfRule type="cellIs" dxfId="334" priority="300" stopIfTrue="1" operator="equal">
      <formula>"Napkin Hs"</formula>
    </cfRule>
    <cfRule type="cellIs" dxfId="333" priority="301" stopIfTrue="1" operator="equal">
      <formula>"Towel"</formula>
    </cfRule>
    <cfRule type="cellIs" dxfId="332" priority="302" stopIfTrue="1" operator="equal">
      <formula>"Napkin Hs"</formula>
    </cfRule>
    <cfRule type="cellIs" dxfId="331" priority="305" stopIfTrue="1" operator="equal">
      <formula>"Towel"</formula>
    </cfRule>
    <cfRule type="cellIs" dxfId="330" priority="306" stopIfTrue="1" operator="equal">
      <formula>"Napkin Hs"</formula>
    </cfRule>
    <cfRule type="cellIs" dxfId="329" priority="307" stopIfTrue="1" operator="equal">
      <formula>"Towel"</formula>
    </cfRule>
    <cfRule type="cellIs" dxfId="328" priority="308" stopIfTrue="1" operator="equal">
      <formula>"Napkin Hs"</formula>
    </cfRule>
    <cfRule type="cellIs" dxfId="327" priority="311" stopIfTrue="1" operator="equal">
      <formula>"Towel"</formula>
    </cfRule>
    <cfRule type="cellIs" dxfId="326" priority="312" stopIfTrue="1" operator="equal">
      <formula>"Napkin Hs"</formula>
    </cfRule>
    <cfRule type="cellIs" dxfId="325" priority="317" stopIfTrue="1" operator="equal">
      <formula>"Towel"</formula>
    </cfRule>
    <cfRule type="cellIs" dxfId="324" priority="318" stopIfTrue="1" operator="equal">
      <formula>"Napkin Hs"</formula>
    </cfRule>
    <cfRule type="cellIs" dxfId="323" priority="321" stopIfTrue="1" operator="equal">
      <formula>"Towel"</formula>
    </cfRule>
    <cfRule type="cellIs" dxfId="322" priority="322" stopIfTrue="1" operator="equal">
      <formula>"Napkin Hs"</formula>
    </cfRule>
    <cfRule type="cellIs" dxfId="321" priority="323" stopIfTrue="1" operator="equal">
      <formula>"Towel"</formula>
    </cfRule>
    <cfRule type="cellIs" dxfId="320" priority="324" stopIfTrue="1" operator="equal">
      <formula>"Napkin Hs"</formula>
    </cfRule>
    <cfRule type="cellIs" dxfId="319" priority="327" stopIfTrue="1" operator="equal">
      <formula>"Towel"</formula>
    </cfRule>
    <cfRule type="cellIs" dxfId="318" priority="328" stopIfTrue="1" operator="equal">
      <formula>"Napkin Hs"</formula>
    </cfRule>
    <cfRule type="cellIs" dxfId="317" priority="329" stopIfTrue="1" operator="equal">
      <formula>"Towel"</formula>
    </cfRule>
    <cfRule type="cellIs" dxfId="316" priority="330" stopIfTrue="1" operator="equal">
      <formula>"Napkin Hs"</formula>
    </cfRule>
    <cfRule type="cellIs" dxfId="315" priority="333" stopIfTrue="1" operator="equal">
      <formula>"Towel"</formula>
    </cfRule>
    <cfRule type="cellIs" dxfId="314" priority="334" stopIfTrue="1" operator="equal">
      <formula>"Napkin Hs"</formula>
    </cfRule>
    <cfRule type="cellIs" dxfId="313" priority="335" stopIfTrue="1" operator="equal">
      <formula>"Towel"</formula>
    </cfRule>
    <cfRule type="cellIs" dxfId="312" priority="336" stopIfTrue="1" operator="equal">
      <formula>"Napkin Hs"</formula>
    </cfRule>
    <cfRule type="cellIs" dxfId="311" priority="339" stopIfTrue="1" operator="equal">
      <formula>"Towel"</formula>
    </cfRule>
    <cfRule type="cellIs" dxfId="310" priority="340" stopIfTrue="1" operator="equal">
      <formula>"Napkin Hs"</formula>
    </cfRule>
    <cfRule type="cellIs" dxfId="309" priority="341" stopIfTrue="1" operator="equal">
      <formula>"Towel"</formula>
    </cfRule>
    <cfRule type="cellIs" dxfId="308" priority="342" stopIfTrue="1" operator="equal">
      <formula>"Napkin Hs"</formula>
    </cfRule>
    <cfRule type="cellIs" dxfId="307" priority="345" stopIfTrue="1" operator="equal">
      <formula>"Towel"</formula>
    </cfRule>
    <cfRule type="cellIs" dxfId="306" priority="346" stopIfTrue="1" operator="equal">
      <formula>"Napkin Hs"</formula>
    </cfRule>
    <cfRule type="cellIs" dxfId="305" priority="347" stopIfTrue="1" operator="equal">
      <formula>"Towel"</formula>
    </cfRule>
    <cfRule type="cellIs" dxfId="304" priority="348" stopIfTrue="1" operator="equal">
      <formula>"Napkin Hs"</formula>
    </cfRule>
  </conditionalFormatting>
  <conditionalFormatting sqref="C144">
    <cfRule type="cellIs" dxfId="303" priority="351" stopIfTrue="1" operator="equal">
      <formula>"Towel"</formula>
    </cfRule>
    <cfRule type="cellIs" dxfId="302" priority="352" stopIfTrue="1" operator="equal">
      <formula>"Napkin Hs"</formula>
    </cfRule>
  </conditionalFormatting>
  <conditionalFormatting sqref="B150:C150">
    <cfRule type="cellIs" dxfId="301" priority="272" stopIfTrue="1" operator="equal">
      <formula>"Napkin Hs"</formula>
    </cfRule>
  </conditionalFormatting>
  <conditionalFormatting sqref="B150:C150">
    <cfRule type="cellIs" dxfId="300" priority="271" stopIfTrue="1" operator="equal">
      <formula>"Towel"</formula>
    </cfRule>
  </conditionalFormatting>
  <conditionalFormatting sqref="C150">
    <cfRule type="cellIs" dxfId="299" priority="269" stopIfTrue="1" operator="equal">
      <formula>"Towel"</formula>
    </cfRule>
    <cfRule type="cellIs" dxfId="298" priority="270" stopIfTrue="1" operator="equal">
      <formula>"Napkin Hs"</formula>
    </cfRule>
  </conditionalFormatting>
  <conditionalFormatting sqref="C150">
    <cfRule type="cellIs" dxfId="297" priority="273" stopIfTrue="1" operator="equal">
      <formula>"Towel"</formula>
    </cfRule>
    <cfRule type="cellIs" dxfId="296" priority="274" stopIfTrue="1" operator="equal">
      <formula>"Napkin Hs"</formula>
    </cfRule>
  </conditionalFormatting>
  <conditionalFormatting sqref="B150">
    <cfRule type="cellIs" dxfId="295" priority="165" stopIfTrue="1" operator="equal">
      <formula>"Towel"</formula>
    </cfRule>
    <cfRule type="cellIs" dxfId="294" priority="166" stopIfTrue="1" operator="equal">
      <formula>"Napkin Hs"</formula>
    </cfRule>
  </conditionalFormatting>
  <conditionalFormatting sqref="B150:C150">
    <cfRule type="cellIs" dxfId="293" priority="225" stopIfTrue="1" operator="equal">
      <formula>"Towel"</formula>
    </cfRule>
    <cfRule type="cellIs" dxfId="292" priority="226" stopIfTrue="1" operator="equal">
      <formula>"Napkin Hs"</formula>
    </cfRule>
    <cfRule type="cellIs" dxfId="291" priority="231" stopIfTrue="1" operator="equal">
      <formula>"Towel"</formula>
    </cfRule>
    <cfRule type="cellIs" dxfId="290" priority="232" stopIfTrue="1" operator="equal">
      <formula>"Napkin Hs"</formula>
    </cfRule>
    <cfRule type="cellIs" dxfId="289" priority="237" stopIfTrue="1" operator="equal">
      <formula>"Towel"</formula>
    </cfRule>
    <cfRule type="cellIs" dxfId="288" priority="238" stopIfTrue="1" operator="equal">
      <formula>"Napkin Hs"</formula>
    </cfRule>
    <cfRule type="cellIs" dxfId="287" priority="243" stopIfTrue="1" operator="equal">
      <formula>"Towel"</formula>
    </cfRule>
    <cfRule type="cellIs" dxfId="286" priority="244" stopIfTrue="1" operator="equal">
      <formula>"Napkin Hs"</formula>
    </cfRule>
    <cfRule type="cellIs" dxfId="285" priority="249" stopIfTrue="1" operator="equal">
      <formula>"Towel"</formula>
    </cfRule>
    <cfRule type="cellIs" dxfId="284" priority="250" stopIfTrue="1" operator="equal">
      <formula>"Napkin Hs"</formula>
    </cfRule>
    <cfRule type="cellIs" dxfId="283" priority="255" stopIfTrue="1" operator="equal">
      <formula>"Towel"</formula>
    </cfRule>
    <cfRule type="cellIs" dxfId="282" priority="256" stopIfTrue="1" operator="equal">
      <formula>"Napkin Hs"</formula>
    </cfRule>
    <cfRule type="cellIs" dxfId="281" priority="261" stopIfTrue="1" operator="equal">
      <formula>"Towel"</formula>
    </cfRule>
    <cfRule type="cellIs" dxfId="280" priority="262" stopIfTrue="1" operator="equal">
      <formula>"Napkin Hs"</formula>
    </cfRule>
    <cfRule type="cellIs" dxfId="279" priority="267" stopIfTrue="1" operator="equal">
      <formula>"Towel"</formula>
    </cfRule>
    <cfRule type="cellIs" dxfId="278" priority="268" stopIfTrue="1" operator="equal">
      <formula>"Napkin Hs"</formula>
    </cfRule>
  </conditionalFormatting>
  <conditionalFormatting sqref="B150:C150">
    <cfRule type="cellIs" dxfId="277" priority="167" stopIfTrue="1" operator="equal">
      <formula>"Towel"</formula>
    </cfRule>
    <cfRule type="cellIs" dxfId="276" priority="168" stopIfTrue="1" operator="equal">
      <formula>"Napkin Hs"</formula>
    </cfRule>
    <cfRule type="cellIs" dxfId="275" priority="183" stopIfTrue="1" operator="equal">
      <formula>"Towel"</formula>
    </cfRule>
    <cfRule type="cellIs" dxfId="274" priority="184" stopIfTrue="1" operator="equal">
      <formula>"Napkin Hs"</formula>
    </cfRule>
    <cfRule type="cellIs" dxfId="273" priority="189" stopIfTrue="1" operator="equal">
      <formula>"Towel"</formula>
    </cfRule>
    <cfRule type="cellIs" dxfId="272" priority="190" stopIfTrue="1" operator="equal">
      <formula>"Napkin Hs"</formula>
    </cfRule>
    <cfRule type="cellIs" dxfId="271" priority="195" stopIfTrue="1" operator="equal">
      <formula>"Towel"</formula>
    </cfRule>
    <cfRule type="cellIs" dxfId="270" priority="196" stopIfTrue="1" operator="equal">
      <formula>"Napkin Hs"</formula>
    </cfRule>
    <cfRule type="cellIs" dxfId="269" priority="201" stopIfTrue="1" operator="equal">
      <formula>"Towel"</formula>
    </cfRule>
    <cfRule type="cellIs" dxfId="268" priority="202" stopIfTrue="1" operator="equal">
      <formula>"Napkin Hs"</formula>
    </cfRule>
    <cfRule type="cellIs" dxfId="267" priority="207" stopIfTrue="1" operator="equal">
      <formula>"Towel"</formula>
    </cfRule>
    <cfRule type="cellIs" dxfId="266" priority="208" stopIfTrue="1" operator="equal">
      <formula>"Napkin Hs"</formula>
    </cfRule>
    <cfRule type="cellIs" dxfId="265" priority="213" stopIfTrue="1" operator="equal">
      <formula>"Towel"</formula>
    </cfRule>
    <cfRule type="cellIs" dxfId="264" priority="214" stopIfTrue="1" operator="equal">
      <formula>"Napkin Hs"</formula>
    </cfRule>
    <cfRule type="cellIs" dxfId="263" priority="219" stopIfTrue="1" operator="equal">
      <formula>"Towel"</formula>
    </cfRule>
    <cfRule type="cellIs" dxfId="262" priority="220" stopIfTrue="1" operator="equal">
      <formula>"Napkin Hs"</formula>
    </cfRule>
  </conditionalFormatting>
  <conditionalFormatting sqref="C150">
    <cfRule type="cellIs" dxfId="261" priority="221" stopIfTrue="1" operator="equal">
      <formula>"Towel"</formula>
    </cfRule>
    <cfRule type="cellIs" dxfId="260" priority="222" stopIfTrue="1" operator="equal">
      <formula>"Napkin Hs"</formula>
    </cfRule>
    <cfRule type="cellIs" dxfId="259" priority="223" stopIfTrue="1" operator="equal">
      <formula>"Towel"</formula>
    </cfRule>
    <cfRule type="cellIs" dxfId="258" priority="224" stopIfTrue="1" operator="equal">
      <formula>"Napkin Hs"</formula>
    </cfRule>
    <cfRule type="cellIs" dxfId="257" priority="227" stopIfTrue="1" operator="equal">
      <formula>"Towel"</formula>
    </cfRule>
    <cfRule type="cellIs" dxfId="256" priority="228" stopIfTrue="1" operator="equal">
      <formula>"Napkin Hs"</formula>
    </cfRule>
    <cfRule type="cellIs" dxfId="255" priority="229" stopIfTrue="1" operator="equal">
      <formula>"Towel"</formula>
    </cfRule>
    <cfRule type="cellIs" dxfId="254" priority="230" stopIfTrue="1" operator="equal">
      <formula>"Napkin Hs"</formula>
    </cfRule>
    <cfRule type="cellIs" dxfId="253" priority="233" stopIfTrue="1" operator="equal">
      <formula>"Towel"</formula>
    </cfRule>
    <cfRule type="cellIs" dxfId="252" priority="234" stopIfTrue="1" operator="equal">
      <formula>"Napkin Hs"</formula>
    </cfRule>
    <cfRule type="cellIs" dxfId="251" priority="235" stopIfTrue="1" operator="equal">
      <formula>"Towel"</formula>
    </cfRule>
    <cfRule type="cellIs" dxfId="250" priority="236" stopIfTrue="1" operator="equal">
      <formula>"Napkin Hs"</formula>
    </cfRule>
    <cfRule type="cellIs" dxfId="249" priority="239" stopIfTrue="1" operator="equal">
      <formula>"Towel"</formula>
    </cfRule>
    <cfRule type="cellIs" dxfId="248" priority="240" stopIfTrue="1" operator="equal">
      <formula>"Napkin Hs"</formula>
    </cfRule>
    <cfRule type="cellIs" dxfId="247" priority="241" stopIfTrue="1" operator="equal">
      <formula>"Towel"</formula>
    </cfRule>
    <cfRule type="cellIs" dxfId="246" priority="242" stopIfTrue="1" operator="equal">
      <formula>"Napkin Hs"</formula>
    </cfRule>
    <cfRule type="cellIs" dxfId="245" priority="245" stopIfTrue="1" operator="equal">
      <formula>"Towel"</formula>
    </cfRule>
    <cfRule type="cellIs" dxfId="244" priority="246" stopIfTrue="1" operator="equal">
      <formula>"Napkin Hs"</formula>
    </cfRule>
    <cfRule type="cellIs" dxfId="243" priority="247" stopIfTrue="1" operator="equal">
      <formula>"Towel"</formula>
    </cfRule>
    <cfRule type="cellIs" dxfId="242" priority="248" stopIfTrue="1" operator="equal">
      <formula>"Napkin Hs"</formula>
    </cfRule>
    <cfRule type="cellIs" dxfId="241" priority="251" stopIfTrue="1" operator="equal">
      <formula>"Towel"</formula>
    </cfRule>
    <cfRule type="cellIs" dxfId="240" priority="252" stopIfTrue="1" operator="equal">
      <formula>"Napkin Hs"</formula>
    </cfRule>
    <cfRule type="cellIs" dxfId="239" priority="253" stopIfTrue="1" operator="equal">
      <formula>"Towel"</formula>
    </cfRule>
    <cfRule type="cellIs" dxfId="238" priority="254" stopIfTrue="1" operator="equal">
      <formula>"Napkin Hs"</formula>
    </cfRule>
    <cfRule type="cellIs" dxfId="237" priority="257" stopIfTrue="1" operator="equal">
      <formula>"Towel"</formula>
    </cfRule>
    <cfRule type="cellIs" dxfId="236" priority="258" stopIfTrue="1" operator="equal">
      <formula>"Napkin Hs"</formula>
    </cfRule>
    <cfRule type="cellIs" dxfId="235" priority="259" stopIfTrue="1" operator="equal">
      <formula>"Towel"</formula>
    </cfRule>
    <cfRule type="cellIs" dxfId="234" priority="260" stopIfTrue="1" operator="equal">
      <formula>"Napkin Hs"</formula>
    </cfRule>
    <cfRule type="cellIs" dxfId="233" priority="263" stopIfTrue="1" operator="equal">
      <formula>"Towel"</formula>
    </cfRule>
    <cfRule type="cellIs" dxfId="232" priority="264" stopIfTrue="1" operator="equal">
      <formula>"Napkin Hs"</formula>
    </cfRule>
  </conditionalFormatting>
  <conditionalFormatting sqref="C150">
    <cfRule type="cellIs" dxfId="231" priority="169" stopIfTrue="1" operator="equal">
      <formula>"Towel"</formula>
    </cfRule>
    <cfRule type="cellIs" dxfId="230" priority="170" stopIfTrue="1" operator="equal">
      <formula>"Napkin Hs"</formula>
    </cfRule>
    <cfRule type="cellIs" dxfId="229" priority="171" stopIfTrue="1" operator="equal">
      <formula>"Towel"</formula>
    </cfRule>
    <cfRule type="cellIs" dxfId="228" priority="172" stopIfTrue="1" operator="equal">
      <formula>"Napkin Hs"</formula>
    </cfRule>
    <cfRule type="cellIs" dxfId="227" priority="173" stopIfTrue="1" operator="equal">
      <formula>"Towel"</formula>
    </cfRule>
    <cfRule type="cellIs" dxfId="226" priority="174" stopIfTrue="1" operator="equal">
      <formula>"Napkin Hs"</formula>
    </cfRule>
    <cfRule type="cellIs" dxfId="225" priority="175" stopIfTrue="1" operator="equal">
      <formula>"Towel"</formula>
    </cfRule>
    <cfRule type="cellIs" dxfId="224" priority="176" stopIfTrue="1" operator="equal">
      <formula>"Napkin Hs"</formula>
    </cfRule>
    <cfRule type="cellIs" dxfId="223" priority="177" stopIfTrue="1" operator="equal">
      <formula>"Towel"</formula>
    </cfRule>
    <cfRule type="cellIs" dxfId="222" priority="178" stopIfTrue="1" operator="equal">
      <formula>"Napkin Hs"</formula>
    </cfRule>
    <cfRule type="cellIs" dxfId="221" priority="179" stopIfTrue="1" operator="equal">
      <formula>"Towel"</formula>
    </cfRule>
    <cfRule type="cellIs" dxfId="220" priority="180" stopIfTrue="1" operator="equal">
      <formula>"Napkin Hs"</formula>
    </cfRule>
    <cfRule type="cellIs" dxfId="219" priority="181" stopIfTrue="1" operator="equal">
      <formula>"Towel"</formula>
    </cfRule>
    <cfRule type="cellIs" dxfId="218" priority="182" stopIfTrue="1" operator="equal">
      <formula>"Napkin Hs"</formula>
    </cfRule>
    <cfRule type="cellIs" dxfId="217" priority="185" stopIfTrue="1" operator="equal">
      <formula>"Towel"</formula>
    </cfRule>
    <cfRule type="cellIs" dxfId="216" priority="186" stopIfTrue="1" operator="equal">
      <formula>"Napkin Hs"</formula>
    </cfRule>
    <cfRule type="cellIs" dxfId="215" priority="187" stopIfTrue="1" operator="equal">
      <formula>"Towel"</formula>
    </cfRule>
    <cfRule type="cellIs" dxfId="214" priority="188" stopIfTrue="1" operator="equal">
      <formula>"Napkin Hs"</formula>
    </cfRule>
    <cfRule type="cellIs" dxfId="213" priority="191" stopIfTrue="1" operator="equal">
      <formula>"Towel"</formula>
    </cfRule>
    <cfRule type="cellIs" dxfId="212" priority="192" stopIfTrue="1" operator="equal">
      <formula>"Napkin Hs"</formula>
    </cfRule>
    <cfRule type="cellIs" dxfId="211" priority="193" stopIfTrue="1" operator="equal">
      <formula>"Towel"</formula>
    </cfRule>
    <cfRule type="cellIs" dxfId="210" priority="194" stopIfTrue="1" operator="equal">
      <formula>"Napkin Hs"</formula>
    </cfRule>
    <cfRule type="cellIs" dxfId="209" priority="197" stopIfTrue="1" operator="equal">
      <formula>"Towel"</formula>
    </cfRule>
    <cfRule type="cellIs" dxfId="208" priority="198" stopIfTrue="1" operator="equal">
      <formula>"Napkin Hs"</formula>
    </cfRule>
    <cfRule type="cellIs" dxfId="207" priority="199" stopIfTrue="1" operator="equal">
      <formula>"Towel"</formula>
    </cfRule>
    <cfRule type="cellIs" dxfId="206" priority="200" stopIfTrue="1" operator="equal">
      <formula>"Napkin Hs"</formula>
    </cfRule>
    <cfRule type="cellIs" dxfId="205" priority="203" stopIfTrue="1" operator="equal">
      <formula>"Towel"</formula>
    </cfRule>
    <cfRule type="cellIs" dxfId="204" priority="204" stopIfTrue="1" operator="equal">
      <formula>"Napkin Hs"</formula>
    </cfRule>
    <cfRule type="cellIs" dxfId="203" priority="205" stopIfTrue="1" operator="equal">
      <formula>"Towel"</formula>
    </cfRule>
    <cfRule type="cellIs" dxfId="202" priority="206" stopIfTrue="1" operator="equal">
      <formula>"Napkin Hs"</formula>
    </cfRule>
    <cfRule type="cellIs" dxfId="201" priority="209" stopIfTrue="1" operator="equal">
      <formula>"Towel"</formula>
    </cfRule>
    <cfRule type="cellIs" dxfId="200" priority="210" stopIfTrue="1" operator="equal">
      <formula>"Napkin Hs"</formula>
    </cfRule>
    <cfRule type="cellIs" dxfId="199" priority="211" stopIfTrue="1" operator="equal">
      <formula>"Towel"</formula>
    </cfRule>
    <cfRule type="cellIs" dxfId="198" priority="212" stopIfTrue="1" operator="equal">
      <formula>"Napkin Hs"</formula>
    </cfRule>
    <cfRule type="cellIs" dxfId="197" priority="215" stopIfTrue="1" operator="equal">
      <formula>"Towel"</formula>
    </cfRule>
    <cfRule type="cellIs" dxfId="196" priority="216" stopIfTrue="1" operator="equal">
      <formula>"Napkin Hs"</formula>
    </cfRule>
    <cfRule type="cellIs" dxfId="195" priority="217" stopIfTrue="1" operator="equal">
      <formula>"Towel"</formula>
    </cfRule>
    <cfRule type="cellIs" dxfId="194" priority="218" stopIfTrue="1" operator="equal">
      <formula>"Napkin Hs"</formula>
    </cfRule>
    <cfRule type="cellIs" dxfId="193" priority="265" stopIfTrue="1" operator="equal">
      <formula>"Towel"</formula>
    </cfRule>
    <cfRule type="cellIs" dxfId="192" priority="266" stopIfTrue="1" operator="equal">
      <formula>"Napkin Hs"</formula>
    </cfRule>
  </conditionalFormatting>
  <conditionalFormatting sqref="B148:C148">
    <cfRule type="cellIs" dxfId="191" priority="87" stopIfTrue="1" operator="equal">
      <formula>"Towel"</formula>
    </cfRule>
    <cfRule type="cellIs" dxfId="190" priority="88" stopIfTrue="1" operator="equal">
      <formula>"Napkin Hs"</formula>
    </cfRule>
    <cfRule type="cellIs" dxfId="189" priority="93" stopIfTrue="1" operator="equal">
      <formula>"Towel"</formula>
    </cfRule>
    <cfRule type="cellIs" dxfId="188" priority="94" stopIfTrue="1" operator="equal">
      <formula>"Napkin Hs"</formula>
    </cfRule>
    <cfRule type="cellIs" dxfId="187" priority="99" stopIfTrue="1" operator="equal">
      <formula>"Towel"</formula>
    </cfRule>
    <cfRule type="cellIs" dxfId="186" priority="100" stopIfTrue="1" operator="equal">
      <formula>"Napkin Hs"</formula>
    </cfRule>
    <cfRule type="cellIs" dxfId="185" priority="105" stopIfTrue="1" operator="equal">
      <formula>"Towel"</formula>
    </cfRule>
    <cfRule type="cellIs" dxfId="184" priority="106" stopIfTrue="1" operator="equal">
      <formula>"Napkin Hs"</formula>
    </cfRule>
    <cfRule type="cellIs" dxfId="183" priority="111" stopIfTrue="1" operator="equal">
      <formula>"Towel"</formula>
    </cfRule>
    <cfRule type="cellIs" dxfId="182" priority="112" stopIfTrue="1" operator="equal">
      <formula>"Napkin Hs"</formula>
    </cfRule>
    <cfRule type="cellIs" dxfId="181" priority="117" stopIfTrue="1" operator="equal">
      <formula>"Towel"</formula>
    </cfRule>
    <cfRule type="cellIs" dxfId="180" priority="118" stopIfTrue="1" operator="equal">
      <formula>"Napkin Hs"</formula>
    </cfRule>
    <cfRule type="cellIs" dxfId="179" priority="121" stopIfTrue="1" operator="equal">
      <formula>"Towel"</formula>
    </cfRule>
    <cfRule type="cellIs" dxfId="178" priority="122" stopIfTrue="1" operator="equal">
      <formula>"Napkin Hs"</formula>
    </cfRule>
    <cfRule type="cellIs" dxfId="177" priority="127" stopIfTrue="1" operator="equal">
      <formula>"Towel"</formula>
    </cfRule>
    <cfRule type="cellIs" dxfId="176" priority="128" stopIfTrue="1" operator="equal">
      <formula>"Napkin Hs"</formula>
    </cfRule>
    <cfRule type="cellIs" dxfId="175" priority="133" stopIfTrue="1" operator="equal">
      <formula>"Towel"</formula>
    </cfRule>
    <cfRule type="cellIs" dxfId="174" priority="134" stopIfTrue="1" operator="equal">
      <formula>"Napkin Hs"</formula>
    </cfRule>
    <cfRule type="cellIs" dxfId="173" priority="139" stopIfTrue="1" operator="equal">
      <formula>"Towel"</formula>
    </cfRule>
    <cfRule type="cellIs" dxfId="172" priority="140" stopIfTrue="1" operator="equal">
      <formula>"Napkin Hs"</formula>
    </cfRule>
    <cfRule type="cellIs" dxfId="171" priority="145" stopIfTrue="1" operator="equal">
      <formula>"Towel"</formula>
    </cfRule>
    <cfRule type="cellIs" dxfId="170" priority="146" stopIfTrue="1" operator="equal">
      <formula>"Napkin Hs"</formula>
    </cfRule>
    <cfRule type="cellIs" dxfId="169" priority="151" stopIfTrue="1" operator="equal">
      <formula>"Towel"</formula>
    </cfRule>
    <cfRule type="cellIs" dxfId="168" priority="152" stopIfTrue="1" operator="equal">
      <formula>"Napkin Hs"</formula>
    </cfRule>
    <cfRule type="cellIs" dxfId="167" priority="157" stopIfTrue="1" operator="equal">
      <formula>"Towel"</formula>
    </cfRule>
    <cfRule type="cellIs" dxfId="166" priority="158" stopIfTrue="1" operator="equal">
      <formula>"Napkin Hs"</formula>
    </cfRule>
    <cfRule type="cellIs" dxfId="165" priority="162" stopIfTrue="1" operator="equal">
      <formula>"Napkin Hs"</formula>
    </cfRule>
  </conditionalFormatting>
  <conditionalFormatting sqref="B148:C148">
    <cfRule type="cellIs" dxfId="164" priority="161" stopIfTrue="1" operator="equal">
      <formula>"Towel"</formula>
    </cfRule>
  </conditionalFormatting>
  <conditionalFormatting sqref="C148">
    <cfRule type="cellIs" dxfId="163" priority="83" stopIfTrue="1" operator="equal">
      <formula>"Towel"</formula>
    </cfRule>
    <cfRule type="cellIs" dxfId="162" priority="84" stopIfTrue="1" operator="equal">
      <formula>"Napkin Hs"</formula>
    </cfRule>
  </conditionalFormatting>
  <conditionalFormatting sqref="C148">
    <cfRule type="cellIs" dxfId="161" priority="123" stopIfTrue="1" operator="equal">
      <formula>"Towel"</formula>
    </cfRule>
    <cfRule type="cellIs" dxfId="160" priority="124" stopIfTrue="1" operator="equal">
      <formula>"Napkin Hs"</formula>
    </cfRule>
    <cfRule type="cellIs" dxfId="159" priority="163" stopIfTrue="1" operator="equal">
      <formula>"Towel"</formula>
    </cfRule>
    <cfRule type="cellIs" dxfId="158" priority="164" stopIfTrue="1" operator="equal">
      <formula>"Napkin Hs"</formula>
    </cfRule>
  </conditionalFormatting>
  <conditionalFormatting sqref="C148">
    <cfRule type="cellIs" dxfId="157" priority="85" stopIfTrue="1" operator="equal">
      <formula>"Towel"</formula>
    </cfRule>
    <cfRule type="cellIs" dxfId="156" priority="86" stopIfTrue="1" operator="equal">
      <formula>"Napkin Hs"</formula>
    </cfRule>
    <cfRule type="cellIs" dxfId="155" priority="89" stopIfTrue="1" operator="equal">
      <formula>"Towel"</formula>
    </cfRule>
    <cfRule type="cellIs" dxfId="154" priority="90" stopIfTrue="1" operator="equal">
      <formula>"Napkin Hs"</formula>
    </cfRule>
    <cfRule type="cellIs" dxfId="153" priority="91" stopIfTrue="1" operator="equal">
      <formula>"Towel"</formula>
    </cfRule>
    <cfRule type="cellIs" dxfId="152" priority="92" stopIfTrue="1" operator="equal">
      <formula>"Napkin Hs"</formula>
    </cfRule>
    <cfRule type="cellIs" dxfId="151" priority="95" stopIfTrue="1" operator="equal">
      <formula>"Towel"</formula>
    </cfRule>
    <cfRule type="cellIs" dxfId="150" priority="96" stopIfTrue="1" operator="equal">
      <formula>"Napkin Hs"</formula>
    </cfRule>
    <cfRule type="cellIs" dxfId="149" priority="97" stopIfTrue="1" operator="equal">
      <formula>"Towel"</formula>
    </cfRule>
    <cfRule type="cellIs" dxfId="148" priority="98" stopIfTrue="1" operator="equal">
      <formula>"Napkin Hs"</formula>
    </cfRule>
    <cfRule type="cellIs" dxfId="147" priority="101" stopIfTrue="1" operator="equal">
      <formula>"Towel"</formula>
    </cfRule>
    <cfRule type="cellIs" dxfId="146" priority="102" stopIfTrue="1" operator="equal">
      <formula>"Napkin Hs"</formula>
    </cfRule>
    <cfRule type="cellIs" dxfId="145" priority="103" stopIfTrue="1" operator="equal">
      <formula>"Towel"</formula>
    </cfRule>
    <cfRule type="cellIs" dxfId="144" priority="104" stopIfTrue="1" operator="equal">
      <formula>"Napkin Hs"</formula>
    </cfRule>
    <cfRule type="cellIs" dxfId="143" priority="107" stopIfTrue="1" operator="equal">
      <formula>"Towel"</formula>
    </cfRule>
    <cfRule type="cellIs" dxfId="142" priority="108" stopIfTrue="1" operator="equal">
      <formula>"Napkin Hs"</formula>
    </cfRule>
    <cfRule type="cellIs" dxfId="141" priority="109" stopIfTrue="1" operator="equal">
      <formula>"Towel"</formula>
    </cfRule>
    <cfRule type="cellIs" dxfId="140" priority="110" stopIfTrue="1" operator="equal">
      <formula>"Napkin Hs"</formula>
    </cfRule>
    <cfRule type="cellIs" dxfId="139" priority="113" stopIfTrue="1" operator="equal">
      <formula>"Towel"</formula>
    </cfRule>
    <cfRule type="cellIs" dxfId="138" priority="114" stopIfTrue="1" operator="equal">
      <formula>"Napkin Hs"</formula>
    </cfRule>
    <cfRule type="cellIs" dxfId="137" priority="115" stopIfTrue="1" operator="equal">
      <formula>"Towel"</formula>
    </cfRule>
    <cfRule type="cellIs" dxfId="136" priority="116" stopIfTrue="1" operator="equal">
      <formula>"Napkin Hs"</formula>
    </cfRule>
    <cfRule type="cellIs" dxfId="135" priority="119" stopIfTrue="1" operator="equal">
      <formula>"Towel"</formula>
    </cfRule>
    <cfRule type="cellIs" dxfId="134" priority="120" stopIfTrue="1" operator="equal">
      <formula>"Napkin Hs"</formula>
    </cfRule>
    <cfRule type="cellIs" dxfId="133" priority="125" stopIfTrue="1" operator="equal">
      <formula>"Towel"</formula>
    </cfRule>
    <cfRule type="cellIs" dxfId="132" priority="126" stopIfTrue="1" operator="equal">
      <formula>"Napkin Hs"</formula>
    </cfRule>
    <cfRule type="cellIs" dxfId="131" priority="129" stopIfTrue="1" operator="equal">
      <formula>"Towel"</formula>
    </cfRule>
    <cfRule type="cellIs" dxfId="130" priority="130" stopIfTrue="1" operator="equal">
      <formula>"Napkin Hs"</formula>
    </cfRule>
    <cfRule type="cellIs" dxfId="129" priority="131" stopIfTrue="1" operator="equal">
      <formula>"Towel"</formula>
    </cfRule>
    <cfRule type="cellIs" dxfId="128" priority="132" stopIfTrue="1" operator="equal">
      <formula>"Napkin Hs"</formula>
    </cfRule>
    <cfRule type="cellIs" dxfId="127" priority="135" stopIfTrue="1" operator="equal">
      <formula>"Towel"</formula>
    </cfRule>
    <cfRule type="cellIs" dxfId="126" priority="136" stopIfTrue="1" operator="equal">
      <formula>"Napkin Hs"</formula>
    </cfRule>
    <cfRule type="cellIs" dxfId="125" priority="137" stopIfTrue="1" operator="equal">
      <formula>"Towel"</formula>
    </cfRule>
    <cfRule type="cellIs" dxfId="124" priority="138" stopIfTrue="1" operator="equal">
      <formula>"Napkin Hs"</formula>
    </cfRule>
    <cfRule type="cellIs" dxfId="123" priority="141" stopIfTrue="1" operator="equal">
      <formula>"Towel"</formula>
    </cfRule>
    <cfRule type="cellIs" dxfId="122" priority="142" stopIfTrue="1" operator="equal">
      <formula>"Napkin Hs"</formula>
    </cfRule>
    <cfRule type="cellIs" dxfId="121" priority="143" stopIfTrue="1" operator="equal">
      <formula>"Towel"</formula>
    </cfRule>
    <cfRule type="cellIs" dxfId="120" priority="144" stopIfTrue="1" operator="equal">
      <formula>"Napkin Hs"</formula>
    </cfRule>
    <cfRule type="cellIs" dxfId="119" priority="147" stopIfTrue="1" operator="equal">
      <formula>"Towel"</formula>
    </cfRule>
    <cfRule type="cellIs" dxfId="118" priority="148" stopIfTrue="1" operator="equal">
      <formula>"Napkin Hs"</formula>
    </cfRule>
    <cfRule type="cellIs" dxfId="117" priority="149" stopIfTrue="1" operator="equal">
      <formula>"Towel"</formula>
    </cfRule>
    <cfRule type="cellIs" dxfId="116" priority="150" stopIfTrue="1" operator="equal">
      <formula>"Napkin Hs"</formula>
    </cfRule>
    <cfRule type="cellIs" dxfId="115" priority="153" stopIfTrue="1" operator="equal">
      <formula>"Towel"</formula>
    </cfRule>
    <cfRule type="cellIs" dxfId="114" priority="154" stopIfTrue="1" operator="equal">
      <formula>"Napkin Hs"</formula>
    </cfRule>
    <cfRule type="cellIs" dxfId="113" priority="155" stopIfTrue="1" operator="equal">
      <formula>"Towel"</formula>
    </cfRule>
    <cfRule type="cellIs" dxfId="112" priority="156" stopIfTrue="1" operator="equal">
      <formula>"Napkin Hs"</formula>
    </cfRule>
  </conditionalFormatting>
  <conditionalFormatting sqref="C148">
    <cfRule type="cellIs" dxfId="111" priority="159" stopIfTrue="1" operator="equal">
      <formula>"Towel"</formula>
    </cfRule>
    <cfRule type="cellIs" dxfId="110" priority="160" stopIfTrue="1" operator="equal">
      <formula>"Napkin Hs"</formula>
    </cfRule>
  </conditionalFormatting>
  <conditionalFormatting sqref="B149:C149">
    <cfRule type="cellIs" dxfId="109" priority="5" stopIfTrue="1" operator="equal">
      <formula>"Towel"</formula>
    </cfRule>
    <cfRule type="cellIs" dxfId="108" priority="6" stopIfTrue="1" operator="equal">
      <formula>"Napkin Hs"</formula>
    </cfRule>
    <cfRule type="cellIs" dxfId="107" priority="11" stopIfTrue="1" operator="equal">
      <formula>"Towel"</formula>
    </cfRule>
    <cfRule type="cellIs" dxfId="106" priority="12" stopIfTrue="1" operator="equal">
      <formula>"Napkin Hs"</formula>
    </cfRule>
    <cfRule type="cellIs" dxfId="105" priority="17" stopIfTrue="1" operator="equal">
      <formula>"Towel"</formula>
    </cfRule>
    <cfRule type="cellIs" dxfId="104" priority="18" stopIfTrue="1" operator="equal">
      <formula>"Napkin Hs"</formula>
    </cfRule>
    <cfRule type="cellIs" dxfId="103" priority="23" stopIfTrue="1" operator="equal">
      <formula>"Towel"</formula>
    </cfRule>
    <cfRule type="cellIs" dxfId="102" priority="24" stopIfTrue="1" operator="equal">
      <formula>"Napkin Hs"</formula>
    </cfRule>
    <cfRule type="cellIs" dxfId="101" priority="29" stopIfTrue="1" operator="equal">
      <formula>"Towel"</formula>
    </cfRule>
    <cfRule type="cellIs" dxfId="100" priority="30" stopIfTrue="1" operator="equal">
      <formula>"Napkin Hs"</formula>
    </cfRule>
    <cfRule type="cellIs" dxfId="99" priority="35" stopIfTrue="1" operator="equal">
      <formula>"Towel"</formula>
    </cfRule>
    <cfRule type="cellIs" dxfId="98" priority="36" stopIfTrue="1" operator="equal">
      <formula>"Napkin Hs"</formula>
    </cfRule>
    <cfRule type="cellIs" dxfId="97" priority="39" stopIfTrue="1" operator="equal">
      <formula>"Towel"</formula>
    </cfRule>
    <cfRule type="cellIs" dxfId="96" priority="40" stopIfTrue="1" operator="equal">
      <formula>"Napkin Hs"</formula>
    </cfRule>
    <cfRule type="cellIs" dxfId="95" priority="45" stopIfTrue="1" operator="equal">
      <formula>"Towel"</formula>
    </cfRule>
    <cfRule type="cellIs" dxfId="94" priority="46" stopIfTrue="1" operator="equal">
      <formula>"Napkin Hs"</formula>
    </cfRule>
    <cfRule type="cellIs" dxfId="93" priority="51" stopIfTrue="1" operator="equal">
      <formula>"Towel"</formula>
    </cfRule>
    <cfRule type="cellIs" dxfId="92" priority="52" stopIfTrue="1" operator="equal">
      <formula>"Napkin Hs"</formula>
    </cfRule>
    <cfRule type="cellIs" dxfId="91" priority="57" stopIfTrue="1" operator="equal">
      <formula>"Towel"</formula>
    </cfRule>
    <cfRule type="cellIs" dxfId="90" priority="58" stopIfTrue="1" operator="equal">
      <formula>"Napkin Hs"</formula>
    </cfRule>
    <cfRule type="cellIs" dxfId="89" priority="63" stopIfTrue="1" operator="equal">
      <formula>"Towel"</formula>
    </cfRule>
    <cfRule type="cellIs" dxfId="88" priority="64" stopIfTrue="1" operator="equal">
      <formula>"Napkin Hs"</formula>
    </cfRule>
    <cfRule type="cellIs" dxfId="87" priority="69" stopIfTrue="1" operator="equal">
      <formula>"Towel"</formula>
    </cfRule>
    <cfRule type="cellIs" dxfId="86" priority="70" stopIfTrue="1" operator="equal">
      <formula>"Napkin Hs"</formula>
    </cfRule>
    <cfRule type="cellIs" dxfId="85" priority="75" stopIfTrue="1" operator="equal">
      <formula>"Towel"</formula>
    </cfRule>
    <cfRule type="cellIs" dxfId="84" priority="76" stopIfTrue="1" operator="equal">
      <formula>"Napkin Hs"</formula>
    </cfRule>
    <cfRule type="cellIs" dxfId="83" priority="80" stopIfTrue="1" operator="equal">
      <formula>"Napkin Hs"</formula>
    </cfRule>
  </conditionalFormatting>
  <conditionalFormatting sqref="B149:C149">
    <cfRule type="cellIs" dxfId="82" priority="79" stopIfTrue="1" operator="equal">
      <formula>"Towel"</formula>
    </cfRule>
  </conditionalFormatting>
  <conditionalFormatting sqref="C149">
    <cfRule type="cellIs" dxfId="81" priority="1" stopIfTrue="1" operator="equal">
      <formula>"Towel"</formula>
    </cfRule>
    <cfRule type="cellIs" dxfId="80" priority="2" stopIfTrue="1" operator="equal">
      <formula>"Napkin Hs"</formula>
    </cfRule>
  </conditionalFormatting>
  <conditionalFormatting sqref="C149">
    <cfRule type="cellIs" dxfId="79" priority="41" stopIfTrue="1" operator="equal">
      <formula>"Towel"</formula>
    </cfRule>
    <cfRule type="cellIs" dxfId="78" priority="42" stopIfTrue="1" operator="equal">
      <formula>"Napkin Hs"</formula>
    </cfRule>
    <cfRule type="cellIs" dxfId="77" priority="81" stopIfTrue="1" operator="equal">
      <formula>"Towel"</formula>
    </cfRule>
    <cfRule type="cellIs" dxfId="76" priority="82" stopIfTrue="1" operator="equal">
      <formula>"Napkin Hs"</formula>
    </cfRule>
  </conditionalFormatting>
  <conditionalFormatting sqref="C149">
    <cfRule type="cellIs" dxfId="75" priority="3" stopIfTrue="1" operator="equal">
      <formula>"Towel"</formula>
    </cfRule>
    <cfRule type="cellIs" dxfId="74" priority="4" stopIfTrue="1" operator="equal">
      <formula>"Napkin Hs"</formula>
    </cfRule>
    <cfRule type="cellIs" dxfId="73" priority="7" stopIfTrue="1" operator="equal">
      <formula>"Towel"</formula>
    </cfRule>
    <cfRule type="cellIs" dxfId="72" priority="8" stopIfTrue="1" operator="equal">
      <formula>"Napkin Hs"</formula>
    </cfRule>
    <cfRule type="cellIs" dxfId="71" priority="9" stopIfTrue="1" operator="equal">
      <formula>"Towel"</formula>
    </cfRule>
    <cfRule type="cellIs" dxfId="70" priority="10" stopIfTrue="1" operator="equal">
      <formula>"Napkin Hs"</formula>
    </cfRule>
    <cfRule type="cellIs" dxfId="69" priority="13" stopIfTrue="1" operator="equal">
      <formula>"Towel"</formula>
    </cfRule>
    <cfRule type="cellIs" dxfId="68" priority="14" stopIfTrue="1" operator="equal">
      <formula>"Napkin Hs"</formula>
    </cfRule>
    <cfRule type="cellIs" dxfId="67" priority="15" stopIfTrue="1" operator="equal">
      <formula>"Towel"</formula>
    </cfRule>
    <cfRule type="cellIs" dxfId="66" priority="16" stopIfTrue="1" operator="equal">
      <formula>"Napkin Hs"</formula>
    </cfRule>
    <cfRule type="cellIs" dxfId="65" priority="19" stopIfTrue="1" operator="equal">
      <formula>"Towel"</formula>
    </cfRule>
    <cfRule type="cellIs" dxfId="64" priority="20" stopIfTrue="1" operator="equal">
      <formula>"Napkin Hs"</formula>
    </cfRule>
    <cfRule type="cellIs" dxfId="63" priority="21" stopIfTrue="1" operator="equal">
      <formula>"Towel"</formula>
    </cfRule>
    <cfRule type="cellIs" dxfId="62" priority="22" stopIfTrue="1" operator="equal">
      <formula>"Napkin Hs"</formula>
    </cfRule>
    <cfRule type="cellIs" dxfId="61" priority="25" stopIfTrue="1" operator="equal">
      <formula>"Towel"</formula>
    </cfRule>
    <cfRule type="cellIs" dxfId="60" priority="26" stopIfTrue="1" operator="equal">
      <formula>"Napkin Hs"</formula>
    </cfRule>
    <cfRule type="cellIs" dxfId="59" priority="27" stopIfTrue="1" operator="equal">
      <formula>"Towel"</formula>
    </cfRule>
    <cfRule type="cellIs" dxfId="58" priority="28" stopIfTrue="1" operator="equal">
      <formula>"Napkin Hs"</formula>
    </cfRule>
    <cfRule type="cellIs" dxfId="57" priority="31" stopIfTrue="1" operator="equal">
      <formula>"Towel"</formula>
    </cfRule>
    <cfRule type="cellIs" dxfId="56" priority="32" stopIfTrue="1" operator="equal">
      <formula>"Napkin Hs"</formula>
    </cfRule>
    <cfRule type="cellIs" dxfId="55" priority="33" stopIfTrue="1" operator="equal">
      <formula>"Towel"</formula>
    </cfRule>
    <cfRule type="cellIs" dxfId="54" priority="34" stopIfTrue="1" operator="equal">
      <formula>"Napkin Hs"</formula>
    </cfRule>
    <cfRule type="cellIs" dxfId="53" priority="37" stopIfTrue="1" operator="equal">
      <formula>"Towel"</formula>
    </cfRule>
    <cfRule type="cellIs" dxfId="52" priority="38" stopIfTrue="1" operator="equal">
      <formula>"Napkin Hs"</formula>
    </cfRule>
    <cfRule type="cellIs" dxfId="51" priority="43" stopIfTrue="1" operator="equal">
      <formula>"Towel"</formula>
    </cfRule>
    <cfRule type="cellIs" dxfId="50" priority="44" stopIfTrue="1" operator="equal">
      <formula>"Napkin Hs"</formula>
    </cfRule>
    <cfRule type="cellIs" dxfId="49" priority="47" stopIfTrue="1" operator="equal">
      <formula>"Towel"</formula>
    </cfRule>
    <cfRule type="cellIs" dxfId="48" priority="48" stopIfTrue="1" operator="equal">
      <formula>"Napkin Hs"</formula>
    </cfRule>
    <cfRule type="cellIs" dxfId="47" priority="49" stopIfTrue="1" operator="equal">
      <formula>"Towel"</formula>
    </cfRule>
    <cfRule type="cellIs" dxfId="46" priority="50" stopIfTrue="1" operator="equal">
      <formula>"Napkin Hs"</formula>
    </cfRule>
    <cfRule type="cellIs" dxfId="45" priority="53" stopIfTrue="1" operator="equal">
      <formula>"Towel"</formula>
    </cfRule>
    <cfRule type="cellIs" dxfId="44" priority="54" stopIfTrue="1" operator="equal">
      <formula>"Napkin Hs"</formula>
    </cfRule>
    <cfRule type="cellIs" dxfId="43" priority="55" stopIfTrue="1" operator="equal">
      <formula>"Towel"</formula>
    </cfRule>
    <cfRule type="cellIs" dxfId="42" priority="56" stopIfTrue="1" operator="equal">
      <formula>"Napkin Hs"</formula>
    </cfRule>
    <cfRule type="cellIs" dxfId="41" priority="59" stopIfTrue="1" operator="equal">
      <formula>"Towel"</formula>
    </cfRule>
    <cfRule type="cellIs" dxfId="40" priority="60" stopIfTrue="1" operator="equal">
      <formula>"Napkin Hs"</formula>
    </cfRule>
    <cfRule type="cellIs" dxfId="39" priority="61" stopIfTrue="1" operator="equal">
      <formula>"Towel"</formula>
    </cfRule>
    <cfRule type="cellIs" dxfId="38" priority="62" stopIfTrue="1" operator="equal">
      <formula>"Napkin Hs"</formula>
    </cfRule>
    <cfRule type="cellIs" dxfId="37" priority="65" stopIfTrue="1" operator="equal">
      <formula>"Towel"</formula>
    </cfRule>
    <cfRule type="cellIs" dxfId="36" priority="66" stopIfTrue="1" operator="equal">
      <formula>"Napkin Hs"</formula>
    </cfRule>
    <cfRule type="cellIs" dxfId="35" priority="67" stopIfTrue="1" operator="equal">
      <formula>"Towel"</formula>
    </cfRule>
    <cfRule type="cellIs" dxfId="34" priority="68" stopIfTrue="1" operator="equal">
      <formula>"Napkin Hs"</formula>
    </cfRule>
    <cfRule type="cellIs" dxfId="33" priority="71" stopIfTrue="1" operator="equal">
      <formula>"Towel"</formula>
    </cfRule>
    <cfRule type="cellIs" dxfId="32" priority="72" stopIfTrue="1" operator="equal">
      <formula>"Napkin Hs"</formula>
    </cfRule>
    <cfRule type="cellIs" dxfId="31" priority="73" stopIfTrue="1" operator="equal">
      <formula>"Towel"</formula>
    </cfRule>
    <cfRule type="cellIs" dxfId="30" priority="74" stopIfTrue="1" operator="equal">
      <formula>"Napkin Hs"</formula>
    </cfRule>
  </conditionalFormatting>
  <conditionalFormatting sqref="C149">
    <cfRule type="cellIs" dxfId="29" priority="77" stopIfTrue="1" operator="equal">
      <formula>"Towel"</formula>
    </cfRule>
    <cfRule type="cellIs" dxfId="28" priority="78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5"/>
  <sheetViews>
    <sheetView zoomScale="85" workbookViewId="0">
      <pane xSplit="5" ySplit="9" topLeftCell="F25" activePane="bottomRight" state="frozen"/>
      <selection pane="topRight"/>
      <selection pane="bottomLeft"/>
      <selection pane="bottomRight" activeCell="BT39" sqref="BT39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3.140625" bestFit="1" customWidth="1"/>
    <col min="32" max="32" width="8.28515625" bestFit="1" customWidth="1"/>
    <col min="33" max="33" width="14.42578125" bestFit="1" customWidth="1"/>
    <col min="34" max="34" width="8" bestFit="1" customWidth="1"/>
    <col min="35" max="35" width="11.5703125" hidden="1" customWidth="1"/>
    <col min="36" max="36" width="7.7109375" hidden="1" customWidth="1"/>
    <col min="37" max="37" width="11.5703125" hidden="1" customWidth="1"/>
    <col min="38" max="38" width="7.7109375" hidden="1" customWidth="1"/>
    <col min="39" max="39" width="12.85546875" hidden="1" customWidth="1"/>
    <col min="40" max="40" width="7.7109375" hidden="1" customWidth="1"/>
    <col min="41" max="41" width="12.42578125" hidden="1" customWidth="1"/>
    <col min="42" max="42" width="7.7109375" hidden="1" customWidth="1"/>
    <col min="43" max="43" width="17.7109375" hidden="1" customWidth="1"/>
    <col min="44" max="44" width="12.28515625" hidden="1" customWidth="1"/>
    <col min="45" max="45" width="14.42578125" hidden="1" customWidth="1"/>
    <col min="46" max="46" width="9.42578125" hidden="1" customWidth="1"/>
    <col min="47" max="47" width="17.7109375" hidden="1" customWidth="1"/>
    <col min="48" max="48" width="9.28515625" hidden="1" customWidth="1"/>
    <col min="49" max="49" width="14.42578125" hidden="1" customWidth="1"/>
    <col min="50" max="50" width="8.140625" hidden="1" customWidth="1"/>
    <col min="51" max="51" width="11.42578125" hidden="1" customWidth="1"/>
    <col min="52" max="52" width="8.5703125" hidden="1" customWidth="1"/>
    <col min="53" max="53" width="11.42578125" hidden="1" customWidth="1"/>
    <col min="54" max="54" width="8" hidden="1" customWidth="1"/>
    <col min="55" max="55" width="13.7109375" customWidth="1"/>
    <col min="56" max="56" width="8.140625" customWidth="1"/>
    <col min="57" max="57" width="13.140625" bestFit="1" customWidth="1"/>
    <col min="58" max="58" width="8.140625" customWidth="1"/>
    <col min="59" max="59" width="12.140625" hidden="1" customWidth="1"/>
    <col min="60" max="60" width="7.7109375" hidden="1" customWidth="1"/>
    <col min="61" max="61" width="12.140625" hidden="1" customWidth="1"/>
    <col min="62" max="62" width="7.7109375" hidden="1" customWidth="1"/>
    <col min="63" max="63" width="13.28515625" hidden="1" customWidth="1"/>
    <col min="64" max="64" width="8.85546875" hidden="1" customWidth="1"/>
    <col min="65" max="65" width="15.28515625" hidden="1" customWidth="1"/>
    <col min="66" max="66" width="7.7109375" hidden="1" customWidth="1"/>
    <col min="67" max="67" width="10.28515625" hidden="1" customWidth="1"/>
    <col min="68" max="68" width="8.140625" hidden="1" customWidth="1"/>
    <col min="69" max="69" width="11.42578125" hidden="1" customWidth="1"/>
    <col min="70" max="70" width="7.7109375" hidden="1" customWidth="1"/>
    <col min="71" max="71" width="12.28515625" customWidth="1"/>
    <col min="72" max="72" width="9.28515625" customWidth="1"/>
    <col min="73" max="73" width="14.42578125" customWidth="1"/>
    <col min="74" max="74" width="10" customWidth="1"/>
    <col min="75" max="75" width="15.42578125" hidden="1" customWidth="1"/>
    <col min="76" max="76" width="8.7109375" hidden="1" customWidth="1"/>
    <col min="77" max="77" width="12.85546875" hidden="1" customWidth="1"/>
    <col min="78" max="78" width="8.42578125" hidden="1" customWidth="1"/>
    <col min="79" max="79" width="14.28515625" customWidth="1"/>
    <col min="80" max="80" width="14.42578125" bestFit="1" customWidth="1"/>
    <col min="81" max="81" width="8.85546875" bestFit="1" customWidth="1"/>
    <col min="82" max="82" width="10.28515625" bestFit="1" customWidth="1"/>
    <col min="83" max="83" width="13.28515625" bestFit="1" customWidth="1"/>
    <col min="84" max="84" width="10.42578125" bestFit="1" customWidth="1"/>
    <col min="86" max="86" width="15.42578125" bestFit="1" customWidth="1"/>
    <col min="87" max="87" width="10.42578125" bestFit="1" customWidth="1"/>
    <col min="90" max="90" width="10.42578125" bestFit="1" customWidth="1"/>
  </cols>
  <sheetData>
    <row r="1" spans="1:82" ht="15.75">
      <c r="A1" s="157"/>
      <c r="AP1" s="3"/>
      <c r="AU1" s="261"/>
    </row>
    <row r="2" spans="1:82" ht="15.75">
      <c r="A2" s="157"/>
      <c r="AU2" s="261"/>
      <c r="AY2" s="19"/>
    </row>
    <row r="3" spans="1:82" ht="15">
      <c r="A3" s="159"/>
      <c r="AU3" s="261"/>
    </row>
    <row r="4" spans="1:82" ht="15.75">
      <c r="A4" s="160" t="s">
        <v>323</v>
      </c>
      <c r="G4" s="12"/>
      <c r="AQ4" s="12"/>
      <c r="AU4" s="261"/>
      <c r="BL4" s="19"/>
    </row>
    <row r="5" spans="1:82" ht="15.75">
      <c r="A5" s="160"/>
      <c r="G5" s="12"/>
      <c r="AQ5" s="12"/>
      <c r="AU5" s="12"/>
    </row>
    <row r="6" spans="1:82" ht="18">
      <c r="A6" s="262"/>
      <c r="AQ6" s="12"/>
      <c r="AU6" s="12"/>
      <c r="BT6" s="12"/>
      <c r="BU6" s="12"/>
      <c r="BV6" s="12"/>
      <c r="CB6" s="12"/>
    </row>
    <row r="7" spans="1:82" ht="16.5" thickBot="1">
      <c r="A7" s="263"/>
      <c r="B7" s="263"/>
      <c r="C7" s="263"/>
      <c r="D7" s="263"/>
      <c r="E7" s="263"/>
      <c r="F7" s="263"/>
      <c r="G7" s="456">
        <v>230.59</v>
      </c>
      <c r="K7" s="592">
        <v>250.179</v>
      </c>
      <c r="O7" s="263">
        <v>214.10599999999999</v>
      </c>
      <c r="P7" s="263"/>
      <c r="Q7" s="263"/>
      <c r="R7" s="263"/>
      <c r="S7">
        <v>250</v>
      </c>
      <c r="W7">
        <v>250</v>
      </c>
      <c r="AA7">
        <v>222.79599999999999</v>
      </c>
      <c r="AE7" s="263"/>
      <c r="AF7" s="263"/>
      <c r="AG7" s="264"/>
      <c r="AH7" s="264"/>
      <c r="AI7" s="263">
        <v>251.43899999999999</v>
      </c>
      <c r="AJ7" s="263"/>
      <c r="AK7" s="263"/>
      <c r="AL7" s="263"/>
      <c r="AQ7" s="461"/>
      <c r="AR7" s="263"/>
      <c r="AS7" s="263"/>
      <c r="AT7" s="263"/>
      <c r="AU7" s="457">
        <v>243.255</v>
      </c>
      <c r="AV7" s="263"/>
      <c r="AW7" s="263"/>
      <c r="AX7" s="263"/>
      <c r="AY7" s="263">
        <v>250</v>
      </c>
      <c r="AZ7" s="263"/>
      <c r="BA7" s="263"/>
      <c r="BB7" s="263"/>
      <c r="BC7" s="263"/>
      <c r="BD7" s="263"/>
      <c r="BE7" s="263"/>
      <c r="BF7" s="263"/>
      <c r="BG7" s="596">
        <v>249.28100000000001</v>
      </c>
      <c r="BH7" s="263"/>
      <c r="BI7" s="263"/>
      <c r="BJ7" s="263"/>
      <c r="BK7" s="263">
        <v>245.55600000000001</v>
      </c>
      <c r="BL7" s="263"/>
      <c r="BM7" s="263"/>
      <c r="BN7" s="263"/>
      <c r="BO7" s="263"/>
      <c r="BP7" s="263"/>
      <c r="BQ7" s="263"/>
      <c r="BR7" s="263"/>
      <c r="BS7" s="264"/>
      <c r="BT7" s="264"/>
      <c r="BU7" s="263"/>
      <c r="BV7" s="263"/>
      <c r="BW7" s="263"/>
      <c r="BX7" s="263"/>
      <c r="BY7" s="263"/>
      <c r="BZ7" s="263"/>
      <c r="CA7" s="263"/>
      <c r="CB7" s="263"/>
      <c r="CC7" s="263"/>
      <c r="CD7" s="263"/>
    </row>
    <row r="8" spans="1:82" ht="38.25" customHeight="1" thickTop="1">
      <c r="A8" s="937" t="s">
        <v>29</v>
      </c>
      <c r="B8" s="937" t="s">
        <v>4</v>
      </c>
      <c r="C8" s="937" t="s">
        <v>5</v>
      </c>
      <c r="D8" s="939" t="s">
        <v>40</v>
      </c>
      <c r="E8" s="941" t="s">
        <v>38</v>
      </c>
      <c r="F8" s="942"/>
      <c r="G8" s="931" t="s">
        <v>210</v>
      </c>
      <c r="H8" s="932"/>
      <c r="I8" s="932"/>
      <c r="J8" s="936"/>
      <c r="K8" s="931" t="s">
        <v>455</v>
      </c>
      <c r="L8" s="932"/>
      <c r="M8" s="932"/>
      <c r="N8" s="936"/>
      <c r="O8" s="931" t="s">
        <v>407</v>
      </c>
      <c r="P8" s="932"/>
      <c r="Q8" s="932"/>
      <c r="R8" s="936"/>
      <c r="S8" s="931" t="s">
        <v>785</v>
      </c>
      <c r="T8" s="932"/>
      <c r="U8" s="932"/>
      <c r="V8" s="936"/>
      <c r="W8" s="931" t="s">
        <v>786</v>
      </c>
      <c r="X8" s="932"/>
      <c r="Y8" s="932"/>
      <c r="Z8" s="936"/>
      <c r="AA8" s="931" t="s">
        <v>417</v>
      </c>
      <c r="AB8" s="932"/>
      <c r="AC8" s="932"/>
      <c r="AD8" s="936"/>
      <c r="AE8" s="931" t="s">
        <v>41</v>
      </c>
      <c r="AF8" s="932"/>
      <c r="AG8" s="932"/>
      <c r="AH8" s="932"/>
      <c r="AI8" s="931" t="s">
        <v>749</v>
      </c>
      <c r="AJ8" s="932"/>
      <c r="AK8" s="932"/>
      <c r="AL8" s="932"/>
      <c r="AM8" s="933" t="s">
        <v>42</v>
      </c>
      <c r="AN8" s="934"/>
      <c r="AO8" s="934"/>
      <c r="AP8" s="935"/>
      <c r="AQ8" s="932"/>
      <c r="AR8" s="932"/>
      <c r="AS8" s="932"/>
      <c r="AT8" s="936"/>
      <c r="AU8" s="931" t="s">
        <v>211</v>
      </c>
      <c r="AV8" s="932"/>
      <c r="AW8" s="932"/>
      <c r="AX8" s="936"/>
      <c r="AY8" s="931" t="s">
        <v>233</v>
      </c>
      <c r="AZ8" s="932"/>
      <c r="BA8" s="932"/>
      <c r="BB8" s="936"/>
      <c r="BC8" s="931" t="s">
        <v>89</v>
      </c>
      <c r="BD8" s="932"/>
      <c r="BE8" s="932"/>
      <c r="BF8" s="936"/>
      <c r="BG8" s="932" t="s">
        <v>312</v>
      </c>
      <c r="BH8" s="932"/>
      <c r="BI8" s="932"/>
      <c r="BJ8" s="936"/>
      <c r="BK8" s="931" t="s">
        <v>405</v>
      </c>
      <c r="BL8" s="932"/>
      <c r="BM8" s="932"/>
      <c r="BN8" s="936"/>
      <c r="BO8" s="931" t="s">
        <v>145</v>
      </c>
      <c r="BP8" s="932"/>
      <c r="BQ8" s="932"/>
      <c r="BR8" s="936"/>
      <c r="BS8" s="931" t="s">
        <v>90</v>
      </c>
      <c r="BT8" s="932"/>
      <c r="BU8" s="932"/>
      <c r="BV8" s="932"/>
      <c r="BW8" s="931" t="s">
        <v>43</v>
      </c>
      <c r="BX8" s="932"/>
      <c r="BY8" s="932"/>
      <c r="BZ8" s="936"/>
      <c r="CA8" s="931" t="s">
        <v>44</v>
      </c>
      <c r="CB8" s="936"/>
      <c r="CC8" s="931" t="s">
        <v>45</v>
      </c>
      <c r="CD8" s="936"/>
    </row>
    <row r="9" spans="1:82">
      <c r="A9" s="938"/>
      <c r="B9" s="938"/>
      <c r="C9" s="938"/>
      <c r="D9" s="940"/>
      <c r="E9" s="2" t="s">
        <v>36</v>
      </c>
      <c r="F9" s="481" t="s">
        <v>37</v>
      </c>
      <c r="G9" s="8" t="s">
        <v>36</v>
      </c>
      <c r="H9" s="8" t="s">
        <v>10</v>
      </c>
      <c r="I9" s="480" t="s">
        <v>37</v>
      </c>
      <c r="J9" s="480" t="s">
        <v>10</v>
      </c>
      <c r="K9" s="8" t="s">
        <v>36</v>
      </c>
      <c r="L9" s="8" t="s">
        <v>10</v>
      </c>
      <c r="M9" s="480" t="s">
        <v>37</v>
      </c>
      <c r="N9" s="480" t="s">
        <v>10</v>
      </c>
      <c r="O9" s="480" t="s">
        <v>36</v>
      </c>
      <c r="P9" s="480" t="s">
        <v>10</v>
      </c>
      <c r="Q9" s="480" t="s">
        <v>37</v>
      </c>
      <c r="R9" s="480" t="s">
        <v>10</v>
      </c>
      <c r="S9" s="8" t="s">
        <v>36</v>
      </c>
      <c r="T9" s="8" t="s">
        <v>10</v>
      </c>
      <c r="U9" s="480" t="s">
        <v>37</v>
      </c>
      <c r="V9" s="480" t="s">
        <v>10</v>
      </c>
      <c r="W9" s="8" t="s">
        <v>36</v>
      </c>
      <c r="X9" s="8" t="s">
        <v>10</v>
      </c>
      <c r="Y9" s="480" t="s">
        <v>37</v>
      </c>
      <c r="Z9" s="480" t="s">
        <v>10</v>
      </c>
      <c r="AA9" s="8" t="s">
        <v>36</v>
      </c>
      <c r="AB9" s="8" t="s">
        <v>10</v>
      </c>
      <c r="AC9" s="480" t="s">
        <v>37</v>
      </c>
      <c r="AD9" s="480" t="s">
        <v>10</v>
      </c>
      <c r="AE9" s="480" t="s">
        <v>36</v>
      </c>
      <c r="AF9" s="480" t="s">
        <v>10</v>
      </c>
      <c r="AG9" s="480" t="s">
        <v>37</v>
      </c>
      <c r="AH9" s="480" t="s">
        <v>10</v>
      </c>
      <c r="AI9" s="480" t="s">
        <v>36</v>
      </c>
      <c r="AJ9" s="480" t="s">
        <v>10</v>
      </c>
      <c r="AK9" s="480" t="s">
        <v>37</v>
      </c>
      <c r="AL9" s="480" t="s">
        <v>10</v>
      </c>
      <c r="AM9" s="480" t="s">
        <v>36</v>
      </c>
      <c r="AN9" s="480" t="s">
        <v>10</v>
      </c>
      <c r="AO9" s="480" t="s">
        <v>37</v>
      </c>
      <c r="AP9" s="480" t="s">
        <v>10</v>
      </c>
      <c r="AQ9" s="480" t="s">
        <v>36</v>
      </c>
      <c r="AR9" s="480" t="s">
        <v>10</v>
      </c>
      <c r="AS9" s="480" t="s">
        <v>37</v>
      </c>
      <c r="AT9" s="480" t="s">
        <v>10</v>
      </c>
      <c r="AU9" s="480" t="s">
        <v>36</v>
      </c>
      <c r="AV9" s="480" t="s">
        <v>10</v>
      </c>
      <c r="AW9" s="480" t="s">
        <v>37</v>
      </c>
      <c r="AX9" s="480" t="s">
        <v>10</v>
      </c>
      <c r="AY9" s="480" t="s">
        <v>36</v>
      </c>
      <c r="AZ9" s="480" t="s">
        <v>10</v>
      </c>
      <c r="BA9" s="480" t="s">
        <v>37</v>
      </c>
      <c r="BB9" s="480" t="s">
        <v>10</v>
      </c>
      <c r="BC9" s="480" t="s">
        <v>36</v>
      </c>
      <c r="BD9" s="480" t="s">
        <v>10</v>
      </c>
      <c r="BE9" s="480" t="s">
        <v>37</v>
      </c>
      <c r="BF9" s="480" t="s">
        <v>10</v>
      </c>
      <c r="BG9" s="480" t="s">
        <v>36</v>
      </c>
      <c r="BH9" s="480" t="s">
        <v>10</v>
      </c>
      <c r="BI9" s="480" t="s">
        <v>37</v>
      </c>
      <c r="BJ9" s="480" t="s">
        <v>10</v>
      </c>
      <c r="BK9" s="480" t="s">
        <v>36</v>
      </c>
      <c r="BL9" s="480" t="s">
        <v>10</v>
      </c>
      <c r="BM9" s="480" t="s">
        <v>37</v>
      </c>
      <c r="BN9" s="480" t="s">
        <v>10</v>
      </c>
      <c r="BO9" s="480" t="s">
        <v>36</v>
      </c>
      <c r="BP9" s="480" t="s">
        <v>10</v>
      </c>
      <c r="BQ9" s="480" t="s">
        <v>37</v>
      </c>
      <c r="BR9" s="480" t="s">
        <v>10</v>
      </c>
      <c r="BS9" s="480" t="s">
        <v>36</v>
      </c>
      <c r="BT9" s="480" t="s">
        <v>10</v>
      </c>
      <c r="BU9" s="480" t="s">
        <v>37</v>
      </c>
      <c r="BV9" s="480" t="s">
        <v>10</v>
      </c>
      <c r="BW9" s="480" t="s">
        <v>36</v>
      </c>
      <c r="BX9" s="480" t="s">
        <v>10</v>
      </c>
      <c r="BY9" s="480" t="s">
        <v>37</v>
      </c>
      <c r="BZ9" s="480" t="s">
        <v>10</v>
      </c>
      <c r="CA9" s="480" t="s">
        <v>36</v>
      </c>
      <c r="CB9" s="480" t="s">
        <v>37</v>
      </c>
      <c r="CC9" s="480" t="s">
        <v>36</v>
      </c>
      <c r="CD9" s="480" t="s">
        <v>37</v>
      </c>
    </row>
    <row r="10" spans="1:82">
      <c r="A10" s="15">
        <f>+Chem!A9</f>
        <v>45962</v>
      </c>
      <c r="B10" s="5" t="str">
        <f>+Chem!B9</f>
        <v>MG</v>
      </c>
      <c r="C10" s="15" t="str">
        <f>+Chem!C9</f>
        <v>14</v>
      </c>
      <c r="D10" s="7">
        <f>+Chem!D9</f>
        <v>65.826999999999998</v>
      </c>
      <c r="E10" s="6">
        <f>+Chem!E9</f>
        <v>59.673000000000002</v>
      </c>
      <c r="F10" s="6">
        <f>+E10</f>
        <v>59.673000000000002</v>
      </c>
      <c r="G10" s="105"/>
      <c r="H10" s="9">
        <f t="shared" ref="H10:H39" si="0">G10/CA10*100</f>
        <v>0</v>
      </c>
      <c r="I10" s="7">
        <f>G10</f>
        <v>0</v>
      </c>
      <c r="J10" s="9">
        <f t="shared" ref="J10:J39" si="1">I10/CB10*100</f>
        <v>0</v>
      </c>
      <c r="K10" s="105">
        <f>108*K7</f>
        <v>27019.331999999999</v>
      </c>
      <c r="L10" s="9">
        <f t="shared" ref="L10:L39" si="2">+K10/CA10*100</f>
        <v>42.734156544494574</v>
      </c>
      <c r="M10" s="9">
        <f>+K10</f>
        <v>27019.331999999999</v>
      </c>
      <c r="N10" s="9">
        <f t="shared" ref="N10:N39" si="3">+M10/CB10*100</f>
        <v>42.734156544494574</v>
      </c>
      <c r="O10" s="105"/>
      <c r="P10" s="9">
        <f t="shared" ref="P10:P39" si="4">+O10/CA10*100</f>
        <v>0</v>
      </c>
      <c r="Q10" s="9">
        <f>+O10</f>
        <v>0</v>
      </c>
      <c r="R10" s="9">
        <f t="shared" ref="R10:R39" si="5">+Q10/CB10*100</f>
        <v>0</v>
      </c>
      <c r="S10" s="105">
        <v>0</v>
      </c>
      <c r="T10" s="9">
        <f t="shared" ref="T10:T39" si="6">+S10/CA10*100</f>
        <v>0</v>
      </c>
      <c r="U10" s="9">
        <f>+S10</f>
        <v>0</v>
      </c>
      <c r="V10" s="9">
        <f t="shared" ref="V10:V39" si="7">+U10/CB10*100</f>
        <v>0</v>
      </c>
      <c r="W10" s="105">
        <v>0</v>
      </c>
      <c r="X10" s="9">
        <f t="shared" ref="X10:X39" si="8">+W10/CA10*100</f>
        <v>0</v>
      </c>
      <c r="Y10" s="9">
        <f>+W10</f>
        <v>0</v>
      </c>
      <c r="Z10" s="9">
        <f t="shared" ref="Z10:Z39" si="9">+Y10/CB10*100</f>
        <v>0</v>
      </c>
      <c r="AA10" s="105">
        <v>0</v>
      </c>
      <c r="AB10" s="9">
        <f t="shared" ref="AB10:AB39" si="10">AA10/CA10*100</f>
        <v>0</v>
      </c>
      <c r="AC10" s="9">
        <f>AA10</f>
        <v>0</v>
      </c>
      <c r="AD10" s="9">
        <f t="shared" ref="AD10:AD39" si="11">AC10/CB10*100</f>
        <v>0</v>
      </c>
      <c r="AE10" s="9">
        <f>G10+AA10+K10+W10+S10+O10</f>
        <v>27019.331999999999</v>
      </c>
      <c r="AF10" s="9">
        <f t="shared" ref="AF10:AF39" si="12">AE10/CA10*100</f>
        <v>42.734156544494574</v>
      </c>
      <c r="AG10" s="9">
        <f>AE10</f>
        <v>27019.331999999999</v>
      </c>
      <c r="AH10" s="9">
        <f t="shared" ref="AH10:AH39" si="13">AG10/CB10*100</f>
        <v>42.734156544494574</v>
      </c>
      <c r="AI10" s="106">
        <f>144*AI7</f>
        <v>36207.216</v>
      </c>
      <c r="AJ10" s="9">
        <f t="shared" ref="AJ10:AJ39" si="14">AI10/CA10*100</f>
        <v>57.26584345550544</v>
      </c>
      <c r="AK10" s="9">
        <f>AI10</f>
        <v>36207.216</v>
      </c>
      <c r="AL10" s="9">
        <f t="shared" ref="AL10:AL39" si="15">AK10/CB10*100</f>
        <v>57.26584345550544</v>
      </c>
      <c r="AM10" s="106"/>
      <c r="AN10" s="9">
        <f t="shared" ref="AN10:AN39" si="16">AM10/CA10*100</f>
        <v>0</v>
      </c>
      <c r="AO10" s="9">
        <f>AM10</f>
        <v>0</v>
      </c>
      <c r="AP10" s="9">
        <f t="shared" ref="AP10:AP39" si="17">AO10/CB10*100</f>
        <v>0</v>
      </c>
      <c r="AQ10" s="106"/>
      <c r="AR10" s="9">
        <f t="shared" ref="AR10:AR39" si="18">AQ10/CA10*100</f>
        <v>0</v>
      </c>
      <c r="AS10" s="9">
        <f>AQ10</f>
        <v>0</v>
      </c>
      <c r="AT10" s="9">
        <f t="shared" ref="AT10:AT39" si="19">AS10/CB10*100</f>
        <v>0</v>
      </c>
      <c r="AU10" s="105"/>
      <c r="AV10" s="9">
        <f t="shared" ref="AV10:AV39" si="20">AU10/CA10*100</f>
        <v>0</v>
      </c>
      <c r="AW10" s="9">
        <f>AU10</f>
        <v>0</v>
      </c>
      <c r="AX10" s="9">
        <f t="shared" ref="AX10:AX39" si="21">AW10/CB10*100</f>
        <v>0</v>
      </c>
      <c r="AY10" s="105"/>
      <c r="AZ10" s="9">
        <f t="shared" ref="AZ10:AZ39" si="22">AY10/CA10*100</f>
        <v>0</v>
      </c>
      <c r="BA10" s="9">
        <f>AY10</f>
        <v>0</v>
      </c>
      <c r="BB10" s="9">
        <f t="shared" ref="BB10:BB39" si="23">BA10/CB10</f>
        <v>0</v>
      </c>
      <c r="BC10" s="9">
        <f>AI10+AM10+AQ10+AU10+AY10</f>
        <v>36207.216</v>
      </c>
      <c r="BD10" s="9">
        <f t="shared" ref="BD10:BD39" si="24">BC10/CA10*100</f>
        <v>57.26584345550544</v>
      </c>
      <c r="BE10" s="9">
        <f>BC10</f>
        <v>36207.216</v>
      </c>
      <c r="BF10" s="9">
        <f t="shared" ref="BF10:BF39" si="25">BE10/CB10*100</f>
        <v>57.26584345550544</v>
      </c>
      <c r="BG10" s="106">
        <v>0</v>
      </c>
      <c r="BH10" s="9" t="e">
        <f t="shared" ref="BH10:BH15" si="26">BG10/CQ10*100</f>
        <v>#DIV/0!</v>
      </c>
      <c r="BI10" s="9">
        <f>BG10</f>
        <v>0</v>
      </c>
      <c r="BJ10" s="9" t="e">
        <f t="shared" ref="BJ10:BJ15" si="27">BI10/CR10*100</f>
        <v>#DIV/0!</v>
      </c>
      <c r="BK10" s="105"/>
      <c r="BL10" s="9">
        <f t="shared" ref="BL10:BL39" si="28">BK10/CA10*100</f>
        <v>0</v>
      </c>
      <c r="BM10" s="9">
        <f>BK10</f>
        <v>0</v>
      </c>
      <c r="BN10" s="9">
        <f t="shared" ref="BN10:BN39" si="29">BM10/CB10*100</f>
        <v>0</v>
      </c>
      <c r="BO10" s="105"/>
      <c r="BP10" s="14">
        <f t="shared" ref="BP10:BP39" si="30">BO10/CA10*100</f>
        <v>0</v>
      </c>
      <c r="BQ10" s="9">
        <f>BO10</f>
        <v>0</v>
      </c>
      <c r="BR10" s="9">
        <f t="shared" ref="BR10:BR39" si="31">BQ10/CB10*100</f>
        <v>0</v>
      </c>
      <c r="BS10" s="9">
        <f>BG10+BK10+BO10</f>
        <v>0</v>
      </c>
      <c r="BT10" s="9">
        <f t="shared" ref="BT10:BT39" si="32">BS10/CA10*100</f>
        <v>0</v>
      </c>
      <c r="BU10" s="9">
        <f>BS10</f>
        <v>0</v>
      </c>
      <c r="BV10" s="9">
        <f t="shared" ref="BV10:BV39" si="33">BU10/CB10*100</f>
        <v>0</v>
      </c>
      <c r="BW10" s="105">
        <v>0</v>
      </c>
      <c r="BX10" s="9">
        <f t="shared" ref="BX10:BX39" si="34">BW10/CA10*100</f>
        <v>0</v>
      </c>
      <c r="BY10" s="9">
        <f>BW10</f>
        <v>0</v>
      </c>
      <c r="BZ10" s="9">
        <f t="shared" ref="BZ10:BZ39" si="35">BY10/CB10*100</f>
        <v>0</v>
      </c>
      <c r="CA10" s="9">
        <f t="shared" ref="CA10:CA39" si="36">AE10+BC10+BS10+BW10</f>
        <v>63226.547999999995</v>
      </c>
      <c r="CB10" s="9">
        <f>CA10</f>
        <v>63226.547999999995</v>
      </c>
      <c r="CC10" s="9">
        <f t="shared" ref="CC10:CC39" si="37">CA10/1000/E10</f>
        <v>1.0595503494042531</v>
      </c>
      <c r="CD10" s="9">
        <f t="shared" ref="CD10:CD39" si="38">(CB10/1000)/F10</f>
        <v>1.0595503494042531</v>
      </c>
    </row>
    <row r="11" spans="1:82">
      <c r="A11" s="15">
        <f>+Chem!A10</f>
        <v>45963</v>
      </c>
      <c r="B11" s="5" t="str">
        <f>+Chem!B10</f>
        <v>MG</v>
      </c>
      <c r="C11" s="15" t="str">
        <f>+Chem!C10</f>
        <v>14/16,5</v>
      </c>
      <c r="D11" s="7">
        <f>+Chem!D10</f>
        <v>65.826999999999998</v>
      </c>
      <c r="E11" s="6">
        <f>+Chem!E10</f>
        <v>62.746000000000002</v>
      </c>
      <c r="F11" s="6">
        <f t="shared" ref="F11:F39" si="39">+E11+F10</f>
        <v>122.41900000000001</v>
      </c>
      <c r="G11" s="105"/>
      <c r="H11" s="9">
        <f t="shared" si="0"/>
        <v>0</v>
      </c>
      <c r="I11" s="7">
        <f t="shared" ref="I11:I39" si="40">G11+I10</f>
        <v>0</v>
      </c>
      <c r="J11" s="9">
        <f t="shared" si="1"/>
        <v>0</v>
      </c>
      <c r="K11" s="105">
        <f>108*K7</f>
        <v>27019.331999999999</v>
      </c>
      <c r="L11" s="9">
        <f t="shared" si="2"/>
        <v>39.585674542506041</v>
      </c>
      <c r="M11" s="9">
        <f t="shared" ref="M11:M39" si="41">+K11+M10</f>
        <v>54038.663999999997</v>
      </c>
      <c r="N11" s="9">
        <f t="shared" si="3"/>
        <v>41.099705635474812</v>
      </c>
      <c r="O11" s="105"/>
      <c r="P11" s="9">
        <f t="shared" si="4"/>
        <v>0</v>
      </c>
      <c r="Q11" s="9">
        <f t="shared" ref="Q11:Q39" si="42">+O11+Q10</f>
        <v>0</v>
      </c>
      <c r="R11" s="9">
        <f t="shared" si="5"/>
        <v>0</v>
      </c>
      <c r="S11" s="105">
        <v>0</v>
      </c>
      <c r="T11" s="9">
        <f t="shared" si="6"/>
        <v>0</v>
      </c>
      <c r="U11" s="9">
        <f t="shared" ref="U11:U39" si="43">+S11+U10</f>
        <v>0</v>
      </c>
      <c r="V11" s="9">
        <f t="shared" si="7"/>
        <v>0</v>
      </c>
      <c r="W11" s="105">
        <v>0</v>
      </c>
      <c r="X11" s="9">
        <f t="shared" si="8"/>
        <v>0</v>
      </c>
      <c r="Y11" s="9">
        <f t="shared" ref="Y11:Y39" si="44">+W11+Y10</f>
        <v>0</v>
      </c>
      <c r="Z11" s="9">
        <f t="shared" si="9"/>
        <v>0</v>
      </c>
      <c r="AA11" s="105">
        <v>0</v>
      </c>
      <c r="AB11" s="9">
        <f t="shared" si="10"/>
        <v>0</v>
      </c>
      <c r="AC11" s="9">
        <f t="shared" ref="AC11:AC39" si="45">AA11+AC10</f>
        <v>0</v>
      </c>
      <c r="AD11" s="9">
        <f t="shared" si="11"/>
        <v>0</v>
      </c>
      <c r="AE11" s="9">
        <f t="shared" ref="AE11:AE39" si="46">G11+AA11+K11+W11+S11+O11</f>
        <v>27019.331999999999</v>
      </c>
      <c r="AF11" s="9">
        <f t="shared" si="12"/>
        <v>39.585674542506041</v>
      </c>
      <c r="AG11" s="9">
        <f t="shared" ref="AG11:AG39" si="47">AE11+AG10</f>
        <v>54038.663999999997</v>
      </c>
      <c r="AH11" s="9">
        <f t="shared" si="13"/>
        <v>41.099705635474812</v>
      </c>
      <c r="AI11" s="106">
        <f>164*AI7</f>
        <v>41235.995999999999</v>
      </c>
      <c r="AJ11" s="9">
        <f t="shared" si="14"/>
        <v>60.414325457493959</v>
      </c>
      <c r="AK11" s="9">
        <f t="shared" ref="AK11:AK39" si="48">AI11+AK10</f>
        <v>77443.212</v>
      </c>
      <c r="AL11" s="9">
        <f t="shared" si="15"/>
        <v>58.900294364525195</v>
      </c>
      <c r="AM11" s="106"/>
      <c r="AN11" s="9">
        <f t="shared" si="16"/>
        <v>0</v>
      </c>
      <c r="AO11" s="9">
        <f t="shared" ref="AO11:AO39" si="49">AM11+AO10</f>
        <v>0</v>
      </c>
      <c r="AP11" s="9">
        <f t="shared" si="17"/>
        <v>0</v>
      </c>
      <c r="AQ11" s="106"/>
      <c r="AR11" s="9">
        <f t="shared" si="18"/>
        <v>0</v>
      </c>
      <c r="AS11" s="9">
        <f t="shared" ref="AS11:AS39" si="50">AQ11+AS10</f>
        <v>0</v>
      </c>
      <c r="AT11" s="9">
        <f t="shared" si="19"/>
        <v>0</v>
      </c>
      <c r="AU11" s="105"/>
      <c r="AV11" s="9">
        <f t="shared" si="20"/>
        <v>0</v>
      </c>
      <c r="AW11" s="9">
        <f t="shared" ref="AW11:AW39" si="51">AU11+AW10</f>
        <v>0</v>
      </c>
      <c r="AX11" s="9">
        <f t="shared" si="21"/>
        <v>0</v>
      </c>
      <c r="AY11" s="105"/>
      <c r="AZ11" s="9">
        <f t="shared" si="22"/>
        <v>0</v>
      </c>
      <c r="BA11" s="9">
        <f t="shared" ref="BA11:BA39" si="52">AY11+BA10</f>
        <v>0</v>
      </c>
      <c r="BB11" s="9">
        <f t="shared" si="23"/>
        <v>0</v>
      </c>
      <c r="BC11" s="9">
        <f t="shared" ref="BC11:BC39" si="53">AI11+AM11+AQ11+AU11+AY11</f>
        <v>41235.995999999999</v>
      </c>
      <c r="BD11" s="9">
        <f t="shared" si="24"/>
        <v>60.414325457493959</v>
      </c>
      <c r="BE11" s="9">
        <f t="shared" ref="BE11:BE39" si="54">BC11+BE10</f>
        <v>77443.212</v>
      </c>
      <c r="BF11" s="9">
        <f t="shared" si="25"/>
        <v>58.900294364525195</v>
      </c>
      <c r="BG11" s="106">
        <v>0</v>
      </c>
      <c r="BH11" s="9" t="e">
        <f t="shared" si="26"/>
        <v>#DIV/0!</v>
      </c>
      <c r="BI11" s="9">
        <f t="shared" ref="BI11:BI15" si="55">BG11+BI10</f>
        <v>0</v>
      </c>
      <c r="BJ11" s="9" t="e">
        <f t="shared" si="27"/>
        <v>#DIV/0!</v>
      </c>
      <c r="BK11" s="105"/>
      <c r="BL11" s="9">
        <f t="shared" si="28"/>
        <v>0</v>
      </c>
      <c r="BM11" s="9">
        <f t="shared" ref="BM11:BM39" si="56">BK11+BM10</f>
        <v>0</v>
      </c>
      <c r="BN11" s="9">
        <f t="shared" si="29"/>
        <v>0</v>
      </c>
      <c r="BO11" s="105"/>
      <c r="BP11" s="14">
        <f t="shared" si="30"/>
        <v>0</v>
      </c>
      <c r="BQ11" s="9">
        <f t="shared" ref="BQ11:BQ39" si="57">BO11+BQ10</f>
        <v>0</v>
      </c>
      <c r="BR11" s="9">
        <f t="shared" si="31"/>
        <v>0</v>
      </c>
      <c r="BS11" s="9">
        <f t="shared" ref="BS11:BS39" si="58">BG11+BK11+BO11</f>
        <v>0</v>
      </c>
      <c r="BT11" s="9">
        <f t="shared" si="32"/>
        <v>0</v>
      </c>
      <c r="BU11" s="9">
        <f t="shared" ref="BU11:BU39" si="59">BS11+BU10</f>
        <v>0</v>
      </c>
      <c r="BV11" s="9">
        <f t="shared" si="33"/>
        <v>0</v>
      </c>
      <c r="BW11" s="105">
        <v>0</v>
      </c>
      <c r="BX11" s="9">
        <f t="shared" si="34"/>
        <v>0</v>
      </c>
      <c r="BY11" s="9">
        <f t="shared" ref="BY11:BY39" si="60">BW11+BY10</f>
        <v>0</v>
      </c>
      <c r="BZ11" s="9">
        <f t="shared" si="35"/>
        <v>0</v>
      </c>
      <c r="CA11" s="9">
        <f t="shared" si="36"/>
        <v>68255.327999999994</v>
      </c>
      <c r="CB11" s="9">
        <f t="shared" ref="CB11:CB39" si="61">CA11+CB10</f>
        <v>131481.87599999999</v>
      </c>
      <c r="CC11" s="9">
        <f t="shared" si="37"/>
        <v>1.0878036528224906</v>
      </c>
      <c r="CD11" s="9">
        <f t="shared" si="38"/>
        <v>1.0740316127398524</v>
      </c>
    </row>
    <row r="12" spans="1:82">
      <c r="A12" s="15">
        <f>+Chem!A11</f>
        <v>45964</v>
      </c>
      <c r="B12" s="5" t="str">
        <f>+Chem!B11</f>
        <v>MG</v>
      </c>
      <c r="C12" s="15" t="str">
        <f>+Chem!C11</f>
        <v>16,5</v>
      </c>
      <c r="D12" s="7">
        <f>+Chem!D11</f>
        <v>70.057000000000002</v>
      </c>
      <c r="E12" s="6">
        <f>+Chem!E11</f>
        <v>65.622</v>
      </c>
      <c r="F12" s="6">
        <f t="shared" si="39"/>
        <v>188.041</v>
      </c>
      <c r="G12" s="105"/>
      <c r="H12" s="9">
        <f t="shared" si="0"/>
        <v>0</v>
      </c>
      <c r="I12" s="7">
        <f t="shared" si="40"/>
        <v>0</v>
      </c>
      <c r="J12" s="9">
        <f t="shared" si="1"/>
        <v>0</v>
      </c>
      <c r="K12" s="105">
        <f>104*K7</f>
        <v>26018.616000000002</v>
      </c>
      <c r="L12" s="9">
        <f t="shared" si="2"/>
        <v>36.50319715990581</v>
      </c>
      <c r="M12" s="9">
        <f t="shared" si="41"/>
        <v>80057.279999999999</v>
      </c>
      <c r="N12" s="9">
        <f t="shared" si="3"/>
        <v>39.483859085239857</v>
      </c>
      <c r="O12" s="105"/>
      <c r="P12" s="9">
        <f t="shared" si="4"/>
        <v>0</v>
      </c>
      <c r="Q12" s="9">
        <f t="shared" si="42"/>
        <v>0</v>
      </c>
      <c r="R12" s="9">
        <f t="shared" si="5"/>
        <v>0</v>
      </c>
      <c r="S12" s="105">
        <v>0</v>
      </c>
      <c r="T12" s="9">
        <f t="shared" si="6"/>
        <v>0</v>
      </c>
      <c r="U12" s="9">
        <f t="shared" si="43"/>
        <v>0</v>
      </c>
      <c r="V12" s="9">
        <f t="shared" si="7"/>
        <v>0</v>
      </c>
      <c r="W12" s="105">
        <v>0</v>
      </c>
      <c r="X12" s="9">
        <f t="shared" si="8"/>
        <v>0</v>
      </c>
      <c r="Y12" s="9">
        <f t="shared" si="44"/>
        <v>0</v>
      </c>
      <c r="Z12" s="9">
        <f t="shared" si="9"/>
        <v>0</v>
      </c>
      <c r="AA12" s="105">
        <v>0</v>
      </c>
      <c r="AB12" s="9">
        <f t="shared" si="10"/>
        <v>0</v>
      </c>
      <c r="AC12" s="9">
        <f t="shared" si="45"/>
        <v>0</v>
      </c>
      <c r="AD12" s="9">
        <f t="shared" si="11"/>
        <v>0</v>
      </c>
      <c r="AE12" s="9">
        <f t="shared" si="46"/>
        <v>26018.616000000002</v>
      </c>
      <c r="AF12" s="9">
        <f t="shared" si="12"/>
        <v>36.50319715990581</v>
      </c>
      <c r="AG12" s="9">
        <f t="shared" si="47"/>
        <v>80057.279999999999</v>
      </c>
      <c r="AH12" s="9">
        <f t="shared" si="13"/>
        <v>39.483859085239857</v>
      </c>
      <c r="AI12" s="106">
        <f>180*AI7</f>
        <v>45259.02</v>
      </c>
      <c r="AJ12" s="9">
        <f t="shared" si="14"/>
        <v>63.49680284009419</v>
      </c>
      <c r="AK12" s="9">
        <f t="shared" si="48"/>
        <v>122702.23199999999</v>
      </c>
      <c r="AL12" s="9">
        <f t="shared" si="15"/>
        <v>60.516140914760143</v>
      </c>
      <c r="AM12" s="106"/>
      <c r="AN12" s="9">
        <f t="shared" si="16"/>
        <v>0</v>
      </c>
      <c r="AO12" s="9">
        <f t="shared" si="49"/>
        <v>0</v>
      </c>
      <c r="AP12" s="9">
        <f t="shared" si="17"/>
        <v>0</v>
      </c>
      <c r="AQ12" s="106"/>
      <c r="AR12" s="9">
        <f t="shared" si="18"/>
        <v>0</v>
      </c>
      <c r="AS12" s="9">
        <f t="shared" si="50"/>
        <v>0</v>
      </c>
      <c r="AT12" s="9">
        <f t="shared" si="19"/>
        <v>0</v>
      </c>
      <c r="AU12" s="105"/>
      <c r="AV12" s="9">
        <f t="shared" si="20"/>
        <v>0</v>
      </c>
      <c r="AW12" s="9">
        <f t="shared" si="51"/>
        <v>0</v>
      </c>
      <c r="AX12" s="9">
        <f t="shared" si="21"/>
        <v>0</v>
      </c>
      <c r="AY12" s="105"/>
      <c r="AZ12" s="9">
        <f t="shared" si="22"/>
        <v>0</v>
      </c>
      <c r="BA12" s="9">
        <f t="shared" si="52"/>
        <v>0</v>
      </c>
      <c r="BB12" s="9">
        <f t="shared" si="23"/>
        <v>0</v>
      </c>
      <c r="BC12" s="9">
        <f t="shared" si="53"/>
        <v>45259.02</v>
      </c>
      <c r="BD12" s="9">
        <f t="shared" si="24"/>
        <v>63.49680284009419</v>
      </c>
      <c r="BE12" s="9">
        <f t="shared" si="54"/>
        <v>122702.23199999999</v>
      </c>
      <c r="BF12" s="9">
        <f t="shared" si="25"/>
        <v>60.516140914760143</v>
      </c>
      <c r="BG12" s="106">
        <v>0</v>
      </c>
      <c r="BH12" s="9" t="e">
        <f t="shared" si="26"/>
        <v>#DIV/0!</v>
      </c>
      <c r="BI12" s="9">
        <f t="shared" si="55"/>
        <v>0</v>
      </c>
      <c r="BJ12" s="9" t="e">
        <f t="shared" si="27"/>
        <v>#DIV/0!</v>
      </c>
      <c r="BK12" s="105"/>
      <c r="BL12" s="9">
        <f t="shared" si="28"/>
        <v>0</v>
      </c>
      <c r="BM12" s="9">
        <f t="shared" si="56"/>
        <v>0</v>
      </c>
      <c r="BN12" s="9">
        <f t="shared" si="29"/>
        <v>0</v>
      </c>
      <c r="BO12" s="105"/>
      <c r="BP12" s="14">
        <f t="shared" si="30"/>
        <v>0</v>
      </c>
      <c r="BQ12" s="9">
        <f t="shared" si="57"/>
        <v>0</v>
      </c>
      <c r="BR12" s="9">
        <f t="shared" si="31"/>
        <v>0</v>
      </c>
      <c r="BS12" s="9">
        <f t="shared" si="58"/>
        <v>0</v>
      </c>
      <c r="BT12" s="9">
        <f t="shared" si="32"/>
        <v>0</v>
      </c>
      <c r="BU12" s="9">
        <f t="shared" si="59"/>
        <v>0</v>
      </c>
      <c r="BV12" s="9">
        <f t="shared" si="33"/>
        <v>0</v>
      </c>
      <c r="BW12" s="105">
        <v>0</v>
      </c>
      <c r="BX12" s="9">
        <f t="shared" si="34"/>
        <v>0</v>
      </c>
      <c r="BY12" s="9">
        <f t="shared" si="60"/>
        <v>0</v>
      </c>
      <c r="BZ12" s="9">
        <f t="shared" si="35"/>
        <v>0</v>
      </c>
      <c r="CA12" s="9">
        <f t="shared" si="36"/>
        <v>71277.635999999999</v>
      </c>
      <c r="CB12" s="9">
        <f t="shared" si="61"/>
        <v>202759.51199999999</v>
      </c>
      <c r="CC12" s="9">
        <f t="shared" si="37"/>
        <v>1.0861850598884522</v>
      </c>
      <c r="CD12" s="9">
        <f t="shared" si="38"/>
        <v>1.0782728872958558</v>
      </c>
    </row>
    <row r="13" spans="1:82">
      <c r="A13" s="15">
        <f>+Chem!A12</f>
        <v>45965</v>
      </c>
      <c r="B13" s="5" t="str">
        <f>+Chem!B12</f>
        <v>MG</v>
      </c>
      <c r="C13" s="15" t="str">
        <f>+Chem!C12</f>
        <v>16,5/30/17/18/14</v>
      </c>
      <c r="D13" s="7">
        <f>+Chem!D12</f>
        <v>68.326000000000008</v>
      </c>
      <c r="E13" s="6">
        <f>+Chem!E12</f>
        <v>59.649000000000001</v>
      </c>
      <c r="F13" s="6">
        <f t="shared" si="39"/>
        <v>247.69</v>
      </c>
      <c r="G13" s="105"/>
      <c r="H13" s="9">
        <f t="shared" si="0"/>
        <v>0</v>
      </c>
      <c r="I13" s="7">
        <f t="shared" si="40"/>
        <v>0</v>
      </c>
      <c r="J13" s="9">
        <f t="shared" si="1"/>
        <v>0</v>
      </c>
      <c r="K13" s="105">
        <f>108*K7</f>
        <v>27019.331999999999</v>
      </c>
      <c r="L13" s="9">
        <f t="shared" si="2"/>
        <v>39.010841932534582</v>
      </c>
      <c r="M13" s="9">
        <f t="shared" si="41"/>
        <v>107076.61199999999</v>
      </c>
      <c r="N13" s="9">
        <f t="shared" si="3"/>
        <v>39.363420849206577</v>
      </c>
      <c r="O13" s="105"/>
      <c r="P13" s="9">
        <f t="shared" si="4"/>
        <v>0</v>
      </c>
      <c r="Q13" s="9">
        <f t="shared" si="42"/>
        <v>0</v>
      </c>
      <c r="R13" s="9">
        <f t="shared" si="5"/>
        <v>0</v>
      </c>
      <c r="S13" s="105">
        <v>0</v>
      </c>
      <c r="T13" s="9">
        <f t="shared" si="6"/>
        <v>0</v>
      </c>
      <c r="U13" s="9">
        <f t="shared" si="43"/>
        <v>0</v>
      </c>
      <c r="V13" s="9">
        <f t="shared" si="7"/>
        <v>0</v>
      </c>
      <c r="W13" s="105">
        <v>0</v>
      </c>
      <c r="X13" s="9">
        <f t="shared" si="8"/>
        <v>0</v>
      </c>
      <c r="Y13" s="9">
        <f t="shared" si="44"/>
        <v>0</v>
      </c>
      <c r="Z13" s="9">
        <f t="shared" si="9"/>
        <v>0</v>
      </c>
      <c r="AA13" s="105">
        <v>0</v>
      </c>
      <c r="AB13" s="9">
        <f t="shared" si="10"/>
        <v>0</v>
      </c>
      <c r="AC13" s="9">
        <f t="shared" si="45"/>
        <v>0</v>
      </c>
      <c r="AD13" s="9">
        <f t="shared" si="11"/>
        <v>0</v>
      </c>
      <c r="AE13" s="9">
        <f t="shared" si="46"/>
        <v>27019.331999999999</v>
      </c>
      <c r="AF13" s="9">
        <f t="shared" si="12"/>
        <v>39.010841932534582</v>
      </c>
      <c r="AG13" s="9">
        <f t="shared" si="47"/>
        <v>107076.61199999999</v>
      </c>
      <c r="AH13" s="9">
        <f t="shared" si="13"/>
        <v>39.363420849206577</v>
      </c>
      <c r="AI13" s="106">
        <f>168*AI7</f>
        <v>42241.752</v>
      </c>
      <c r="AJ13" s="9">
        <f t="shared" si="14"/>
        <v>60.989158067465418</v>
      </c>
      <c r="AK13" s="9">
        <f t="shared" si="48"/>
        <v>164943.984</v>
      </c>
      <c r="AL13" s="9">
        <f t="shared" si="15"/>
        <v>60.636579150793409</v>
      </c>
      <c r="AM13" s="106"/>
      <c r="AN13" s="9">
        <f t="shared" si="16"/>
        <v>0</v>
      </c>
      <c r="AO13" s="9">
        <f t="shared" si="49"/>
        <v>0</v>
      </c>
      <c r="AP13" s="9">
        <f t="shared" si="17"/>
        <v>0</v>
      </c>
      <c r="AQ13" s="106"/>
      <c r="AR13" s="9">
        <f t="shared" si="18"/>
        <v>0</v>
      </c>
      <c r="AS13" s="9">
        <f t="shared" si="50"/>
        <v>0</v>
      </c>
      <c r="AT13" s="9">
        <f t="shared" si="19"/>
        <v>0</v>
      </c>
      <c r="AU13" s="105"/>
      <c r="AV13" s="9">
        <f t="shared" si="20"/>
        <v>0</v>
      </c>
      <c r="AW13" s="9">
        <f t="shared" si="51"/>
        <v>0</v>
      </c>
      <c r="AX13" s="9">
        <f t="shared" si="21"/>
        <v>0</v>
      </c>
      <c r="AY13" s="105"/>
      <c r="AZ13" s="9">
        <f t="shared" si="22"/>
        <v>0</v>
      </c>
      <c r="BA13" s="9">
        <f t="shared" si="52"/>
        <v>0</v>
      </c>
      <c r="BB13" s="9">
        <f t="shared" si="23"/>
        <v>0</v>
      </c>
      <c r="BC13" s="9">
        <f t="shared" si="53"/>
        <v>42241.752</v>
      </c>
      <c r="BD13" s="9">
        <f t="shared" si="24"/>
        <v>60.989158067465418</v>
      </c>
      <c r="BE13" s="9">
        <f t="shared" si="54"/>
        <v>164943.984</v>
      </c>
      <c r="BF13" s="9">
        <f t="shared" si="25"/>
        <v>60.636579150793409</v>
      </c>
      <c r="BG13" s="106">
        <v>0</v>
      </c>
      <c r="BH13" s="9" t="e">
        <f t="shared" si="26"/>
        <v>#DIV/0!</v>
      </c>
      <c r="BI13" s="9">
        <f t="shared" si="55"/>
        <v>0</v>
      </c>
      <c r="BJ13" s="9" t="e">
        <f t="shared" si="27"/>
        <v>#DIV/0!</v>
      </c>
      <c r="BK13" s="105"/>
      <c r="BL13" s="9">
        <f t="shared" si="28"/>
        <v>0</v>
      </c>
      <c r="BM13" s="9">
        <f t="shared" si="56"/>
        <v>0</v>
      </c>
      <c r="BN13" s="9">
        <f t="shared" si="29"/>
        <v>0</v>
      </c>
      <c r="BO13" s="105"/>
      <c r="BP13" s="14">
        <f t="shared" si="30"/>
        <v>0</v>
      </c>
      <c r="BQ13" s="9">
        <f t="shared" si="57"/>
        <v>0</v>
      </c>
      <c r="BR13" s="9">
        <f t="shared" si="31"/>
        <v>0</v>
      </c>
      <c r="BS13" s="9">
        <f t="shared" si="58"/>
        <v>0</v>
      </c>
      <c r="BT13" s="9">
        <f t="shared" si="32"/>
        <v>0</v>
      </c>
      <c r="BU13" s="9">
        <f t="shared" si="59"/>
        <v>0</v>
      </c>
      <c r="BV13" s="9">
        <f t="shared" si="33"/>
        <v>0</v>
      </c>
      <c r="BW13" s="105">
        <v>0</v>
      </c>
      <c r="BX13" s="9">
        <f t="shared" si="34"/>
        <v>0</v>
      </c>
      <c r="BY13" s="9">
        <f t="shared" si="60"/>
        <v>0</v>
      </c>
      <c r="BZ13" s="9">
        <f t="shared" si="35"/>
        <v>0</v>
      </c>
      <c r="CA13" s="9">
        <f t="shared" si="36"/>
        <v>69261.084000000003</v>
      </c>
      <c r="CB13" s="9">
        <f t="shared" si="61"/>
        <v>272020.59600000002</v>
      </c>
      <c r="CC13" s="9">
        <f t="shared" si="37"/>
        <v>1.1611440929437207</v>
      </c>
      <c r="CD13" s="9">
        <f t="shared" si="38"/>
        <v>1.0982300294723244</v>
      </c>
    </row>
    <row r="14" spans="1:82">
      <c r="A14" s="15">
        <f>+Chem!A13</f>
        <v>45966</v>
      </c>
      <c r="B14" s="5" t="str">
        <f>+Chem!B13</f>
        <v>MG/Facial</v>
      </c>
      <c r="C14" s="15" t="str">
        <f>+Chem!C13</f>
        <v>14/10,3</v>
      </c>
      <c r="D14" s="7">
        <f>+Chem!D13</f>
        <v>45.849000000000004</v>
      </c>
      <c r="E14" s="6">
        <f>+Chem!E13</f>
        <v>55.176000000000002</v>
      </c>
      <c r="F14" s="6">
        <f t="shared" si="39"/>
        <v>302.86599999999999</v>
      </c>
      <c r="G14" s="106"/>
      <c r="H14" s="97">
        <f t="shared" si="0"/>
        <v>0</v>
      </c>
      <c r="I14" s="7">
        <f t="shared" si="40"/>
        <v>0</v>
      </c>
      <c r="J14" s="97">
        <f t="shared" si="1"/>
        <v>0</v>
      </c>
      <c r="K14" s="106">
        <f>34.5*K7</f>
        <v>8631.1754999999994</v>
      </c>
      <c r="L14" s="97">
        <f t="shared" si="2"/>
        <v>22.243087416919177</v>
      </c>
      <c r="M14" s="97">
        <f t="shared" si="41"/>
        <v>115707.78749999999</v>
      </c>
      <c r="N14" s="97">
        <f t="shared" si="3"/>
        <v>37.226089177221624</v>
      </c>
      <c r="O14" s="105"/>
      <c r="P14" s="97">
        <f t="shared" si="4"/>
        <v>0</v>
      </c>
      <c r="Q14" s="97">
        <f t="shared" si="42"/>
        <v>0</v>
      </c>
      <c r="R14" s="97">
        <f t="shared" si="5"/>
        <v>0</v>
      </c>
      <c r="S14" s="105">
        <v>0</v>
      </c>
      <c r="T14" s="97">
        <f t="shared" si="6"/>
        <v>0</v>
      </c>
      <c r="U14" s="97">
        <f t="shared" si="43"/>
        <v>0</v>
      </c>
      <c r="V14" s="97">
        <f t="shared" si="7"/>
        <v>0</v>
      </c>
      <c r="W14" s="105">
        <v>0</v>
      </c>
      <c r="X14" s="97">
        <f t="shared" si="8"/>
        <v>0</v>
      </c>
      <c r="Y14" s="97">
        <f t="shared" si="44"/>
        <v>0</v>
      </c>
      <c r="Z14" s="97">
        <f t="shared" si="9"/>
        <v>0</v>
      </c>
      <c r="AA14" s="105">
        <v>0</v>
      </c>
      <c r="AB14" s="97">
        <f t="shared" si="10"/>
        <v>0</v>
      </c>
      <c r="AC14" s="97">
        <f t="shared" si="45"/>
        <v>0</v>
      </c>
      <c r="AD14" s="97">
        <f t="shared" si="11"/>
        <v>0</v>
      </c>
      <c r="AE14" s="9">
        <f t="shared" si="46"/>
        <v>8631.1754999999994</v>
      </c>
      <c r="AF14" s="97">
        <f t="shared" si="12"/>
        <v>22.243087416919177</v>
      </c>
      <c r="AG14" s="97">
        <f t="shared" si="47"/>
        <v>115707.78749999999</v>
      </c>
      <c r="AH14" s="97">
        <f t="shared" si="13"/>
        <v>37.226089177221624</v>
      </c>
      <c r="AI14" s="106">
        <f>120*AI7</f>
        <v>30172.68</v>
      </c>
      <c r="AJ14" s="97">
        <f t="shared" si="14"/>
        <v>77.756912583080833</v>
      </c>
      <c r="AK14" s="97">
        <f t="shared" si="48"/>
        <v>195116.66399999999</v>
      </c>
      <c r="AL14" s="97">
        <f t="shared" si="15"/>
        <v>62.773910822778355</v>
      </c>
      <c r="AM14" s="106"/>
      <c r="AN14" s="97">
        <f t="shared" si="16"/>
        <v>0</v>
      </c>
      <c r="AO14" s="97">
        <f t="shared" si="49"/>
        <v>0</v>
      </c>
      <c r="AP14" s="97">
        <f t="shared" si="17"/>
        <v>0</v>
      </c>
      <c r="AQ14" s="106"/>
      <c r="AR14" s="97">
        <f t="shared" si="18"/>
        <v>0</v>
      </c>
      <c r="AS14" s="97">
        <f t="shared" si="50"/>
        <v>0</v>
      </c>
      <c r="AT14" s="97">
        <f t="shared" si="19"/>
        <v>0</v>
      </c>
      <c r="AU14" s="106"/>
      <c r="AV14" s="97">
        <f t="shared" si="20"/>
        <v>0</v>
      </c>
      <c r="AW14" s="97">
        <f t="shared" si="51"/>
        <v>0</v>
      </c>
      <c r="AX14" s="97">
        <f t="shared" si="21"/>
        <v>0</v>
      </c>
      <c r="AY14" s="106"/>
      <c r="AZ14" s="97">
        <f t="shared" si="22"/>
        <v>0</v>
      </c>
      <c r="BA14" s="97">
        <f t="shared" si="52"/>
        <v>0</v>
      </c>
      <c r="BB14" s="97">
        <f t="shared" si="23"/>
        <v>0</v>
      </c>
      <c r="BC14" s="9">
        <f t="shared" si="53"/>
        <v>30172.68</v>
      </c>
      <c r="BD14" s="97">
        <f t="shared" si="24"/>
        <v>77.756912583080833</v>
      </c>
      <c r="BE14" s="97">
        <f t="shared" si="54"/>
        <v>195116.66399999999</v>
      </c>
      <c r="BF14" s="97">
        <f t="shared" si="25"/>
        <v>62.773910822778355</v>
      </c>
      <c r="BG14" s="106">
        <v>0</v>
      </c>
      <c r="BH14" s="97" t="e">
        <f t="shared" si="26"/>
        <v>#DIV/0!</v>
      </c>
      <c r="BI14" s="97">
        <f t="shared" si="55"/>
        <v>0</v>
      </c>
      <c r="BJ14" s="97" t="e">
        <f t="shared" si="27"/>
        <v>#DIV/0!</v>
      </c>
      <c r="BK14" s="106"/>
      <c r="BL14" s="97">
        <f t="shared" si="28"/>
        <v>0</v>
      </c>
      <c r="BM14" s="97">
        <f t="shared" si="56"/>
        <v>0</v>
      </c>
      <c r="BN14" s="97">
        <f t="shared" si="29"/>
        <v>0</v>
      </c>
      <c r="BO14" s="106"/>
      <c r="BP14" s="98">
        <f t="shared" si="30"/>
        <v>0</v>
      </c>
      <c r="BQ14" s="97">
        <f t="shared" si="57"/>
        <v>0</v>
      </c>
      <c r="BR14" s="97">
        <f t="shared" si="31"/>
        <v>0</v>
      </c>
      <c r="BS14" s="97">
        <f t="shared" si="58"/>
        <v>0</v>
      </c>
      <c r="BT14" s="97">
        <f t="shared" si="32"/>
        <v>0</v>
      </c>
      <c r="BU14" s="97">
        <f t="shared" si="59"/>
        <v>0</v>
      </c>
      <c r="BV14" s="97">
        <f t="shared" si="33"/>
        <v>0</v>
      </c>
      <c r="BW14" s="106">
        <v>0</v>
      </c>
      <c r="BX14" s="97">
        <f t="shared" si="34"/>
        <v>0</v>
      </c>
      <c r="BY14" s="97">
        <f t="shared" si="60"/>
        <v>0</v>
      </c>
      <c r="BZ14" s="97">
        <f t="shared" si="35"/>
        <v>0</v>
      </c>
      <c r="CA14" s="97">
        <f t="shared" si="36"/>
        <v>38803.855499999998</v>
      </c>
      <c r="CB14" s="97">
        <f t="shared" si="61"/>
        <v>310824.45150000002</v>
      </c>
      <c r="CC14" s="97">
        <f t="shared" si="37"/>
        <v>0.7032741681165724</v>
      </c>
      <c r="CD14" s="97">
        <f t="shared" si="38"/>
        <v>1.0262771374139059</v>
      </c>
    </row>
    <row r="15" spans="1:82">
      <c r="A15" s="15">
        <f>+Chem!A14</f>
        <v>45967</v>
      </c>
      <c r="B15" s="5" t="str">
        <f>+Chem!B14</f>
        <v>Facial</v>
      </c>
      <c r="C15" s="15" t="str">
        <f>+Chem!C14</f>
        <v>12/13</v>
      </c>
      <c r="D15" s="7">
        <f>+Chem!D14</f>
        <v>50.673000000000002</v>
      </c>
      <c r="E15" s="6">
        <f>+Chem!E14</f>
        <v>44.353000000000002</v>
      </c>
      <c r="F15" s="6">
        <f t="shared" si="39"/>
        <v>347.21899999999999</v>
      </c>
      <c r="G15" s="106"/>
      <c r="H15" s="97">
        <f t="shared" si="0"/>
        <v>0</v>
      </c>
      <c r="I15" s="7">
        <f t="shared" si="40"/>
        <v>0</v>
      </c>
      <c r="J15" s="97">
        <f t="shared" si="1"/>
        <v>0</v>
      </c>
      <c r="K15" s="106">
        <f>22.75*K7</f>
        <v>5691.5722500000002</v>
      </c>
      <c r="L15" s="97">
        <f t="shared" si="2"/>
        <v>12.912239172152098</v>
      </c>
      <c r="M15" s="97">
        <f t="shared" si="41"/>
        <v>121399.35974999999</v>
      </c>
      <c r="N15" s="97">
        <f t="shared" si="3"/>
        <v>34.206315945952156</v>
      </c>
      <c r="O15" s="105"/>
      <c r="P15" s="97">
        <f t="shared" si="4"/>
        <v>0</v>
      </c>
      <c r="Q15" s="97">
        <f t="shared" si="42"/>
        <v>0</v>
      </c>
      <c r="R15" s="97">
        <f t="shared" si="5"/>
        <v>0</v>
      </c>
      <c r="S15" s="105">
        <v>0</v>
      </c>
      <c r="T15" s="97">
        <f t="shared" si="6"/>
        <v>0</v>
      </c>
      <c r="U15" s="97">
        <f t="shared" si="43"/>
        <v>0</v>
      </c>
      <c r="V15" s="97">
        <f t="shared" si="7"/>
        <v>0</v>
      </c>
      <c r="W15" s="105">
        <v>0</v>
      </c>
      <c r="X15" s="97">
        <f t="shared" si="8"/>
        <v>0</v>
      </c>
      <c r="Y15" s="97">
        <f t="shared" si="44"/>
        <v>0</v>
      </c>
      <c r="Z15" s="97">
        <f t="shared" si="9"/>
        <v>0</v>
      </c>
      <c r="AA15" s="105">
        <v>0</v>
      </c>
      <c r="AB15" s="97">
        <f t="shared" si="10"/>
        <v>0</v>
      </c>
      <c r="AC15" s="97">
        <f t="shared" si="45"/>
        <v>0</v>
      </c>
      <c r="AD15" s="97">
        <f t="shared" si="11"/>
        <v>0</v>
      </c>
      <c r="AE15" s="9">
        <f t="shared" si="46"/>
        <v>5691.5722500000002</v>
      </c>
      <c r="AF15" s="97">
        <f t="shared" si="12"/>
        <v>12.912239172152098</v>
      </c>
      <c r="AG15" s="97">
        <f t="shared" si="47"/>
        <v>121399.35974999999</v>
      </c>
      <c r="AH15" s="97">
        <f t="shared" si="13"/>
        <v>34.206315945952156</v>
      </c>
      <c r="AI15" s="106">
        <f>6*AI7</f>
        <v>1508.634</v>
      </c>
      <c r="AJ15" s="97">
        <f t="shared" si="14"/>
        <v>3.422576781176855</v>
      </c>
      <c r="AK15" s="97">
        <f t="shared" si="48"/>
        <v>196625.29799999998</v>
      </c>
      <c r="AL15" s="97">
        <f t="shared" si="15"/>
        <v>55.402492074139587</v>
      </c>
      <c r="AM15" s="106"/>
      <c r="AN15" s="97">
        <f t="shared" si="16"/>
        <v>0</v>
      </c>
      <c r="AO15" s="97">
        <f t="shared" si="49"/>
        <v>0</v>
      </c>
      <c r="AP15" s="97">
        <f t="shared" si="17"/>
        <v>0</v>
      </c>
      <c r="AQ15" s="106"/>
      <c r="AR15" s="97">
        <f t="shared" si="18"/>
        <v>0</v>
      </c>
      <c r="AS15" s="97">
        <f t="shared" si="50"/>
        <v>0</v>
      </c>
      <c r="AT15" s="97">
        <f t="shared" si="19"/>
        <v>0</v>
      </c>
      <c r="AU15" s="106"/>
      <c r="AV15" s="97">
        <f t="shared" si="20"/>
        <v>0</v>
      </c>
      <c r="AW15" s="97">
        <f t="shared" si="51"/>
        <v>0</v>
      </c>
      <c r="AX15" s="97">
        <f t="shared" si="21"/>
        <v>0</v>
      </c>
      <c r="AY15" s="106"/>
      <c r="AZ15" s="97">
        <f t="shared" si="22"/>
        <v>0</v>
      </c>
      <c r="BA15" s="97">
        <f t="shared" si="52"/>
        <v>0</v>
      </c>
      <c r="BB15" s="97">
        <f t="shared" si="23"/>
        <v>0</v>
      </c>
      <c r="BC15" s="9">
        <f t="shared" si="53"/>
        <v>1508.634</v>
      </c>
      <c r="BD15" s="97">
        <f t="shared" si="24"/>
        <v>3.422576781176855</v>
      </c>
      <c r="BE15" s="97">
        <f t="shared" si="54"/>
        <v>196625.29799999998</v>
      </c>
      <c r="BF15" s="97">
        <f t="shared" si="25"/>
        <v>55.402492074139587</v>
      </c>
      <c r="BG15" s="106">
        <f>144*BG7</f>
        <v>35896.464</v>
      </c>
      <c r="BH15" s="97" t="e">
        <f t="shared" si="26"/>
        <v>#DIV/0!</v>
      </c>
      <c r="BI15" s="97">
        <f t="shared" si="55"/>
        <v>35896.464</v>
      </c>
      <c r="BJ15" s="97" t="e">
        <f t="shared" si="27"/>
        <v>#DIV/0!</v>
      </c>
      <c r="BK15" s="106">
        <f>4*BK7</f>
        <v>982.22400000000005</v>
      </c>
      <c r="BL15" s="97">
        <f t="shared" si="28"/>
        <v>2.2283317599329298</v>
      </c>
      <c r="BM15" s="97">
        <f t="shared" si="56"/>
        <v>982.22400000000005</v>
      </c>
      <c r="BN15" s="97">
        <f t="shared" si="29"/>
        <v>0.27675816860061253</v>
      </c>
      <c r="BO15" s="106"/>
      <c r="BP15" s="98">
        <f t="shared" si="30"/>
        <v>0</v>
      </c>
      <c r="BQ15" s="97">
        <f t="shared" si="57"/>
        <v>0</v>
      </c>
      <c r="BR15" s="97">
        <f t="shared" si="31"/>
        <v>0</v>
      </c>
      <c r="BS15" s="97">
        <f t="shared" si="58"/>
        <v>36878.688000000002</v>
      </c>
      <c r="BT15" s="97">
        <f t="shared" si="32"/>
        <v>83.665184046671044</v>
      </c>
      <c r="BU15" s="97">
        <f t="shared" si="59"/>
        <v>36878.688000000002</v>
      </c>
      <c r="BV15" s="97">
        <f t="shared" si="33"/>
        <v>10.391191979908236</v>
      </c>
      <c r="BW15" s="106">
        <v>0</v>
      </c>
      <c r="BX15" s="97">
        <f t="shared" si="34"/>
        <v>0</v>
      </c>
      <c r="BY15" s="97">
        <f t="shared" si="60"/>
        <v>0</v>
      </c>
      <c r="BZ15" s="97">
        <f t="shared" si="35"/>
        <v>0</v>
      </c>
      <c r="CA15" s="97">
        <f t="shared" si="36"/>
        <v>44078.894250000005</v>
      </c>
      <c r="CB15" s="97">
        <f t="shared" si="61"/>
        <v>354903.34575000004</v>
      </c>
      <c r="CC15" s="97">
        <f t="shared" si="37"/>
        <v>0.99381990507970153</v>
      </c>
      <c r="CD15" s="97">
        <f t="shared" si="38"/>
        <v>1.0221311211368043</v>
      </c>
    </row>
    <row r="16" spans="1:82">
      <c r="A16" s="15">
        <f>+Chem!A15</f>
        <v>45968</v>
      </c>
      <c r="B16" s="5" t="str">
        <f>+Chem!B15</f>
        <v>Facial</v>
      </c>
      <c r="C16" s="15" t="str">
        <f>+Chem!C15</f>
        <v>13/10,3</v>
      </c>
      <c r="D16" s="7">
        <f>+Chem!D15</f>
        <v>51.206000000000003</v>
      </c>
      <c r="E16" s="6">
        <f>+Chem!E15</f>
        <v>48.692</v>
      </c>
      <c r="F16" s="6">
        <f t="shared" si="39"/>
        <v>395.911</v>
      </c>
      <c r="G16" s="106"/>
      <c r="H16" s="97">
        <f t="shared" si="0"/>
        <v>0</v>
      </c>
      <c r="I16" s="7">
        <f t="shared" si="40"/>
        <v>0</v>
      </c>
      <c r="J16" s="97">
        <f t="shared" si="1"/>
        <v>0</v>
      </c>
      <c r="K16" s="106">
        <f>32.5*K7</f>
        <v>8130.8175000000001</v>
      </c>
      <c r="L16" s="97">
        <f t="shared" si="2"/>
        <v>18.679202129986848</v>
      </c>
      <c r="M16" s="97">
        <f t="shared" si="41"/>
        <v>129530.17724999999</v>
      </c>
      <c r="N16" s="97">
        <f t="shared" si="3"/>
        <v>32.509978123554149</v>
      </c>
      <c r="O16" s="105"/>
      <c r="P16" s="97">
        <f t="shared" si="4"/>
        <v>0</v>
      </c>
      <c r="Q16" s="97">
        <f t="shared" si="42"/>
        <v>0</v>
      </c>
      <c r="R16" s="97">
        <f t="shared" si="5"/>
        <v>0</v>
      </c>
      <c r="S16" s="105">
        <v>0</v>
      </c>
      <c r="T16" s="97">
        <f t="shared" si="6"/>
        <v>0</v>
      </c>
      <c r="U16" s="97">
        <f t="shared" si="43"/>
        <v>0</v>
      </c>
      <c r="V16" s="97">
        <f t="shared" si="7"/>
        <v>0</v>
      </c>
      <c r="W16" s="105">
        <v>0</v>
      </c>
      <c r="X16" s="97">
        <f t="shared" si="8"/>
        <v>0</v>
      </c>
      <c r="Y16" s="97">
        <f t="shared" si="44"/>
        <v>0</v>
      </c>
      <c r="Z16" s="97">
        <f t="shared" si="9"/>
        <v>0</v>
      </c>
      <c r="AA16" s="105">
        <v>0</v>
      </c>
      <c r="AB16" s="97">
        <f t="shared" si="10"/>
        <v>0</v>
      </c>
      <c r="AC16" s="97">
        <f t="shared" si="45"/>
        <v>0</v>
      </c>
      <c r="AD16" s="97">
        <f t="shared" si="11"/>
        <v>0</v>
      </c>
      <c r="AE16" s="9">
        <f t="shared" si="46"/>
        <v>8130.8175000000001</v>
      </c>
      <c r="AF16" s="97">
        <f t="shared" si="12"/>
        <v>18.679202129986848</v>
      </c>
      <c r="AG16" s="97">
        <f t="shared" si="47"/>
        <v>129530.17724999999</v>
      </c>
      <c r="AH16" s="97">
        <f t="shared" si="13"/>
        <v>32.509978123554149</v>
      </c>
      <c r="AI16" s="106">
        <v>0</v>
      </c>
      <c r="AJ16" s="97">
        <f t="shared" si="14"/>
        <v>0</v>
      </c>
      <c r="AK16" s="97">
        <f t="shared" si="48"/>
        <v>196625.29799999998</v>
      </c>
      <c r="AL16" s="97">
        <f t="shared" si="15"/>
        <v>49.349767538570354</v>
      </c>
      <c r="AM16" s="106"/>
      <c r="AN16" s="97">
        <f t="shared" si="16"/>
        <v>0</v>
      </c>
      <c r="AO16" s="97">
        <f t="shared" si="49"/>
        <v>0</v>
      </c>
      <c r="AP16" s="97">
        <f t="shared" si="17"/>
        <v>0</v>
      </c>
      <c r="AQ16" s="106"/>
      <c r="AR16" s="97">
        <f t="shared" si="18"/>
        <v>0</v>
      </c>
      <c r="AS16" s="97">
        <f t="shared" si="50"/>
        <v>0</v>
      </c>
      <c r="AT16" s="97">
        <f t="shared" si="19"/>
        <v>0</v>
      </c>
      <c r="AU16" s="106"/>
      <c r="AV16" s="97">
        <f t="shared" si="20"/>
        <v>0</v>
      </c>
      <c r="AW16" s="97">
        <f t="shared" si="51"/>
        <v>0</v>
      </c>
      <c r="AX16" s="97">
        <f t="shared" si="21"/>
        <v>0</v>
      </c>
      <c r="AY16" s="106"/>
      <c r="AZ16" s="97">
        <f t="shared" si="22"/>
        <v>0</v>
      </c>
      <c r="BA16" s="97">
        <f t="shared" si="52"/>
        <v>0</v>
      </c>
      <c r="BB16" s="97">
        <f t="shared" si="23"/>
        <v>0</v>
      </c>
      <c r="BC16" s="9">
        <f t="shared" si="53"/>
        <v>0</v>
      </c>
      <c r="BD16" s="97">
        <f t="shared" si="24"/>
        <v>0</v>
      </c>
      <c r="BE16" s="97">
        <f t="shared" si="54"/>
        <v>196625.29799999998</v>
      </c>
      <c r="BF16" s="97">
        <f t="shared" si="25"/>
        <v>49.349767538570354</v>
      </c>
      <c r="BG16" s="106">
        <f>142*BG7</f>
        <v>35397.902000000002</v>
      </c>
      <c r="BH16" s="97">
        <f t="shared" ref="BH16:BH39" si="62">+BG16/CA16*100</f>
        <v>81.320797870013166</v>
      </c>
      <c r="BI16" s="97">
        <f t="shared" ref="BI16:BI39" si="63">+BG16+BI15</f>
        <v>71294.366000000009</v>
      </c>
      <c r="BJ16" s="97">
        <f t="shared" ref="BJ16:BJ39" si="64">+BI16/CB16*100</f>
        <v>17.893732010566385</v>
      </c>
      <c r="BK16" s="106"/>
      <c r="BL16" s="97">
        <f t="shared" si="28"/>
        <v>0</v>
      </c>
      <c r="BM16" s="97">
        <f t="shared" si="56"/>
        <v>982.22400000000005</v>
      </c>
      <c r="BN16" s="97">
        <f t="shared" si="29"/>
        <v>0.24652232730909698</v>
      </c>
      <c r="BO16" s="106"/>
      <c r="BP16" s="98">
        <f t="shared" si="30"/>
        <v>0</v>
      </c>
      <c r="BQ16" s="97">
        <f t="shared" si="57"/>
        <v>0</v>
      </c>
      <c r="BR16" s="97">
        <f t="shared" si="31"/>
        <v>0</v>
      </c>
      <c r="BS16" s="97">
        <f t="shared" si="58"/>
        <v>35397.902000000002</v>
      </c>
      <c r="BT16" s="97">
        <f t="shared" si="32"/>
        <v>81.320797870013166</v>
      </c>
      <c r="BU16" s="97">
        <f t="shared" si="59"/>
        <v>72276.59</v>
      </c>
      <c r="BV16" s="97">
        <f t="shared" si="33"/>
        <v>18.140254337875479</v>
      </c>
      <c r="BW16" s="106">
        <v>0</v>
      </c>
      <c r="BX16" s="97">
        <f t="shared" si="34"/>
        <v>0</v>
      </c>
      <c r="BY16" s="97">
        <f t="shared" si="60"/>
        <v>0</v>
      </c>
      <c r="BZ16" s="97">
        <f t="shared" si="35"/>
        <v>0</v>
      </c>
      <c r="CA16" s="97">
        <f t="shared" si="36"/>
        <v>43528.719499999999</v>
      </c>
      <c r="CB16" s="97">
        <f t="shared" si="61"/>
        <v>398432.06525000004</v>
      </c>
      <c r="CC16" s="97">
        <f t="shared" si="37"/>
        <v>0.89396039390454285</v>
      </c>
      <c r="CD16" s="97">
        <f t="shared" si="38"/>
        <v>1.0063677575263128</v>
      </c>
    </row>
    <row r="17" spans="1:91">
      <c r="A17" s="15">
        <f>+Chem!A16</f>
        <v>45969</v>
      </c>
      <c r="B17" s="5" t="str">
        <f>+Chem!B16</f>
        <v>Facial</v>
      </c>
      <c r="C17" s="15" t="str">
        <f>+Chem!C16</f>
        <v>10,3</v>
      </c>
      <c r="D17" s="7">
        <f>+Chem!D16</f>
        <v>46.725999999999999</v>
      </c>
      <c r="E17" s="6">
        <f>+Chem!E16</f>
        <v>47.743000000000002</v>
      </c>
      <c r="F17" s="6">
        <f t="shared" si="39"/>
        <v>443.654</v>
      </c>
      <c r="G17" s="106"/>
      <c r="H17" s="97">
        <f t="shared" si="0"/>
        <v>0</v>
      </c>
      <c r="I17" s="7">
        <f t="shared" si="40"/>
        <v>0</v>
      </c>
      <c r="J17" s="97">
        <f t="shared" si="1"/>
        <v>0</v>
      </c>
      <c r="K17" s="106">
        <f>31.5*K7</f>
        <v>7880.6385</v>
      </c>
      <c r="L17" s="97">
        <f t="shared" si="2"/>
        <v>17.031885461205487</v>
      </c>
      <c r="M17" s="97">
        <f t="shared" si="41"/>
        <v>137410.81574999998</v>
      </c>
      <c r="N17" s="97">
        <f t="shared" si="3"/>
        <v>30.899528813710109</v>
      </c>
      <c r="O17" s="105"/>
      <c r="P17" s="97">
        <f t="shared" si="4"/>
        <v>0</v>
      </c>
      <c r="Q17" s="97">
        <f t="shared" si="42"/>
        <v>0</v>
      </c>
      <c r="R17" s="97">
        <f t="shared" si="5"/>
        <v>0</v>
      </c>
      <c r="S17" s="105">
        <v>0</v>
      </c>
      <c r="T17" s="97">
        <f t="shared" si="6"/>
        <v>0</v>
      </c>
      <c r="U17" s="97">
        <f t="shared" si="43"/>
        <v>0</v>
      </c>
      <c r="V17" s="97">
        <f t="shared" si="7"/>
        <v>0</v>
      </c>
      <c r="W17" s="105">
        <v>0</v>
      </c>
      <c r="X17" s="97">
        <f t="shared" si="8"/>
        <v>0</v>
      </c>
      <c r="Y17" s="97">
        <f t="shared" si="44"/>
        <v>0</v>
      </c>
      <c r="Z17" s="97">
        <f t="shared" si="9"/>
        <v>0</v>
      </c>
      <c r="AA17" s="105">
        <v>0</v>
      </c>
      <c r="AB17" s="97">
        <f t="shared" si="10"/>
        <v>0</v>
      </c>
      <c r="AC17" s="97">
        <f t="shared" si="45"/>
        <v>0</v>
      </c>
      <c r="AD17" s="97">
        <f t="shared" si="11"/>
        <v>0</v>
      </c>
      <c r="AE17" s="9">
        <f t="shared" si="46"/>
        <v>7880.6385</v>
      </c>
      <c r="AF17" s="97">
        <f t="shared" si="12"/>
        <v>17.031885461205487</v>
      </c>
      <c r="AG17" s="97">
        <f t="shared" si="47"/>
        <v>137410.81574999998</v>
      </c>
      <c r="AH17" s="97">
        <f t="shared" si="13"/>
        <v>30.899528813710109</v>
      </c>
      <c r="AI17" s="106">
        <v>0</v>
      </c>
      <c r="AJ17" s="97">
        <f t="shared" si="14"/>
        <v>0</v>
      </c>
      <c r="AK17" s="97">
        <f t="shared" si="48"/>
        <v>196625.29799999998</v>
      </c>
      <c r="AL17" s="97">
        <f t="shared" si="15"/>
        <v>44.215071629507719</v>
      </c>
      <c r="AM17" s="106"/>
      <c r="AN17" s="97">
        <f t="shared" si="16"/>
        <v>0</v>
      </c>
      <c r="AO17" s="97">
        <f t="shared" si="49"/>
        <v>0</v>
      </c>
      <c r="AP17" s="97">
        <f t="shared" si="17"/>
        <v>0</v>
      </c>
      <c r="AQ17" s="106"/>
      <c r="AR17" s="97">
        <f t="shared" si="18"/>
        <v>0</v>
      </c>
      <c r="AS17" s="97">
        <f t="shared" si="50"/>
        <v>0</v>
      </c>
      <c r="AT17" s="97">
        <f t="shared" si="19"/>
        <v>0</v>
      </c>
      <c r="AU17" s="106"/>
      <c r="AV17" s="97">
        <f t="shared" si="20"/>
        <v>0</v>
      </c>
      <c r="AW17" s="97">
        <f t="shared" si="51"/>
        <v>0</v>
      </c>
      <c r="AX17" s="97">
        <f t="shared" si="21"/>
        <v>0</v>
      </c>
      <c r="AY17" s="106"/>
      <c r="AZ17" s="97">
        <f t="shared" si="22"/>
        <v>0</v>
      </c>
      <c r="BA17" s="97">
        <f t="shared" si="52"/>
        <v>0</v>
      </c>
      <c r="BB17" s="97">
        <f t="shared" si="23"/>
        <v>0</v>
      </c>
      <c r="BC17" s="9">
        <f t="shared" si="53"/>
        <v>0</v>
      </c>
      <c r="BD17" s="97">
        <f t="shared" si="24"/>
        <v>0</v>
      </c>
      <c r="BE17" s="97">
        <f t="shared" si="54"/>
        <v>196625.29799999998</v>
      </c>
      <c r="BF17" s="97">
        <f t="shared" si="25"/>
        <v>44.215071629507719</v>
      </c>
      <c r="BG17" s="106">
        <f>154*BG7</f>
        <v>38389.273999999998</v>
      </c>
      <c r="BH17" s="97">
        <f t="shared" si="62"/>
        <v>82.968114538794509</v>
      </c>
      <c r="BI17" s="97">
        <f t="shared" si="63"/>
        <v>109683.64000000001</v>
      </c>
      <c r="BJ17" s="97">
        <f t="shared" si="64"/>
        <v>24.664527141289515</v>
      </c>
      <c r="BK17" s="106"/>
      <c r="BL17" s="97">
        <f t="shared" si="28"/>
        <v>0</v>
      </c>
      <c r="BM17" s="97">
        <f t="shared" si="56"/>
        <v>982.22400000000005</v>
      </c>
      <c r="BN17" s="97">
        <f t="shared" si="29"/>
        <v>0.2208724154926473</v>
      </c>
      <c r="BO17" s="106"/>
      <c r="BP17" s="98">
        <f t="shared" si="30"/>
        <v>0</v>
      </c>
      <c r="BQ17" s="97">
        <f t="shared" si="57"/>
        <v>0</v>
      </c>
      <c r="BR17" s="97">
        <f t="shared" si="31"/>
        <v>0</v>
      </c>
      <c r="BS17" s="97">
        <f t="shared" si="58"/>
        <v>38389.273999999998</v>
      </c>
      <c r="BT17" s="97">
        <f t="shared" si="32"/>
        <v>82.968114538794509</v>
      </c>
      <c r="BU17" s="97">
        <f t="shared" si="59"/>
        <v>110665.864</v>
      </c>
      <c r="BV17" s="97">
        <f t="shared" si="33"/>
        <v>24.885399556782158</v>
      </c>
      <c r="BW17" s="106">
        <v>0</v>
      </c>
      <c r="BX17" s="97">
        <f t="shared" si="34"/>
        <v>0</v>
      </c>
      <c r="BY17" s="97">
        <f t="shared" si="60"/>
        <v>0</v>
      </c>
      <c r="BZ17" s="97">
        <f t="shared" si="35"/>
        <v>0</v>
      </c>
      <c r="CA17" s="97">
        <f t="shared" si="36"/>
        <v>46269.912499999999</v>
      </c>
      <c r="CB17" s="97">
        <f t="shared" si="61"/>
        <v>444701.97775000002</v>
      </c>
      <c r="CC17" s="97">
        <f t="shared" si="37"/>
        <v>0.96914547682382746</v>
      </c>
      <c r="CD17" s="97">
        <f t="shared" si="38"/>
        <v>1.0023621510230947</v>
      </c>
    </row>
    <row r="18" spans="1:91">
      <c r="A18" s="15">
        <f>+Chem!A17</f>
        <v>45970</v>
      </c>
      <c r="B18" s="5" t="str">
        <f>+Chem!B17</f>
        <v>Facial</v>
      </c>
      <c r="C18" s="15" t="str">
        <f>+Chem!C17</f>
        <v>10,3/12,5</v>
      </c>
      <c r="D18" s="7">
        <f>+Chem!D17</f>
        <v>54.628999999999998</v>
      </c>
      <c r="E18" s="6">
        <f>+Chem!E17</f>
        <v>53.112000000000002</v>
      </c>
      <c r="F18" s="6">
        <f t="shared" si="39"/>
        <v>496.76600000000002</v>
      </c>
      <c r="G18" s="105"/>
      <c r="H18" s="9">
        <f t="shared" si="0"/>
        <v>0</v>
      </c>
      <c r="I18" s="7">
        <f t="shared" si="40"/>
        <v>0</v>
      </c>
      <c r="J18" s="9">
        <f t="shared" si="1"/>
        <v>0</v>
      </c>
      <c r="K18" s="105">
        <f>33.75*K7</f>
        <v>8443.5412500000002</v>
      </c>
      <c r="L18" s="9">
        <f t="shared" si="2"/>
        <v>17.471142352050489</v>
      </c>
      <c r="M18" s="9">
        <f t="shared" si="41"/>
        <v>145854.35699999999</v>
      </c>
      <c r="N18" s="9">
        <f t="shared" si="3"/>
        <v>29.583233331909277</v>
      </c>
      <c r="O18" s="105"/>
      <c r="P18" s="9">
        <f t="shared" si="4"/>
        <v>0</v>
      </c>
      <c r="Q18" s="9">
        <f t="shared" si="42"/>
        <v>0</v>
      </c>
      <c r="R18" s="9">
        <f t="shared" si="5"/>
        <v>0</v>
      </c>
      <c r="S18" s="105">
        <v>0</v>
      </c>
      <c r="T18" s="9">
        <f t="shared" si="6"/>
        <v>0</v>
      </c>
      <c r="U18" s="9">
        <f t="shared" si="43"/>
        <v>0</v>
      </c>
      <c r="V18" s="9">
        <f t="shared" si="7"/>
        <v>0</v>
      </c>
      <c r="W18" s="105">
        <v>0</v>
      </c>
      <c r="X18" s="9">
        <f t="shared" si="8"/>
        <v>0</v>
      </c>
      <c r="Y18" s="9">
        <f t="shared" si="44"/>
        <v>0</v>
      </c>
      <c r="Z18" s="9">
        <f t="shared" si="9"/>
        <v>0</v>
      </c>
      <c r="AA18" s="105">
        <v>0</v>
      </c>
      <c r="AB18" s="9">
        <f t="shared" si="10"/>
        <v>0</v>
      </c>
      <c r="AC18" s="9">
        <f t="shared" si="45"/>
        <v>0</v>
      </c>
      <c r="AD18" s="9">
        <f t="shared" si="11"/>
        <v>0</v>
      </c>
      <c r="AE18" s="9">
        <f t="shared" si="46"/>
        <v>8443.5412500000002</v>
      </c>
      <c r="AF18" s="9">
        <f t="shared" si="12"/>
        <v>17.471142352050489</v>
      </c>
      <c r="AG18" s="9">
        <f t="shared" si="47"/>
        <v>145854.35699999999</v>
      </c>
      <c r="AH18" s="9">
        <f t="shared" si="13"/>
        <v>29.583233331909277</v>
      </c>
      <c r="AI18" s="106">
        <v>0</v>
      </c>
      <c r="AJ18" s="9">
        <f t="shared" si="14"/>
        <v>0</v>
      </c>
      <c r="AK18" s="9">
        <f t="shared" si="48"/>
        <v>196625.29799999998</v>
      </c>
      <c r="AL18" s="9">
        <f t="shared" si="15"/>
        <v>39.880962004379441</v>
      </c>
      <c r="AM18" s="105"/>
      <c r="AN18" s="9">
        <f t="shared" si="16"/>
        <v>0</v>
      </c>
      <c r="AO18" s="9">
        <f t="shared" si="49"/>
        <v>0</v>
      </c>
      <c r="AP18" s="9">
        <f t="shared" si="17"/>
        <v>0</v>
      </c>
      <c r="AQ18" s="105"/>
      <c r="AR18" s="9">
        <f t="shared" si="18"/>
        <v>0</v>
      </c>
      <c r="AS18" s="9">
        <f t="shared" si="50"/>
        <v>0</v>
      </c>
      <c r="AT18" s="9">
        <f t="shared" si="19"/>
        <v>0</v>
      </c>
      <c r="AU18" s="105"/>
      <c r="AV18" s="9">
        <f t="shared" si="20"/>
        <v>0</v>
      </c>
      <c r="AW18" s="9">
        <f t="shared" si="51"/>
        <v>0</v>
      </c>
      <c r="AX18" s="9">
        <f t="shared" si="21"/>
        <v>0</v>
      </c>
      <c r="AY18" s="105"/>
      <c r="AZ18" s="9">
        <f t="shared" si="22"/>
        <v>0</v>
      </c>
      <c r="BA18" s="9">
        <f t="shared" si="52"/>
        <v>0</v>
      </c>
      <c r="BB18" s="9">
        <f t="shared" si="23"/>
        <v>0</v>
      </c>
      <c r="BC18" s="9">
        <f t="shared" si="53"/>
        <v>0</v>
      </c>
      <c r="BD18" s="9">
        <f t="shared" si="24"/>
        <v>0</v>
      </c>
      <c r="BE18" s="9">
        <f t="shared" si="54"/>
        <v>196625.29799999998</v>
      </c>
      <c r="BF18" s="9">
        <f t="shared" si="25"/>
        <v>39.880962004379441</v>
      </c>
      <c r="BG18" s="105">
        <f>160*BG7</f>
        <v>39884.959999999999</v>
      </c>
      <c r="BH18" s="9">
        <f t="shared" si="62"/>
        <v>82.528857647949508</v>
      </c>
      <c r="BI18" s="9">
        <f t="shared" si="63"/>
        <v>149568.6</v>
      </c>
      <c r="BJ18" s="9">
        <f t="shared" si="64"/>
        <v>30.336582903224528</v>
      </c>
      <c r="BK18" s="105"/>
      <c r="BL18" s="9">
        <f t="shared" si="28"/>
        <v>0</v>
      </c>
      <c r="BM18" s="9">
        <f t="shared" si="56"/>
        <v>982.22400000000005</v>
      </c>
      <c r="BN18" s="9">
        <f t="shared" si="29"/>
        <v>0.19922176048673859</v>
      </c>
      <c r="BO18" s="105"/>
      <c r="BP18" s="14">
        <f t="shared" si="30"/>
        <v>0</v>
      </c>
      <c r="BQ18" s="9">
        <f t="shared" si="57"/>
        <v>0</v>
      </c>
      <c r="BR18" s="9">
        <f t="shared" si="31"/>
        <v>0</v>
      </c>
      <c r="BS18" s="9">
        <f t="shared" si="58"/>
        <v>39884.959999999999</v>
      </c>
      <c r="BT18" s="9">
        <f t="shared" si="32"/>
        <v>82.528857647949508</v>
      </c>
      <c r="BU18" s="9">
        <f t="shared" si="59"/>
        <v>150550.82399999999</v>
      </c>
      <c r="BV18" s="9">
        <f t="shared" si="33"/>
        <v>30.535804663711264</v>
      </c>
      <c r="BW18" s="105">
        <v>0</v>
      </c>
      <c r="BX18" s="9">
        <f t="shared" si="34"/>
        <v>0</v>
      </c>
      <c r="BY18" s="9">
        <f t="shared" si="60"/>
        <v>0</v>
      </c>
      <c r="BZ18" s="9">
        <f t="shared" si="35"/>
        <v>0</v>
      </c>
      <c r="CA18" s="9">
        <f t="shared" si="36"/>
        <v>48328.501250000001</v>
      </c>
      <c r="CB18" s="9">
        <f t="shared" si="61"/>
        <v>493030.47900000005</v>
      </c>
      <c r="CC18" s="9">
        <f t="shared" si="37"/>
        <v>0.90993563130742583</v>
      </c>
      <c r="CD18" s="9">
        <f t="shared" si="38"/>
        <v>0.99248032071438075</v>
      </c>
    </row>
    <row r="19" spans="1:91">
      <c r="A19" s="15">
        <f>+Chem!A18</f>
        <v>45971</v>
      </c>
      <c r="B19" s="5" t="str">
        <f>+Chem!B18</f>
        <v>Facial/Sanitary Napkin</v>
      </c>
      <c r="C19" s="15" t="str">
        <f>+Chem!C18</f>
        <v>12/13</v>
      </c>
      <c r="D19" s="7">
        <f>+Chem!D18</f>
        <v>48.67</v>
      </c>
      <c r="E19" s="6">
        <f>+Chem!E18</f>
        <v>43.384999999999998</v>
      </c>
      <c r="F19" s="6">
        <f t="shared" si="39"/>
        <v>540.15100000000007</v>
      </c>
      <c r="G19" s="105"/>
      <c r="H19" s="9">
        <f t="shared" si="0"/>
        <v>0</v>
      </c>
      <c r="I19" s="7">
        <f t="shared" si="40"/>
        <v>0</v>
      </c>
      <c r="J19" s="9">
        <f t="shared" si="1"/>
        <v>0</v>
      </c>
      <c r="K19" s="105">
        <f>9*K7</f>
        <v>2251.6109999999999</v>
      </c>
      <c r="L19" s="9">
        <f t="shared" si="2"/>
        <v>4.6482132511208887</v>
      </c>
      <c r="M19" s="9">
        <f t="shared" si="41"/>
        <v>148105.96799999999</v>
      </c>
      <c r="N19" s="9">
        <f t="shared" si="3"/>
        <v>27.352529203816729</v>
      </c>
      <c r="O19" s="105"/>
      <c r="P19" s="9">
        <f t="shared" si="4"/>
        <v>0</v>
      </c>
      <c r="Q19" s="9">
        <f t="shared" si="42"/>
        <v>0</v>
      </c>
      <c r="R19" s="9">
        <f t="shared" si="5"/>
        <v>0</v>
      </c>
      <c r="S19" s="105">
        <v>0</v>
      </c>
      <c r="T19" s="9">
        <f t="shared" si="6"/>
        <v>0</v>
      </c>
      <c r="U19" s="9">
        <f t="shared" si="43"/>
        <v>0</v>
      </c>
      <c r="V19" s="9">
        <f t="shared" si="7"/>
        <v>0</v>
      </c>
      <c r="W19" s="105">
        <v>0</v>
      </c>
      <c r="X19" s="9">
        <f t="shared" si="8"/>
        <v>0</v>
      </c>
      <c r="Y19" s="9">
        <f t="shared" si="44"/>
        <v>0</v>
      </c>
      <c r="Z19" s="9">
        <f t="shared" si="9"/>
        <v>0</v>
      </c>
      <c r="AA19" s="105">
        <f>82*AA7</f>
        <v>18269.272000000001</v>
      </c>
      <c r="AB19" s="9">
        <f t="shared" si="10"/>
        <v>37.714983715540484</v>
      </c>
      <c r="AC19" s="9">
        <f t="shared" si="45"/>
        <v>18269.272000000001</v>
      </c>
      <c r="AD19" s="9">
        <f t="shared" si="11"/>
        <v>3.3740085066151506</v>
      </c>
      <c r="AE19" s="9">
        <f t="shared" si="46"/>
        <v>20520.883000000002</v>
      </c>
      <c r="AF19" s="9">
        <f t="shared" si="12"/>
        <v>42.36319696666137</v>
      </c>
      <c r="AG19" s="9">
        <f t="shared" si="47"/>
        <v>166375.24</v>
      </c>
      <c r="AH19" s="9">
        <f t="shared" si="13"/>
        <v>30.726537710431877</v>
      </c>
      <c r="AI19" s="106">
        <v>0</v>
      </c>
      <c r="AJ19" s="9">
        <f t="shared" si="14"/>
        <v>0</v>
      </c>
      <c r="AK19" s="9">
        <f t="shared" si="48"/>
        <v>196625.29799999998</v>
      </c>
      <c r="AL19" s="9">
        <f t="shared" si="15"/>
        <v>36.3131835832177</v>
      </c>
      <c r="AM19" s="105"/>
      <c r="AN19" s="9">
        <f t="shared" si="16"/>
        <v>0</v>
      </c>
      <c r="AO19" s="9">
        <f t="shared" si="49"/>
        <v>0</v>
      </c>
      <c r="AP19" s="9">
        <f t="shared" si="17"/>
        <v>0</v>
      </c>
      <c r="AQ19" s="105"/>
      <c r="AR19" s="9">
        <f t="shared" si="18"/>
        <v>0</v>
      </c>
      <c r="AS19" s="9">
        <f t="shared" si="50"/>
        <v>0</v>
      </c>
      <c r="AT19" s="9">
        <f t="shared" si="19"/>
        <v>0</v>
      </c>
      <c r="AU19" s="105"/>
      <c r="AV19" s="9">
        <f t="shared" si="20"/>
        <v>0</v>
      </c>
      <c r="AW19" s="9">
        <f t="shared" si="51"/>
        <v>0</v>
      </c>
      <c r="AX19" s="9">
        <f t="shared" si="21"/>
        <v>0</v>
      </c>
      <c r="AY19" s="105"/>
      <c r="AZ19" s="9">
        <f t="shared" si="22"/>
        <v>0</v>
      </c>
      <c r="BA19" s="9">
        <f t="shared" si="52"/>
        <v>0</v>
      </c>
      <c r="BB19" s="9">
        <f t="shared" si="23"/>
        <v>0</v>
      </c>
      <c r="BC19" s="9">
        <f t="shared" si="53"/>
        <v>0</v>
      </c>
      <c r="BD19" s="9">
        <f t="shared" si="24"/>
        <v>0</v>
      </c>
      <c r="BE19" s="9">
        <f t="shared" si="54"/>
        <v>196625.29799999998</v>
      </c>
      <c r="BF19" s="9">
        <f t="shared" si="25"/>
        <v>36.3131835832177</v>
      </c>
      <c r="BG19" s="105">
        <f>112*BG7</f>
        <v>27919.472000000002</v>
      </c>
      <c r="BH19" s="9">
        <f t="shared" si="62"/>
        <v>57.636803033338623</v>
      </c>
      <c r="BI19" s="9">
        <f t="shared" si="63"/>
        <v>177488.07200000001</v>
      </c>
      <c r="BJ19" s="9">
        <f t="shared" si="64"/>
        <v>32.778879462231572</v>
      </c>
      <c r="BK19" s="105"/>
      <c r="BL19" s="9">
        <f t="shared" si="28"/>
        <v>0</v>
      </c>
      <c r="BM19" s="9">
        <f t="shared" si="56"/>
        <v>982.22400000000005</v>
      </c>
      <c r="BN19" s="9">
        <f t="shared" si="29"/>
        <v>0.18139924411884389</v>
      </c>
      <c r="BO19" s="105"/>
      <c r="BP19" s="14">
        <f t="shared" si="30"/>
        <v>0</v>
      </c>
      <c r="BQ19" s="9">
        <f t="shared" si="57"/>
        <v>0</v>
      </c>
      <c r="BR19" s="9">
        <f t="shared" si="31"/>
        <v>0</v>
      </c>
      <c r="BS19" s="9">
        <f t="shared" si="58"/>
        <v>27919.472000000002</v>
      </c>
      <c r="BT19" s="9">
        <f t="shared" si="32"/>
        <v>57.636803033338623</v>
      </c>
      <c r="BU19" s="9">
        <f t="shared" si="59"/>
        <v>178470.296</v>
      </c>
      <c r="BV19" s="9">
        <f t="shared" si="33"/>
        <v>32.960278706350415</v>
      </c>
      <c r="BW19" s="105"/>
      <c r="BX19" s="9">
        <f t="shared" si="34"/>
        <v>0</v>
      </c>
      <c r="BY19" s="9">
        <f t="shared" si="60"/>
        <v>0</v>
      </c>
      <c r="BZ19" s="9">
        <f t="shared" si="35"/>
        <v>0</v>
      </c>
      <c r="CA19" s="9">
        <f t="shared" si="36"/>
        <v>48440.355000000003</v>
      </c>
      <c r="CB19" s="9">
        <f t="shared" si="61"/>
        <v>541470.83400000003</v>
      </c>
      <c r="CC19" s="9">
        <f t="shared" si="37"/>
        <v>1.1165231070646537</v>
      </c>
      <c r="CD19" s="9">
        <f t="shared" si="38"/>
        <v>1.0024434537749629</v>
      </c>
    </row>
    <row r="20" spans="1:91">
      <c r="A20" s="15">
        <f>+Chem!A19</f>
        <v>45972</v>
      </c>
      <c r="B20" s="5" t="str">
        <f>+Chem!B19</f>
        <v>Sanitary Napkin</v>
      </c>
      <c r="C20" s="15" t="str">
        <f>+Chem!C19</f>
        <v>13</v>
      </c>
      <c r="D20" s="7">
        <f>+Chem!D19</f>
        <v>53.982999999999997</v>
      </c>
      <c r="E20" s="6">
        <f>+Chem!E19</f>
        <v>51.335000000000001</v>
      </c>
      <c r="F20" s="6">
        <f t="shared" si="39"/>
        <v>591.4860000000001</v>
      </c>
      <c r="G20" s="105"/>
      <c r="H20" s="9">
        <f t="shared" si="0"/>
        <v>0</v>
      </c>
      <c r="I20" s="7">
        <f t="shared" si="40"/>
        <v>0</v>
      </c>
      <c r="J20" s="9">
        <f t="shared" si="1"/>
        <v>0</v>
      </c>
      <c r="K20" s="105">
        <v>0</v>
      </c>
      <c r="L20" s="9">
        <f t="shared" si="2"/>
        <v>0</v>
      </c>
      <c r="M20" s="9">
        <f t="shared" si="41"/>
        <v>148105.96799999999</v>
      </c>
      <c r="N20" s="9">
        <f t="shared" si="3"/>
        <v>24.910375625960658</v>
      </c>
      <c r="O20" s="105"/>
      <c r="P20" s="9">
        <f t="shared" si="4"/>
        <v>0</v>
      </c>
      <c r="Q20" s="9">
        <f t="shared" si="42"/>
        <v>0</v>
      </c>
      <c r="R20" s="9">
        <f t="shared" si="5"/>
        <v>0</v>
      </c>
      <c r="S20" s="105">
        <v>0</v>
      </c>
      <c r="T20" s="9">
        <f t="shared" si="6"/>
        <v>0</v>
      </c>
      <c r="U20" s="9">
        <f t="shared" si="43"/>
        <v>0</v>
      </c>
      <c r="V20" s="9">
        <f t="shared" si="7"/>
        <v>0</v>
      </c>
      <c r="W20" s="105">
        <v>0</v>
      </c>
      <c r="X20" s="9">
        <f t="shared" si="8"/>
        <v>0</v>
      </c>
      <c r="Y20" s="9">
        <f t="shared" si="44"/>
        <v>0</v>
      </c>
      <c r="Z20" s="9">
        <f t="shared" si="9"/>
        <v>0</v>
      </c>
      <c r="AA20" s="105">
        <f>104*AA7</f>
        <v>23170.784</v>
      </c>
      <c r="AB20" s="9">
        <f t="shared" si="10"/>
        <v>43.648865966610515</v>
      </c>
      <c r="AC20" s="9">
        <f t="shared" si="45"/>
        <v>41440.055999999997</v>
      </c>
      <c r="AD20" s="9">
        <f t="shared" si="11"/>
        <v>6.9699241351357601</v>
      </c>
      <c r="AE20" s="9">
        <f t="shared" si="46"/>
        <v>23170.784</v>
      </c>
      <c r="AF20" s="9">
        <f t="shared" si="12"/>
        <v>43.648865966610515</v>
      </c>
      <c r="AG20" s="9">
        <f t="shared" si="47"/>
        <v>189546.02399999998</v>
      </c>
      <c r="AH20" s="9">
        <f t="shared" si="13"/>
        <v>31.880299761096413</v>
      </c>
      <c r="AI20" s="106">
        <v>0</v>
      </c>
      <c r="AJ20" s="9">
        <f t="shared" si="14"/>
        <v>0</v>
      </c>
      <c r="AK20" s="9">
        <f t="shared" si="48"/>
        <v>196625.29799999998</v>
      </c>
      <c r="AL20" s="9">
        <f t="shared" si="15"/>
        <v>33.070983545689735</v>
      </c>
      <c r="AM20" s="105"/>
      <c r="AN20" s="9">
        <f t="shared" si="16"/>
        <v>0</v>
      </c>
      <c r="AO20" s="9">
        <f t="shared" si="49"/>
        <v>0</v>
      </c>
      <c r="AP20" s="9">
        <f t="shared" si="17"/>
        <v>0</v>
      </c>
      <c r="AQ20" s="105"/>
      <c r="AR20" s="9">
        <f t="shared" si="18"/>
        <v>0</v>
      </c>
      <c r="AS20" s="9">
        <f t="shared" si="50"/>
        <v>0</v>
      </c>
      <c r="AT20" s="9">
        <f t="shared" si="19"/>
        <v>0</v>
      </c>
      <c r="AU20" s="105"/>
      <c r="AV20" s="9">
        <f t="shared" si="20"/>
        <v>0</v>
      </c>
      <c r="AW20" s="9">
        <f t="shared" si="51"/>
        <v>0</v>
      </c>
      <c r="AX20" s="9">
        <f t="shared" si="21"/>
        <v>0</v>
      </c>
      <c r="AY20" s="105"/>
      <c r="AZ20" s="9">
        <f t="shared" si="22"/>
        <v>0</v>
      </c>
      <c r="BA20" s="9">
        <f t="shared" si="52"/>
        <v>0</v>
      </c>
      <c r="BB20" s="9">
        <f t="shared" si="23"/>
        <v>0</v>
      </c>
      <c r="BC20" s="9">
        <f t="shared" si="53"/>
        <v>0</v>
      </c>
      <c r="BD20" s="9">
        <f t="shared" si="24"/>
        <v>0</v>
      </c>
      <c r="BE20" s="9">
        <f t="shared" si="54"/>
        <v>196625.29799999998</v>
      </c>
      <c r="BF20" s="9">
        <f t="shared" si="25"/>
        <v>33.070983545689735</v>
      </c>
      <c r="BG20" s="105">
        <f>120*BG7</f>
        <v>29913.72</v>
      </c>
      <c r="BH20" s="9">
        <f t="shared" si="62"/>
        <v>56.351134033389485</v>
      </c>
      <c r="BI20" s="9">
        <f t="shared" si="63"/>
        <v>207401.79200000002</v>
      </c>
      <c r="BJ20" s="9">
        <f t="shared" si="64"/>
        <v>34.883513567916204</v>
      </c>
      <c r="BK20" s="105"/>
      <c r="BL20" s="9">
        <f t="shared" si="28"/>
        <v>0</v>
      </c>
      <c r="BM20" s="9">
        <f t="shared" si="56"/>
        <v>982.22400000000005</v>
      </c>
      <c r="BN20" s="9">
        <f t="shared" si="29"/>
        <v>0.16520312529764891</v>
      </c>
      <c r="BO20" s="105"/>
      <c r="BP20" s="14">
        <f t="shared" si="30"/>
        <v>0</v>
      </c>
      <c r="BQ20" s="9">
        <f t="shared" si="57"/>
        <v>0</v>
      </c>
      <c r="BR20" s="9">
        <f t="shared" si="31"/>
        <v>0</v>
      </c>
      <c r="BS20" s="9">
        <f t="shared" si="58"/>
        <v>29913.72</v>
      </c>
      <c r="BT20" s="9">
        <f t="shared" si="32"/>
        <v>56.351134033389485</v>
      </c>
      <c r="BU20" s="9">
        <f t="shared" si="59"/>
        <v>208384.016</v>
      </c>
      <c r="BV20" s="9">
        <f t="shared" si="33"/>
        <v>35.048716693213841</v>
      </c>
      <c r="BW20" s="105"/>
      <c r="BX20" s="9">
        <f t="shared" si="34"/>
        <v>0</v>
      </c>
      <c r="BY20" s="9">
        <f t="shared" si="60"/>
        <v>0</v>
      </c>
      <c r="BZ20" s="9">
        <f t="shared" si="35"/>
        <v>0</v>
      </c>
      <c r="CA20" s="9">
        <f t="shared" si="36"/>
        <v>53084.504000000001</v>
      </c>
      <c r="CB20" s="9">
        <f t="shared" si="61"/>
        <v>594555.33799999999</v>
      </c>
      <c r="CC20" s="9">
        <f t="shared" si="37"/>
        <v>1.0340801402551865</v>
      </c>
      <c r="CD20" s="9">
        <f t="shared" si="38"/>
        <v>1.0051891980537153</v>
      </c>
    </row>
    <row r="21" spans="1:91">
      <c r="A21" s="15">
        <f>+Chem!A20</f>
        <v>45973</v>
      </c>
      <c r="B21" s="5" t="str">
        <f>+Chem!B20</f>
        <v>Sanitary Napkin</v>
      </c>
      <c r="C21" s="15" t="str">
        <f>+Chem!C20</f>
        <v>13/14/15</v>
      </c>
      <c r="D21" s="7">
        <f>+Chem!D20</f>
        <v>55.837000000000003</v>
      </c>
      <c r="E21" s="6">
        <f>+Chem!E20</f>
        <v>48.634999999999998</v>
      </c>
      <c r="F21" s="6">
        <f t="shared" si="39"/>
        <v>640.12100000000009</v>
      </c>
      <c r="G21" s="105"/>
      <c r="H21" s="9">
        <f t="shared" si="0"/>
        <v>0</v>
      </c>
      <c r="I21" s="7">
        <f t="shared" si="40"/>
        <v>0</v>
      </c>
      <c r="J21" s="9">
        <f t="shared" si="1"/>
        <v>0</v>
      </c>
      <c r="K21" s="105">
        <v>0</v>
      </c>
      <c r="L21" s="9">
        <f t="shared" si="2"/>
        <v>0</v>
      </c>
      <c r="M21" s="9">
        <f t="shared" si="41"/>
        <v>148105.96799999999</v>
      </c>
      <c r="N21" s="9">
        <f t="shared" si="3"/>
        <v>22.889384117996812</v>
      </c>
      <c r="O21" s="105"/>
      <c r="P21" s="9">
        <f t="shared" si="4"/>
        <v>0</v>
      </c>
      <c r="Q21" s="9">
        <f t="shared" si="42"/>
        <v>0</v>
      </c>
      <c r="R21" s="9">
        <f t="shared" si="5"/>
        <v>0</v>
      </c>
      <c r="S21" s="105">
        <v>0</v>
      </c>
      <c r="T21" s="9">
        <f t="shared" si="6"/>
        <v>0</v>
      </c>
      <c r="U21" s="9">
        <f t="shared" si="43"/>
        <v>0</v>
      </c>
      <c r="V21" s="9">
        <f t="shared" si="7"/>
        <v>0</v>
      </c>
      <c r="W21" s="105">
        <v>0</v>
      </c>
      <c r="X21" s="9">
        <f t="shared" si="8"/>
        <v>0</v>
      </c>
      <c r="Y21" s="9">
        <f t="shared" si="44"/>
        <v>0</v>
      </c>
      <c r="Z21" s="9">
        <f t="shared" si="9"/>
        <v>0</v>
      </c>
      <c r="AA21" s="105">
        <f>98*AA7</f>
        <v>21834.007999999998</v>
      </c>
      <c r="AB21" s="9">
        <f t="shared" si="10"/>
        <v>41.592095455062292</v>
      </c>
      <c r="AC21" s="9">
        <f t="shared" si="45"/>
        <v>63274.063999999998</v>
      </c>
      <c r="AD21" s="9">
        <f t="shared" si="11"/>
        <v>9.7788385921269132</v>
      </c>
      <c r="AE21" s="9">
        <f t="shared" si="46"/>
        <v>21834.007999999998</v>
      </c>
      <c r="AF21" s="9">
        <f t="shared" si="12"/>
        <v>41.592095455062292</v>
      </c>
      <c r="AG21" s="9">
        <f t="shared" si="47"/>
        <v>211380.03199999998</v>
      </c>
      <c r="AH21" s="9">
        <f t="shared" si="13"/>
        <v>32.668222710123722</v>
      </c>
      <c r="AI21" s="106">
        <v>0</v>
      </c>
      <c r="AJ21" s="9">
        <f t="shared" si="14"/>
        <v>0</v>
      </c>
      <c r="AK21" s="9">
        <f t="shared" si="48"/>
        <v>196625.29799999998</v>
      </c>
      <c r="AL21" s="9">
        <f t="shared" si="15"/>
        <v>30.387917745742627</v>
      </c>
      <c r="AM21" s="105"/>
      <c r="AN21" s="9">
        <f t="shared" si="16"/>
        <v>0</v>
      </c>
      <c r="AO21" s="9">
        <f t="shared" si="49"/>
        <v>0</v>
      </c>
      <c r="AP21" s="9">
        <f t="shared" si="17"/>
        <v>0</v>
      </c>
      <c r="AQ21" s="105"/>
      <c r="AR21" s="9">
        <f t="shared" si="18"/>
        <v>0</v>
      </c>
      <c r="AS21" s="9">
        <f t="shared" si="50"/>
        <v>0</v>
      </c>
      <c r="AT21" s="9">
        <f t="shared" si="19"/>
        <v>0</v>
      </c>
      <c r="AU21" s="105"/>
      <c r="AV21" s="9">
        <f t="shared" si="20"/>
        <v>0</v>
      </c>
      <c r="AW21" s="9">
        <f t="shared" si="51"/>
        <v>0</v>
      </c>
      <c r="AX21" s="9">
        <f t="shared" si="21"/>
        <v>0</v>
      </c>
      <c r="AY21" s="105"/>
      <c r="AZ21" s="9">
        <f t="shared" si="22"/>
        <v>0</v>
      </c>
      <c r="BA21" s="9">
        <f t="shared" si="52"/>
        <v>0</v>
      </c>
      <c r="BB21" s="9">
        <f t="shared" si="23"/>
        <v>0</v>
      </c>
      <c r="BC21" s="9">
        <f t="shared" si="53"/>
        <v>0</v>
      </c>
      <c r="BD21" s="9">
        <f t="shared" si="24"/>
        <v>0</v>
      </c>
      <c r="BE21" s="9">
        <f t="shared" si="54"/>
        <v>196625.29799999998</v>
      </c>
      <c r="BF21" s="9">
        <f t="shared" si="25"/>
        <v>30.387917745742627</v>
      </c>
      <c r="BG21" s="105">
        <f>123*BG7</f>
        <v>30661.563000000002</v>
      </c>
      <c r="BH21" s="9">
        <f t="shared" si="62"/>
        <v>58.407904544937715</v>
      </c>
      <c r="BI21" s="9">
        <f t="shared" si="63"/>
        <v>238063.35500000001</v>
      </c>
      <c r="BJ21" s="9">
        <f t="shared" si="64"/>
        <v>36.792059432838229</v>
      </c>
      <c r="BK21" s="105"/>
      <c r="BL21" s="9">
        <f t="shared" si="28"/>
        <v>0</v>
      </c>
      <c r="BM21" s="9">
        <f t="shared" si="56"/>
        <v>982.22400000000005</v>
      </c>
      <c r="BN21" s="9">
        <f t="shared" si="29"/>
        <v>0.15180011129541587</v>
      </c>
      <c r="BO21" s="105"/>
      <c r="BP21" s="14">
        <f t="shared" si="30"/>
        <v>0</v>
      </c>
      <c r="BQ21" s="9">
        <f t="shared" si="57"/>
        <v>0</v>
      </c>
      <c r="BR21" s="9">
        <f t="shared" si="31"/>
        <v>0</v>
      </c>
      <c r="BS21" s="9">
        <f t="shared" si="58"/>
        <v>30661.563000000002</v>
      </c>
      <c r="BT21" s="9">
        <f t="shared" si="32"/>
        <v>58.407904544937715</v>
      </c>
      <c r="BU21" s="9">
        <f t="shared" si="59"/>
        <v>239045.579</v>
      </c>
      <c r="BV21" s="9">
        <f t="shared" si="33"/>
        <v>36.943859544133645</v>
      </c>
      <c r="BW21" s="105"/>
      <c r="BX21" s="9">
        <f t="shared" si="34"/>
        <v>0</v>
      </c>
      <c r="BY21" s="9">
        <f t="shared" si="60"/>
        <v>0</v>
      </c>
      <c r="BZ21" s="9">
        <f t="shared" si="35"/>
        <v>0</v>
      </c>
      <c r="CA21" s="9">
        <f t="shared" si="36"/>
        <v>52495.570999999996</v>
      </c>
      <c r="CB21" s="9">
        <f t="shared" si="61"/>
        <v>647050.90899999999</v>
      </c>
      <c r="CC21" s="9">
        <f t="shared" si="37"/>
        <v>1.0793784517322915</v>
      </c>
      <c r="CD21" s="9">
        <f t="shared" si="38"/>
        <v>1.0108259360339684</v>
      </c>
      <c r="CH21" s="12"/>
      <c r="CI21" s="12"/>
      <c r="CL21" s="12"/>
      <c r="CM21" s="12"/>
    </row>
    <row r="22" spans="1:91">
      <c r="A22" s="15">
        <f>+Chem!A21</f>
        <v>45974</v>
      </c>
      <c r="B22" s="5" t="str">
        <f>+Chem!B21</f>
        <v>Sanitary Napkin/Facial</v>
      </c>
      <c r="C22" s="15" t="str">
        <f>+Chem!C21</f>
        <v>15/12,5/13</v>
      </c>
      <c r="D22" s="7">
        <f>+Chem!D21</f>
        <v>37.926000000000002</v>
      </c>
      <c r="E22" s="6">
        <f>+Chem!E21</f>
        <v>43.908999999999999</v>
      </c>
      <c r="F22" s="6">
        <f t="shared" si="39"/>
        <v>684.03000000000009</v>
      </c>
      <c r="G22" s="105"/>
      <c r="H22" s="9">
        <f t="shared" si="0"/>
        <v>0</v>
      </c>
      <c r="I22" s="7">
        <f t="shared" si="40"/>
        <v>0</v>
      </c>
      <c r="J22" s="9">
        <f t="shared" si="1"/>
        <v>0</v>
      </c>
      <c r="K22" s="105">
        <f>10*K7</f>
        <v>2501.79</v>
      </c>
      <c r="L22" s="9">
        <f t="shared" si="2"/>
        <v>8.0040552164921959</v>
      </c>
      <c r="M22" s="9">
        <f t="shared" si="41"/>
        <v>150607.758</v>
      </c>
      <c r="N22" s="9">
        <f t="shared" si="3"/>
        <v>22.20346543744235</v>
      </c>
      <c r="O22" s="105"/>
      <c r="P22" s="9">
        <f t="shared" si="4"/>
        <v>0</v>
      </c>
      <c r="Q22" s="9">
        <f t="shared" si="42"/>
        <v>0</v>
      </c>
      <c r="R22" s="9">
        <f t="shared" si="5"/>
        <v>0</v>
      </c>
      <c r="S22" s="105">
        <v>0</v>
      </c>
      <c r="T22" s="9">
        <f t="shared" si="6"/>
        <v>0</v>
      </c>
      <c r="U22" s="9">
        <f t="shared" si="43"/>
        <v>0</v>
      </c>
      <c r="V22" s="9">
        <f t="shared" si="7"/>
        <v>0</v>
      </c>
      <c r="W22" s="105">
        <v>0</v>
      </c>
      <c r="X22" s="9">
        <f t="shared" si="8"/>
        <v>0</v>
      </c>
      <c r="Y22" s="9">
        <f t="shared" si="44"/>
        <v>0</v>
      </c>
      <c r="Z22" s="9">
        <f t="shared" si="9"/>
        <v>0</v>
      </c>
      <c r="AA22" s="105">
        <f>11*AA7</f>
        <v>2450.7559999999999</v>
      </c>
      <c r="AB22" s="9">
        <f t="shared" si="10"/>
        <v>7.8407805395934682</v>
      </c>
      <c r="AC22" s="9">
        <f t="shared" si="45"/>
        <v>65724.819999999992</v>
      </c>
      <c r="AD22" s="9">
        <f t="shared" si="11"/>
        <v>9.6895325223028657</v>
      </c>
      <c r="AE22" s="9">
        <f t="shared" si="46"/>
        <v>4952.5460000000003</v>
      </c>
      <c r="AF22" s="9">
        <f t="shared" si="12"/>
        <v>15.844835756085665</v>
      </c>
      <c r="AG22" s="9">
        <f t="shared" si="47"/>
        <v>216332.57799999998</v>
      </c>
      <c r="AH22" s="9">
        <f t="shared" si="13"/>
        <v>31.892997959745216</v>
      </c>
      <c r="AI22" s="105">
        <f>60*AI7</f>
        <v>15086.34</v>
      </c>
      <c r="AJ22" s="9">
        <f t="shared" si="14"/>
        <v>48.266200750172821</v>
      </c>
      <c r="AK22" s="9">
        <f t="shared" si="48"/>
        <v>211711.63799999998</v>
      </c>
      <c r="AL22" s="9">
        <f t="shared" si="15"/>
        <v>31.211752299222901</v>
      </c>
      <c r="AM22" s="105"/>
      <c r="AN22" s="9">
        <f t="shared" si="16"/>
        <v>0</v>
      </c>
      <c r="AO22" s="9">
        <f t="shared" si="49"/>
        <v>0</v>
      </c>
      <c r="AP22" s="9">
        <f t="shared" si="17"/>
        <v>0</v>
      </c>
      <c r="AQ22" s="105"/>
      <c r="AR22" s="9">
        <f t="shared" si="18"/>
        <v>0</v>
      </c>
      <c r="AS22" s="9">
        <f t="shared" si="50"/>
        <v>0</v>
      </c>
      <c r="AT22" s="9">
        <f t="shared" si="19"/>
        <v>0</v>
      </c>
      <c r="AU22" s="105"/>
      <c r="AV22" s="9">
        <f t="shared" si="20"/>
        <v>0</v>
      </c>
      <c r="AW22" s="9">
        <f t="shared" si="51"/>
        <v>0</v>
      </c>
      <c r="AX22" s="9">
        <f t="shared" si="21"/>
        <v>0</v>
      </c>
      <c r="AY22" s="105"/>
      <c r="AZ22" s="9">
        <f t="shared" si="22"/>
        <v>0</v>
      </c>
      <c r="BA22" s="9">
        <f t="shared" si="52"/>
        <v>0</v>
      </c>
      <c r="BB22" s="9">
        <f t="shared" si="23"/>
        <v>0</v>
      </c>
      <c r="BC22" s="9">
        <f t="shared" si="53"/>
        <v>15086.34</v>
      </c>
      <c r="BD22" s="9">
        <f t="shared" si="24"/>
        <v>48.266200750172821</v>
      </c>
      <c r="BE22" s="9">
        <f t="shared" si="54"/>
        <v>211711.63799999998</v>
      </c>
      <c r="BF22" s="9">
        <f t="shared" si="25"/>
        <v>31.211752299222901</v>
      </c>
      <c r="BG22" s="105">
        <f>45*BG7</f>
        <v>11217.645</v>
      </c>
      <c r="BH22" s="9">
        <f t="shared" si="62"/>
        <v>35.888963493741514</v>
      </c>
      <c r="BI22" s="9">
        <f t="shared" si="63"/>
        <v>249281</v>
      </c>
      <c r="BJ22" s="9">
        <f t="shared" si="64"/>
        <v>36.750444606652117</v>
      </c>
      <c r="BK22" s="105"/>
      <c r="BL22" s="9">
        <f t="shared" si="28"/>
        <v>0</v>
      </c>
      <c r="BM22" s="9">
        <f t="shared" si="56"/>
        <v>982.22400000000005</v>
      </c>
      <c r="BN22" s="9">
        <f t="shared" si="29"/>
        <v>0.1448051343797733</v>
      </c>
      <c r="BO22" s="105"/>
      <c r="BP22" s="14">
        <f t="shared" si="30"/>
        <v>0</v>
      </c>
      <c r="BQ22" s="9">
        <f t="shared" si="57"/>
        <v>0</v>
      </c>
      <c r="BR22" s="9">
        <f t="shared" si="31"/>
        <v>0</v>
      </c>
      <c r="BS22" s="9">
        <f t="shared" si="58"/>
        <v>11217.645</v>
      </c>
      <c r="BT22" s="9">
        <f t="shared" si="32"/>
        <v>35.888963493741514</v>
      </c>
      <c r="BU22" s="9">
        <f t="shared" si="59"/>
        <v>250263.22399999999</v>
      </c>
      <c r="BV22" s="9">
        <f t="shared" si="33"/>
        <v>36.895249741031883</v>
      </c>
      <c r="BW22" s="105"/>
      <c r="BX22" s="9">
        <f t="shared" si="34"/>
        <v>0</v>
      </c>
      <c r="BY22" s="9">
        <f t="shared" si="60"/>
        <v>0</v>
      </c>
      <c r="BZ22" s="9">
        <f t="shared" si="35"/>
        <v>0</v>
      </c>
      <c r="CA22" s="9">
        <f t="shared" si="36"/>
        <v>31256.530999999999</v>
      </c>
      <c r="CB22" s="9">
        <f t="shared" si="61"/>
        <v>678307.44</v>
      </c>
      <c r="CC22" s="9">
        <f t="shared" si="37"/>
        <v>0.7118479355029721</v>
      </c>
      <c r="CD22" s="9">
        <f t="shared" si="38"/>
        <v>0.99163405113810776</v>
      </c>
      <c r="CH22" s="12"/>
      <c r="CI22" s="12"/>
      <c r="CL22" s="12"/>
      <c r="CM22" s="12"/>
    </row>
    <row r="23" spans="1:91">
      <c r="A23" s="15">
        <f>+Chem!A22</f>
        <v>45975</v>
      </c>
      <c r="B23" s="5" t="str">
        <f>+Chem!B22</f>
        <v>Facial</v>
      </c>
      <c r="C23" s="15" t="str">
        <f>+Chem!C22</f>
        <v>13/12,5</v>
      </c>
      <c r="D23" s="7">
        <f>+Chem!D22</f>
        <v>52.349000000000004</v>
      </c>
      <c r="E23" s="6">
        <f>+Chem!E22</f>
        <v>47.758000000000003</v>
      </c>
      <c r="F23" s="6">
        <f t="shared" si="39"/>
        <v>731.78800000000012</v>
      </c>
      <c r="G23" s="105"/>
      <c r="H23" s="9">
        <f t="shared" si="0"/>
        <v>0</v>
      </c>
      <c r="I23" s="7">
        <f t="shared" si="40"/>
        <v>0</v>
      </c>
      <c r="J23" s="9">
        <f t="shared" si="1"/>
        <v>0</v>
      </c>
      <c r="K23" s="105">
        <f>22.5*K7</f>
        <v>5629.0275000000001</v>
      </c>
      <c r="L23" s="9">
        <f t="shared" si="2"/>
        <v>11.101134798050804</v>
      </c>
      <c r="M23" s="9">
        <f t="shared" si="41"/>
        <v>156236.7855</v>
      </c>
      <c r="N23" s="9">
        <f t="shared" si="3"/>
        <v>21.431239909751802</v>
      </c>
      <c r="O23" s="105"/>
      <c r="P23" s="9">
        <f t="shared" si="4"/>
        <v>0</v>
      </c>
      <c r="Q23" s="9">
        <f t="shared" si="42"/>
        <v>0</v>
      </c>
      <c r="R23" s="9">
        <f t="shared" si="5"/>
        <v>0</v>
      </c>
      <c r="S23" s="105">
        <v>0</v>
      </c>
      <c r="T23" s="9">
        <f t="shared" si="6"/>
        <v>0</v>
      </c>
      <c r="U23" s="9">
        <f t="shared" si="43"/>
        <v>0</v>
      </c>
      <c r="V23" s="9">
        <f t="shared" si="7"/>
        <v>0</v>
      </c>
      <c r="W23" s="105">
        <v>0</v>
      </c>
      <c r="X23" s="9">
        <f t="shared" si="8"/>
        <v>0</v>
      </c>
      <c r="Y23" s="9">
        <f t="shared" si="44"/>
        <v>0</v>
      </c>
      <c r="Z23" s="9">
        <f t="shared" si="9"/>
        <v>0</v>
      </c>
      <c r="AA23" s="105">
        <v>0</v>
      </c>
      <c r="AB23" s="9">
        <f t="shared" si="10"/>
        <v>0</v>
      </c>
      <c r="AC23" s="9">
        <f t="shared" si="45"/>
        <v>65724.819999999992</v>
      </c>
      <c r="AD23" s="9">
        <f t="shared" si="11"/>
        <v>9.0155745392320128</v>
      </c>
      <c r="AE23" s="9">
        <f t="shared" si="46"/>
        <v>5629.0275000000001</v>
      </c>
      <c r="AF23" s="9">
        <f t="shared" si="12"/>
        <v>11.101134798050804</v>
      </c>
      <c r="AG23" s="9">
        <f t="shared" si="47"/>
        <v>221961.60549999998</v>
      </c>
      <c r="AH23" s="9">
        <f t="shared" si="13"/>
        <v>30.446814448983812</v>
      </c>
      <c r="AI23" s="105">
        <f>96*AI7</f>
        <v>24138.144</v>
      </c>
      <c r="AJ23" s="9">
        <f t="shared" si="14"/>
        <v>47.603389807344385</v>
      </c>
      <c r="AK23" s="9">
        <f t="shared" si="48"/>
        <v>235849.78199999998</v>
      </c>
      <c r="AL23" s="9">
        <f t="shared" si="15"/>
        <v>32.351876957329374</v>
      </c>
      <c r="AM23" s="105"/>
      <c r="AN23" s="9">
        <f t="shared" si="16"/>
        <v>0</v>
      </c>
      <c r="AO23" s="9">
        <f t="shared" si="49"/>
        <v>0</v>
      </c>
      <c r="AP23" s="9">
        <f t="shared" si="17"/>
        <v>0</v>
      </c>
      <c r="AQ23" s="105"/>
      <c r="AR23" s="9">
        <f t="shared" si="18"/>
        <v>0</v>
      </c>
      <c r="AS23" s="9">
        <f t="shared" si="50"/>
        <v>0</v>
      </c>
      <c r="AT23" s="9">
        <f t="shared" si="19"/>
        <v>0</v>
      </c>
      <c r="AU23" s="105"/>
      <c r="AV23" s="9">
        <f t="shared" si="20"/>
        <v>0</v>
      </c>
      <c r="AW23" s="9">
        <f t="shared" si="51"/>
        <v>0</v>
      </c>
      <c r="AX23" s="9">
        <f t="shared" si="21"/>
        <v>0</v>
      </c>
      <c r="AY23" s="105"/>
      <c r="AZ23" s="9">
        <f t="shared" si="22"/>
        <v>0</v>
      </c>
      <c r="BA23" s="9">
        <f t="shared" si="52"/>
        <v>0</v>
      </c>
      <c r="BB23" s="9">
        <f t="shared" si="23"/>
        <v>0</v>
      </c>
      <c r="BC23" s="9">
        <f t="shared" si="53"/>
        <v>24138.144</v>
      </c>
      <c r="BD23" s="9">
        <f t="shared" si="24"/>
        <v>47.603389807344385</v>
      </c>
      <c r="BE23" s="9">
        <f t="shared" si="54"/>
        <v>235849.78199999998</v>
      </c>
      <c r="BF23" s="9">
        <f t="shared" si="25"/>
        <v>32.351876957329374</v>
      </c>
      <c r="BG23" s="105">
        <f>84*BG7</f>
        <v>20939.603999999999</v>
      </c>
      <c r="BH23" s="9">
        <f t="shared" si="62"/>
        <v>41.295475394604807</v>
      </c>
      <c r="BI23" s="9">
        <f t="shared" si="63"/>
        <v>270220.60399999999</v>
      </c>
      <c r="BJ23" s="9">
        <f t="shared" si="64"/>
        <v>37.066575418514596</v>
      </c>
      <c r="BK23" s="105"/>
      <c r="BL23" s="9">
        <f t="shared" si="28"/>
        <v>0</v>
      </c>
      <c r="BM23" s="9">
        <f t="shared" si="56"/>
        <v>982.22400000000005</v>
      </c>
      <c r="BN23" s="9">
        <f t="shared" si="29"/>
        <v>0.13473317517221997</v>
      </c>
      <c r="BO23" s="105"/>
      <c r="BP23" s="14">
        <f t="shared" si="30"/>
        <v>0</v>
      </c>
      <c r="BQ23" s="9">
        <f t="shared" si="57"/>
        <v>0</v>
      </c>
      <c r="BR23" s="9">
        <f t="shared" si="31"/>
        <v>0</v>
      </c>
      <c r="BS23" s="9">
        <f t="shared" si="58"/>
        <v>20939.603999999999</v>
      </c>
      <c r="BT23" s="9">
        <f t="shared" si="32"/>
        <v>41.295475394604807</v>
      </c>
      <c r="BU23" s="9">
        <f t="shared" si="59"/>
        <v>271202.82799999998</v>
      </c>
      <c r="BV23" s="9">
        <f t="shared" si="33"/>
        <v>37.201308593686818</v>
      </c>
      <c r="BW23" s="105"/>
      <c r="BX23" s="9">
        <f t="shared" si="34"/>
        <v>0</v>
      </c>
      <c r="BY23" s="9">
        <f t="shared" si="60"/>
        <v>0</v>
      </c>
      <c r="BZ23" s="9">
        <f t="shared" si="35"/>
        <v>0</v>
      </c>
      <c r="CA23" s="9">
        <f t="shared" si="36"/>
        <v>50706.775500000003</v>
      </c>
      <c r="CB23" s="9">
        <f t="shared" si="61"/>
        <v>729014.21549999993</v>
      </c>
      <c r="CC23" s="9">
        <f t="shared" si="37"/>
        <v>1.0617441161690189</v>
      </c>
      <c r="CD23" s="9">
        <f t="shared" si="38"/>
        <v>0.99620957914040653</v>
      </c>
      <c r="CL23" s="12"/>
      <c r="CM23" s="12"/>
    </row>
    <row r="24" spans="1:91">
      <c r="A24" s="15">
        <f>+Chem!A23</f>
        <v>45976</v>
      </c>
      <c r="B24" s="5" t="str">
        <f>+Chem!B23</f>
        <v>Facial</v>
      </c>
      <c r="C24" s="15" t="str">
        <f>+Chem!C23</f>
        <v>12,5/12</v>
      </c>
      <c r="D24" s="7">
        <f>+Chem!D23</f>
        <v>51.089999999999996</v>
      </c>
      <c r="E24" s="6">
        <f>+Chem!E23</f>
        <v>46.701999999999998</v>
      </c>
      <c r="F24" s="6">
        <f t="shared" si="39"/>
        <v>778.49000000000012</v>
      </c>
      <c r="G24" s="105"/>
      <c r="H24" s="9">
        <f t="shared" si="0"/>
        <v>0</v>
      </c>
      <c r="I24" s="7">
        <f t="shared" si="40"/>
        <v>0</v>
      </c>
      <c r="J24" s="9">
        <f t="shared" si="1"/>
        <v>0</v>
      </c>
      <c r="K24" s="105">
        <f>20.5*K7</f>
        <v>5128.6695</v>
      </c>
      <c r="L24" s="9">
        <f t="shared" si="2"/>
        <v>9.7730690615868525</v>
      </c>
      <c r="M24" s="9">
        <f t="shared" si="41"/>
        <v>161365.45499999999</v>
      </c>
      <c r="N24" s="9">
        <f t="shared" si="3"/>
        <v>20.64838777212028</v>
      </c>
      <c r="O24" s="105"/>
      <c r="P24" s="9">
        <f t="shared" si="4"/>
        <v>0</v>
      </c>
      <c r="Q24" s="9">
        <f t="shared" si="42"/>
        <v>0</v>
      </c>
      <c r="R24" s="9">
        <f t="shared" si="5"/>
        <v>0</v>
      </c>
      <c r="S24" s="105">
        <v>0</v>
      </c>
      <c r="T24" s="9">
        <f t="shared" si="6"/>
        <v>0</v>
      </c>
      <c r="U24" s="9">
        <f t="shared" si="43"/>
        <v>0</v>
      </c>
      <c r="V24" s="9">
        <f t="shared" si="7"/>
        <v>0</v>
      </c>
      <c r="W24" s="105">
        <v>0</v>
      </c>
      <c r="X24" s="9">
        <f t="shared" si="8"/>
        <v>0</v>
      </c>
      <c r="Y24" s="9">
        <f t="shared" si="44"/>
        <v>0</v>
      </c>
      <c r="Z24" s="9">
        <f t="shared" si="9"/>
        <v>0</v>
      </c>
      <c r="AA24" s="105">
        <f>3.5*AA7</f>
        <v>779.78599999999994</v>
      </c>
      <c r="AB24" s="9">
        <f t="shared" si="10"/>
        <v>1.4859414183851316</v>
      </c>
      <c r="AC24" s="9">
        <f t="shared" si="45"/>
        <v>66504.605999999985</v>
      </c>
      <c r="AD24" s="9">
        <f t="shared" si="11"/>
        <v>8.5099558224533052</v>
      </c>
      <c r="AE24" s="9">
        <f t="shared" si="46"/>
        <v>5908.4555</v>
      </c>
      <c r="AF24" s="9">
        <f t="shared" si="12"/>
        <v>11.259010479971982</v>
      </c>
      <c r="AG24" s="9">
        <f t="shared" si="47"/>
        <v>227870.06099999999</v>
      </c>
      <c r="AH24" s="9">
        <f t="shared" si="13"/>
        <v>29.158343594573587</v>
      </c>
      <c r="AI24" s="105">
        <f>94*AI7</f>
        <v>23635.266</v>
      </c>
      <c r="AJ24" s="9">
        <f t="shared" si="14"/>
        <v>45.038793571505359</v>
      </c>
      <c r="AK24" s="9">
        <f t="shared" si="48"/>
        <v>259485.04799999998</v>
      </c>
      <c r="AL24" s="9">
        <f t="shared" si="15"/>
        <v>33.203809899530498</v>
      </c>
      <c r="AM24" s="105"/>
      <c r="AN24" s="9">
        <f t="shared" si="16"/>
        <v>0</v>
      </c>
      <c r="AO24" s="9">
        <f t="shared" si="49"/>
        <v>0</v>
      </c>
      <c r="AP24" s="9">
        <f t="shared" si="17"/>
        <v>0</v>
      </c>
      <c r="AQ24" s="105"/>
      <c r="AR24" s="9">
        <f t="shared" si="18"/>
        <v>0</v>
      </c>
      <c r="AS24" s="9">
        <f t="shared" si="50"/>
        <v>0</v>
      </c>
      <c r="AT24" s="9">
        <f t="shared" si="19"/>
        <v>0</v>
      </c>
      <c r="AU24" s="105"/>
      <c r="AV24" s="9">
        <f t="shared" si="20"/>
        <v>0</v>
      </c>
      <c r="AW24" s="9">
        <f t="shared" si="51"/>
        <v>0</v>
      </c>
      <c r="AX24" s="9">
        <f t="shared" si="21"/>
        <v>0</v>
      </c>
      <c r="AY24" s="105"/>
      <c r="AZ24" s="9">
        <f t="shared" si="22"/>
        <v>0</v>
      </c>
      <c r="BA24" s="9">
        <f t="shared" si="52"/>
        <v>0</v>
      </c>
      <c r="BB24" s="9">
        <f t="shared" si="23"/>
        <v>0</v>
      </c>
      <c r="BC24" s="9">
        <f t="shared" si="53"/>
        <v>23635.266</v>
      </c>
      <c r="BD24" s="9">
        <f t="shared" si="24"/>
        <v>45.038793571505359</v>
      </c>
      <c r="BE24" s="9">
        <f t="shared" si="54"/>
        <v>259485.04799999998</v>
      </c>
      <c r="BF24" s="9">
        <f t="shared" si="25"/>
        <v>33.203809899530498</v>
      </c>
      <c r="BG24" s="105">
        <f>92*BG7</f>
        <v>22933.851999999999</v>
      </c>
      <c r="BH24" s="9">
        <f t="shared" si="62"/>
        <v>43.702195948522657</v>
      </c>
      <c r="BI24" s="9">
        <f t="shared" si="63"/>
        <v>293154.45600000001</v>
      </c>
      <c r="BJ24" s="9">
        <f t="shared" si="64"/>
        <v>37.512160732375918</v>
      </c>
      <c r="BK24" s="105"/>
      <c r="BL24" s="9">
        <f t="shared" si="28"/>
        <v>0</v>
      </c>
      <c r="BM24" s="9">
        <f t="shared" si="56"/>
        <v>982.22400000000005</v>
      </c>
      <c r="BN24" s="9">
        <f t="shared" si="29"/>
        <v>0.1256857735200082</v>
      </c>
      <c r="BO24" s="105"/>
      <c r="BP24" s="14">
        <f t="shared" si="30"/>
        <v>0</v>
      </c>
      <c r="BQ24" s="9">
        <f t="shared" si="57"/>
        <v>0</v>
      </c>
      <c r="BR24" s="9">
        <f t="shared" si="31"/>
        <v>0</v>
      </c>
      <c r="BS24" s="9">
        <f t="shared" si="58"/>
        <v>22933.851999999999</v>
      </c>
      <c r="BT24" s="9">
        <f t="shared" si="32"/>
        <v>43.702195948522657</v>
      </c>
      <c r="BU24" s="9">
        <f t="shared" si="59"/>
        <v>294136.68</v>
      </c>
      <c r="BV24" s="9">
        <f t="shared" si="33"/>
        <v>37.637846505895922</v>
      </c>
      <c r="BW24" s="105"/>
      <c r="BX24" s="9">
        <f t="shared" si="34"/>
        <v>0</v>
      </c>
      <c r="BY24" s="9">
        <f t="shared" si="60"/>
        <v>0</v>
      </c>
      <c r="BZ24" s="9">
        <f t="shared" si="35"/>
        <v>0</v>
      </c>
      <c r="CA24" s="9">
        <f t="shared" si="36"/>
        <v>52477.573499999999</v>
      </c>
      <c r="CB24" s="9">
        <f t="shared" si="61"/>
        <v>781491.78899999987</v>
      </c>
      <c r="CC24" s="9">
        <f t="shared" si="37"/>
        <v>1.1236686544473471</v>
      </c>
      <c r="CD24" s="9">
        <f t="shared" si="38"/>
        <v>1.0038559120862178</v>
      </c>
      <c r="CL24" s="12"/>
      <c r="CM24" s="12"/>
    </row>
    <row r="25" spans="1:91">
      <c r="A25" s="15">
        <f>+Chem!A24</f>
        <v>45977</v>
      </c>
      <c r="B25" s="5" t="str">
        <f>+Chem!B24</f>
        <v>Facial</v>
      </c>
      <c r="C25" s="15" t="str">
        <f>+Chem!C24</f>
        <v>12/13</v>
      </c>
      <c r="D25" s="7">
        <f>+Chem!D24</f>
        <v>58.29</v>
      </c>
      <c r="E25" s="6">
        <f>+Chem!E24</f>
        <v>55.676000000000002</v>
      </c>
      <c r="F25" s="6">
        <f t="shared" si="39"/>
        <v>834.16600000000017</v>
      </c>
      <c r="G25" s="105"/>
      <c r="H25" s="9">
        <f t="shared" si="0"/>
        <v>0</v>
      </c>
      <c r="I25" s="7">
        <f t="shared" si="40"/>
        <v>0</v>
      </c>
      <c r="J25" s="9">
        <f t="shared" si="1"/>
        <v>0</v>
      </c>
      <c r="K25" s="105">
        <v>0</v>
      </c>
      <c r="L25" s="9">
        <f t="shared" si="2"/>
        <v>0</v>
      </c>
      <c r="M25" s="9">
        <f t="shared" si="41"/>
        <v>161365.45499999999</v>
      </c>
      <c r="N25" s="9">
        <f t="shared" si="3"/>
        <v>19.261824254639393</v>
      </c>
      <c r="O25" s="105"/>
      <c r="P25" s="9">
        <f t="shared" si="4"/>
        <v>0</v>
      </c>
      <c r="Q25" s="9">
        <f t="shared" si="42"/>
        <v>0</v>
      </c>
      <c r="R25" s="9">
        <f t="shared" si="5"/>
        <v>0</v>
      </c>
      <c r="S25" s="105">
        <v>0</v>
      </c>
      <c r="T25" s="9">
        <f t="shared" si="6"/>
        <v>0</v>
      </c>
      <c r="U25" s="9">
        <f t="shared" si="43"/>
        <v>0</v>
      </c>
      <c r="V25" s="9">
        <f t="shared" si="7"/>
        <v>0</v>
      </c>
      <c r="W25" s="105">
        <v>0</v>
      </c>
      <c r="X25" s="9">
        <f t="shared" si="8"/>
        <v>0</v>
      </c>
      <c r="Y25" s="9">
        <f t="shared" si="44"/>
        <v>0</v>
      </c>
      <c r="Z25" s="9">
        <f t="shared" si="9"/>
        <v>0</v>
      </c>
      <c r="AA25" s="105">
        <f>32.25*AA7</f>
        <v>7185.1709999999994</v>
      </c>
      <c r="AB25" s="9">
        <f t="shared" si="10"/>
        <v>12.772336030972559</v>
      </c>
      <c r="AC25" s="9">
        <f t="shared" si="45"/>
        <v>73689.776999999987</v>
      </c>
      <c r="AD25" s="9">
        <f t="shared" si="11"/>
        <v>8.7961796652050968</v>
      </c>
      <c r="AE25" s="9">
        <f t="shared" si="46"/>
        <v>7185.1709999999994</v>
      </c>
      <c r="AF25" s="9">
        <f t="shared" si="12"/>
        <v>12.772336030972559</v>
      </c>
      <c r="AG25" s="9">
        <f t="shared" si="47"/>
        <v>235055.23199999999</v>
      </c>
      <c r="AH25" s="9">
        <f t="shared" si="13"/>
        <v>28.058003919844491</v>
      </c>
      <c r="AI25" s="105">
        <f>98*AI7</f>
        <v>24641.022000000001</v>
      </c>
      <c r="AJ25" s="9">
        <f t="shared" si="14"/>
        <v>43.801798611416146</v>
      </c>
      <c r="AK25" s="9">
        <f t="shared" si="48"/>
        <v>284126.07</v>
      </c>
      <c r="AL25" s="9">
        <f t="shared" si="15"/>
        <v>33.915477302755853</v>
      </c>
      <c r="AM25" s="105"/>
      <c r="AN25" s="9">
        <f t="shared" si="16"/>
        <v>0</v>
      </c>
      <c r="AO25" s="9">
        <f t="shared" si="49"/>
        <v>0</v>
      </c>
      <c r="AP25" s="9">
        <f t="shared" si="17"/>
        <v>0</v>
      </c>
      <c r="AQ25" s="105"/>
      <c r="AR25" s="9">
        <f t="shared" si="18"/>
        <v>0</v>
      </c>
      <c r="AS25" s="9">
        <f t="shared" si="50"/>
        <v>0</v>
      </c>
      <c r="AT25" s="9">
        <f t="shared" si="19"/>
        <v>0</v>
      </c>
      <c r="AU25" s="105"/>
      <c r="AV25" s="9">
        <f t="shared" si="20"/>
        <v>0</v>
      </c>
      <c r="AW25" s="9">
        <f t="shared" si="51"/>
        <v>0</v>
      </c>
      <c r="AX25" s="9">
        <f t="shared" si="21"/>
        <v>0</v>
      </c>
      <c r="AY25" s="105"/>
      <c r="AZ25" s="9">
        <f t="shared" si="22"/>
        <v>0</v>
      </c>
      <c r="BA25" s="9">
        <f t="shared" si="52"/>
        <v>0</v>
      </c>
      <c r="BB25" s="9">
        <f t="shared" si="23"/>
        <v>0</v>
      </c>
      <c r="BC25" s="9">
        <f t="shared" si="53"/>
        <v>24641.022000000001</v>
      </c>
      <c r="BD25" s="9">
        <f t="shared" si="24"/>
        <v>43.801798611416146</v>
      </c>
      <c r="BE25" s="9">
        <f t="shared" si="54"/>
        <v>284126.07</v>
      </c>
      <c r="BF25" s="9">
        <f t="shared" si="25"/>
        <v>33.915477302755853</v>
      </c>
      <c r="BG25" s="105">
        <f>98*BG7</f>
        <v>24429.538</v>
      </c>
      <c r="BH25" s="9">
        <f t="shared" si="62"/>
        <v>43.425865357611301</v>
      </c>
      <c r="BI25" s="9">
        <f t="shared" si="63"/>
        <v>317583.99400000001</v>
      </c>
      <c r="BJ25" s="9">
        <f t="shared" si="64"/>
        <v>37.909272951354133</v>
      </c>
      <c r="BK25" s="105"/>
      <c r="BL25" s="9">
        <f t="shared" si="28"/>
        <v>0</v>
      </c>
      <c r="BM25" s="9">
        <f t="shared" si="56"/>
        <v>982.22400000000005</v>
      </c>
      <c r="BN25" s="9">
        <f t="shared" si="29"/>
        <v>0.11724582604553699</v>
      </c>
      <c r="BO25" s="105"/>
      <c r="BP25" s="14">
        <f t="shared" si="30"/>
        <v>0</v>
      </c>
      <c r="BQ25" s="9">
        <f t="shared" si="57"/>
        <v>0</v>
      </c>
      <c r="BR25" s="9">
        <f t="shared" si="31"/>
        <v>0</v>
      </c>
      <c r="BS25" s="9">
        <f t="shared" si="58"/>
        <v>24429.538</v>
      </c>
      <c r="BT25" s="9">
        <f t="shared" si="32"/>
        <v>43.425865357611301</v>
      </c>
      <c r="BU25" s="9">
        <f t="shared" si="59"/>
        <v>318566.21799999999</v>
      </c>
      <c r="BV25" s="9">
        <f t="shared" si="33"/>
        <v>38.026518777399666</v>
      </c>
      <c r="BW25" s="105"/>
      <c r="BX25" s="9">
        <f t="shared" si="34"/>
        <v>0</v>
      </c>
      <c r="BY25" s="9">
        <f t="shared" si="60"/>
        <v>0</v>
      </c>
      <c r="BZ25" s="9">
        <f t="shared" si="35"/>
        <v>0</v>
      </c>
      <c r="CA25" s="9">
        <f t="shared" si="36"/>
        <v>56255.731</v>
      </c>
      <c r="CB25" s="9">
        <f t="shared" si="61"/>
        <v>837747.5199999999</v>
      </c>
      <c r="CC25" s="9">
        <f t="shared" si="37"/>
        <v>1.0104125835189308</v>
      </c>
      <c r="CD25" s="9">
        <f t="shared" si="38"/>
        <v>1.0042935339009258</v>
      </c>
      <c r="CL25" s="12"/>
      <c r="CM25" s="12"/>
    </row>
    <row r="26" spans="1:91">
      <c r="A26" s="15">
        <f>+Chem!A25</f>
        <v>45978</v>
      </c>
      <c r="B26" s="5" t="str">
        <f>+Chem!B25</f>
        <v>Facial</v>
      </c>
      <c r="C26" s="15" t="str">
        <f>+Chem!C25</f>
        <v>13/12</v>
      </c>
      <c r="D26" s="7">
        <f>+Chem!D25</f>
        <v>47.358000000000004</v>
      </c>
      <c r="E26" s="6">
        <f>+Chem!E25</f>
        <v>45.265999999999998</v>
      </c>
      <c r="F26" s="6">
        <f t="shared" si="39"/>
        <v>879.43200000000013</v>
      </c>
      <c r="G26" s="105"/>
      <c r="H26" s="9">
        <f t="shared" si="0"/>
        <v>0</v>
      </c>
      <c r="I26" s="7">
        <f t="shared" si="40"/>
        <v>0</v>
      </c>
      <c r="J26" s="9">
        <f t="shared" si="1"/>
        <v>0</v>
      </c>
      <c r="K26" s="105">
        <f>30.75*K7</f>
        <v>7693.00425</v>
      </c>
      <c r="L26" s="9">
        <f t="shared" si="2"/>
        <v>17.003050927595979</v>
      </c>
      <c r="M26" s="9">
        <f t="shared" si="41"/>
        <v>169058.45924999999</v>
      </c>
      <c r="N26" s="9">
        <f t="shared" si="3"/>
        <v>19.146083897415572</v>
      </c>
      <c r="O26" s="105"/>
      <c r="P26" s="9">
        <f t="shared" si="4"/>
        <v>0</v>
      </c>
      <c r="Q26" s="9">
        <f t="shared" si="42"/>
        <v>0</v>
      </c>
      <c r="R26" s="9">
        <f t="shared" si="5"/>
        <v>0</v>
      </c>
      <c r="S26" s="105">
        <v>0</v>
      </c>
      <c r="T26" s="9">
        <f t="shared" si="6"/>
        <v>0</v>
      </c>
      <c r="U26" s="9">
        <f t="shared" si="43"/>
        <v>0</v>
      </c>
      <c r="V26" s="9">
        <f t="shared" si="7"/>
        <v>0</v>
      </c>
      <c r="W26" s="105">
        <v>0</v>
      </c>
      <c r="X26" s="9">
        <f t="shared" si="8"/>
        <v>0</v>
      </c>
      <c r="Y26" s="9">
        <f t="shared" si="44"/>
        <v>0</v>
      </c>
      <c r="Z26" s="9">
        <f t="shared" si="9"/>
        <v>0</v>
      </c>
      <c r="AA26" s="105">
        <v>0</v>
      </c>
      <c r="AB26" s="9">
        <f t="shared" si="10"/>
        <v>0</v>
      </c>
      <c r="AC26" s="9">
        <f t="shared" si="45"/>
        <v>73689.776999999987</v>
      </c>
      <c r="AD26" s="9">
        <f t="shared" si="11"/>
        <v>8.3454602572562155</v>
      </c>
      <c r="AE26" s="9">
        <f t="shared" si="46"/>
        <v>7693.00425</v>
      </c>
      <c r="AF26" s="9">
        <f t="shared" si="12"/>
        <v>17.003050927595979</v>
      </c>
      <c r="AG26" s="9">
        <f t="shared" si="47"/>
        <v>242748.23624999999</v>
      </c>
      <c r="AH26" s="9">
        <f t="shared" si="13"/>
        <v>27.491544154671786</v>
      </c>
      <c r="AI26" s="105">
        <f>74*AI7</f>
        <v>18606.486000000001</v>
      </c>
      <c r="AJ26" s="9">
        <f t="shared" si="14"/>
        <v>41.123989895313215</v>
      </c>
      <c r="AK26" s="9">
        <f t="shared" si="48"/>
        <v>302732.55599999998</v>
      </c>
      <c r="AL26" s="9">
        <f t="shared" si="15"/>
        <v>34.284844079194208</v>
      </c>
      <c r="AM26" s="105"/>
      <c r="AN26" s="9">
        <f t="shared" si="16"/>
        <v>0</v>
      </c>
      <c r="AO26" s="9">
        <f t="shared" si="49"/>
        <v>0</v>
      </c>
      <c r="AP26" s="9">
        <f t="shared" si="17"/>
        <v>0</v>
      </c>
      <c r="AQ26" s="105"/>
      <c r="AR26" s="9">
        <f t="shared" si="18"/>
        <v>0</v>
      </c>
      <c r="AS26" s="9">
        <f t="shared" si="50"/>
        <v>0</v>
      </c>
      <c r="AT26" s="9">
        <f t="shared" si="19"/>
        <v>0</v>
      </c>
      <c r="AU26" s="105"/>
      <c r="AV26" s="9">
        <f t="shared" si="20"/>
        <v>0</v>
      </c>
      <c r="AW26" s="9">
        <f t="shared" si="51"/>
        <v>0</v>
      </c>
      <c r="AX26" s="9">
        <f t="shared" si="21"/>
        <v>0</v>
      </c>
      <c r="AY26" s="105"/>
      <c r="AZ26" s="9">
        <f t="shared" si="22"/>
        <v>0</v>
      </c>
      <c r="BA26" s="9">
        <f t="shared" si="52"/>
        <v>0</v>
      </c>
      <c r="BB26" s="9">
        <f t="shared" si="23"/>
        <v>0</v>
      </c>
      <c r="BC26" s="9">
        <f t="shared" si="53"/>
        <v>18606.486000000001</v>
      </c>
      <c r="BD26" s="9">
        <f t="shared" si="24"/>
        <v>41.123989895313215</v>
      </c>
      <c r="BE26" s="9">
        <f t="shared" si="54"/>
        <v>302732.55599999998</v>
      </c>
      <c r="BF26" s="9">
        <f t="shared" si="25"/>
        <v>34.284844079194208</v>
      </c>
      <c r="BG26" s="105">
        <f>76*BG7</f>
        <v>18945.356</v>
      </c>
      <c r="BH26" s="9">
        <f t="shared" si="62"/>
        <v>41.872959177090799</v>
      </c>
      <c r="BI26" s="9">
        <f t="shared" si="63"/>
        <v>336529.35</v>
      </c>
      <c r="BJ26" s="9">
        <f t="shared" si="64"/>
        <v>38.112373658360603</v>
      </c>
      <c r="BK26" s="105"/>
      <c r="BL26" s="9">
        <f t="shared" si="28"/>
        <v>0</v>
      </c>
      <c r="BM26" s="9">
        <f t="shared" si="56"/>
        <v>982.22400000000005</v>
      </c>
      <c r="BN26" s="9">
        <f t="shared" si="29"/>
        <v>0.1112381077733921</v>
      </c>
      <c r="BO26" s="105"/>
      <c r="BP26" s="14">
        <f t="shared" si="30"/>
        <v>0</v>
      </c>
      <c r="BQ26" s="9">
        <f t="shared" si="57"/>
        <v>0</v>
      </c>
      <c r="BR26" s="9">
        <f t="shared" si="31"/>
        <v>0</v>
      </c>
      <c r="BS26" s="9">
        <f t="shared" si="58"/>
        <v>18945.356</v>
      </c>
      <c r="BT26" s="9">
        <f t="shared" si="32"/>
        <v>41.872959177090799</v>
      </c>
      <c r="BU26" s="9">
        <f t="shared" si="59"/>
        <v>337511.57400000002</v>
      </c>
      <c r="BV26" s="9">
        <f t="shared" si="33"/>
        <v>38.223611766133999</v>
      </c>
      <c r="BW26" s="105"/>
      <c r="BX26" s="9">
        <f t="shared" si="34"/>
        <v>0</v>
      </c>
      <c r="BY26" s="9">
        <f t="shared" si="60"/>
        <v>0</v>
      </c>
      <c r="BZ26" s="9">
        <f t="shared" si="35"/>
        <v>0</v>
      </c>
      <c r="CA26" s="9">
        <f t="shared" si="36"/>
        <v>45244.846250000002</v>
      </c>
      <c r="CB26" s="9">
        <f t="shared" si="61"/>
        <v>882992.36624999996</v>
      </c>
      <c r="CC26" s="9">
        <f t="shared" si="37"/>
        <v>0.9995326790527107</v>
      </c>
      <c r="CD26" s="9">
        <f t="shared" si="38"/>
        <v>1.0040484838509398</v>
      </c>
      <c r="CF26" s="12"/>
      <c r="CL26" s="12"/>
    </row>
    <row r="27" spans="1:91">
      <c r="A27" s="15">
        <f>+Chem!A26</f>
        <v>45979</v>
      </c>
      <c r="B27" s="5" t="str">
        <f>+Chem!B26</f>
        <v>Facial</v>
      </c>
      <c r="C27" s="15" t="str">
        <f>+Chem!C26</f>
        <v>12/13</v>
      </c>
      <c r="D27" s="7">
        <f>+Chem!D26</f>
        <v>51.094999999999999</v>
      </c>
      <c r="E27" s="6">
        <f>+Chem!E26</f>
        <v>45.436</v>
      </c>
      <c r="F27" s="6">
        <f t="shared" si="39"/>
        <v>924.86800000000017</v>
      </c>
      <c r="G27" s="105"/>
      <c r="H27" s="9">
        <f t="shared" si="0"/>
        <v>0</v>
      </c>
      <c r="I27" s="7">
        <f t="shared" si="40"/>
        <v>0</v>
      </c>
      <c r="J27" s="9">
        <f t="shared" si="1"/>
        <v>0</v>
      </c>
      <c r="K27" s="105">
        <v>0</v>
      </c>
      <c r="L27" s="9">
        <f t="shared" si="2"/>
        <v>0</v>
      </c>
      <c r="M27" s="9">
        <f t="shared" si="41"/>
        <v>169058.45924999999</v>
      </c>
      <c r="N27" s="9">
        <f t="shared" si="3"/>
        <v>18.239161256380253</v>
      </c>
      <c r="O27" s="105"/>
      <c r="P27" s="9">
        <f t="shared" si="4"/>
        <v>0</v>
      </c>
      <c r="Q27" s="9">
        <f t="shared" si="42"/>
        <v>0</v>
      </c>
      <c r="R27" s="9">
        <f t="shared" si="5"/>
        <v>0</v>
      </c>
      <c r="S27" s="105">
        <v>0</v>
      </c>
      <c r="T27" s="9">
        <f t="shared" si="6"/>
        <v>0</v>
      </c>
      <c r="U27" s="9">
        <f t="shared" si="43"/>
        <v>0</v>
      </c>
      <c r="V27" s="9">
        <f t="shared" si="7"/>
        <v>0</v>
      </c>
      <c r="W27" s="105">
        <v>0</v>
      </c>
      <c r="X27" s="9">
        <f t="shared" si="8"/>
        <v>0</v>
      </c>
      <c r="Y27" s="9">
        <f t="shared" si="44"/>
        <v>0</v>
      </c>
      <c r="Z27" s="9">
        <f t="shared" si="9"/>
        <v>0</v>
      </c>
      <c r="AA27" s="105">
        <f>28.5*AA7</f>
        <v>6349.6859999999997</v>
      </c>
      <c r="AB27" s="9">
        <f t="shared" si="10"/>
        <v>14.462052022049729</v>
      </c>
      <c r="AC27" s="9">
        <f t="shared" si="45"/>
        <v>80039.462999999989</v>
      </c>
      <c r="AD27" s="9">
        <f t="shared" si="11"/>
        <v>8.6351944706433308</v>
      </c>
      <c r="AE27" s="9">
        <f t="shared" si="46"/>
        <v>6349.6859999999997</v>
      </c>
      <c r="AF27" s="9">
        <f t="shared" si="12"/>
        <v>14.462052022049729</v>
      </c>
      <c r="AG27" s="9">
        <f t="shared" si="47"/>
        <v>249097.92224999997</v>
      </c>
      <c r="AH27" s="9">
        <f t="shared" si="13"/>
        <v>26.874355727023584</v>
      </c>
      <c r="AI27" s="105">
        <f>76*AI7</f>
        <v>19109.363999999998</v>
      </c>
      <c r="AJ27" s="9">
        <f t="shared" si="14"/>
        <v>43.523509080021327</v>
      </c>
      <c r="AK27" s="9">
        <f t="shared" si="48"/>
        <v>321841.91999999998</v>
      </c>
      <c r="AL27" s="9">
        <f t="shared" si="15"/>
        <v>34.722466441400698</v>
      </c>
      <c r="AM27" s="105"/>
      <c r="AN27" s="9">
        <f t="shared" si="16"/>
        <v>0</v>
      </c>
      <c r="AO27" s="9">
        <f t="shared" si="49"/>
        <v>0</v>
      </c>
      <c r="AP27" s="9">
        <f t="shared" si="17"/>
        <v>0</v>
      </c>
      <c r="AQ27" s="105"/>
      <c r="AR27" s="9">
        <f t="shared" si="18"/>
        <v>0</v>
      </c>
      <c r="AS27" s="9">
        <f t="shared" si="50"/>
        <v>0</v>
      </c>
      <c r="AT27" s="9">
        <f t="shared" si="19"/>
        <v>0</v>
      </c>
      <c r="AU27" s="105"/>
      <c r="AV27" s="9">
        <f t="shared" si="20"/>
        <v>0</v>
      </c>
      <c r="AW27" s="9">
        <f t="shared" si="51"/>
        <v>0</v>
      </c>
      <c r="AX27" s="9">
        <f t="shared" si="21"/>
        <v>0</v>
      </c>
      <c r="AY27" s="105"/>
      <c r="AZ27" s="9">
        <f t="shared" si="22"/>
        <v>0</v>
      </c>
      <c r="BA27" s="9">
        <f t="shared" si="52"/>
        <v>0</v>
      </c>
      <c r="BB27" s="9">
        <f t="shared" si="23"/>
        <v>0</v>
      </c>
      <c r="BC27" s="9">
        <f t="shared" si="53"/>
        <v>19109.363999999998</v>
      </c>
      <c r="BD27" s="9">
        <f t="shared" si="24"/>
        <v>43.523509080021327</v>
      </c>
      <c r="BE27" s="9">
        <f t="shared" si="54"/>
        <v>321841.91999999998</v>
      </c>
      <c r="BF27" s="9">
        <f t="shared" si="25"/>
        <v>34.722466441400698</v>
      </c>
      <c r="BG27" s="105">
        <f>74*BG7</f>
        <v>18446.794000000002</v>
      </c>
      <c r="BH27" s="9">
        <f t="shared" si="62"/>
        <v>42.014438897928947</v>
      </c>
      <c r="BI27" s="9">
        <f t="shared" si="63"/>
        <v>354976.14399999997</v>
      </c>
      <c r="BJ27" s="9">
        <f t="shared" si="64"/>
        <v>38.297208914046443</v>
      </c>
      <c r="BK27" s="105"/>
      <c r="BL27" s="9">
        <f t="shared" si="28"/>
        <v>0</v>
      </c>
      <c r="BM27" s="9">
        <f t="shared" si="56"/>
        <v>982.22400000000005</v>
      </c>
      <c r="BN27" s="9">
        <f t="shared" si="29"/>
        <v>0.10596891752925898</v>
      </c>
      <c r="BO27" s="105"/>
      <c r="BP27" s="14">
        <f t="shared" si="30"/>
        <v>0</v>
      </c>
      <c r="BQ27" s="9">
        <f t="shared" si="57"/>
        <v>0</v>
      </c>
      <c r="BR27" s="9">
        <f t="shared" si="31"/>
        <v>0</v>
      </c>
      <c r="BS27" s="9">
        <f t="shared" si="58"/>
        <v>18446.794000000002</v>
      </c>
      <c r="BT27" s="9">
        <f t="shared" si="32"/>
        <v>42.014438897928947</v>
      </c>
      <c r="BU27" s="9">
        <f t="shared" si="59"/>
        <v>355958.36800000002</v>
      </c>
      <c r="BV27" s="9">
        <f t="shared" si="33"/>
        <v>38.403177831575711</v>
      </c>
      <c r="BW27" s="105"/>
      <c r="BX27" s="9">
        <f t="shared" si="34"/>
        <v>0</v>
      </c>
      <c r="BY27" s="9">
        <f t="shared" si="60"/>
        <v>0</v>
      </c>
      <c r="BZ27" s="9">
        <f t="shared" si="35"/>
        <v>0</v>
      </c>
      <c r="CA27" s="9">
        <f t="shared" si="36"/>
        <v>43905.843999999997</v>
      </c>
      <c r="CB27" s="9">
        <f t="shared" si="61"/>
        <v>926898.21025</v>
      </c>
      <c r="CC27" s="9">
        <f t="shared" si="37"/>
        <v>0.96632282771370703</v>
      </c>
      <c r="CD27" s="9">
        <f t="shared" si="38"/>
        <v>1.0021951351436096</v>
      </c>
      <c r="CL27" s="12"/>
    </row>
    <row r="28" spans="1:91">
      <c r="A28" s="15">
        <f>+Chem!A27</f>
        <v>45980</v>
      </c>
      <c r="B28" s="5" t="str">
        <f>+Chem!B27</f>
        <v>Facial</v>
      </c>
      <c r="C28" s="15" t="str">
        <f>+Chem!C27</f>
        <v>13</v>
      </c>
      <c r="D28" s="7">
        <f>+Chem!D27</f>
        <v>64</v>
      </c>
      <c r="E28" s="6">
        <f>+Chem!E27</f>
        <v>62.713000000000001</v>
      </c>
      <c r="F28" s="6">
        <f t="shared" si="39"/>
        <v>987.58100000000013</v>
      </c>
      <c r="G28" s="105"/>
      <c r="H28" s="9">
        <f t="shared" si="0"/>
        <v>0</v>
      </c>
      <c r="I28" s="7">
        <f t="shared" si="40"/>
        <v>0</v>
      </c>
      <c r="J28" s="9">
        <f t="shared" si="1"/>
        <v>0</v>
      </c>
      <c r="K28" s="105">
        <v>0</v>
      </c>
      <c r="L28" s="9">
        <f t="shared" si="2"/>
        <v>0</v>
      </c>
      <c r="M28" s="9">
        <f t="shared" si="41"/>
        <v>169058.45924999999</v>
      </c>
      <c r="N28" s="9">
        <f t="shared" si="3"/>
        <v>17.090086935967456</v>
      </c>
      <c r="O28" s="105"/>
      <c r="P28" s="9">
        <f t="shared" si="4"/>
        <v>0</v>
      </c>
      <c r="Q28" s="9">
        <f t="shared" si="42"/>
        <v>0</v>
      </c>
      <c r="R28" s="9">
        <f t="shared" si="5"/>
        <v>0</v>
      </c>
      <c r="S28" s="105">
        <v>0</v>
      </c>
      <c r="T28" s="9">
        <f t="shared" si="6"/>
        <v>0</v>
      </c>
      <c r="U28" s="9">
        <f t="shared" si="43"/>
        <v>0</v>
      </c>
      <c r="V28" s="9">
        <f t="shared" si="7"/>
        <v>0</v>
      </c>
      <c r="W28" s="105">
        <v>0</v>
      </c>
      <c r="X28" s="9">
        <f t="shared" si="8"/>
        <v>0</v>
      </c>
      <c r="Y28" s="9">
        <f t="shared" si="44"/>
        <v>0</v>
      </c>
      <c r="Z28" s="9">
        <f t="shared" si="9"/>
        <v>0</v>
      </c>
      <c r="AA28" s="105">
        <f>37*AA7</f>
        <v>8243.4519999999993</v>
      </c>
      <c r="AB28" s="9">
        <f t="shared" si="10"/>
        <v>13.227361496114675</v>
      </c>
      <c r="AC28" s="9">
        <f t="shared" si="45"/>
        <v>88282.914999999994</v>
      </c>
      <c r="AD28" s="9">
        <f t="shared" si="11"/>
        <v>8.9245027962753376</v>
      </c>
      <c r="AE28" s="9">
        <f t="shared" si="46"/>
        <v>8243.4519999999993</v>
      </c>
      <c r="AF28" s="9">
        <f t="shared" si="12"/>
        <v>13.227361496114675</v>
      </c>
      <c r="AG28" s="9">
        <f t="shared" si="47"/>
        <v>257341.37424999996</v>
      </c>
      <c r="AH28" s="9">
        <f t="shared" si="13"/>
        <v>26.014589732242786</v>
      </c>
      <c r="AI28" s="105">
        <f>108*AI7</f>
        <v>27155.412</v>
      </c>
      <c r="AJ28" s="9">
        <f t="shared" si="14"/>
        <v>43.573305345858806</v>
      </c>
      <c r="AK28" s="9">
        <f t="shared" si="48"/>
        <v>348997.33199999999</v>
      </c>
      <c r="AL28" s="9">
        <f t="shared" si="15"/>
        <v>35.280072767495639</v>
      </c>
      <c r="AM28" s="105"/>
      <c r="AN28" s="9">
        <f t="shared" si="16"/>
        <v>0</v>
      </c>
      <c r="AO28" s="9">
        <f t="shared" si="49"/>
        <v>0</v>
      </c>
      <c r="AP28" s="9">
        <f t="shared" si="17"/>
        <v>0</v>
      </c>
      <c r="AQ28" s="105"/>
      <c r="AR28" s="9">
        <f t="shared" si="18"/>
        <v>0</v>
      </c>
      <c r="AS28" s="9">
        <f t="shared" si="50"/>
        <v>0</v>
      </c>
      <c r="AT28" s="9">
        <f t="shared" si="19"/>
        <v>0</v>
      </c>
      <c r="AU28" s="105"/>
      <c r="AV28" s="9">
        <f t="shared" si="20"/>
        <v>0</v>
      </c>
      <c r="AW28" s="9">
        <f t="shared" si="51"/>
        <v>0</v>
      </c>
      <c r="AX28" s="9">
        <f t="shared" si="21"/>
        <v>0</v>
      </c>
      <c r="AY28" s="105"/>
      <c r="AZ28" s="9">
        <f t="shared" si="22"/>
        <v>0</v>
      </c>
      <c r="BA28" s="9">
        <f t="shared" si="52"/>
        <v>0</v>
      </c>
      <c r="BB28" s="9">
        <f t="shared" si="23"/>
        <v>0</v>
      </c>
      <c r="BC28" s="9">
        <f t="shared" si="53"/>
        <v>27155.412</v>
      </c>
      <c r="BD28" s="9">
        <f t="shared" si="24"/>
        <v>43.573305345858806</v>
      </c>
      <c r="BE28" s="9">
        <f t="shared" si="54"/>
        <v>348997.33199999999</v>
      </c>
      <c r="BF28" s="9">
        <f t="shared" si="25"/>
        <v>35.280072767495639</v>
      </c>
      <c r="BG28" s="105">
        <f>108*BG7</f>
        <v>26922.348000000002</v>
      </c>
      <c r="BH28" s="9">
        <f t="shared" si="62"/>
        <v>43.199333158026519</v>
      </c>
      <c r="BI28" s="9">
        <f t="shared" si="63"/>
        <v>381898.49199999997</v>
      </c>
      <c r="BJ28" s="9">
        <f t="shared" si="64"/>
        <v>38.606044666143326</v>
      </c>
      <c r="BK28" s="105"/>
      <c r="BL28" s="9">
        <f t="shared" si="28"/>
        <v>0</v>
      </c>
      <c r="BM28" s="9">
        <f t="shared" si="56"/>
        <v>982.22400000000005</v>
      </c>
      <c r="BN28" s="9">
        <f t="shared" si="29"/>
        <v>9.9292834118229409E-2</v>
      </c>
      <c r="BO28" s="105"/>
      <c r="BP28" s="14">
        <f t="shared" si="30"/>
        <v>0</v>
      </c>
      <c r="BQ28" s="9">
        <f t="shared" si="57"/>
        <v>0</v>
      </c>
      <c r="BR28" s="9">
        <f t="shared" si="31"/>
        <v>0</v>
      </c>
      <c r="BS28" s="9">
        <f t="shared" si="58"/>
        <v>26922.348000000002</v>
      </c>
      <c r="BT28" s="9">
        <f t="shared" si="32"/>
        <v>43.199333158026519</v>
      </c>
      <c r="BU28" s="9">
        <f t="shared" si="59"/>
        <v>382880.71600000001</v>
      </c>
      <c r="BV28" s="9">
        <f t="shared" si="33"/>
        <v>38.705337500261564</v>
      </c>
      <c r="BW28" s="105"/>
      <c r="BX28" s="9">
        <f t="shared" si="34"/>
        <v>0</v>
      </c>
      <c r="BY28" s="9">
        <f t="shared" si="60"/>
        <v>0</v>
      </c>
      <c r="BZ28" s="9">
        <f t="shared" si="35"/>
        <v>0</v>
      </c>
      <c r="CA28" s="9">
        <f t="shared" si="36"/>
        <v>62321.212</v>
      </c>
      <c r="CB28" s="9">
        <f t="shared" si="61"/>
        <v>989219.42225000006</v>
      </c>
      <c r="CC28" s="9">
        <f t="shared" si="37"/>
        <v>0.99375268285682394</v>
      </c>
      <c r="CD28" s="9">
        <f t="shared" si="38"/>
        <v>1.0016590256900446</v>
      </c>
      <c r="CL28" s="12"/>
    </row>
    <row r="29" spans="1:91">
      <c r="A29" s="15">
        <f>+Chem!A28</f>
        <v>45981</v>
      </c>
      <c r="B29" s="5" t="str">
        <f>+Chem!B28</f>
        <v>Facial</v>
      </c>
      <c r="C29" s="15" t="str">
        <f>+Chem!C28</f>
        <v>13</v>
      </c>
      <c r="D29" s="7">
        <f>+Chem!D28</f>
        <v>58.091000000000001</v>
      </c>
      <c r="E29" s="6">
        <f>+Chem!E28</f>
        <v>57.715000000000003</v>
      </c>
      <c r="F29" s="6">
        <f t="shared" si="39"/>
        <v>1045.296</v>
      </c>
      <c r="G29" s="105"/>
      <c r="H29" s="9">
        <f t="shared" si="0"/>
        <v>0</v>
      </c>
      <c r="I29" s="7">
        <f t="shared" si="40"/>
        <v>0</v>
      </c>
      <c r="J29" s="9">
        <f t="shared" si="1"/>
        <v>0</v>
      </c>
      <c r="K29" s="105">
        <v>0</v>
      </c>
      <c r="L29" s="9">
        <f t="shared" si="2"/>
        <v>0</v>
      </c>
      <c r="M29" s="9">
        <f t="shared" si="41"/>
        <v>169058.45924999999</v>
      </c>
      <c r="N29" s="9">
        <f t="shared" si="3"/>
        <v>16.148999081591334</v>
      </c>
      <c r="O29" s="105"/>
      <c r="P29" s="9">
        <f t="shared" si="4"/>
        <v>0</v>
      </c>
      <c r="Q29" s="9">
        <f t="shared" si="42"/>
        <v>0</v>
      </c>
      <c r="R29" s="9">
        <f t="shared" si="5"/>
        <v>0</v>
      </c>
      <c r="S29" s="105">
        <v>0</v>
      </c>
      <c r="T29" s="9">
        <f t="shared" si="6"/>
        <v>0</v>
      </c>
      <c r="U29" s="9">
        <f t="shared" si="43"/>
        <v>0</v>
      </c>
      <c r="V29" s="9">
        <f t="shared" si="7"/>
        <v>0</v>
      </c>
      <c r="W29" s="105">
        <v>0</v>
      </c>
      <c r="X29" s="9">
        <f t="shared" si="8"/>
        <v>0</v>
      </c>
      <c r="Y29" s="9">
        <f t="shared" si="44"/>
        <v>0</v>
      </c>
      <c r="Z29" s="9">
        <f t="shared" si="9"/>
        <v>0</v>
      </c>
      <c r="AA29" s="105">
        <f>34*AA7</f>
        <v>7575.0639999999994</v>
      </c>
      <c r="AB29" s="9">
        <f t="shared" si="10"/>
        <v>13.140415962901422</v>
      </c>
      <c r="AC29" s="9">
        <f t="shared" si="45"/>
        <v>95857.978999999992</v>
      </c>
      <c r="AD29" s="9">
        <f t="shared" si="11"/>
        <v>9.1566575355157891</v>
      </c>
      <c r="AE29" s="9">
        <f t="shared" si="46"/>
        <v>7575.0639999999994</v>
      </c>
      <c r="AF29" s="9">
        <f t="shared" si="12"/>
        <v>13.140415962901422</v>
      </c>
      <c r="AG29" s="9">
        <f t="shared" si="47"/>
        <v>264916.43824999995</v>
      </c>
      <c r="AH29" s="9">
        <f t="shared" si="13"/>
        <v>25.305656617107118</v>
      </c>
      <c r="AI29" s="105">
        <f>100*AI7</f>
        <v>25143.899999999998</v>
      </c>
      <c r="AJ29" s="9">
        <f t="shared" si="14"/>
        <v>43.616965471129625</v>
      </c>
      <c r="AK29" s="9">
        <f t="shared" si="48"/>
        <v>374141.23200000002</v>
      </c>
      <c r="AL29" s="9">
        <f t="shared" si="15"/>
        <v>35.739154602247162</v>
      </c>
      <c r="AM29" s="105"/>
      <c r="AN29" s="9">
        <f t="shared" si="16"/>
        <v>0</v>
      </c>
      <c r="AO29" s="9">
        <f t="shared" si="49"/>
        <v>0</v>
      </c>
      <c r="AP29" s="9">
        <f t="shared" si="17"/>
        <v>0</v>
      </c>
      <c r="AQ29" s="105"/>
      <c r="AR29" s="9">
        <f t="shared" si="18"/>
        <v>0</v>
      </c>
      <c r="AS29" s="9">
        <f t="shared" si="50"/>
        <v>0</v>
      </c>
      <c r="AT29" s="9">
        <f t="shared" si="19"/>
        <v>0</v>
      </c>
      <c r="AU29" s="105"/>
      <c r="AV29" s="9">
        <f t="shared" si="20"/>
        <v>0</v>
      </c>
      <c r="AW29" s="9">
        <f t="shared" si="51"/>
        <v>0</v>
      </c>
      <c r="AX29" s="9">
        <f t="shared" si="21"/>
        <v>0</v>
      </c>
      <c r="AY29" s="105"/>
      <c r="AZ29" s="9">
        <f t="shared" si="22"/>
        <v>0</v>
      </c>
      <c r="BA29" s="9">
        <f t="shared" si="52"/>
        <v>0</v>
      </c>
      <c r="BB29" s="9">
        <f t="shared" si="23"/>
        <v>0</v>
      </c>
      <c r="BC29" s="9">
        <f t="shared" si="53"/>
        <v>25143.899999999998</v>
      </c>
      <c r="BD29" s="9">
        <f t="shared" si="24"/>
        <v>43.616965471129625</v>
      </c>
      <c r="BE29" s="9">
        <f t="shared" si="54"/>
        <v>374141.23200000002</v>
      </c>
      <c r="BF29" s="9">
        <f t="shared" si="25"/>
        <v>35.739154602247162</v>
      </c>
      <c r="BG29" s="105">
        <f>100*BG7</f>
        <v>24928.100000000002</v>
      </c>
      <c r="BH29" s="9">
        <f t="shared" si="62"/>
        <v>43.242618565968947</v>
      </c>
      <c r="BI29" s="9">
        <f t="shared" si="63"/>
        <v>406826.59199999995</v>
      </c>
      <c r="BJ29" s="9">
        <f t="shared" si="64"/>
        <v>38.861363635519659</v>
      </c>
      <c r="BK29" s="105"/>
      <c r="BL29" s="9">
        <f t="shared" si="28"/>
        <v>0</v>
      </c>
      <c r="BM29" s="9">
        <f t="shared" si="56"/>
        <v>982.22400000000005</v>
      </c>
      <c r="BN29" s="9">
        <f t="shared" si="29"/>
        <v>9.3825145126045909E-2</v>
      </c>
      <c r="BO29" s="105"/>
      <c r="BP29" s="14">
        <f t="shared" si="30"/>
        <v>0</v>
      </c>
      <c r="BQ29" s="9">
        <f t="shared" si="57"/>
        <v>0</v>
      </c>
      <c r="BR29" s="9">
        <f t="shared" si="31"/>
        <v>0</v>
      </c>
      <c r="BS29" s="9">
        <f t="shared" si="58"/>
        <v>24928.100000000002</v>
      </c>
      <c r="BT29" s="9">
        <f t="shared" si="32"/>
        <v>43.242618565968947</v>
      </c>
      <c r="BU29" s="9">
        <f t="shared" si="59"/>
        <v>407808.81599999999</v>
      </c>
      <c r="BV29" s="9">
        <f t="shared" si="33"/>
        <v>38.955188780645713</v>
      </c>
      <c r="BW29" s="105"/>
      <c r="BX29" s="9">
        <f t="shared" si="34"/>
        <v>0</v>
      </c>
      <c r="BY29" s="9">
        <f t="shared" si="60"/>
        <v>0</v>
      </c>
      <c r="BZ29" s="9">
        <f t="shared" si="35"/>
        <v>0</v>
      </c>
      <c r="CA29" s="9">
        <f t="shared" si="36"/>
        <v>57647.063999999998</v>
      </c>
      <c r="CB29" s="9">
        <f t="shared" si="61"/>
        <v>1046866.4862500001</v>
      </c>
      <c r="CC29" s="9">
        <f t="shared" si="37"/>
        <v>0.99882290565710818</v>
      </c>
      <c r="CD29" s="9">
        <f t="shared" si="38"/>
        <v>1.0015024320862225</v>
      </c>
      <c r="CL29" s="12"/>
    </row>
    <row r="30" spans="1:91">
      <c r="A30" s="15">
        <f>+Chem!A29</f>
        <v>45982</v>
      </c>
      <c r="B30" s="5" t="str">
        <f>+Chem!B29</f>
        <v>Facial</v>
      </c>
      <c r="C30" s="15" t="str">
        <f>+Chem!C29</f>
        <v>13</v>
      </c>
      <c r="D30" s="7">
        <f>+Chem!D29</f>
        <v>60.528999999999996</v>
      </c>
      <c r="E30" s="6">
        <f>+Chem!E29</f>
        <v>56.137999999999998</v>
      </c>
      <c r="F30" s="6">
        <f t="shared" si="39"/>
        <v>1101.434</v>
      </c>
      <c r="G30" s="105"/>
      <c r="H30" s="9">
        <f t="shared" si="0"/>
        <v>0</v>
      </c>
      <c r="I30" s="7">
        <f t="shared" si="40"/>
        <v>0</v>
      </c>
      <c r="J30" s="9">
        <f t="shared" si="1"/>
        <v>0</v>
      </c>
      <c r="K30" s="105">
        <f>5*K7</f>
        <v>1250.895</v>
      </c>
      <c r="L30" s="9">
        <f t="shared" si="2"/>
        <v>2.2494456161665095</v>
      </c>
      <c r="M30" s="9">
        <f t="shared" si="41"/>
        <v>170309.35424999997</v>
      </c>
      <c r="N30" s="9">
        <f t="shared" si="3"/>
        <v>15.447903465185439</v>
      </c>
      <c r="O30" s="105"/>
      <c r="P30" s="9">
        <f t="shared" si="4"/>
        <v>0</v>
      </c>
      <c r="Q30" s="9">
        <f t="shared" si="42"/>
        <v>0</v>
      </c>
      <c r="R30" s="9">
        <f t="shared" si="5"/>
        <v>0</v>
      </c>
      <c r="S30" s="105">
        <f>20.25*S7</f>
        <v>5062.5</v>
      </c>
      <c r="T30" s="9">
        <f t="shared" si="6"/>
        <v>9.1037364701617278</v>
      </c>
      <c r="U30" s="9">
        <f t="shared" si="43"/>
        <v>5062.5</v>
      </c>
      <c r="V30" s="9">
        <f t="shared" si="7"/>
        <v>0.45919386892691066</v>
      </c>
      <c r="W30" s="105">
        <v>0</v>
      </c>
      <c r="X30" s="9">
        <f t="shared" si="8"/>
        <v>0</v>
      </c>
      <c r="Y30" s="9">
        <f t="shared" si="44"/>
        <v>0</v>
      </c>
      <c r="Z30" s="9">
        <f t="shared" si="9"/>
        <v>0</v>
      </c>
      <c r="AA30" s="105">
        <f>10*AA7</f>
        <v>2227.96</v>
      </c>
      <c r="AB30" s="9">
        <f t="shared" si="10"/>
        <v>4.0064712505800539</v>
      </c>
      <c r="AC30" s="9">
        <f t="shared" si="45"/>
        <v>98085.938999999998</v>
      </c>
      <c r="AD30" s="9">
        <f t="shared" si="11"/>
        <v>8.8968813465163361</v>
      </c>
      <c r="AE30" s="9">
        <f t="shared" si="46"/>
        <v>8541.3549999999996</v>
      </c>
      <c r="AF30" s="9">
        <f t="shared" si="12"/>
        <v>15.359653336908291</v>
      </c>
      <c r="AG30" s="9">
        <f t="shared" si="47"/>
        <v>273457.79324999993</v>
      </c>
      <c r="AH30" s="9">
        <f t="shared" si="13"/>
        <v>24.803978680628681</v>
      </c>
      <c r="AI30" s="105">
        <f>94*AI7</f>
        <v>23635.266</v>
      </c>
      <c r="AJ30" s="9">
        <f t="shared" si="14"/>
        <v>42.502564556281186</v>
      </c>
      <c r="AK30" s="9">
        <f t="shared" si="48"/>
        <v>397776.49800000002</v>
      </c>
      <c r="AL30" s="9">
        <f t="shared" si="15"/>
        <v>36.080302041445442</v>
      </c>
      <c r="AM30" s="105"/>
      <c r="AN30" s="9">
        <f t="shared" si="16"/>
        <v>0</v>
      </c>
      <c r="AO30" s="9">
        <f t="shared" si="49"/>
        <v>0</v>
      </c>
      <c r="AP30" s="9">
        <f t="shared" si="17"/>
        <v>0</v>
      </c>
      <c r="AQ30" s="105"/>
      <c r="AR30" s="9">
        <f t="shared" si="18"/>
        <v>0</v>
      </c>
      <c r="AS30" s="9">
        <f t="shared" si="50"/>
        <v>0</v>
      </c>
      <c r="AT30" s="9">
        <f t="shared" si="19"/>
        <v>0</v>
      </c>
      <c r="AU30" s="105"/>
      <c r="AV30" s="9">
        <f t="shared" si="20"/>
        <v>0</v>
      </c>
      <c r="AW30" s="9">
        <f t="shared" si="51"/>
        <v>0</v>
      </c>
      <c r="AX30" s="9">
        <f t="shared" si="21"/>
        <v>0</v>
      </c>
      <c r="AY30" s="105"/>
      <c r="AZ30" s="9">
        <f t="shared" si="22"/>
        <v>0</v>
      </c>
      <c r="BA30" s="9">
        <f t="shared" si="52"/>
        <v>0</v>
      </c>
      <c r="BB30" s="9">
        <f t="shared" si="23"/>
        <v>0</v>
      </c>
      <c r="BC30" s="9">
        <f t="shared" si="53"/>
        <v>23635.266</v>
      </c>
      <c r="BD30" s="9">
        <f t="shared" si="24"/>
        <v>42.502564556281186</v>
      </c>
      <c r="BE30" s="9">
        <f t="shared" si="54"/>
        <v>397776.49800000002</v>
      </c>
      <c r="BF30" s="9">
        <f t="shared" si="25"/>
        <v>36.080302041445442</v>
      </c>
      <c r="BG30" s="105">
        <f>94*BG7</f>
        <v>23432.414000000001</v>
      </c>
      <c r="BH30" s="9">
        <f t="shared" si="62"/>
        <v>42.137782106810519</v>
      </c>
      <c r="BI30" s="9">
        <f t="shared" si="63"/>
        <v>430259.00599999994</v>
      </c>
      <c r="BJ30" s="9">
        <f t="shared" si="64"/>
        <v>39.026626687562832</v>
      </c>
      <c r="BK30" s="105"/>
      <c r="BL30" s="9">
        <f t="shared" si="28"/>
        <v>0</v>
      </c>
      <c r="BM30" s="9">
        <f t="shared" si="56"/>
        <v>982.22400000000005</v>
      </c>
      <c r="BN30" s="9">
        <f t="shared" si="29"/>
        <v>8.909259036303524E-2</v>
      </c>
      <c r="BO30" s="105"/>
      <c r="BP30" s="14">
        <f t="shared" si="30"/>
        <v>0</v>
      </c>
      <c r="BQ30" s="9">
        <f t="shared" si="57"/>
        <v>0</v>
      </c>
      <c r="BR30" s="9">
        <f t="shared" si="31"/>
        <v>0</v>
      </c>
      <c r="BS30" s="9">
        <f t="shared" si="58"/>
        <v>23432.414000000001</v>
      </c>
      <c r="BT30" s="9">
        <f t="shared" si="32"/>
        <v>42.137782106810519</v>
      </c>
      <c r="BU30" s="9">
        <f t="shared" si="59"/>
        <v>431241.23</v>
      </c>
      <c r="BV30" s="9">
        <f t="shared" si="33"/>
        <v>39.115719277925869</v>
      </c>
      <c r="BW30" s="105"/>
      <c r="BX30" s="9">
        <f t="shared" si="34"/>
        <v>0</v>
      </c>
      <c r="BY30" s="9">
        <f t="shared" si="60"/>
        <v>0</v>
      </c>
      <c r="BZ30" s="9">
        <f t="shared" si="35"/>
        <v>0</v>
      </c>
      <c r="CA30" s="9">
        <f t="shared" si="36"/>
        <v>55609.035000000003</v>
      </c>
      <c r="CB30" s="9">
        <f t="shared" si="61"/>
        <v>1102475.52125</v>
      </c>
      <c r="CC30" s="9">
        <f t="shared" si="37"/>
        <v>0.99057741636681051</v>
      </c>
      <c r="CD30" s="9">
        <f t="shared" si="38"/>
        <v>1.0009456047752294</v>
      </c>
    </row>
    <row r="31" spans="1:91">
      <c r="A31" s="15">
        <f>+Chem!A30</f>
        <v>45983</v>
      </c>
      <c r="B31" s="5" t="str">
        <f>+Chem!B30</f>
        <v>Facial</v>
      </c>
      <c r="C31" s="15" t="str">
        <f>+Chem!C30</f>
        <v>13</v>
      </c>
      <c r="D31" s="7">
        <f>+Chem!D30</f>
        <v>52.583999999999996</v>
      </c>
      <c r="E31" s="6">
        <f>+Chem!E30</f>
        <v>54.898000000000003</v>
      </c>
      <c r="F31" s="6">
        <f t="shared" si="39"/>
        <v>1156.3319999999999</v>
      </c>
      <c r="G31" s="105"/>
      <c r="H31" s="9">
        <f t="shared" si="0"/>
        <v>0</v>
      </c>
      <c r="I31" s="7">
        <f t="shared" si="40"/>
        <v>0</v>
      </c>
      <c r="J31" s="9">
        <f t="shared" si="1"/>
        <v>0</v>
      </c>
      <c r="K31" s="105"/>
      <c r="L31" s="9">
        <f t="shared" si="2"/>
        <v>0</v>
      </c>
      <c r="M31" s="9">
        <f t="shared" si="41"/>
        <v>170309.35424999997</v>
      </c>
      <c r="N31" s="9">
        <f t="shared" si="3"/>
        <v>14.73292576373467</v>
      </c>
      <c r="O31" s="105"/>
      <c r="P31" s="9">
        <f t="shared" si="4"/>
        <v>0</v>
      </c>
      <c r="Q31" s="9">
        <f t="shared" si="42"/>
        <v>0</v>
      </c>
      <c r="R31" s="9">
        <f t="shared" si="5"/>
        <v>0</v>
      </c>
      <c r="S31" s="105">
        <f>33.75*S7</f>
        <v>8437.5</v>
      </c>
      <c r="T31" s="9">
        <f t="shared" si="6"/>
        <v>15.770350059717058</v>
      </c>
      <c r="U31" s="9">
        <f t="shared" si="43"/>
        <v>13500</v>
      </c>
      <c r="V31" s="9">
        <f t="shared" si="7"/>
        <v>1.1678424751611556</v>
      </c>
      <c r="W31" s="105">
        <v>0</v>
      </c>
      <c r="X31" s="9">
        <f t="shared" si="8"/>
        <v>0</v>
      </c>
      <c r="Y31" s="9">
        <f t="shared" si="44"/>
        <v>0</v>
      </c>
      <c r="Z31" s="9">
        <f t="shared" si="9"/>
        <v>0</v>
      </c>
      <c r="AA31" s="105"/>
      <c r="AB31" s="9">
        <f t="shared" si="10"/>
        <v>0</v>
      </c>
      <c r="AC31" s="9">
        <f t="shared" si="45"/>
        <v>98085.938999999998</v>
      </c>
      <c r="AD31" s="9">
        <f t="shared" si="11"/>
        <v>8.4851056133530456</v>
      </c>
      <c r="AE31" s="9">
        <f t="shared" si="46"/>
        <v>8437.5</v>
      </c>
      <c r="AF31" s="9">
        <f t="shared" si="12"/>
        <v>15.770350059717058</v>
      </c>
      <c r="AG31" s="9">
        <f t="shared" si="47"/>
        <v>281895.29324999993</v>
      </c>
      <c r="AH31" s="9">
        <f t="shared" si="13"/>
        <v>24.385873852248867</v>
      </c>
      <c r="AI31" s="105">
        <f>90*AI7</f>
        <v>22629.51</v>
      </c>
      <c r="AJ31" s="9">
        <f t="shared" si="14"/>
        <v>42.296331185762106</v>
      </c>
      <c r="AK31" s="9">
        <f t="shared" si="48"/>
        <v>420406.00800000003</v>
      </c>
      <c r="AL31" s="9">
        <f t="shared" si="15"/>
        <v>36.367999478173381</v>
      </c>
      <c r="AM31" s="105"/>
      <c r="AN31" s="9">
        <f t="shared" si="16"/>
        <v>0</v>
      </c>
      <c r="AO31" s="9">
        <f t="shared" si="49"/>
        <v>0</v>
      </c>
      <c r="AP31" s="9">
        <f t="shared" si="17"/>
        <v>0</v>
      </c>
      <c r="AQ31" s="105"/>
      <c r="AR31" s="9">
        <f t="shared" si="18"/>
        <v>0</v>
      </c>
      <c r="AS31" s="9">
        <f t="shared" si="50"/>
        <v>0</v>
      </c>
      <c r="AT31" s="9">
        <f t="shared" si="19"/>
        <v>0</v>
      </c>
      <c r="AU31" s="105"/>
      <c r="AV31" s="9">
        <f t="shared" si="20"/>
        <v>0</v>
      </c>
      <c r="AW31" s="9">
        <f t="shared" si="51"/>
        <v>0</v>
      </c>
      <c r="AX31" s="9">
        <f t="shared" si="21"/>
        <v>0</v>
      </c>
      <c r="AY31" s="105"/>
      <c r="AZ31" s="9">
        <f t="shared" si="22"/>
        <v>0</v>
      </c>
      <c r="BA31" s="9">
        <f t="shared" si="52"/>
        <v>0</v>
      </c>
      <c r="BB31" s="9">
        <f t="shared" si="23"/>
        <v>0</v>
      </c>
      <c r="BC31" s="9">
        <f t="shared" si="53"/>
        <v>22629.51</v>
      </c>
      <c r="BD31" s="9">
        <f t="shared" si="24"/>
        <v>42.296331185762106</v>
      </c>
      <c r="BE31" s="9">
        <f t="shared" si="54"/>
        <v>420406.00800000003</v>
      </c>
      <c r="BF31" s="9">
        <f t="shared" si="25"/>
        <v>36.367999478173381</v>
      </c>
      <c r="BG31" s="105">
        <f>90*BG7</f>
        <v>22435.29</v>
      </c>
      <c r="BH31" s="9">
        <f t="shared" si="62"/>
        <v>41.933318754520833</v>
      </c>
      <c r="BI31" s="9">
        <f t="shared" si="63"/>
        <v>452694.29599999991</v>
      </c>
      <c r="BJ31" s="9">
        <f t="shared" si="64"/>
        <v>39.161157565331614</v>
      </c>
      <c r="BK31" s="105"/>
      <c r="BL31" s="9">
        <f t="shared" si="28"/>
        <v>0</v>
      </c>
      <c r="BM31" s="9">
        <f t="shared" si="56"/>
        <v>982.22400000000005</v>
      </c>
      <c r="BN31" s="9">
        <f t="shared" si="29"/>
        <v>8.4969104246125263E-2</v>
      </c>
      <c r="BO31" s="105"/>
      <c r="BP31" s="14">
        <f t="shared" si="30"/>
        <v>0</v>
      </c>
      <c r="BQ31" s="9">
        <f t="shared" si="57"/>
        <v>0</v>
      </c>
      <c r="BR31" s="9">
        <f t="shared" si="31"/>
        <v>0</v>
      </c>
      <c r="BS31" s="9">
        <f t="shared" si="58"/>
        <v>22435.29</v>
      </c>
      <c r="BT31" s="9">
        <f t="shared" si="32"/>
        <v>41.933318754520833</v>
      </c>
      <c r="BU31" s="9">
        <f t="shared" si="59"/>
        <v>453676.51999999996</v>
      </c>
      <c r="BV31" s="9">
        <f t="shared" si="33"/>
        <v>39.246126669577741</v>
      </c>
      <c r="BW31" s="105"/>
      <c r="BX31" s="9">
        <f t="shared" si="34"/>
        <v>0</v>
      </c>
      <c r="BY31" s="9">
        <f t="shared" si="60"/>
        <v>0</v>
      </c>
      <c r="BZ31" s="9">
        <f t="shared" si="35"/>
        <v>0</v>
      </c>
      <c r="CA31" s="9">
        <f t="shared" si="36"/>
        <v>53502.3</v>
      </c>
      <c r="CB31" s="9">
        <f t="shared" si="61"/>
        <v>1155977.82125</v>
      </c>
      <c r="CC31" s="9">
        <f t="shared" si="37"/>
        <v>0.97457648730372692</v>
      </c>
      <c r="CD31" s="9">
        <f t="shared" si="38"/>
        <v>0.99969370496535614</v>
      </c>
    </row>
    <row r="32" spans="1:91">
      <c r="A32" s="15">
        <f>+Chem!A31</f>
        <v>45984</v>
      </c>
      <c r="B32" s="5" t="str">
        <f>+Chem!B31</f>
        <v>Facial</v>
      </c>
      <c r="C32" s="15" t="str">
        <f>+Chem!C31</f>
        <v>13</v>
      </c>
      <c r="D32" s="7">
        <f>+Chem!D31</f>
        <v>59.129999999999995</v>
      </c>
      <c r="E32" s="6">
        <f>+Chem!E31</f>
        <v>51.46</v>
      </c>
      <c r="F32" s="6">
        <f t="shared" si="39"/>
        <v>1207.7919999999999</v>
      </c>
      <c r="G32" s="105"/>
      <c r="H32" s="9">
        <f t="shared" si="0"/>
        <v>0</v>
      </c>
      <c r="I32" s="7">
        <f t="shared" si="40"/>
        <v>0</v>
      </c>
      <c r="J32" s="9">
        <f t="shared" si="1"/>
        <v>0</v>
      </c>
      <c r="K32" s="105"/>
      <c r="L32" s="9">
        <f t="shared" si="2"/>
        <v>0</v>
      </c>
      <c r="M32" s="9">
        <f t="shared" si="41"/>
        <v>170309.35424999997</v>
      </c>
      <c r="N32" s="9">
        <f t="shared" si="3"/>
        <v>14.095058947116682</v>
      </c>
      <c r="O32" s="105"/>
      <c r="P32" s="9">
        <f t="shared" si="4"/>
        <v>0</v>
      </c>
      <c r="Q32" s="9">
        <f t="shared" si="42"/>
        <v>0</v>
      </c>
      <c r="R32" s="9">
        <f t="shared" si="5"/>
        <v>0</v>
      </c>
      <c r="S32" s="105">
        <f>33*S7</f>
        <v>8250</v>
      </c>
      <c r="T32" s="9">
        <f t="shared" si="6"/>
        <v>15.770350059717058</v>
      </c>
      <c r="U32" s="9">
        <f t="shared" si="43"/>
        <v>21750</v>
      </c>
      <c r="V32" s="9">
        <f t="shared" si="7"/>
        <v>1.8000627942595104</v>
      </c>
      <c r="W32" s="105">
        <v>0</v>
      </c>
      <c r="X32" s="9">
        <f t="shared" si="8"/>
        <v>0</v>
      </c>
      <c r="Y32" s="9">
        <f t="shared" si="44"/>
        <v>0</v>
      </c>
      <c r="Z32" s="9">
        <f t="shared" si="9"/>
        <v>0</v>
      </c>
      <c r="AA32" s="105"/>
      <c r="AB32" s="9">
        <f t="shared" si="10"/>
        <v>0</v>
      </c>
      <c r="AC32" s="9">
        <f t="shared" si="45"/>
        <v>98085.938999999998</v>
      </c>
      <c r="AD32" s="9">
        <f t="shared" si="11"/>
        <v>8.117740203857835</v>
      </c>
      <c r="AE32" s="9">
        <f t="shared" si="46"/>
        <v>8250</v>
      </c>
      <c r="AF32" s="9">
        <f t="shared" si="12"/>
        <v>15.770350059717058</v>
      </c>
      <c r="AG32" s="9">
        <f t="shared" si="47"/>
        <v>290145.29324999993</v>
      </c>
      <c r="AH32" s="9">
        <f t="shared" si="13"/>
        <v>24.012861945234025</v>
      </c>
      <c r="AI32" s="105">
        <f>88*AI7</f>
        <v>22126.631999999998</v>
      </c>
      <c r="AJ32" s="9">
        <f t="shared" si="14"/>
        <v>42.296331185762106</v>
      </c>
      <c r="AK32" s="9">
        <f t="shared" si="48"/>
        <v>442532.64</v>
      </c>
      <c r="AL32" s="9">
        <f t="shared" si="15"/>
        <v>36.624668529169568</v>
      </c>
      <c r="AM32" s="105"/>
      <c r="AN32" s="9">
        <f t="shared" si="16"/>
        <v>0</v>
      </c>
      <c r="AO32" s="9">
        <f t="shared" si="49"/>
        <v>0</v>
      </c>
      <c r="AP32" s="9">
        <f t="shared" si="17"/>
        <v>0</v>
      </c>
      <c r="AQ32" s="105"/>
      <c r="AR32" s="9">
        <f t="shared" si="18"/>
        <v>0</v>
      </c>
      <c r="AS32" s="9">
        <f t="shared" si="50"/>
        <v>0</v>
      </c>
      <c r="AT32" s="9">
        <f t="shared" si="19"/>
        <v>0</v>
      </c>
      <c r="AU32" s="105"/>
      <c r="AV32" s="9">
        <f t="shared" si="20"/>
        <v>0</v>
      </c>
      <c r="AW32" s="9">
        <f t="shared" si="51"/>
        <v>0</v>
      </c>
      <c r="AX32" s="9">
        <f t="shared" si="21"/>
        <v>0</v>
      </c>
      <c r="AY32" s="105"/>
      <c r="AZ32" s="9">
        <f t="shared" si="22"/>
        <v>0</v>
      </c>
      <c r="BA32" s="9">
        <f t="shared" si="52"/>
        <v>0</v>
      </c>
      <c r="BB32" s="9">
        <f t="shared" si="23"/>
        <v>0</v>
      </c>
      <c r="BC32" s="9">
        <f t="shared" si="53"/>
        <v>22126.631999999998</v>
      </c>
      <c r="BD32" s="9">
        <f t="shared" si="24"/>
        <v>42.296331185762106</v>
      </c>
      <c r="BE32" s="9">
        <f t="shared" si="54"/>
        <v>442532.64</v>
      </c>
      <c r="BF32" s="9">
        <f t="shared" si="25"/>
        <v>36.624668529169568</v>
      </c>
      <c r="BG32" s="105">
        <f>88*BG7</f>
        <v>21936.727999999999</v>
      </c>
      <c r="BH32" s="9">
        <f t="shared" si="62"/>
        <v>41.933318754520833</v>
      </c>
      <c r="BI32" s="9">
        <f t="shared" si="63"/>
        <v>474631.02399999992</v>
      </c>
      <c r="BJ32" s="9">
        <f t="shared" si="64"/>
        <v>39.281179186376676</v>
      </c>
      <c r="BK32" s="105"/>
      <c r="BL32" s="9">
        <f t="shared" si="28"/>
        <v>0</v>
      </c>
      <c r="BM32" s="9">
        <f t="shared" si="56"/>
        <v>982.22400000000005</v>
      </c>
      <c r="BN32" s="9">
        <f t="shared" si="29"/>
        <v>8.1290339219712807E-2</v>
      </c>
      <c r="BO32" s="105"/>
      <c r="BP32" s="14">
        <f t="shared" si="30"/>
        <v>0</v>
      </c>
      <c r="BQ32" s="9">
        <f t="shared" si="57"/>
        <v>0</v>
      </c>
      <c r="BR32" s="9">
        <f t="shared" si="31"/>
        <v>0</v>
      </c>
      <c r="BS32" s="9">
        <f t="shared" si="58"/>
        <v>21936.727999999999</v>
      </c>
      <c r="BT32" s="9">
        <f t="shared" si="32"/>
        <v>41.933318754520833</v>
      </c>
      <c r="BU32" s="9">
        <f t="shared" si="59"/>
        <v>475613.24799999996</v>
      </c>
      <c r="BV32" s="9">
        <f t="shared" si="33"/>
        <v>39.362469525596396</v>
      </c>
      <c r="BW32" s="105"/>
      <c r="BX32" s="9">
        <f t="shared" si="34"/>
        <v>0</v>
      </c>
      <c r="BY32" s="9">
        <f t="shared" si="60"/>
        <v>0</v>
      </c>
      <c r="BZ32" s="9">
        <f t="shared" si="35"/>
        <v>0</v>
      </c>
      <c r="CA32" s="9">
        <f t="shared" si="36"/>
        <v>52313.36</v>
      </c>
      <c r="CB32" s="9">
        <f t="shared" si="61"/>
        <v>1208291.1812500001</v>
      </c>
      <c r="CC32" s="9">
        <f t="shared" si="37"/>
        <v>1.0165829770695687</v>
      </c>
      <c r="CD32" s="9">
        <f t="shared" si="38"/>
        <v>1.0004133006759444</v>
      </c>
    </row>
    <row r="33" spans="1:82">
      <c r="A33" s="15">
        <f>+Chem!A32</f>
        <v>45985</v>
      </c>
      <c r="B33" s="5" t="str">
        <f>+Chem!B32</f>
        <v>Facial</v>
      </c>
      <c r="C33" s="15" t="str">
        <f>+Chem!C32</f>
        <v>13/10,3</v>
      </c>
      <c r="D33" s="7">
        <f>+Chem!D32</f>
        <v>56.805999999999997</v>
      </c>
      <c r="E33" s="6">
        <f>+Chem!E32</f>
        <v>55.963999999999999</v>
      </c>
      <c r="F33" s="6">
        <f t="shared" si="39"/>
        <v>1263.7559999999999</v>
      </c>
      <c r="G33" s="105"/>
      <c r="H33" s="9">
        <f t="shared" si="0"/>
        <v>0</v>
      </c>
      <c r="I33" s="7">
        <f t="shared" si="40"/>
        <v>0</v>
      </c>
      <c r="J33" s="9">
        <f t="shared" si="1"/>
        <v>0</v>
      </c>
      <c r="K33" s="105"/>
      <c r="L33" s="9">
        <f t="shared" si="2"/>
        <v>0</v>
      </c>
      <c r="M33" s="9">
        <f t="shared" si="41"/>
        <v>170309.35424999997</v>
      </c>
      <c r="N33" s="9">
        <f t="shared" si="3"/>
        <v>13.459356523336316</v>
      </c>
      <c r="O33" s="105"/>
      <c r="P33" s="9">
        <f t="shared" si="4"/>
        <v>0</v>
      </c>
      <c r="Q33" s="9">
        <f t="shared" si="42"/>
        <v>0</v>
      </c>
      <c r="R33" s="9">
        <f t="shared" si="5"/>
        <v>0</v>
      </c>
      <c r="S33" s="105">
        <f>36*S7</f>
        <v>9000</v>
      </c>
      <c r="T33" s="9">
        <f t="shared" si="6"/>
        <v>15.770350059717058</v>
      </c>
      <c r="U33" s="9">
        <f t="shared" si="43"/>
        <v>30750</v>
      </c>
      <c r="V33" s="9">
        <f t="shared" si="7"/>
        <v>2.4301378800665132</v>
      </c>
      <c r="W33" s="105">
        <v>0</v>
      </c>
      <c r="X33" s="9">
        <f t="shared" si="8"/>
        <v>0</v>
      </c>
      <c r="Y33" s="9">
        <f t="shared" si="44"/>
        <v>0</v>
      </c>
      <c r="Z33" s="9">
        <f t="shared" si="9"/>
        <v>0</v>
      </c>
      <c r="AA33" s="105"/>
      <c r="AB33" s="9">
        <f t="shared" si="10"/>
        <v>0</v>
      </c>
      <c r="AC33" s="9">
        <f t="shared" si="45"/>
        <v>98085.938999999998</v>
      </c>
      <c r="AD33" s="9">
        <f t="shared" si="11"/>
        <v>7.7516213289688887</v>
      </c>
      <c r="AE33" s="9">
        <f t="shared" si="46"/>
        <v>9000</v>
      </c>
      <c r="AF33" s="9">
        <f t="shared" si="12"/>
        <v>15.770350059717058</v>
      </c>
      <c r="AG33" s="9">
        <f t="shared" si="47"/>
        <v>299145.29324999993</v>
      </c>
      <c r="AH33" s="9">
        <f t="shared" si="13"/>
        <v>23.641115732371716</v>
      </c>
      <c r="AI33" s="105">
        <f>96*AI7</f>
        <v>24138.144</v>
      </c>
      <c r="AJ33" s="9">
        <f t="shared" si="14"/>
        <v>42.296331185762106</v>
      </c>
      <c r="AK33" s="9">
        <f t="shared" si="48"/>
        <v>466670.78399999999</v>
      </c>
      <c r="AL33" s="9">
        <f t="shared" si="15"/>
        <v>36.880466657519925</v>
      </c>
      <c r="AM33" s="105"/>
      <c r="AN33" s="9">
        <f t="shared" si="16"/>
        <v>0</v>
      </c>
      <c r="AO33" s="9">
        <f t="shared" si="49"/>
        <v>0</v>
      </c>
      <c r="AP33" s="9">
        <f t="shared" si="17"/>
        <v>0</v>
      </c>
      <c r="AQ33" s="105"/>
      <c r="AR33" s="9">
        <f t="shared" si="18"/>
        <v>0</v>
      </c>
      <c r="AS33" s="9">
        <f>AQ33+AS32</f>
        <v>0</v>
      </c>
      <c r="AT33" s="9">
        <f t="shared" si="19"/>
        <v>0</v>
      </c>
      <c r="AU33" s="105"/>
      <c r="AV33" s="9">
        <f t="shared" si="20"/>
        <v>0</v>
      </c>
      <c r="AW33" s="9">
        <f t="shared" si="51"/>
        <v>0</v>
      </c>
      <c r="AX33" s="9">
        <f t="shared" si="21"/>
        <v>0</v>
      </c>
      <c r="AY33" s="105"/>
      <c r="AZ33" s="9">
        <f t="shared" si="22"/>
        <v>0</v>
      </c>
      <c r="BA33" s="9">
        <f t="shared" si="52"/>
        <v>0</v>
      </c>
      <c r="BB33" s="9">
        <f t="shared" si="23"/>
        <v>0</v>
      </c>
      <c r="BC33" s="9">
        <f t="shared" si="53"/>
        <v>24138.144</v>
      </c>
      <c r="BD33" s="9">
        <f t="shared" si="24"/>
        <v>42.296331185762106</v>
      </c>
      <c r="BE33" s="9">
        <f t="shared" si="54"/>
        <v>466670.78399999999</v>
      </c>
      <c r="BF33" s="9">
        <f t="shared" si="25"/>
        <v>36.880466657519925</v>
      </c>
      <c r="BG33" s="105">
        <f>96*BG7</f>
        <v>23930.976000000002</v>
      </c>
      <c r="BH33" s="9">
        <f t="shared" si="62"/>
        <v>41.93331875452084</v>
      </c>
      <c r="BI33" s="9">
        <f t="shared" si="63"/>
        <v>498561.99999999994</v>
      </c>
      <c r="BJ33" s="9">
        <f t="shared" si="64"/>
        <v>39.400793553226691</v>
      </c>
      <c r="BK33" s="105"/>
      <c r="BL33" s="9">
        <f t="shared" si="28"/>
        <v>0</v>
      </c>
      <c r="BM33" s="9">
        <f t="shared" si="56"/>
        <v>982.22400000000005</v>
      </c>
      <c r="BN33" s="9">
        <f t="shared" si="29"/>
        <v>7.7624056881640688E-2</v>
      </c>
      <c r="BO33" s="105"/>
      <c r="BP33" s="14">
        <f t="shared" si="30"/>
        <v>0</v>
      </c>
      <c r="BQ33" s="9">
        <f t="shared" si="57"/>
        <v>0</v>
      </c>
      <c r="BR33" s="9">
        <f t="shared" si="31"/>
        <v>0</v>
      </c>
      <c r="BS33" s="9">
        <f t="shared" si="58"/>
        <v>23930.976000000002</v>
      </c>
      <c r="BT33" s="9">
        <f t="shared" si="32"/>
        <v>41.93331875452084</v>
      </c>
      <c r="BU33" s="9">
        <f t="shared" si="59"/>
        <v>499544.22399999999</v>
      </c>
      <c r="BV33" s="9">
        <f t="shared" si="33"/>
        <v>39.478417610108337</v>
      </c>
      <c r="BW33" s="105"/>
      <c r="BX33" s="9">
        <f t="shared" si="34"/>
        <v>0</v>
      </c>
      <c r="BY33" s="9">
        <f t="shared" si="60"/>
        <v>0</v>
      </c>
      <c r="BZ33" s="9">
        <f t="shared" si="35"/>
        <v>0</v>
      </c>
      <c r="CA33" s="9">
        <f t="shared" si="36"/>
        <v>57069.120000000003</v>
      </c>
      <c r="CB33" s="9">
        <f t="shared" si="61"/>
        <v>1265360.3012500003</v>
      </c>
      <c r="CC33" s="9">
        <f t="shared" si="37"/>
        <v>1.0197469802015582</v>
      </c>
      <c r="CD33" s="9">
        <f t="shared" si="38"/>
        <v>1.001269470728527</v>
      </c>
    </row>
    <row r="34" spans="1:82">
      <c r="A34" s="15">
        <f>+Chem!A33</f>
        <v>45986</v>
      </c>
      <c r="B34" s="5" t="str">
        <f>+Chem!B33</f>
        <v>Facial</v>
      </c>
      <c r="C34" s="15" t="str">
        <f>+Chem!C33</f>
        <v>10,3</v>
      </c>
      <c r="D34" s="7">
        <f>+Chem!D33</f>
        <v>51.827000000000005</v>
      </c>
      <c r="E34" s="6">
        <f>+Chem!E33</f>
        <v>53.747</v>
      </c>
      <c r="F34" s="6">
        <f t="shared" si="39"/>
        <v>1317.5029999999999</v>
      </c>
      <c r="G34" s="105"/>
      <c r="H34" s="9">
        <f t="shared" si="0"/>
        <v>0</v>
      </c>
      <c r="I34" s="7">
        <f t="shared" si="40"/>
        <v>0</v>
      </c>
      <c r="J34" s="9">
        <f t="shared" si="1"/>
        <v>0</v>
      </c>
      <c r="K34" s="105"/>
      <c r="L34" s="9">
        <f t="shared" si="2"/>
        <v>0</v>
      </c>
      <c r="M34" s="9">
        <f t="shared" si="41"/>
        <v>170309.35424999997</v>
      </c>
      <c r="N34" s="9">
        <f t="shared" si="3"/>
        <v>12.93322210211357</v>
      </c>
      <c r="O34" s="105"/>
      <c r="P34" s="9">
        <f t="shared" si="4"/>
        <v>0</v>
      </c>
      <c r="Q34" s="9">
        <f t="shared" si="42"/>
        <v>0</v>
      </c>
      <c r="R34" s="9">
        <f t="shared" si="5"/>
        <v>0</v>
      </c>
      <c r="S34" s="105"/>
      <c r="T34" s="9">
        <f t="shared" si="6"/>
        <v>0</v>
      </c>
      <c r="U34" s="9">
        <f t="shared" si="43"/>
        <v>30750</v>
      </c>
      <c r="V34" s="9">
        <f t="shared" si="7"/>
        <v>2.3351423143570069</v>
      </c>
      <c r="W34" s="105">
        <f>33*W7</f>
        <v>8250</v>
      </c>
      <c r="X34" s="9">
        <f t="shared" si="8"/>
        <v>16.026908732951835</v>
      </c>
      <c r="Y34" s="9">
        <f t="shared" si="44"/>
        <v>8250</v>
      </c>
      <c r="Z34" s="9">
        <f t="shared" si="9"/>
        <v>0.62650159653480675</v>
      </c>
      <c r="AA34" s="105"/>
      <c r="AB34" s="9">
        <f t="shared" si="10"/>
        <v>0</v>
      </c>
      <c r="AC34" s="9">
        <f t="shared" si="45"/>
        <v>98085.938999999998</v>
      </c>
      <c r="AD34" s="9">
        <f t="shared" si="11"/>
        <v>7.4486057431655359</v>
      </c>
      <c r="AE34" s="9">
        <f t="shared" si="46"/>
        <v>8250</v>
      </c>
      <c r="AF34" s="9">
        <f t="shared" si="12"/>
        <v>16.026908732951835</v>
      </c>
      <c r="AG34" s="9">
        <f t="shared" si="47"/>
        <v>307395.29324999993</v>
      </c>
      <c r="AH34" s="9">
        <f t="shared" si="13"/>
        <v>23.343471756170917</v>
      </c>
      <c r="AI34" s="105">
        <f>162*AI7</f>
        <v>40733.118000000002</v>
      </c>
      <c r="AJ34" s="9">
        <f t="shared" si="14"/>
        <v>79.130419950855483</v>
      </c>
      <c r="AK34" s="9">
        <f t="shared" si="48"/>
        <v>507403.902</v>
      </c>
      <c r="AL34" s="9">
        <f t="shared" si="15"/>
        <v>38.532042992847352</v>
      </c>
      <c r="AM34" s="105"/>
      <c r="AN34" s="9">
        <f t="shared" si="16"/>
        <v>0</v>
      </c>
      <c r="AO34" s="9">
        <f t="shared" si="49"/>
        <v>0</v>
      </c>
      <c r="AP34" s="9">
        <f t="shared" si="17"/>
        <v>0</v>
      </c>
      <c r="AQ34" s="105"/>
      <c r="AR34" s="9">
        <f t="shared" si="18"/>
        <v>0</v>
      </c>
      <c r="AS34" s="9">
        <f>AQ34+AS33</f>
        <v>0</v>
      </c>
      <c r="AT34" s="9">
        <f t="shared" si="19"/>
        <v>0</v>
      </c>
      <c r="AU34" s="105"/>
      <c r="AV34" s="9">
        <f t="shared" si="20"/>
        <v>0</v>
      </c>
      <c r="AW34" s="9">
        <f t="shared" si="51"/>
        <v>0</v>
      </c>
      <c r="AX34" s="9">
        <f t="shared" si="21"/>
        <v>0</v>
      </c>
      <c r="AY34" s="105"/>
      <c r="AZ34" s="9">
        <f t="shared" si="22"/>
        <v>0</v>
      </c>
      <c r="BA34" s="9">
        <f t="shared" si="52"/>
        <v>0</v>
      </c>
      <c r="BB34" s="9">
        <f t="shared" si="23"/>
        <v>0</v>
      </c>
      <c r="BC34" s="9">
        <f t="shared" si="53"/>
        <v>40733.118000000002</v>
      </c>
      <c r="BD34" s="9">
        <f t="shared" si="24"/>
        <v>79.130419950855483</v>
      </c>
      <c r="BE34" s="9">
        <f t="shared" si="54"/>
        <v>507403.902</v>
      </c>
      <c r="BF34" s="9">
        <f t="shared" si="25"/>
        <v>38.532042992847352</v>
      </c>
      <c r="BG34" s="105">
        <f>10*BG7</f>
        <v>2492.81</v>
      </c>
      <c r="BH34" s="9">
        <f t="shared" si="62"/>
        <v>4.8426713161926873</v>
      </c>
      <c r="BI34" s="9">
        <f t="shared" si="63"/>
        <v>501054.80999999994</v>
      </c>
      <c r="BJ34" s="9">
        <f t="shared" si="64"/>
        <v>38.049895565629605</v>
      </c>
      <c r="BK34" s="105"/>
      <c r="BL34" s="9">
        <f t="shared" si="28"/>
        <v>0</v>
      </c>
      <c r="BM34" s="9">
        <f t="shared" si="56"/>
        <v>982.22400000000005</v>
      </c>
      <c r="BN34" s="9">
        <f t="shared" si="29"/>
        <v>7.4589685352097465E-2</v>
      </c>
      <c r="BO34" s="105"/>
      <c r="BP34" s="14">
        <f t="shared" si="30"/>
        <v>0</v>
      </c>
      <c r="BQ34" s="9">
        <f t="shared" si="57"/>
        <v>0</v>
      </c>
      <c r="BR34" s="9">
        <f t="shared" si="31"/>
        <v>0</v>
      </c>
      <c r="BS34" s="9">
        <f t="shared" si="58"/>
        <v>2492.81</v>
      </c>
      <c r="BT34" s="9">
        <f t="shared" si="32"/>
        <v>4.8426713161926873</v>
      </c>
      <c r="BU34" s="9">
        <f t="shared" si="59"/>
        <v>502037.03399999999</v>
      </c>
      <c r="BV34" s="9">
        <f t="shared" si="33"/>
        <v>38.124485250981706</v>
      </c>
      <c r="BW34" s="105"/>
      <c r="BX34" s="9">
        <f t="shared" si="34"/>
        <v>0</v>
      </c>
      <c r="BY34" s="9">
        <f t="shared" si="60"/>
        <v>0</v>
      </c>
      <c r="BZ34" s="9">
        <f t="shared" si="35"/>
        <v>0</v>
      </c>
      <c r="CA34" s="9">
        <f t="shared" si="36"/>
        <v>51475.928</v>
      </c>
      <c r="CB34" s="9">
        <f t="shared" si="61"/>
        <v>1316836.2292500003</v>
      </c>
      <c r="CC34" s="9">
        <f t="shared" si="37"/>
        <v>0.95774513926358684</v>
      </c>
      <c r="CD34" s="9">
        <f t="shared" si="38"/>
        <v>0.99949391329659243</v>
      </c>
    </row>
    <row r="35" spans="1:82">
      <c r="A35" s="15">
        <f>+Chem!A34</f>
        <v>45987</v>
      </c>
      <c r="B35" s="5" t="str">
        <f>+Chem!B34</f>
        <v>Facial</v>
      </c>
      <c r="C35" s="15" t="str">
        <f>+Chem!C34</f>
        <v>10,3</v>
      </c>
      <c r="D35" s="7">
        <f>+Chem!D34</f>
        <v>56.914000000000001</v>
      </c>
      <c r="E35" s="6">
        <f>+Chem!E34</f>
        <v>51.795999999999999</v>
      </c>
      <c r="F35" s="6">
        <f t="shared" si="39"/>
        <v>1369.299</v>
      </c>
      <c r="G35" s="105"/>
      <c r="H35" s="9">
        <f t="shared" si="0"/>
        <v>0</v>
      </c>
      <c r="I35" s="7">
        <f t="shared" si="40"/>
        <v>0</v>
      </c>
      <c r="J35" s="9">
        <f t="shared" si="1"/>
        <v>0</v>
      </c>
      <c r="K35" s="105"/>
      <c r="L35" s="9">
        <f t="shared" si="2"/>
        <v>0</v>
      </c>
      <c r="M35" s="9">
        <f t="shared" si="41"/>
        <v>170309.35424999997</v>
      </c>
      <c r="N35" s="9">
        <f t="shared" si="3"/>
        <v>12.424677203983482</v>
      </c>
      <c r="O35" s="105"/>
      <c r="P35" s="9">
        <f t="shared" si="4"/>
        <v>0</v>
      </c>
      <c r="Q35" s="9">
        <f t="shared" si="42"/>
        <v>0</v>
      </c>
      <c r="R35" s="9">
        <f t="shared" si="5"/>
        <v>0</v>
      </c>
      <c r="S35" s="105"/>
      <c r="T35" s="9">
        <f t="shared" si="6"/>
        <v>0</v>
      </c>
      <c r="U35" s="9">
        <f t="shared" si="43"/>
        <v>30750</v>
      </c>
      <c r="V35" s="9">
        <f t="shared" si="7"/>
        <v>2.2433226037699692</v>
      </c>
      <c r="W35" s="105">
        <f>24.5*W7</f>
        <v>6125</v>
      </c>
      <c r="X35" s="9">
        <f t="shared" si="8"/>
        <v>11.363971590256559</v>
      </c>
      <c r="Y35" s="9">
        <f t="shared" si="44"/>
        <v>14375</v>
      </c>
      <c r="Z35" s="9">
        <f t="shared" si="9"/>
        <v>1.048707721274579</v>
      </c>
      <c r="AA35" s="105"/>
      <c r="AB35" s="9">
        <f t="shared" si="10"/>
        <v>0</v>
      </c>
      <c r="AC35" s="9">
        <f t="shared" si="45"/>
        <v>98085.938999999998</v>
      </c>
      <c r="AD35" s="9">
        <f t="shared" si="11"/>
        <v>7.1557204575838167</v>
      </c>
      <c r="AE35" s="9">
        <f t="shared" si="46"/>
        <v>6125</v>
      </c>
      <c r="AF35" s="9">
        <f t="shared" si="12"/>
        <v>11.363971590256559</v>
      </c>
      <c r="AG35" s="9">
        <f t="shared" si="47"/>
        <v>313520.29324999993</v>
      </c>
      <c r="AH35" s="9">
        <f t="shared" si="13"/>
        <v>22.872427986611843</v>
      </c>
      <c r="AI35" s="105">
        <f>190*AI7</f>
        <v>47773.409999999996</v>
      </c>
      <c r="AJ35" s="9">
        <f t="shared" si="14"/>
        <v>88.636028409743446</v>
      </c>
      <c r="AK35" s="9">
        <f t="shared" si="48"/>
        <v>555177.31200000003</v>
      </c>
      <c r="AL35" s="9">
        <f t="shared" si="15"/>
        <v>40.502172784060249</v>
      </c>
      <c r="AM35" s="105"/>
      <c r="AN35" s="9">
        <f t="shared" si="16"/>
        <v>0</v>
      </c>
      <c r="AO35" s="9">
        <f t="shared" si="49"/>
        <v>0</v>
      </c>
      <c r="AP35" s="9">
        <f t="shared" si="17"/>
        <v>0</v>
      </c>
      <c r="AQ35" s="105"/>
      <c r="AR35" s="9">
        <f t="shared" si="18"/>
        <v>0</v>
      </c>
      <c r="AS35" s="9">
        <f>AQ35+AS34</f>
        <v>0</v>
      </c>
      <c r="AT35" s="9">
        <f t="shared" si="19"/>
        <v>0</v>
      </c>
      <c r="AU35" s="105"/>
      <c r="AV35" s="9">
        <f t="shared" si="20"/>
        <v>0</v>
      </c>
      <c r="AW35" s="9">
        <f t="shared" si="51"/>
        <v>0</v>
      </c>
      <c r="AX35" s="9">
        <f t="shared" si="21"/>
        <v>0</v>
      </c>
      <c r="AY35" s="105"/>
      <c r="AZ35" s="9">
        <f t="shared" si="22"/>
        <v>0</v>
      </c>
      <c r="BA35" s="9">
        <f t="shared" si="52"/>
        <v>0</v>
      </c>
      <c r="BB35" s="9">
        <f t="shared" si="23"/>
        <v>0</v>
      </c>
      <c r="BC35" s="9">
        <f t="shared" si="53"/>
        <v>47773.409999999996</v>
      </c>
      <c r="BD35" s="9">
        <f t="shared" si="24"/>
        <v>88.636028409743446</v>
      </c>
      <c r="BE35" s="9">
        <f t="shared" si="54"/>
        <v>555177.31200000003</v>
      </c>
      <c r="BF35" s="9">
        <f t="shared" si="25"/>
        <v>40.502172784060249</v>
      </c>
      <c r="BG35" s="105">
        <v>0</v>
      </c>
      <c r="BH35" s="9">
        <f t="shared" si="62"/>
        <v>0</v>
      </c>
      <c r="BI35" s="9">
        <f t="shared" si="63"/>
        <v>501054.80999999994</v>
      </c>
      <c r="BJ35" s="9">
        <f t="shared" si="64"/>
        <v>36.553742471566409</v>
      </c>
      <c r="BK35" s="105"/>
      <c r="BL35" s="9">
        <f t="shared" si="28"/>
        <v>0</v>
      </c>
      <c r="BM35" s="9">
        <f t="shared" si="56"/>
        <v>982.22400000000005</v>
      </c>
      <c r="BN35" s="9">
        <f t="shared" si="29"/>
        <v>7.165675776147494E-2</v>
      </c>
      <c r="BO35" s="105"/>
      <c r="BP35" s="14">
        <f t="shared" si="30"/>
        <v>0</v>
      </c>
      <c r="BQ35" s="9">
        <f t="shared" si="57"/>
        <v>0</v>
      </c>
      <c r="BR35" s="9">
        <f t="shared" si="31"/>
        <v>0</v>
      </c>
      <c r="BS35" s="9">
        <f t="shared" si="58"/>
        <v>0</v>
      </c>
      <c r="BT35" s="9">
        <f t="shared" si="32"/>
        <v>0</v>
      </c>
      <c r="BU35" s="9">
        <f t="shared" si="59"/>
        <v>502037.03399999999</v>
      </c>
      <c r="BV35" s="9">
        <f t="shared" si="33"/>
        <v>36.62539922932789</v>
      </c>
      <c r="BW35" s="105"/>
      <c r="BX35" s="9">
        <f t="shared" si="34"/>
        <v>0</v>
      </c>
      <c r="BY35" s="9">
        <f t="shared" si="60"/>
        <v>0</v>
      </c>
      <c r="BZ35" s="9">
        <f t="shared" si="35"/>
        <v>0</v>
      </c>
      <c r="CA35" s="9">
        <f t="shared" si="36"/>
        <v>53898.409999999996</v>
      </c>
      <c r="CB35" s="9">
        <f t="shared" si="61"/>
        <v>1370734.6392500002</v>
      </c>
      <c r="CC35" s="9">
        <f t="shared" si="37"/>
        <v>1.0405902000154452</v>
      </c>
      <c r="CD35" s="9">
        <f t="shared" si="38"/>
        <v>1.0010484483301312</v>
      </c>
    </row>
    <row r="36" spans="1:82">
      <c r="A36" s="15">
        <f>+Chem!A35</f>
        <v>45988</v>
      </c>
      <c r="B36" s="5" t="str">
        <f>+Chem!B35</f>
        <v>Facial</v>
      </c>
      <c r="C36" s="15" t="str">
        <f>+Chem!C35</f>
        <v>10,3/12</v>
      </c>
      <c r="D36" s="7">
        <f>+Chem!D35</f>
        <v>54.878999999999998</v>
      </c>
      <c r="E36" s="6">
        <f>+Chem!E35</f>
        <v>60.527000000000001</v>
      </c>
      <c r="F36" s="6">
        <f t="shared" si="39"/>
        <v>1429.826</v>
      </c>
      <c r="G36" s="105"/>
      <c r="H36" s="9">
        <f t="shared" si="0"/>
        <v>0</v>
      </c>
      <c r="I36" s="7">
        <f t="shared" si="40"/>
        <v>0</v>
      </c>
      <c r="J36" s="9">
        <f t="shared" si="1"/>
        <v>0</v>
      </c>
      <c r="K36" s="105"/>
      <c r="L36" s="9">
        <f t="shared" si="2"/>
        <v>0</v>
      </c>
      <c r="M36" s="9">
        <f t="shared" si="41"/>
        <v>170309.35424999997</v>
      </c>
      <c r="N36" s="9">
        <f t="shared" si="3"/>
        <v>11.997592099284919</v>
      </c>
      <c r="O36" s="105"/>
      <c r="P36" s="9">
        <f t="shared" si="4"/>
        <v>0</v>
      </c>
      <c r="Q36" s="9">
        <f t="shared" si="42"/>
        <v>0</v>
      </c>
      <c r="R36" s="9">
        <f t="shared" si="5"/>
        <v>0</v>
      </c>
      <c r="S36" s="105"/>
      <c r="T36" s="9">
        <f t="shared" si="6"/>
        <v>0</v>
      </c>
      <c r="U36" s="9">
        <f t="shared" si="43"/>
        <v>30750</v>
      </c>
      <c r="V36" s="9">
        <f t="shared" si="7"/>
        <v>2.1662107679150648</v>
      </c>
      <c r="W36" s="105">
        <f>22.5*W7</f>
        <v>5625</v>
      </c>
      <c r="X36" s="9">
        <f t="shared" si="8"/>
        <v>11.52786299857239</v>
      </c>
      <c r="Y36" s="9">
        <f t="shared" si="44"/>
        <v>20000</v>
      </c>
      <c r="Z36" s="9">
        <f t="shared" si="9"/>
        <v>1.4089175726276846</v>
      </c>
      <c r="AA36" s="105"/>
      <c r="AB36" s="9">
        <f t="shared" si="10"/>
        <v>0</v>
      </c>
      <c r="AC36" s="9">
        <f t="shared" si="45"/>
        <v>98085.938999999998</v>
      </c>
      <c r="AD36" s="9">
        <f t="shared" si="11"/>
        <v>6.9097501542393562</v>
      </c>
      <c r="AE36" s="9">
        <f t="shared" si="46"/>
        <v>5625</v>
      </c>
      <c r="AF36" s="9">
        <f t="shared" si="12"/>
        <v>11.52786299857239</v>
      </c>
      <c r="AG36" s="9">
        <f t="shared" si="47"/>
        <v>319145.29324999993</v>
      </c>
      <c r="AH36" s="9">
        <f t="shared" si="13"/>
        <v>22.482470594067021</v>
      </c>
      <c r="AI36" s="105">
        <f>136*AI7</f>
        <v>34195.703999999998</v>
      </c>
      <c r="AJ36" s="9">
        <f t="shared" si="14"/>
        <v>70.080602818086007</v>
      </c>
      <c r="AK36" s="9">
        <f t="shared" si="48"/>
        <v>589373.01600000006</v>
      </c>
      <c r="AL36" s="9">
        <f t="shared" si="15"/>
        <v>41.518899953748878</v>
      </c>
      <c r="AM36" s="105"/>
      <c r="AN36" s="9">
        <f t="shared" si="16"/>
        <v>0</v>
      </c>
      <c r="AO36" s="9">
        <f t="shared" si="49"/>
        <v>0</v>
      </c>
      <c r="AP36" s="9">
        <f t="shared" si="17"/>
        <v>0</v>
      </c>
      <c r="AQ36" s="105"/>
      <c r="AR36" s="9">
        <f t="shared" si="18"/>
        <v>0</v>
      </c>
      <c r="AS36" s="9">
        <f t="shared" si="50"/>
        <v>0</v>
      </c>
      <c r="AT36" s="9">
        <f t="shared" si="19"/>
        <v>0</v>
      </c>
      <c r="AU36" s="105"/>
      <c r="AV36" s="9">
        <f t="shared" si="20"/>
        <v>0</v>
      </c>
      <c r="AW36" s="9">
        <f t="shared" si="51"/>
        <v>0</v>
      </c>
      <c r="AX36" s="9">
        <f t="shared" si="21"/>
        <v>0</v>
      </c>
      <c r="AY36" s="105"/>
      <c r="AZ36" s="9">
        <f t="shared" si="22"/>
        <v>0</v>
      </c>
      <c r="BA36" s="9">
        <f t="shared" si="52"/>
        <v>0</v>
      </c>
      <c r="BB36" s="9">
        <f t="shared" si="23"/>
        <v>0</v>
      </c>
      <c r="BC36" s="9">
        <f t="shared" si="53"/>
        <v>34195.703999999998</v>
      </c>
      <c r="BD36" s="9">
        <f t="shared" si="24"/>
        <v>70.080602818086007</v>
      </c>
      <c r="BE36" s="9">
        <f t="shared" si="54"/>
        <v>589373.01600000006</v>
      </c>
      <c r="BF36" s="9">
        <f t="shared" si="25"/>
        <v>41.518899953748878</v>
      </c>
      <c r="BG36" s="105">
        <f>36*BG7</f>
        <v>8974.116</v>
      </c>
      <c r="BH36" s="9">
        <f t="shared" si="62"/>
        <v>18.391534183341594</v>
      </c>
      <c r="BI36" s="9">
        <f t="shared" si="63"/>
        <v>510028.92599999992</v>
      </c>
      <c r="BJ36" s="9">
        <f t="shared" si="64"/>
        <v>35.929435819491239</v>
      </c>
      <c r="BK36" s="105"/>
      <c r="BL36" s="9">
        <f t="shared" si="28"/>
        <v>0</v>
      </c>
      <c r="BM36" s="9">
        <f t="shared" si="56"/>
        <v>982.22400000000005</v>
      </c>
      <c r="BN36" s="9">
        <f t="shared" si="29"/>
        <v>6.9193632692832741E-2</v>
      </c>
      <c r="BO36" s="105"/>
      <c r="BP36" s="14">
        <f t="shared" si="30"/>
        <v>0</v>
      </c>
      <c r="BQ36" s="9">
        <f t="shared" si="57"/>
        <v>0</v>
      </c>
      <c r="BR36" s="9">
        <f t="shared" si="31"/>
        <v>0</v>
      </c>
      <c r="BS36" s="9">
        <f t="shared" si="58"/>
        <v>8974.116</v>
      </c>
      <c r="BT36" s="9">
        <f t="shared" si="32"/>
        <v>18.391534183341594</v>
      </c>
      <c r="BU36" s="9">
        <f t="shared" si="59"/>
        <v>511011.14999999997</v>
      </c>
      <c r="BV36" s="9">
        <f t="shared" si="33"/>
        <v>35.998629452184076</v>
      </c>
      <c r="BW36" s="105"/>
      <c r="BX36" s="9">
        <f t="shared" si="34"/>
        <v>0</v>
      </c>
      <c r="BY36" s="9">
        <f t="shared" si="60"/>
        <v>0</v>
      </c>
      <c r="BZ36" s="9">
        <f t="shared" si="35"/>
        <v>0</v>
      </c>
      <c r="CA36" s="9">
        <f t="shared" si="36"/>
        <v>48794.82</v>
      </c>
      <c r="CB36" s="9">
        <f t="shared" si="61"/>
        <v>1419529.4592500003</v>
      </c>
      <c r="CC36" s="9">
        <f t="shared" si="37"/>
        <v>0.80616617377368782</v>
      </c>
      <c r="CD36" s="9">
        <f t="shared" si="38"/>
        <v>0.99279874561659975</v>
      </c>
    </row>
    <row r="37" spans="1:82">
      <c r="A37" s="15">
        <f>+Chem!A36</f>
        <v>45989</v>
      </c>
      <c r="B37" s="5" t="str">
        <f>+Chem!B36</f>
        <v>Facial</v>
      </c>
      <c r="C37" s="15" t="str">
        <f>+Chem!C36</f>
        <v>12</v>
      </c>
      <c r="D37" s="7">
        <f>+Chem!D36</f>
        <v>54.030999999999992</v>
      </c>
      <c r="E37" s="6">
        <f>+Chem!E36</f>
        <v>51.81</v>
      </c>
      <c r="F37" s="6">
        <f t="shared" si="39"/>
        <v>1481.636</v>
      </c>
      <c r="G37" s="105"/>
      <c r="H37" s="9">
        <f t="shared" si="0"/>
        <v>0</v>
      </c>
      <c r="I37" s="7">
        <f t="shared" si="40"/>
        <v>0</v>
      </c>
      <c r="J37" s="9">
        <f t="shared" si="1"/>
        <v>0</v>
      </c>
      <c r="K37" s="105"/>
      <c r="L37" s="9">
        <f t="shared" si="2"/>
        <v>0</v>
      </c>
      <c r="M37" s="9">
        <f t="shared" si="41"/>
        <v>170309.35424999997</v>
      </c>
      <c r="N37" s="9">
        <f t="shared" si="3"/>
        <v>11.579031545006425</v>
      </c>
      <c r="O37" s="105"/>
      <c r="P37" s="9">
        <f t="shared" si="4"/>
        <v>0</v>
      </c>
      <c r="Q37" s="9">
        <f t="shared" si="42"/>
        <v>0</v>
      </c>
      <c r="R37" s="9">
        <f t="shared" si="5"/>
        <v>0</v>
      </c>
      <c r="S37" s="105"/>
      <c r="T37" s="9">
        <f t="shared" si="6"/>
        <v>0</v>
      </c>
      <c r="U37" s="9">
        <f t="shared" si="43"/>
        <v>30750</v>
      </c>
      <c r="V37" s="9">
        <f t="shared" si="7"/>
        <v>2.0906380719774678</v>
      </c>
      <c r="W37" s="105">
        <f>23*W7</f>
        <v>5750</v>
      </c>
      <c r="X37" s="9">
        <f t="shared" si="8"/>
        <v>11.205658284483485</v>
      </c>
      <c r="Y37" s="9">
        <f t="shared" si="44"/>
        <v>25750</v>
      </c>
      <c r="Z37" s="9">
        <f t="shared" si="9"/>
        <v>1.7506969220624324</v>
      </c>
      <c r="AA37" s="105"/>
      <c r="AB37" s="9">
        <f t="shared" si="10"/>
        <v>0</v>
      </c>
      <c r="AC37" s="9">
        <f t="shared" si="45"/>
        <v>98085.938999999998</v>
      </c>
      <c r="AD37" s="9">
        <f t="shared" si="11"/>
        <v>6.6686893788312034</v>
      </c>
      <c r="AE37" s="9">
        <f t="shared" si="46"/>
        <v>5750</v>
      </c>
      <c r="AF37" s="9">
        <f t="shared" si="12"/>
        <v>11.205658284483485</v>
      </c>
      <c r="AG37" s="9">
        <f t="shared" si="47"/>
        <v>324895.29324999993</v>
      </c>
      <c r="AH37" s="9">
        <f t="shared" si="13"/>
        <v>22.089055917877527</v>
      </c>
      <c r="AI37" s="105">
        <f>90*AI7</f>
        <v>22629.51</v>
      </c>
      <c r="AJ37" s="9">
        <f t="shared" si="14"/>
        <v>44.100618470487277</v>
      </c>
      <c r="AK37" s="9">
        <f t="shared" si="48"/>
        <v>612002.52600000007</v>
      </c>
      <c r="AL37" s="9">
        <f t="shared" si="15"/>
        <v>41.608968487869276</v>
      </c>
      <c r="AM37" s="105"/>
      <c r="AN37" s="9">
        <f t="shared" si="16"/>
        <v>0</v>
      </c>
      <c r="AO37" s="9">
        <f t="shared" si="49"/>
        <v>0</v>
      </c>
      <c r="AP37" s="9">
        <f t="shared" si="17"/>
        <v>0</v>
      </c>
      <c r="AQ37" s="105"/>
      <c r="AR37" s="9">
        <f t="shared" si="18"/>
        <v>0</v>
      </c>
      <c r="AS37" s="9">
        <f t="shared" si="50"/>
        <v>0</v>
      </c>
      <c r="AT37" s="9">
        <f t="shared" si="19"/>
        <v>0</v>
      </c>
      <c r="AU37" s="105"/>
      <c r="AV37" s="9">
        <f t="shared" si="20"/>
        <v>0</v>
      </c>
      <c r="AW37" s="9">
        <f t="shared" si="51"/>
        <v>0</v>
      </c>
      <c r="AX37" s="9">
        <f t="shared" si="21"/>
        <v>0</v>
      </c>
      <c r="AY37" s="105"/>
      <c r="AZ37" s="9">
        <f t="shared" si="22"/>
        <v>0</v>
      </c>
      <c r="BA37" s="9">
        <f t="shared" si="52"/>
        <v>0</v>
      </c>
      <c r="BB37" s="9">
        <f t="shared" si="23"/>
        <v>0</v>
      </c>
      <c r="BC37" s="9">
        <f t="shared" si="53"/>
        <v>22629.51</v>
      </c>
      <c r="BD37" s="9">
        <f t="shared" si="24"/>
        <v>44.100618470487277</v>
      </c>
      <c r="BE37" s="9">
        <f t="shared" si="54"/>
        <v>612002.52600000007</v>
      </c>
      <c r="BF37" s="9">
        <f t="shared" si="25"/>
        <v>41.608968487869276</v>
      </c>
      <c r="BG37" s="105">
        <f>92*BG7</f>
        <v>22933.851999999999</v>
      </c>
      <c r="BH37" s="9">
        <f t="shared" si="62"/>
        <v>44.69372324502924</v>
      </c>
      <c r="BI37" s="9">
        <f t="shared" si="63"/>
        <v>532962.77799999993</v>
      </c>
      <c r="BJ37" s="9">
        <f t="shared" si="64"/>
        <v>36.235195923046341</v>
      </c>
      <c r="BK37" s="105"/>
      <c r="BL37" s="9">
        <f t="shared" si="28"/>
        <v>0</v>
      </c>
      <c r="BM37" s="9">
        <f t="shared" si="56"/>
        <v>982.22400000000005</v>
      </c>
      <c r="BN37" s="9">
        <f t="shared" si="29"/>
        <v>6.677967120682915E-2</v>
      </c>
      <c r="BO37" s="105"/>
      <c r="BP37" s="14">
        <f t="shared" si="30"/>
        <v>0</v>
      </c>
      <c r="BQ37" s="9">
        <f t="shared" si="57"/>
        <v>0</v>
      </c>
      <c r="BR37" s="9">
        <f t="shared" si="31"/>
        <v>0</v>
      </c>
      <c r="BS37" s="9">
        <f t="shared" si="58"/>
        <v>22933.851999999999</v>
      </c>
      <c r="BT37" s="9">
        <f t="shared" si="32"/>
        <v>44.69372324502924</v>
      </c>
      <c r="BU37" s="9">
        <f t="shared" si="59"/>
        <v>533945.00199999998</v>
      </c>
      <c r="BV37" s="9">
        <f t="shared" si="33"/>
        <v>36.301975594253179</v>
      </c>
      <c r="BW37" s="105"/>
      <c r="BX37" s="9">
        <f t="shared" si="34"/>
        <v>0</v>
      </c>
      <c r="BY37" s="9">
        <f t="shared" si="60"/>
        <v>0</v>
      </c>
      <c r="BZ37" s="9">
        <f t="shared" si="35"/>
        <v>0</v>
      </c>
      <c r="CA37" s="9">
        <f t="shared" si="36"/>
        <v>51313.361999999994</v>
      </c>
      <c r="CB37" s="9">
        <f t="shared" si="61"/>
        <v>1470842.8212500003</v>
      </c>
      <c r="CC37" s="9">
        <f t="shared" si="37"/>
        <v>0.99041424435437153</v>
      </c>
      <c r="CD37" s="9">
        <f t="shared" si="38"/>
        <v>0.99271536413127126</v>
      </c>
    </row>
    <row r="38" spans="1:82">
      <c r="A38" s="15">
        <f>+Chem!A37</f>
        <v>45990</v>
      </c>
      <c r="B38" s="5" t="str">
        <f>+Chem!B37</f>
        <v>Facial</v>
      </c>
      <c r="C38" s="15" t="str">
        <f>+Chem!C37</f>
        <v>12</v>
      </c>
      <c r="D38" s="7">
        <f>+Chem!D37</f>
        <v>53.108000000000004</v>
      </c>
      <c r="E38" s="6">
        <f>+Chem!E37</f>
        <v>55.331000000000003</v>
      </c>
      <c r="F38" s="6">
        <f t="shared" si="39"/>
        <v>1536.9669999999999</v>
      </c>
      <c r="G38" s="105"/>
      <c r="H38" s="9">
        <f t="shared" si="0"/>
        <v>0</v>
      </c>
      <c r="I38" s="7">
        <f t="shared" si="40"/>
        <v>0</v>
      </c>
      <c r="J38" s="9">
        <f t="shared" si="1"/>
        <v>0</v>
      </c>
      <c r="K38" s="105"/>
      <c r="L38" s="9">
        <f t="shared" si="2"/>
        <v>0</v>
      </c>
      <c r="M38" s="9">
        <f t="shared" si="41"/>
        <v>170309.35424999997</v>
      </c>
      <c r="N38" s="9">
        <f t="shared" si="3"/>
        <v>11.169386990577358</v>
      </c>
      <c r="O38" s="105"/>
      <c r="P38" s="9">
        <f t="shared" si="4"/>
        <v>0</v>
      </c>
      <c r="Q38" s="9">
        <f t="shared" si="42"/>
        <v>0</v>
      </c>
      <c r="R38" s="9">
        <f t="shared" si="5"/>
        <v>0</v>
      </c>
      <c r="S38" s="105"/>
      <c r="T38" s="9">
        <f t="shared" si="6"/>
        <v>0</v>
      </c>
      <c r="U38" s="9">
        <f t="shared" si="43"/>
        <v>30750</v>
      </c>
      <c r="V38" s="9">
        <f t="shared" si="7"/>
        <v>2.0166751936366634</v>
      </c>
      <c r="W38" s="105">
        <f>23.5*W7</f>
        <v>5875</v>
      </c>
      <c r="X38" s="9">
        <f t="shared" si="8"/>
        <v>10.890899693979621</v>
      </c>
      <c r="Y38" s="9">
        <f t="shared" si="44"/>
        <v>31625</v>
      </c>
      <c r="Z38" s="9">
        <f t="shared" si="9"/>
        <v>2.0740602601222591</v>
      </c>
      <c r="AA38" s="105"/>
      <c r="AB38" s="9">
        <f t="shared" si="10"/>
        <v>0</v>
      </c>
      <c r="AC38" s="9">
        <f t="shared" si="45"/>
        <v>98085.938999999998</v>
      </c>
      <c r="AD38" s="9">
        <f t="shared" si="11"/>
        <v>6.4327635780767141</v>
      </c>
      <c r="AE38" s="9">
        <f t="shared" si="46"/>
        <v>5875</v>
      </c>
      <c r="AF38" s="9">
        <f t="shared" si="12"/>
        <v>10.890899693979621</v>
      </c>
      <c r="AG38" s="9">
        <f t="shared" si="47"/>
        <v>330770.29324999993</v>
      </c>
      <c r="AH38" s="9">
        <f t="shared" si="13"/>
        <v>21.692886022412992</v>
      </c>
      <c r="AI38" s="105">
        <f>96*AI7</f>
        <v>24138.144</v>
      </c>
      <c r="AJ38" s="9">
        <f t="shared" si="14"/>
        <v>44.746571081333791</v>
      </c>
      <c r="AK38" s="9">
        <f t="shared" si="48"/>
        <v>636140.67000000004</v>
      </c>
      <c r="AL38" s="9">
        <f t="shared" si="15"/>
        <v>41.71997101959046</v>
      </c>
      <c r="AM38" s="105"/>
      <c r="AN38" s="9">
        <f t="shared" si="16"/>
        <v>0</v>
      </c>
      <c r="AO38" s="9">
        <f t="shared" si="49"/>
        <v>0</v>
      </c>
      <c r="AP38" s="9">
        <f t="shared" si="17"/>
        <v>0</v>
      </c>
      <c r="AQ38" s="105"/>
      <c r="AR38" s="9">
        <f t="shared" si="18"/>
        <v>0</v>
      </c>
      <c r="AS38" s="9">
        <f t="shared" si="50"/>
        <v>0</v>
      </c>
      <c r="AT38" s="9">
        <f t="shared" si="19"/>
        <v>0</v>
      </c>
      <c r="AU38" s="105"/>
      <c r="AV38" s="9">
        <f t="shared" si="20"/>
        <v>0</v>
      </c>
      <c r="AW38" s="9">
        <f t="shared" si="51"/>
        <v>0</v>
      </c>
      <c r="AX38" s="9">
        <f t="shared" si="21"/>
        <v>0</v>
      </c>
      <c r="AY38" s="105"/>
      <c r="AZ38" s="9">
        <f t="shared" si="22"/>
        <v>0</v>
      </c>
      <c r="BA38" s="9">
        <f t="shared" si="52"/>
        <v>0</v>
      </c>
      <c r="BB38" s="9">
        <f t="shared" si="23"/>
        <v>0</v>
      </c>
      <c r="BC38" s="9">
        <f t="shared" si="53"/>
        <v>24138.144</v>
      </c>
      <c r="BD38" s="9">
        <f t="shared" si="24"/>
        <v>44.746571081333791</v>
      </c>
      <c r="BE38" s="9">
        <f t="shared" si="54"/>
        <v>636140.67000000004</v>
      </c>
      <c r="BF38" s="9">
        <f t="shared" si="25"/>
        <v>41.71997101959046</v>
      </c>
      <c r="BG38" s="105">
        <f>96*BG7</f>
        <v>23930.976000000002</v>
      </c>
      <c r="BH38" s="9">
        <f t="shared" si="62"/>
        <v>44.36252922468659</v>
      </c>
      <c r="BI38" s="9">
        <f t="shared" si="63"/>
        <v>556893.75399999996</v>
      </c>
      <c r="BJ38" s="9">
        <f t="shared" si="64"/>
        <v>36.522725827089374</v>
      </c>
      <c r="BK38" s="105"/>
      <c r="BL38" s="9">
        <f t="shared" si="28"/>
        <v>0</v>
      </c>
      <c r="BM38" s="9">
        <f t="shared" si="56"/>
        <v>982.22400000000005</v>
      </c>
      <c r="BN38" s="9">
        <f t="shared" si="29"/>
        <v>6.4417130907140754E-2</v>
      </c>
      <c r="BO38" s="105"/>
      <c r="BP38" s="14">
        <f t="shared" si="30"/>
        <v>0</v>
      </c>
      <c r="BQ38" s="9">
        <f t="shared" si="57"/>
        <v>0</v>
      </c>
      <c r="BR38" s="9">
        <f t="shared" si="31"/>
        <v>0</v>
      </c>
      <c r="BS38" s="9">
        <f t="shared" si="58"/>
        <v>23930.976000000002</v>
      </c>
      <c r="BT38" s="9">
        <f t="shared" si="32"/>
        <v>44.36252922468659</v>
      </c>
      <c r="BU38" s="9">
        <f t="shared" si="59"/>
        <v>557875.978</v>
      </c>
      <c r="BV38" s="9">
        <f t="shared" si="33"/>
        <v>36.587142957996512</v>
      </c>
      <c r="BW38" s="105"/>
      <c r="BX38" s="9">
        <f t="shared" si="34"/>
        <v>0</v>
      </c>
      <c r="BY38" s="9">
        <f t="shared" si="60"/>
        <v>0</v>
      </c>
      <c r="BZ38" s="9">
        <f t="shared" si="35"/>
        <v>0</v>
      </c>
      <c r="CA38" s="9">
        <f t="shared" si="36"/>
        <v>53944.12</v>
      </c>
      <c r="CB38" s="9">
        <f t="shared" si="61"/>
        <v>1524786.9412500004</v>
      </c>
      <c r="CC38" s="9">
        <f t="shared" si="37"/>
        <v>0.97493484665015995</v>
      </c>
      <c r="CD38" s="9">
        <f t="shared" si="38"/>
        <v>0.99207526332705942</v>
      </c>
    </row>
    <row r="39" spans="1:82">
      <c r="A39" s="15">
        <f>+Chem!A38</f>
        <v>45991</v>
      </c>
      <c r="B39" s="5" t="str">
        <f>+Chem!B38</f>
        <v>Facial</v>
      </c>
      <c r="C39" s="15" t="str">
        <f>+Chem!C38</f>
        <v>12/13</v>
      </c>
      <c r="D39" s="7">
        <f>+Chem!D38</f>
        <v>54.837000000000003</v>
      </c>
      <c r="E39" s="6">
        <f>+Chem!E38</f>
        <v>58.088999999999999</v>
      </c>
      <c r="F39" s="6">
        <f t="shared" si="39"/>
        <v>1595.0559999999998</v>
      </c>
      <c r="G39" s="105"/>
      <c r="H39" s="9">
        <f t="shared" si="0"/>
        <v>0</v>
      </c>
      <c r="I39" s="7">
        <f t="shared" si="40"/>
        <v>0</v>
      </c>
      <c r="J39" s="9">
        <f t="shared" si="1"/>
        <v>0</v>
      </c>
      <c r="K39" s="105"/>
      <c r="L39" s="9">
        <f t="shared" si="2"/>
        <v>0</v>
      </c>
      <c r="M39" s="9">
        <f t="shared" si="41"/>
        <v>170309.35424999997</v>
      </c>
      <c r="N39" s="9">
        <f t="shared" si="3"/>
        <v>10.793729153264978</v>
      </c>
      <c r="O39" s="105"/>
      <c r="P39" s="9">
        <f t="shared" si="4"/>
        <v>0</v>
      </c>
      <c r="Q39" s="9">
        <f t="shared" si="42"/>
        <v>0</v>
      </c>
      <c r="R39" s="9">
        <f t="shared" si="5"/>
        <v>0</v>
      </c>
      <c r="S39" s="105"/>
      <c r="T39" s="9">
        <f t="shared" si="6"/>
        <v>0</v>
      </c>
      <c r="U39" s="9">
        <f t="shared" si="43"/>
        <v>30750</v>
      </c>
      <c r="V39" s="9">
        <f t="shared" si="7"/>
        <v>1.9488487460042032</v>
      </c>
      <c r="W39" s="105">
        <f>24*W7</f>
        <v>6000</v>
      </c>
      <c r="X39" s="9">
        <f t="shared" si="8"/>
        <v>11.30631676380049</v>
      </c>
      <c r="Y39" s="9">
        <f t="shared" si="44"/>
        <v>37625</v>
      </c>
      <c r="Z39" s="9">
        <f t="shared" si="9"/>
        <v>2.3845669615742486</v>
      </c>
      <c r="AA39" s="105"/>
      <c r="AB39" s="9">
        <f t="shared" si="10"/>
        <v>0</v>
      </c>
      <c r="AC39" s="9">
        <f t="shared" si="45"/>
        <v>98085.938999999998</v>
      </c>
      <c r="AD39" s="9">
        <f t="shared" si="11"/>
        <v>6.216411681977065</v>
      </c>
      <c r="AE39" s="9">
        <f t="shared" si="46"/>
        <v>6000</v>
      </c>
      <c r="AF39" s="9">
        <f t="shared" si="12"/>
        <v>11.30631676380049</v>
      </c>
      <c r="AG39" s="9">
        <f t="shared" si="47"/>
        <v>336770.29324999993</v>
      </c>
      <c r="AH39" s="9">
        <f t="shared" si="13"/>
        <v>21.34355654282049</v>
      </c>
      <c r="AI39" s="105">
        <f>94*AI7</f>
        <v>23635.266</v>
      </c>
      <c r="AJ39" s="9">
        <f t="shared" si="14"/>
        <v>44.537967365447287</v>
      </c>
      <c r="AK39" s="9">
        <f t="shared" si="48"/>
        <v>659775.93599999999</v>
      </c>
      <c r="AL39" s="9">
        <f t="shared" si="15"/>
        <v>41.814748146905671</v>
      </c>
      <c r="AM39" s="105"/>
      <c r="AN39" s="9">
        <f t="shared" si="16"/>
        <v>0</v>
      </c>
      <c r="AO39" s="9">
        <f t="shared" si="49"/>
        <v>0</v>
      </c>
      <c r="AP39" s="9">
        <f t="shared" si="17"/>
        <v>0</v>
      </c>
      <c r="AQ39" s="105"/>
      <c r="AR39" s="9">
        <f t="shared" si="18"/>
        <v>0</v>
      </c>
      <c r="AS39" s="9">
        <f t="shared" si="50"/>
        <v>0</v>
      </c>
      <c r="AT39" s="9">
        <f t="shared" si="19"/>
        <v>0</v>
      </c>
      <c r="AU39" s="105"/>
      <c r="AV39" s="9">
        <f t="shared" si="20"/>
        <v>0</v>
      </c>
      <c r="AW39" s="9">
        <f t="shared" si="51"/>
        <v>0</v>
      </c>
      <c r="AX39" s="9">
        <f t="shared" si="21"/>
        <v>0</v>
      </c>
      <c r="AY39" s="105"/>
      <c r="AZ39" s="9">
        <f t="shared" si="22"/>
        <v>0</v>
      </c>
      <c r="BA39" s="9">
        <f t="shared" si="52"/>
        <v>0</v>
      </c>
      <c r="BB39" s="9">
        <f t="shared" si="23"/>
        <v>0</v>
      </c>
      <c r="BC39" s="9">
        <f t="shared" si="53"/>
        <v>23635.266</v>
      </c>
      <c r="BD39" s="9">
        <f t="shared" si="24"/>
        <v>44.537967365447287</v>
      </c>
      <c r="BE39" s="9">
        <f t="shared" si="54"/>
        <v>659775.93599999999</v>
      </c>
      <c r="BF39" s="9">
        <f t="shared" si="25"/>
        <v>41.814748146905671</v>
      </c>
      <c r="BG39" s="105">
        <f>94*BG7</f>
        <v>23432.414000000001</v>
      </c>
      <c r="BH39" s="9">
        <f t="shared" si="62"/>
        <v>44.155715870752218</v>
      </c>
      <c r="BI39" s="9">
        <f t="shared" si="63"/>
        <v>580326.16799999995</v>
      </c>
      <c r="BJ39" s="9">
        <f t="shared" si="64"/>
        <v>36.779444708299977</v>
      </c>
      <c r="BK39" s="105"/>
      <c r="BL39" s="9">
        <f t="shared" si="28"/>
        <v>0</v>
      </c>
      <c r="BM39" s="9">
        <f t="shared" si="56"/>
        <v>982.22400000000005</v>
      </c>
      <c r="BN39" s="9">
        <f t="shared" si="29"/>
        <v>6.2250601973828694E-2</v>
      </c>
      <c r="BO39" s="105"/>
      <c r="BP39" s="14">
        <f t="shared" si="30"/>
        <v>0</v>
      </c>
      <c r="BQ39" s="9">
        <f t="shared" si="57"/>
        <v>0</v>
      </c>
      <c r="BR39" s="9">
        <f t="shared" si="31"/>
        <v>0</v>
      </c>
      <c r="BS39" s="9">
        <f t="shared" si="58"/>
        <v>23432.414000000001</v>
      </c>
      <c r="BT39" s="9">
        <f t="shared" si="32"/>
        <v>44.155715870752218</v>
      </c>
      <c r="BU39" s="9">
        <f t="shared" si="59"/>
        <v>581308.39199999999</v>
      </c>
      <c r="BV39" s="9">
        <f t="shared" si="33"/>
        <v>36.841695310273813</v>
      </c>
      <c r="BW39" s="105"/>
      <c r="BX39" s="9">
        <f t="shared" si="34"/>
        <v>0</v>
      </c>
      <c r="BY39" s="9">
        <f t="shared" si="60"/>
        <v>0</v>
      </c>
      <c r="BZ39" s="9">
        <f t="shared" si="35"/>
        <v>0</v>
      </c>
      <c r="CA39" s="9">
        <f t="shared" si="36"/>
        <v>53067.68</v>
      </c>
      <c r="CB39" s="9">
        <f t="shared" si="61"/>
        <v>1577854.6212500003</v>
      </c>
      <c r="CC39" s="9">
        <f t="shared" si="37"/>
        <v>0.91355816075332685</v>
      </c>
      <c r="CD39" s="9">
        <f t="shared" si="38"/>
        <v>0.98921581515006396</v>
      </c>
    </row>
    <row r="40" spans="1:82">
      <c r="A40" s="15"/>
      <c r="B40" s="5"/>
      <c r="C40" s="15"/>
      <c r="D40" s="7"/>
      <c r="E40" s="6"/>
      <c r="F40" s="6"/>
      <c r="G40" s="105"/>
      <c r="H40" s="9"/>
      <c r="I40" s="7"/>
      <c r="J40" s="9"/>
      <c r="K40" s="105"/>
      <c r="L40" s="9"/>
      <c r="M40" s="9"/>
      <c r="N40" s="9"/>
      <c r="O40" s="105"/>
      <c r="P40" s="9"/>
      <c r="Q40" s="9"/>
      <c r="R40" s="9"/>
      <c r="S40" s="105"/>
      <c r="T40" s="9"/>
      <c r="U40" s="9"/>
      <c r="V40" s="9"/>
      <c r="W40" s="105"/>
      <c r="X40" s="9"/>
      <c r="Y40" s="9"/>
      <c r="Z40" s="9"/>
      <c r="AA40" s="105"/>
      <c r="AB40" s="9"/>
      <c r="AC40" s="9"/>
      <c r="AD40" s="9"/>
      <c r="AE40" s="9"/>
      <c r="AF40" s="9"/>
      <c r="AG40" s="9"/>
      <c r="AH40" s="9"/>
      <c r="AI40" s="105"/>
      <c r="AJ40" s="9"/>
      <c r="AK40" s="9"/>
      <c r="AL40" s="9"/>
      <c r="AM40" s="105"/>
      <c r="AN40" s="9"/>
      <c r="AO40" s="9"/>
      <c r="AP40" s="9"/>
      <c r="AQ40" s="105"/>
      <c r="AR40" s="9"/>
      <c r="AS40" s="9"/>
      <c r="AT40" s="9"/>
      <c r="AU40" s="105"/>
      <c r="AV40" s="9"/>
      <c r="AW40" s="9"/>
      <c r="AX40" s="9"/>
      <c r="AY40" s="105"/>
      <c r="AZ40" s="9"/>
      <c r="BA40" s="9"/>
      <c r="BB40" s="9"/>
      <c r="BC40" s="9"/>
      <c r="BD40" s="9"/>
      <c r="BE40" s="9"/>
      <c r="BF40" s="9"/>
      <c r="BG40" s="105"/>
      <c r="BH40" s="9"/>
      <c r="BI40" s="9"/>
      <c r="BJ40" s="9"/>
      <c r="BK40" s="105"/>
      <c r="BL40" s="9"/>
      <c r="BM40" s="9"/>
      <c r="BN40" s="9"/>
      <c r="BO40" s="105"/>
      <c r="BP40" s="14"/>
      <c r="BQ40" s="9"/>
      <c r="BR40" s="9"/>
      <c r="BS40" s="9"/>
      <c r="BT40" s="9"/>
      <c r="BU40" s="9"/>
      <c r="BV40" s="9"/>
      <c r="BW40" s="105"/>
      <c r="BX40" s="9"/>
      <c r="BY40" s="9"/>
      <c r="BZ40" s="9"/>
      <c r="CA40" s="9"/>
      <c r="CB40" s="9"/>
      <c r="CC40" s="9"/>
      <c r="CD40" s="9"/>
    </row>
    <row r="41" spans="1:82">
      <c r="A41" s="15"/>
      <c r="B41" s="15"/>
      <c r="C41" s="15"/>
      <c r="D41" s="7"/>
      <c r="E41" s="6"/>
      <c r="F41" s="6"/>
      <c r="G41" s="105"/>
      <c r="H41" s="9"/>
      <c r="I41" s="7"/>
      <c r="J41" s="9"/>
      <c r="K41" s="105"/>
      <c r="L41" s="9"/>
      <c r="M41" s="9"/>
      <c r="N41" s="9"/>
      <c r="O41" s="105"/>
      <c r="P41" s="9"/>
      <c r="Q41" s="9"/>
      <c r="R41" s="9"/>
      <c r="S41" s="105"/>
      <c r="T41" s="9"/>
      <c r="U41" s="9"/>
      <c r="V41" s="9"/>
      <c r="W41" s="105"/>
      <c r="X41" s="9"/>
      <c r="Y41" s="9"/>
      <c r="Z41" s="9"/>
      <c r="AA41" s="105"/>
      <c r="AB41" s="9"/>
      <c r="AC41" s="9"/>
      <c r="AD41" s="9"/>
      <c r="AE41" s="9"/>
      <c r="AF41" s="9"/>
      <c r="AG41" s="9"/>
      <c r="AH41" s="9"/>
      <c r="AI41" s="105"/>
      <c r="AJ41" s="9"/>
      <c r="AK41" s="9"/>
      <c r="AL41" s="9"/>
      <c r="AM41" s="105"/>
      <c r="AN41" s="9"/>
      <c r="AO41" s="9"/>
      <c r="AP41" s="9"/>
      <c r="AQ41" s="105"/>
      <c r="AR41" s="9"/>
      <c r="AS41" s="9"/>
      <c r="AT41" s="9"/>
      <c r="AU41" s="105"/>
      <c r="AV41" s="9"/>
      <c r="AW41" s="9"/>
      <c r="AX41" s="9"/>
      <c r="AY41" s="105"/>
      <c r="AZ41" s="9"/>
      <c r="BA41" s="9"/>
      <c r="BB41" s="9"/>
      <c r="BC41" s="9"/>
      <c r="BD41" s="9"/>
      <c r="BE41" s="9"/>
      <c r="BF41" s="9"/>
      <c r="BG41" s="105"/>
      <c r="BH41" s="9"/>
      <c r="BI41" s="9"/>
      <c r="BJ41" s="9"/>
      <c r="BK41" s="105"/>
      <c r="BL41" s="9"/>
      <c r="BM41" s="9"/>
      <c r="BN41" s="9"/>
      <c r="BO41" s="105"/>
      <c r="BP41" s="14"/>
      <c r="BQ41" s="9"/>
      <c r="BR41" s="9"/>
      <c r="BS41" s="9"/>
      <c r="BT41" s="9"/>
      <c r="BU41" s="9"/>
      <c r="BV41" s="9"/>
      <c r="BW41" s="105"/>
      <c r="BX41" s="9"/>
      <c r="BY41" s="9"/>
      <c r="BZ41" s="9"/>
      <c r="CA41" s="9"/>
      <c r="CB41" s="9"/>
      <c r="CC41" s="9"/>
      <c r="CD41" s="9"/>
    </row>
    <row r="42" spans="1:82" ht="13.5" thickBot="1">
      <c r="A42" s="10" t="s">
        <v>27</v>
      </c>
      <c r="B42" s="10"/>
      <c r="C42" s="11"/>
      <c r="D42" s="11">
        <f>SUM(D10:D41)</f>
        <v>1652.454</v>
      </c>
      <c r="E42" s="11">
        <f>SUM(E10:E41)</f>
        <v>1595.0559999999998</v>
      </c>
      <c r="F42" s="11"/>
      <c r="G42" s="11">
        <f>SUM(G10:G41)</f>
        <v>0</v>
      </c>
      <c r="H42" s="11">
        <f>G42/CA42*100</f>
        <v>0</v>
      </c>
      <c r="I42" s="11"/>
      <c r="J42" s="11"/>
      <c r="K42" s="11">
        <f>SUM(K10:K41)</f>
        <v>170309.35424999997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f>SUM(AA10:AA41)</f>
        <v>98085.938999999998</v>
      </c>
      <c r="AB42" s="11">
        <f>+AA42/$CA$42*100</f>
        <v>6.216411681977065</v>
      </c>
      <c r="AC42" s="11"/>
      <c r="AD42" s="11"/>
      <c r="AE42" s="11">
        <f>SUM(AE10:AE41)</f>
        <v>336770.29324999993</v>
      </c>
      <c r="AF42" s="18">
        <f>AE42/$CA$42*100</f>
        <v>21.34355654282049</v>
      </c>
      <c r="AG42" s="11"/>
      <c r="AH42" s="11"/>
      <c r="AI42" s="11">
        <f>SUM(AI10:AI41)</f>
        <v>659775.93599999999</v>
      </c>
      <c r="AJ42" s="11">
        <f>AI42/$CA$42*100</f>
        <v>41.814748146905671</v>
      </c>
      <c r="AK42" s="11"/>
      <c r="AL42" s="11"/>
      <c r="AM42" s="11">
        <f>SUM(AM10:AM41)</f>
        <v>0</v>
      </c>
      <c r="AN42" s="11">
        <f>AM42/$CA$42*100</f>
        <v>0</v>
      </c>
      <c r="AO42" s="11"/>
      <c r="AP42" s="11"/>
      <c r="AQ42" s="11">
        <f>SUM(AQ10:AQ41)</f>
        <v>0</v>
      </c>
      <c r="AR42" s="11">
        <f>AQ42/$CA$42*100</f>
        <v>0</v>
      </c>
      <c r="AS42" s="11"/>
      <c r="AT42" s="11"/>
      <c r="AU42" s="11">
        <f>SUM(AU10:AU41)</f>
        <v>0</v>
      </c>
      <c r="AV42" s="11">
        <f>AU42/$CA$42*100</f>
        <v>0</v>
      </c>
      <c r="AW42" s="11"/>
      <c r="AX42" s="11"/>
      <c r="AY42" s="11">
        <f>SUM(AY10:AY41)</f>
        <v>0</v>
      </c>
      <c r="AZ42" s="11">
        <f>AY42/$CA$42*100</f>
        <v>0</v>
      </c>
      <c r="BA42" s="11"/>
      <c r="BB42" s="11"/>
      <c r="BC42" s="11">
        <f>SUM(BC10:BC41)</f>
        <v>659775.93599999999</v>
      </c>
      <c r="BD42" s="11">
        <f>BC42/$CA$42*100</f>
        <v>41.814748146905671</v>
      </c>
      <c r="BE42" s="11"/>
      <c r="BF42" s="11"/>
      <c r="BG42" s="11">
        <f>SUM(BG10:BG41)</f>
        <v>580326.16799999995</v>
      </c>
      <c r="BH42" s="11">
        <f>BG42/$CA$42*100</f>
        <v>36.779444708299977</v>
      </c>
      <c r="BI42" s="11"/>
      <c r="BJ42" s="11"/>
      <c r="BK42" s="11">
        <f>SUM(BK10:BK41)</f>
        <v>982.22400000000005</v>
      </c>
      <c r="BL42" s="11">
        <f>BK42/$CA$42*100</f>
        <v>6.2250601973828694E-2</v>
      </c>
      <c r="BM42" s="11"/>
      <c r="BN42" s="11"/>
      <c r="BO42" s="11">
        <f>SUM(BO10:BO41)</f>
        <v>0</v>
      </c>
      <c r="BP42" s="11">
        <f>BO42/$CA$42*100</f>
        <v>0</v>
      </c>
      <c r="BQ42" s="11"/>
      <c r="BR42" s="11"/>
      <c r="BS42" s="11">
        <f>SUM(BS10:BS41)</f>
        <v>581308.39199999999</v>
      </c>
      <c r="BT42" s="20">
        <f>BS42/$CA$42*100</f>
        <v>36.841695310273813</v>
      </c>
      <c r="BU42" s="11"/>
      <c r="BV42" s="11"/>
      <c r="BW42" s="11">
        <f>SUM(BW10:BW41)</f>
        <v>0</v>
      </c>
      <c r="BX42" s="11">
        <f>BW42/$CA$42*100</f>
        <v>0</v>
      </c>
      <c r="BY42" s="11"/>
      <c r="BZ42" s="11"/>
      <c r="CA42" s="11">
        <f>SUM(CA10:CA41)</f>
        <v>1577854.6212500003</v>
      </c>
      <c r="CB42" s="11">
        <f>CA42/$CA$42*100</f>
        <v>100</v>
      </c>
      <c r="CC42" s="11">
        <f>CA42/1000/E42</f>
        <v>0.98921581515006396</v>
      </c>
      <c r="CD42" s="11"/>
    </row>
    <row r="43" spans="1:82" ht="13.5" thickTop="1"/>
    <row r="44" spans="1:82">
      <c r="AQ44" s="12"/>
      <c r="AU44" s="12"/>
      <c r="BT44" s="12"/>
      <c r="BW44" s="12"/>
      <c r="BX44" s="12"/>
    </row>
    <row r="45" spans="1:82">
      <c r="E45" s="12"/>
      <c r="F45" s="12"/>
      <c r="G45" s="12"/>
      <c r="I45" s="12"/>
      <c r="AQ45" s="12"/>
      <c r="AU45" s="12"/>
      <c r="BW45" s="12"/>
    </row>
  </sheetData>
  <mergeCells count="25">
    <mergeCell ref="AE8:AH8"/>
    <mergeCell ref="S8:V8"/>
    <mergeCell ref="AA8:AD8"/>
    <mergeCell ref="A8:A9"/>
    <mergeCell ref="B8:B9"/>
    <mergeCell ref="C8:C9"/>
    <mergeCell ref="K8:N8"/>
    <mergeCell ref="G8:J8"/>
    <mergeCell ref="D8:D9"/>
    <mergeCell ref="E8:F8"/>
    <mergeCell ref="O8:R8"/>
    <mergeCell ref="W8:Z8"/>
    <mergeCell ref="AI8:AL8"/>
    <mergeCell ref="AM8:AP8"/>
    <mergeCell ref="CC8:CD8"/>
    <mergeCell ref="BK8:BN8"/>
    <mergeCell ref="BS8:BV8"/>
    <mergeCell ref="BW8:BZ8"/>
    <mergeCell ref="CA8:CB8"/>
    <mergeCell ref="BO8:BR8"/>
    <mergeCell ref="BG8:BJ8"/>
    <mergeCell ref="BC8:BF8"/>
    <mergeCell ref="AQ8:AT8"/>
    <mergeCell ref="AY8:BB8"/>
    <mergeCell ref="AU8:AX8"/>
  </mergeCells>
  <phoneticPr fontId="32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zoomScale="85" workbookViewId="0">
      <pane xSplit="5" ySplit="8" topLeftCell="EB24" activePane="bottomRight" state="frozen"/>
      <selection pane="topRight" activeCell="E1" sqref="E1"/>
      <selection pane="bottomLeft" activeCell="A9" sqref="A9"/>
      <selection pane="bottomRight" activeCell="KV41" sqref="KV41"/>
    </sheetView>
  </sheetViews>
  <sheetFormatPr defaultColWidth="10.42578125" defaultRowHeight="15" customHeight="1"/>
  <cols>
    <col min="1" max="1" width="8.140625" style="269" customWidth="1"/>
    <col min="2" max="2" width="13.5703125" style="269" customWidth="1"/>
    <col min="3" max="3" width="13.28515625" style="270" customWidth="1"/>
    <col min="4" max="4" width="11.140625" style="270" customWidth="1"/>
    <col min="5" max="5" width="11" style="271" customWidth="1"/>
    <col min="6" max="17" width="12.42578125" style="526" customWidth="1"/>
    <col min="18" max="20" width="12.42578125" style="526" hidden="1" customWidth="1"/>
    <col min="21" max="23" width="12.42578125" style="526" customWidth="1"/>
    <col min="24" max="32" width="12.42578125" style="526" hidden="1" customWidth="1"/>
    <col min="33" max="44" width="12.42578125" style="526" customWidth="1"/>
    <col min="45" max="47" width="12.42578125" style="526" hidden="1" customWidth="1"/>
    <col min="48" max="56" width="12.42578125" style="526" customWidth="1"/>
    <col min="57" max="65" width="12.42578125" style="526" hidden="1" customWidth="1"/>
    <col min="66" max="86" width="12.42578125" style="526" customWidth="1"/>
    <col min="87" max="110" width="12.42578125" style="526" hidden="1" customWidth="1"/>
    <col min="111" max="113" width="12.42578125" style="526" customWidth="1"/>
    <col min="114" max="131" width="12.42578125" style="526" hidden="1" customWidth="1"/>
    <col min="132" max="140" width="12.42578125" style="526" customWidth="1"/>
    <col min="141" max="269" width="12.42578125" style="526" hidden="1" customWidth="1"/>
    <col min="270" max="303" width="5.5703125" style="526" hidden="1" customWidth="1"/>
    <col min="304" max="304" width="8.7109375" style="526" hidden="1" customWidth="1"/>
    <col min="305" max="305" width="7.7109375" style="526" hidden="1" customWidth="1"/>
    <col min="306" max="306" width="21" style="526" bestFit="1" customWidth="1"/>
    <col min="307" max="307" width="19.85546875" style="526" bestFit="1" customWidth="1"/>
    <col min="308" max="16384" width="10.42578125" style="269"/>
  </cols>
  <sheetData>
    <row r="1" spans="1:308" ht="15" customHeight="1">
      <c r="A1" s="265"/>
      <c r="B1" s="266"/>
      <c r="C1" s="267"/>
      <c r="D1" s="267"/>
      <c r="E1" s="268"/>
    </row>
    <row r="2" spans="1:308" ht="15" customHeight="1">
      <c r="A2" s="265"/>
    </row>
    <row r="3" spans="1:308" ht="15" customHeight="1">
      <c r="A3" s="273"/>
    </row>
    <row r="4" spans="1:308" ht="15" customHeight="1">
      <c r="A4" s="512" t="s">
        <v>324</v>
      </c>
    </row>
    <row r="5" spans="1:308" ht="15" customHeight="1" thickBot="1">
      <c r="F5" s="967" t="s">
        <v>335</v>
      </c>
      <c r="G5" s="968"/>
      <c r="H5" s="968"/>
      <c r="I5" s="968"/>
      <c r="J5" s="968"/>
      <c r="K5" s="968"/>
      <c r="L5" s="968"/>
      <c r="M5" s="968"/>
      <c r="N5" s="968"/>
      <c r="O5" s="968"/>
      <c r="P5" s="968"/>
      <c r="Q5" s="968"/>
      <c r="R5" s="968"/>
      <c r="S5" s="968"/>
      <c r="T5" s="968"/>
      <c r="U5" s="968"/>
      <c r="V5" s="968"/>
      <c r="W5" s="968"/>
      <c r="X5" s="968"/>
      <c r="Y5" s="968"/>
      <c r="Z5" s="968"/>
      <c r="AA5" s="968"/>
      <c r="AB5" s="968"/>
      <c r="AC5" s="968"/>
      <c r="AD5" s="968"/>
      <c r="AE5" s="968"/>
      <c r="AF5" s="968"/>
      <c r="AG5" s="968"/>
      <c r="AH5" s="968"/>
      <c r="AI5" s="968"/>
      <c r="AJ5" s="968"/>
      <c r="AK5" s="968"/>
      <c r="AL5" s="968"/>
      <c r="AM5" s="968"/>
      <c r="AN5" s="968"/>
      <c r="AO5" s="968"/>
      <c r="AP5" s="968"/>
      <c r="AQ5" s="968"/>
      <c r="AR5" s="968"/>
      <c r="AS5" s="968"/>
      <c r="AT5" s="968"/>
      <c r="AU5" s="968"/>
      <c r="AV5" s="968"/>
      <c r="AW5" s="968"/>
      <c r="AX5" s="968"/>
      <c r="AY5" s="968"/>
      <c r="AZ5" s="968"/>
      <c r="BA5" s="968"/>
      <c r="BB5" s="968"/>
      <c r="BC5" s="968"/>
      <c r="BD5" s="968"/>
      <c r="BE5" s="968"/>
      <c r="BF5" s="968"/>
      <c r="BG5" s="968"/>
      <c r="BH5" s="968"/>
      <c r="BI5" s="968"/>
      <c r="BJ5" s="968"/>
      <c r="BK5" s="968"/>
      <c r="BL5" s="968"/>
      <c r="BM5" s="968"/>
      <c r="BN5" s="968"/>
      <c r="BO5" s="968"/>
      <c r="BP5" s="968"/>
      <c r="BQ5" s="968"/>
      <c r="BR5" s="968"/>
      <c r="BS5" s="968"/>
      <c r="BT5" s="968"/>
      <c r="BU5" s="968"/>
      <c r="BV5" s="968"/>
      <c r="BW5" s="968"/>
      <c r="BX5" s="968"/>
      <c r="BY5" s="968"/>
      <c r="BZ5" s="968"/>
      <c r="CA5" s="968"/>
      <c r="CB5" s="968"/>
      <c r="CC5" s="968"/>
      <c r="CD5" s="968"/>
      <c r="CE5" s="968"/>
      <c r="CF5" s="968"/>
      <c r="CG5" s="968"/>
      <c r="CH5" s="968"/>
      <c r="CI5" s="968"/>
      <c r="CJ5" s="968"/>
      <c r="CK5" s="968"/>
      <c r="CL5" s="968"/>
      <c r="CM5" s="968"/>
      <c r="CN5" s="968"/>
      <c r="CO5" s="968"/>
      <c r="CP5" s="968"/>
      <c r="CQ5" s="968"/>
      <c r="CR5" s="968"/>
      <c r="CS5" s="968"/>
      <c r="CT5" s="968"/>
      <c r="CU5" s="968"/>
      <c r="CV5" s="968"/>
      <c r="CW5" s="968"/>
      <c r="CX5" s="968"/>
      <c r="CY5" s="968"/>
      <c r="CZ5" s="968"/>
      <c r="DA5" s="968"/>
      <c r="DB5" s="968"/>
      <c r="DC5" s="968"/>
      <c r="DD5" s="968"/>
      <c r="DE5" s="968"/>
      <c r="DF5" s="968"/>
      <c r="DG5" s="968"/>
      <c r="DH5" s="968"/>
      <c r="DI5" s="968"/>
      <c r="DJ5" s="968"/>
      <c r="DK5" s="968"/>
      <c r="DL5" s="968"/>
      <c r="DM5" s="968"/>
      <c r="DN5" s="968"/>
      <c r="DO5" s="968"/>
      <c r="DP5" s="968"/>
      <c r="DQ5" s="968"/>
      <c r="DR5" s="968"/>
      <c r="DS5" s="968"/>
      <c r="DT5" s="968"/>
      <c r="DU5" s="968"/>
      <c r="DV5" s="968"/>
      <c r="DW5" s="968"/>
      <c r="DX5" s="968"/>
      <c r="DY5" s="968"/>
      <c r="DZ5" s="968"/>
      <c r="EA5" s="968"/>
      <c r="EB5" s="968"/>
      <c r="EC5" s="968"/>
      <c r="ED5" s="968"/>
      <c r="EE5" s="968"/>
      <c r="EF5" s="968"/>
      <c r="EG5" s="968"/>
      <c r="EH5" s="968"/>
      <c r="EI5" s="968"/>
      <c r="EJ5" s="968"/>
      <c r="EK5" s="968"/>
      <c r="EL5" s="968"/>
      <c r="EM5" s="968"/>
      <c r="EN5" s="968"/>
      <c r="EO5" s="968"/>
      <c r="EP5" s="968"/>
      <c r="EQ5" s="968"/>
      <c r="ER5" s="968"/>
      <c r="ES5" s="968"/>
      <c r="ET5" s="968"/>
      <c r="EU5" s="968"/>
      <c r="EV5" s="968"/>
      <c r="EW5" s="968"/>
      <c r="EX5" s="968"/>
      <c r="EY5" s="968"/>
      <c r="EZ5" s="968"/>
      <c r="FA5" s="968"/>
      <c r="FB5" s="968"/>
      <c r="FC5" s="968"/>
      <c r="FD5" s="968"/>
      <c r="FE5" s="968"/>
      <c r="FF5" s="968"/>
      <c r="FG5" s="968"/>
      <c r="FH5" s="968"/>
      <c r="FI5" s="968"/>
      <c r="FJ5" s="968"/>
      <c r="FK5" s="968"/>
      <c r="FL5" s="968"/>
      <c r="FM5" s="968"/>
      <c r="FN5" s="968"/>
      <c r="FO5" s="968"/>
      <c r="FP5" s="968"/>
      <c r="FQ5" s="968"/>
      <c r="FR5" s="968"/>
      <c r="FS5" s="968"/>
      <c r="FT5" s="968"/>
      <c r="FU5" s="968"/>
      <c r="FV5" s="968"/>
      <c r="FW5" s="968"/>
      <c r="FX5" s="968"/>
      <c r="FY5" s="968"/>
      <c r="FZ5" s="968"/>
      <c r="GA5" s="968"/>
      <c r="GB5" s="968"/>
      <c r="GC5" s="969"/>
      <c r="GD5" s="967" t="s">
        <v>336</v>
      </c>
      <c r="GE5" s="968"/>
      <c r="GF5" s="968"/>
      <c r="GG5" s="968"/>
      <c r="GH5" s="968"/>
      <c r="GI5" s="968"/>
      <c r="GJ5" s="968"/>
      <c r="GK5" s="968"/>
      <c r="GL5" s="968"/>
      <c r="GM5" s="968"/>
      <c r="GN5" s="968"/>
      <c r="GO5" s="968"/>
      <c r="GP5" s="968"/>
      <c r="GQ5" s="968"/>
      <c r="GR5" s="968"/>
      <c r="GS5" s="968"/>
      <c r="GT5" s="968"/>
      <c r="GU5" s="968"/>
      <c r="GV5" s="968"/>
      <c r="GW5" s="968"/>
      <c r="GX5" s="968"/>
      <c r="GY5" s="968"/>
      <c r="GZ5" s="968"/>
      <c r="HA5" s="968"/>
      <c r="HB5" s="968"/>
      <c r="HC5" s="968"/>
      <c r="HD5" s="968"/>
      <c r="HE5" s="968"/>
      <c r="HF5" s="968"/>
      <c r="HG5" s="968"/>
      <c r="HH5" s="968"/>
      <c r="HI5" s="968"/>
      <c r="HJ5" s="968"/>
      <c r="HK5" s="968"/>
      <c r="HL5" s="968"/>
      <c r="HM5" s="968"/>
      <c r="HN5" s="968"/>
      <c r="HO5" s="968"/>
      <c r="HP5" s="968"/>
      <c r="HQ5" s="968"/>
      <c r="HR5" s="968"/>
      <c r="HS5" s="968"/>
      <c r="HT5" s="968"/>
      <c r="HU5" s="968"/>
      <c r="HV5" s="968"/>
      <c r="HW5" s="968"/>
      <c r="HX5" s="968"/>
      <c r="HY5" s="968"/>
      <c r="HZ5" s="968"/>
      <c r="IA5" s="968"/>
      <c r="IB5" s="968"/>
      <c r="IC5" s="968"/>
      <c r="ID5" s="968"/>
      <c r="IE5" s="968"/>
      <c r="IF5" s="968"/>
      <c r="IG5" s="968"/>
      <c r="IH5" s="968"/>
      <c r="II5" s="968"/>
      <c r="IJ5" s="968"/>
      <c r="IK5" s="968"/>
      <c r="IL5" s="968"/>
      <c r="IM5" s="968"/>
      <c r="IN5" s="968"/>
      <c r="IO5" s="968"/>
      <c r="IP5" s="968"/>
      <c r="IQ5" s="968"/>
      <c r="IR5" s="968"/>
      <c r="IS5" s="968"/>
      <c r="IT5" s="968"/>
      <c r="IU5" s="968"/>
      <c r="IV5" s="968"/>
      <c r="IW5" s="968"/>
      <c r="IX5" s="968"/>
      <c r="IY5" s="968"/>
      <c r="IZ5" s="968"/>
      <c r="JA5" s="968"/>
      <c r="JB5" s="968"/>
      <c r="JC5" s="968"/>
      <c r="JD5" s="968"/>
      <c r="JE5" s="968"/>
      <c r="JF5" s="968"/>
      <c r="JG5" s="968"/>
      <c r="JH5" s="968"/>
      <c r="JI5" s="968"/>
      <c r="JJ5" s="968"/>
      <c r="JK5" s="968"/>
      <c r="JL5" s="968"/>
      <c r="JM5" s="968"/>
      <c r="JN5" s="968"/>
      <c r="JO5" s="968"/>
      <c r="JP5" s="968"/>
      <c r="JQ5" s="968"/>
      <c r="JR5" s="968"/>
      <c r="JS5" s="968"/>
      <c r="JT5" s="968"/>
      <c r="JU5" s="968"/>
      <c r="JV5" s="968"/>
      <c r="JW5" s="968"/>
      <c r="JX5" s="968"/>
      <c r="JY5" s="968"/>
      <c r="JZ5" s="968"/>
      <c r="KA5" s="968"/>
      <c r="KB5" s="968"/>
      <c r="KC5" s="968"/>
      <c r="KD5" s="968"/>
      <c r="KE5" s="968"/>
      <c r="KF5" s="968"/>
      <c r="KG5" s="968"/>
      <c r="KH5" s="968"/>
      <c r="KI5" s="968"/>
      <c r="KJ5" s="968"/>
      <c r="KK5" s="968"/>
      <c r="KL5" s="968"/>
      <c r="KM5" s="968"/>
      <c r="KN5" s="968"/>
      <c r="KO5" s="968"/>
      <c r="KP5" s="968"/>
      <c r="KQ5" s="968"/>
      <c r="KR5" s="968"/>
      <c r="KS5" s="969"/>
      <c r="KT5" s="950" t="s">
        <v>337</v>
      </c>
      <c r="KU5" s="950" t="s">
        <v>336</v>
      </c>
    </row>
    <row r="6" spans="1:308" ht="15" customHeight="1">
      <c r="A6" s="964" t="s">
        <v>29</v>
      </c>
      <c r="B6" s="955" t="s">
        <v>4</v>
      </c>
      <c r="C6" s="955" t="s">
        <v>5</v>
      </c>
      <c r="D6" s="961" t="s">
        <v>40</v>
      </c>
      <c r="E6" s="958" t="s">
        <v>38</v>
      </c>
      <c r="F6" s="943" t="s">
        <v>338</v>
      </c>
      <c r="G6" s="951"/>
      <c r="H6" s="944"/>
      <c r="I6" s="943" t="s">
        <v>339</v>
      </c>
      <c r="J6" s="951"/>
      <c r="K6" s="944"/>
      <c r="L6" s="943" t="s">
        <v>340</v>
      </c>
      <c r="M6" s="951"/>
      <c r="N6" s="944"/>
      <c r="O6" s="943" t="s">
        <v>341</v>
      </c>
      <c r="P6" s="951"/>
      <c r="Q6" s="944"/>
      <c r="R6" s="943" t="s">
        <v>342</v>
      </c>
      <c r="S6" s="951"/>
      <c r="T6" s="944"/>
      <c r="U6" s="943" t="s">
        <v>343</v>
      </c>
      <c r="V6" s="951"/>
      <c r="W6" s="944"/>
      <c r="X6" s="943" t="s">
        <v>344</v>
      </c>
      <c r="Y6" s="951"/>
      <c r="Z6" s="944"/>
      <c r="AA6" s="943" t="s">
        <v>345</v>
      </c>
      <c r="AB6" s="951"/>
      <c r="AC6" s="944"/>
      <c r="AD6" s="943" t="s">
        <v>346</v>
      </c>
      <c r="AE6" s="951"/>
      <c r="AF6" s="944"/>
      <c r="AG6" s="943" t="s">
        <v>347</v>
      </c>
      <c r="AH6" s="951"/>
      <c r="AI6" s="944"/>
      <c r="AJ6" s="943" t="s">
        <v>348</v>
      </c>
      <c r="AK6" s="951"/>
      <c r="AL6" s="944"/>
      <c r="AM6" s="943" t="s">
        <v>349</v>
      </c>
      <c r="AN6" s="951"/>
      <c r="AO6" s="944"/>
      <c r="AP6" s="943" t="s">
        <v>350</v>
      </c>
      <c r="AQ6" s="951"/>
      <c r="AR6" s="944"/>
      <c r="AS6" s="943" t="s">
        <v>351</v>
      </c>
      <c r="AT6" s="951"/>
      <c r="AU6" s="944"/>
      <c r="AV6" s="943" t="s">
        <v>352</v>
      </c>
      <c r="AW6" s="951"/>
      <c r="AX6" s="944"/>
      <c r="AY6" s="946" t="s">
        <v>353</v>
      </c>
      <c r="AZ6" s="947"/>
      <c r="BA6" s="947"/>
      <c r="BB6" s="946" t="s">
        <v>354</v>
      </c>
      <c r="BC6" s="947"/>
      <c r="BD6" s="948"/>
      <c r="BE6" s="946" t="s">
        <v>355</v>
      </c>
      <c r="BF6" s="947"/>
      <c r="BG6" s="947"/>
      <c r="BH6" s="946" t="s">
        <v>356</v>
      </c>
      <c r="BI6" s="947"/>
      <c r="BJ6" s="948"/>
      <c r="BK6" s="946" t="s">
        <v>357</v>
      </c>
      <c r="BL6" s="947"/>
      <c r="BM6" s="947"/>
      <c r="BN6" s="946" t="s">
        <v>358</v>
      </c>
      <c r="BO6" s="947"/>
      <c r="BP6" s="948"/>
      <c r="BQ6" s="946" t="s">
        <v>359</v>
      </c>
      <c r="BR6" s="947"/>
      <c r="BS6" s="947"/>
      <c r="BT6" s="946" t="s">
        <v>360</v>
      </c>
      <c r="BU6" s="947"/>
      <c r="BV6" s="948"/>
      <c r="BW6" s="946" t="s">
        <v>361</v>
      </c>
      <c r="BX6" s="947"/>
      <c r="BY6" s="947"/>
      <c r="BZ6" s="946" t="s">
        <v>362</v>
      </c>
      <c r="CA6" s="947"/>
      <c r="CB6" s="948"/>
      <c r="CC6" s="946" t="s">
        <v>363</v>
      </c>
      <c r="CD6" s="947"/>
      <c r="CE6" s="947"/>
      <c r="CF6" s="946" t="s">
        <v>364</v>
      </c>
      <c r="CG6" s="947"/>
      <c r="CH6" s="948"/>
      <c r="CI6" s="946" t="s">
        <v>365</v>
      </c>
      <c r="CJ6" s="947"/>
      <c r="CK6" s="947"/>
      <c r="CL6" s="946" t="s">
        <v>366</v>
      </c>
      <c r="CM6" s="947"/>
      <c r="CN6" s="948"/>
      <c r="CO6" s="946" t="s">
        <v>367</v>
      </c>
      <c r="CP6" s="947"/>
      <c r="CQ6" s="947"/>
      <c r="CR6" s="946" t="s">
        <v>368</v>
      </c>
      <c r="CS6" s="947"/>
      <c r="CT6" s="948"/>
      <c r="CU6" s="946" t="s">
        <v>369</v>
      </c>
      <c r="CV6" s="947"/>
      <c r="CW6" s="947"/>
      <c r="CX6" s="946" t="s">
        <v>370</v>
      </c>
      <c r="CY6" s="947"/>
      <c r="CZ6" s="948"/>
      <c r="DA6" s="946" t="s">
        <v>371</v>
      </c>
      <c r="DB6" s="947"/>
      <c r="DC6" s="947"/>
      <c r="DD6" s="946" t="s">
        <v>372</v>
      </c>
      <c r="DE6" s="947"/>
      <c r="DF6" s="948"/>
      <c r="DG6" s="946" t="s">
        <v>373</v>
      </c>
      <c r="DH6" s="947"/>
      <c r="DI6" s="947"/>
      <c r="DJ6" s="946" t="s">
        <v>374</v>
      </c>
      <c r="DK6" s="947"/>
      <c r="DL6" s="948"/>
      <c r="DM6" s="946" t="s">
        <v>375</v>
      </c>
      <c r="DN6" s="947"/>
      <c r="DO6" s="947"/>
      <c r="DP6" s="946" t="s">
        <v>376</v>
      </c>
      <c r="DQ6" s="947"/>
      <c r="DR6" s="948"/>
      <c r="DS6" s="946" t="s">
        <v>377</v>
      </c>
      <c r="DT6" s="947"/>
      <c r="DU6" s="947"/>
      <c r="DV6" s="946" t="s">
        <v>378</v>
      </c>
      <c r="DW6" s="947"/>
      <c r="DX6" s="948"/>
      <c r="DY6" s="946" t="s">
        <v>379</v>
      </c>
      <c r="DZ6" s="947"/>
      <c r="EA6" s="947"/>
      <c r="EB6" s="949" t="s">
        <v>471</v>
      </c>
      <c r="EC6" s="947"/>
      <c r="ED6" s="948"/>
      <c r="EE6" s="949" t="s">
        <v>472</v>
      </c>
      <c r="EF6" s="947"/>
      <c r="EG6" s="947"/>
      <c r="EH6" s="946"/>
      <c r="EI6" s="947"/>
      <c r="EJ6" s="948"/>
      <c r="EK6" s="946"/>
      <c r="EL6" s="947"/>
      <c r="EM6" s="947"/>
      <c r="EN6" s="946"/>
      <c r="EO6" s="947"/>
      <c r="EP6" s="948"/>
      <c r="EQ6" s="946"/>
      <c r="ER6" s="947"/>
      <c r="ES6" s="947"/>
      <c r="ET6" s="946"/>
      <c r="EU6" s="947"/>
      <c r="EV6" s="948"/>
      <c r="EW6" s="946"/>
      <c r="EX6" s="947"/>
      <c r="EY6" s="947"/>
      <c r="EZ6" s="946"/>
      <c r="FA6" s="947"/>
      <c r="FB6" s="948"/>
      <c r="FC6" s="946"/>
      <c r="FD6" s="947"/>
      <c r="FE6" s="947"/>
      <c r="FF6" s="946"/>
      <c r="FG6" s="947"/>
      <c r="FH6" s="948"/>
      <c r="FI6" s="946"/>
      <c r="FJ6" s="947"/>
      <c r="FK6" s="947"/>
      <c r="FL6" s="946"/>
      <c r="FM6" s="947"/>
      <c r="FN6" s="948"/>
      <c r="FO6" s="946"/>
      <c r="FP6" s="947"/>
      <c r="FQ6" s="947"/>
      <c r="FR6" s="946"/>
      <c r="FS6" s="947"/>
      <c r="FT6" s="948"/>
      <c r="FU6" s="946"/>
      <c r="FV6" s="947"/>
      <c r="FW6" s="947"/>
      <c r="FX6" s="946"/>
      <c r="FY6" s="947"/>
      <c r="FZ6" s="948"/>
      <c r="GA6" s="946"/>
      <c r="GB6" s="947"/>
      <c r="GC6" s="947"/>
      <c r="GD6" s="946" t="s">
        <v>380</v>
      </c>
      <c r="GE6" s="947"/>
      <c r="GF6" s="948"/>
      <c r="GG6" s="946" t="s">
        <v>381</v>
      </c>
      <c r="GH6" s="947"/>
      <c r="GI6" s="947"/>
      <c r="GJ6" s="946" t="s">
        <v>382</v>
      </c>
      <c r="GK6" s="947"/>
      <c r="GL6" s="948"/>
      <c r="GM6" s="946" t="s">
        <v>383</v>
      </c>
      <c r="GN6" s="947"/>
      <c r="GO6" s="947"/>
      <c r="GP6" s="946" t="s">
        <v>384</v>
      </c>
      <c r="GQ6" s="947"/>
      <c r="GR6" s="948"/>
      <c r="GS6" s="946" t="s">
        <v>385</v>
      </c>
      <c r="GT6" s="947"/>
      <c r="GU6" s="947"/>
      <c r="GV6" s="946" t="s">
        <v>386</v>
      </c>
      <c r="GW6" s="947"/>
      <c r="GX6" s="948"/>
      <c r="GY6" s="946" t="s">
        <v>387</v>
      </c>
      <c r="GZ6" s="947"/>
      <c r="HA6" s="947"/>
      <c r="HB6" s="946" t="s">
        <v>362</v>
      </c>
      <c r="HC6" s="947"/>
      <c r="HD6" s="948"/>
      <c r="HE6" s="946" t="s">
        <v>378</v>
      </c>
      <c r="HF6" s="947"/>
      <c r="HG6" s="947"/>
      <c r="HH6" s="946" t="s">
        <v>377</v>
      </c>
      <c r="HI6" s="947"/>
      <c r="HJ6" s="948"/>
      <c r="HK6" s="946" t="s">
        <v>358</v>
      </c>
      <c r="HL6" s="947"/>
      <c r="HM6" s="947"/>
      <c r="HN6" s="946" t="s">
        <v>388</v>
      </c>
      <c r="HO6" s="947"/>
      <c r="HP6" s="948"/>
      <c r="HQ6" s="946" t="s">
        <v>369</v>
      </c>
      <c r="HR6" s="947"/>
      <c r="HS6" s="947"/>
      <c r="HT6" s="946" t="s">
        <v>389</v>
      </c>
      <c r="HU6" s="947"/>
      <c r="HV6" s="948"/>
      <c r="HW6" s="946" t="s">
        <v>390</v>
      </c>
      <c r="HX6" s="947"/>
      <c r="HY6" s="947"/>
      <c r="HZ6" s="946" t="s">
        <v>391</v>
      </c>
      <c r="IA6" s="947"/>
      <c r="IB6" s="948"/>
      <c r="IC6" s="946" t="s">
        <v>392</v>
      </c>
      <c r="ID6" s="947"/>
      <c r="IE6" s="947"/>
      <c r="IF6" s="946" t="s">
        <v>393</v>
      </c>
      <c r="IG6" s="947"/>
      <c r="IH6" s="948"/>
      <c r="II6" s="945" t="s">
        <v>364</v>
      </c>
      <c r="IJ6" s="945"/>
      <c r="IK6" s="945"/>
      <c r="IL6" s="946" t="s">
        <v>367</v>
      </c>
      <c r="IM6" s="947"/>
      <c r="IN6" s="948"/>
      <c r="IO6" s="946" t="s">
        <v>368</v>
      </c>
      <c r="IP6" s="947"/>
      <c r="IQ6" s="947"/>
      <c r="IR6" s="946" t="s">
        <v>363</v>
      </c>
      <c r="IS6" s="947"/>
      <c r="IT6" s="948"/>
      <c r="IU6" s="946" t="s">
        <v>394</v>
      </c>
      <c r="IV6" s="947"/>
      <c r="IW6" s="947"/>
      <c r="IX6" s="946" t="s">
        <v>371</v>
      </c>
      <c r="IY6" s="947"/>
      <c r="IZ6" s="948"/>
      <c r="JA6" s="946" t="s">
        <v>395</v>
      </c>
      <c r="JB6" s="947"/>
      <c r="JC6" s="947"/>
      <c r="JD6" s="946" t="s">
        <v>396</v>
      </c>
      <c r="JE6" s="947"/>
      <c r="JF6" s="948"/>
      <c r="JG6" s="946" t="s">
        <v>397</v>
      </c>
      <c r="JH6" s="947"/>
      <c r="JI6" s="947"/>
      <c r="JJ6" s="946"/>
      <c r="JK6" s="947"/>
      <c r="JL6" s="948"/>
      <c r="JM6" s="946"/>
      <c r="JN6" s="947"/>
      <c r="JO6" s="947"/>
      <c r="JP6" s="946"/>
      <c r="JQ6" s="947"/>
      <c r="JR6" s="948"/>
      <c r="JS6" s="946"/>
      <c r="JT6" s="947"/>
      <c r="JU6" s="947"/>
      <c r="JV6" s="946"/>
      <c r="JW6" s="947"/>
      <c r="JX6" s="948"/>
      <c r="JY6" s="946"/>
      <c r="JZ6" s="947"/>
      <c r="KA6" s="947"/>
      <c r="KB6" s="946"/>
      <c r="KC6" s="947"/>
      <c r="KD6" s="948"/>
      <c r="KE6" s="946"/>
      <c r="KF6" s="947"/>
      <c r="KG6" s="947"/>
      <c r="KH6" s="946"/>
      <c r="KI6" s="947"/>
      <c r="KJ6" s="948"/>
      <c r="KK6" s="946"/>
      <c r="KL6" s="947"/>
      <c r="KM6" s="947"/>
      <c r="KN6" s="946"/>
      <c r="KO6" s="947"/>
      <c r="KP6" s="948"/>
      <c r="KQ6" s="945"/>
      <c r="KR6" s="945"/>
      <c r="KS6" s="945"/>
      <c r="KT6" s="950"/>
      <c r="KU6" s="950"/>
    </row>
    <row r="7" spans="1:308" ht="15" customHeight="1">
      <c r="A7" s="965"/>
      <c r="B7" s="956"/>
      <c r="C7" s="956"/>
      <c r="D7" s="962"/>
      <c r="E7" s="959"/>
      <c r="F7" s="943" t="s">
        <v>134</v>
      </c>
      <c r="G7" s="944"/>
      <c r="H7" s="527" t="s">
        <v>398</v>
      </c>
      <c r="I7" s="943" t="s">
        <v>134</v>
      </c>
      <c r="J7" s="944"/>
      <c r="K7" s="527" t="s">
        <v>398</v>
      </c>
      <c r="L7" s="943" t="s">
        <v>134</v>
      </c>
      <c r="M7" s="944"/>
      <c r="N7" s="527" t="s">
        <v>398</v>
      </c>
      <c r="O7" s="943" t="s">
        <v>134</v>
      </c>
      <c r="P7" s="944"/>
      <c r="Q7" s="527" t="s">
        <v>398</v>
      </c>
      <c r="R7" s="943" t="s">
        <v>134</v>
      </c>
      <c r="S7" s="944"/>
      <c r="T7" s="527" t="s">
        <v>398</v>
      </c>
      <c r="U7" s="943" t="s">
        <v>134</v>
      </c>
      <c r="V7" s="944"/>
      <c r="W7" s="527" t="s">
        <v>398</v>
      </c>
      <c r="X7" s="943" t="s">
        <v>134</v>
      </c>
      <c r="Y7" s="944"/>
      <c r="Z7" s="527" t="s">
        <v>398</v>
      </c>
      <c r="AA7" s="943" t="s">
        <v>134</v>
      </c>
      <c r="AB7" s="944"/>
      <c r="AC7" s="527" t="s">
        <v>398</v>
      </c>
      <c r="AD7" s="943" t="s">
        <v>134</v>
      </c>
      <c r="AE7" s="944"/>
      <c r="AF7" s="527" t="s">
        <v>398</v>
      </c>
      <c r="AG7" s="943" t="s">
        <v>134</v>
      </c>
      <c r="AH7" s="944"/>
      <c r="AI7" s="527" t="s">
        <v>398</v>
      </c>
      <c r="AJ7" s="943" t="s">
        <v>134</v>
      </c>
      <c r="AK7" s="944"/>
      <c r="AL7" s="527" t="s">
        <v>398</v>
      </c>
      <c r="AM7" s="943" t="s">
        <v>134</v>
      </c>
      <c r="AN7" s="944"/>
      <c r="AO7" s="527" t="s">
        <v>398</v>
      </c>
      <c r="AP7" s="943" t="s">
        <v>134</v>
      </c>
      <c r="AQ7" s="944"/>
      <c r="AR7" s="527" t="s">
        <v>398</v>
      </c>
      <c r="AS7" s="943" t="s">
        <v>134</v>
      </c>
      <c r="AT7" s="944"/>
      <c r="AU7" s="527" t="s">
        <v>398</v>
      </c>
      <c r="AV7" s="943" t="s">
        <v>134</v>
      </c>
      <c r="AW7" s="944"/>
      <c r="AX7" s="527" t="s">
        <v>398</v>
      </c>
      <c r="AY7" s="943" t="s">
        <v>134</v>
      </c>
      <c r="AZ7" s="944"/>
      <c r="BA7" s="527" t="s">
        <v>398</v>
      </c>
      <c r="BB7" s="943" t="s">
        <v>134</v>
      </c>
      <c r="BC7" s="944"/>
      <c r="BD7" s="527" t="s">
        <v>398</v>
      </c>
      <c r="BE7" s="943" t="s">
        <v>134</v>
      </c>
      <c r="BF7" s="944"/>
      <c r="BG7" s="527" t="s">
        <v>398</v>
      </c>
      <c r="BH7" s="943" t="s">
        <v>134</v>
      </c>
      <c r="BI7" s="944"/>
      <c r="BJ7" s="527" t="s">
        <v>398</v>
      </c>
      <c r="BK7" s="943" t="s">
        <v>134</v>
      </c>
      <c r="BL7" s="944"/>
      <c r="BM7" s="527" t="s">
        <v>398</v>
      </c>
      <c r="BN7" s="943" t="s">
        <v>134</v>
      </c>
      <c r="BO7" s="944"/>
      <c r="BP7" s="527" t="s">
        <v>398</v>
      </c>
      <c r="BQ7" s="943" t="s">
        <v>134</v>
      </c>
      <c r="BR7" s="944"/>
      <c r="BS7" s="527" t="s">
        <v>398</v>
      </c>
      <c r="BT7" s="943" t="s">
        <v>134</v>
      </c>
      <c r="BU7" s="944"/>
      <c r="BV7" s="527" t="s">
        <v>398</v>
      </c>
      <c r="BW7" s="943" t="s">
        <v>134</v>
      </c>
      <c r="BX7" s="944"/>
      <c r="BY7" s="527" t="s">
        <v>398</v>
      </c>
      <c r="BZ7" s="943" t="s">
        <v>134</v>
      </c>
      <c r="CA7" s="944"/>
      <c r="CB7" s="527" t="s">
        <v>398</v>
      </c>
      <c r="CC7" s="943" t="s">
        <v>134</v>
      </c>
      <c r="CD7" s="944"/>
      <c r="CE7" s="527" t="s">
        <v>398</v>
      </c>
      <c r="CF7" s="943" t="s">
        <v>134</v>
      </c>
      <c r="CG7" s="944"/>
      <c r="CH7" s="527" t="s">
        <v>398</v>
      </c>
      <c r="CI7" s="943" t="s">
        <v>134</v>
      </c>
      <c r="CJ7" s="944"/>
      <c r="CK7" s="527" t="s">
        <v>398</v>
      </c>
      <c r="CL7" s="943" t="s">
        <v>134</v>
      </c>
      <c r="CM7" s="944"/>
      <c r="CN7" s="527" t="s">
        <v>398</v>
      </c>
      <c r="CO7" s="943" t="s">
        <v>134</v>
      </c>
      <c r="CP7" s="944"/>
      <c r="CQ7" s="527" t="s">
        <v>398</v>
      </c>
      <c r="CR7" s="943" t="s">
        <v>134</v>
      </c>
      <c r="CS7" s="944"/>
      <c r="CT7" s="527" t="s">
        <v>398</v>
      </c>
      <c r="CU7" s="943" t="s">
        <v>134</v>
      </c>
      <c r="CV7" s="944"/>
      <c r="CW7" s="527" t="s">
        <v>398</v>
      </c>
      <c r="CX7" s="943" t="s">
        <v>134</v>
      </c>
      <c r="CY7" s="944"/>
      <c r="CZ7" s="527" t="s">
        <v>398</v>
      </c>
      <c r="DA7" s="943" t="s">
        <v>134</v>
      </c>
      <c r="DB7" s="944"/>
      <c r="DC7" s="527" t="s">
        <v>398</v>
      </c>
      <c r="DD7" s="943" t="s">
        <v>134</v>
      </c>
      <c r="DE7" s="944"/>
      <c r="DF7" s="527" t="s">
        <v>398</v>
      </c>
      <c r="DG7" s="943" t="s">
        <v>134</v>
      </c>
      <c r="DH7" s="944"/>
      <c r="DI7" s="527" t="s">
        <v>398</v>
      </c>
      <c r="DJ7" s="943" t="s">
        <v>134</v>
      </c>
      <c r="DK7" s="944"/>
      <c r="DL7" s="527" t="s">
        <v>398</v>
      </c>
      <c r="DM7" s="943" t="s">
        <v>134</v>
      </c>
      <c r="DN7" s="944"/>
      <c r="DO7" s="527" t="s">
        <v>398</v>
      </c>
      <c r="DP7" s="943" t="s">
        <v>134</v>
      </c>
      <c r="DQ7" s="944"/>
      <c r="DR7" s="527" t="s">
        <v>398</v>
      </c>
      <c r="DS7" s="943" t="s">
        <v>134</v>
      </c>
      <c r="DT7" s="944"/>
      <c r="DU7" s="527" t="s">
        <v>398</v>
      </c>
      <c r="DV7" s="943" t="s">
        <v>134</v>
      </c>
      <c r="DW7" s="944"/>
      <c r="DX7" s="527" t="s">
        <v>398</v>
      </c>
      <c r="DY7" s="943" t="s">
        <v>134</v>
      </c>
      <c r="DZ7" s="944"/>
      <c r="EA7" s="527" t="s">
        <v>398</v>
      </c>
      <c r="EB7" s="943" t="s">
        <v>134</v>
      </c>
      <c r="EC7" s="944"/>
      <c r="ED7" s="527" t="s">
        <v>398</v>
      </c>
      <c r="EE7" s="943" t="s">
        <v>134</v>
      </c>
      <c r="EF7" s="944"/>
      <c r="EG7" s="527" t="s">
        <v>398</v>
      </c>
      <c r="EH7" s="943" t="s">
        <v>134</v>
      </c>
      <c r="EI7" s="944"/>
      <c r="EJ7" s="527" t="s">
        <v>398</v>
      </c>
      <c r="EK7" s="943" t="s">
        <v>134</v>
      </c>
      <c r="EL7" s="944"/>
      <c r="EM7" s="527" t="s">
        <v>398</v>
      </c>
      <c r="EN7" s="943" t="s">
        <v>134</v>
      </c>
      <c r="EO7" s="944"/>
      <c r="EP7" s="527" t="s">
        <v>398</v>
      </c>
      <c r="EQ7" s="943" t="s">
        <v>134</v>
      </c>
      <c r="ER7" s="944"/>
      <c r="ES7" s="527" t="s">
        <v>398</v>
      </c>
      <c r="ET7" s="943" t="s">
        <v>134</v>
      </c>
      <c r="EU7" s="944"/>
      <c r="EV7" s="527" t="s">
        <v>398</v>
      </c>
      <c r="EW7" s="943" t="s">
        <v>134</v>
      </c>
      <c r="EX7" s="944"/>
      <c r="EY7" s="527" t="s">
        <v>398</v>
      </c>
      <c r="EZ7" s="943" t="s">
        <v>134</v>
      </c>
      <c r="FA7" s="944"/>
      <c r="FB7" s="527" t="s">
        <v>398</v>
      </c>
      <c r="FC7" s="943" t="s">
        <v>134</v>
      </c>
      <c r="FD7" s="944"/>
      <c r="FE7" s="527" t="s">
        <v>398</v>
      </c>
      <c r="FF7" s="943" t="s">
        <v>134</v>
      </c>
      <c r="FG7" s="944"/>
      <c r="FH7" s="527" t="s">
        <v>398</v>
      </c>
      <c r="FI7" s="943" t="s">
        <v>134</v>
      </c>
      <c r="FJ7" s="944"/>
      <c r="FK7" s="527" t="s">
        <v>398</v>
      </c>
      <c r="FL7" s="943" t="s">
        <v>134</v>
      </c>
      <c r="FM7" s="944"/>
      <c r="FN7" s="527" t="s">
        <v>398</v>
      </c>
      <c r="FO7" s="943" t="s">
        <v>134</v>
      </c>
      <c r="FP7" s="944"/>
      <c r="FQ7" s="527" t="s">
        <v>398</v>
      </c>
      <c r="FR7" s="943" t="s">
        <v>134</v>
      </c>
      <c r="FS7" s="944"/>
      <c r="FT7" s="527" t="s">
        <v>398</v>
      </c>
      <c r="FU7" s="943" t="s">
        <v>134</v>
      </c>
      <c r="FV7" s="944"/>
      <c r="FW7" s="527" t="s">
        <v>398</v>
      </c>
      <c r="FX7" s="943" t="s">
        <v>134</v>
      </c>
      <c r="FY7" s="944"/>
      <c r="FZ7" s="527" t="s">
        <v>398</v>
      </c>
      <c r="GA7" s="943" t="s">
        <v>134</v>
      </c>
      <c r="GB7" s="944"/>
      <c r="GC7" s="527" t="s">
        <v>398</v>
      </c>
      <c r="GD7" s="943" t="s">
        <v>134</v>
      </c>
      <c r="GE7" s="944"/>
      <c r="GF7" s="527" t="s">
        <v>398</v>
      </c>
      <c r="GG7" s="943" t="s">
        <v>134</v>
      </c>
      <c r="GH7" s="944"/>
      <c r="GI7" s="527" t="s">
        <v>398</v>
      </c>
      <c r="GJ7" s="943" t="s">
        <v>134</v>
      </c>
      <c r="GK7" s="944"/>
      <c r="GL7" s="527" t="s">
        <v>398</v>
      </c>
      <c r="GM7" s="943" t="s">
        <v>134</v>
      </c>
      <c r="GN7" s="944"/>
      <c r="GO7" s="527" t="s">
        <v>398</v>
      </c>
      <c r="GP7" s="943" t="s">
        <v>134</v>
      </c>
      <c r="GQ7" s="944"/>
      <c r="GR7" s="527" t="s">
        <v>398</v>
      </c>
      <c r="GS7" s="943" t="s">
        <v>134</v>
      </c>
      <c r="GT7" s="944"/>
      <c r="GU7" s="527" t="s">
        <v>398</v>
      </c>
      <c r="GV7" s="943" t="s">
        <v>134</v>
      </c>
      <c r="GW7" s="944"/>
      <c r="GX7" s="527" t="s">
        <v>398</v>
      </c>
      <c r="GY7" s="943" t="s">
        <v>134</v>
      </c>
      <c r="GZ7" s="944"/>
      <c r="HA7" s="527" t="s">
        <v>398</v>
      </c>
      <c r="HB7" s="943" t="s">
        <v>134</v>
      </c>
      <c r="HC7" s="944"/>
      <c r="HD7" s="527" t="s">
        <v>398</v>
      </c>
      <c r="HE7" s="943" t="s">
        <v>134</v>
      </c>
      <c r="HF7" s="944"/>
      <c r="HG7" s="527" t="s">
        <v>398</v>
      </c>
      <c r="HH7" s="943" t="s">
        <v>134</v>
      </c>
      <c r="HI7" s="944"/>
      <c r="HJ7" s="527" t="s">
        <v>398</v>
      </c>
      <c r="HK7" s="943" t="s">
        <v>134</v>
      </c>
      <c r="HL7" s="944"/>
      <c r="HM7" s="527" t="s">
        <v>398</v>
      </c>
      <c r="HN7" s="943" t="s">
        <v>134</v>
      </c>
      <c r="HO7" s="944"/>
      <c r="HP7" s="527" t="s">
        <v>398</v>
      </c>
      <c r="HQ7" s="943" t="s">
        <v>134</v>
      </c>
      <c r="HR7" s="944"/>
      <c r="HS7" s="527" t="s">
        <v>398</v>
      </c>
      <c r="HT7" s="943" t="s">
        <v>134</v>
      </c>
      <c r="HU7" s="944"/>
      <c r="HV7" s="527" t="s">
        <v>398</v>
      </c>
      <c r="HW7" s="943" t="s">
        <v>134</v>
      </c>
      <c r="HX7" s="944"/>
      <c r="HY7" s="527" t="s">
        <v>398</v>
      </c>
      <c r="HZ7" s="943" t="s">
        <v>134</v>
      </c>
      <c r="IA7" s="944"/>
      <c r="IB7" s="527" t="s">
        <v>398</v>
      </c>
      <c r="IC7" s="943" t="s">
        <v>134</v>
      </c>
      <c r="ID7" s="944"/>
      <c r="IE7" s="527" t="s">
        <v>398</v>
      </c>
      <c r="IF7" s="943" t="s">
        <v>134</v>
      </c>
      <c r="IG7" s="944"/>
      <c r="IH7" s="527" t="s">
        <v>398</v>
      </c>
      <c r="II7" s="945" t="s">
        <v>134</v>
      </c>
      <c r="IJ7" s="945"/>
      <c r="IK7" s="532" t="s">
        <v>398</v>
      </c>
      <c r="IL7" s="943" t="s">
        <v>134</v>
      </c>
      <c r="IM7" s="944"/>
      <c r="IN7" s="527" t="s">
        <v>398</v>
      </c>
      <c r="IO7" s="943" t="s">
        <v>134</v>
      </c>
      <c r="IP7" s="944"/>
      <c r="IQ7" s="527" t="s">
        <v>398</v>
      </c>
      <c r="IR7" s="943" t="s">
        <v>134</v>
      </c>
      <c r="IS7" s="944"/>
      <c r="IT7" s="527" t="s">
        <v>398</v>
      </c>
      <c r="IU7" s="943" t="s">
        <v>134</v>
      </c>
      <c r="IV7" s="944"/>
      <c r="IW7" s="527" t="s">
        <v>398</v>
      </c>
      <c r="IX7" s="943" t="s">
        <v>134</v>
      </c>
      <c r="IY7" s="944"/>
      <c r="IZ7" s="527" t="s">
        <v>398</v>
      </c>
      <c r="JA7" s="943" t="s">
        <v>134</v>
      </c>
      <c r="JB7" s="944"/>
      <c r="JC7" s="527" t="s">
        <v>398</v>
      </c>
      <c r="JD7" s="943" t="s">
        <v>134</v>
      </c>
      <c r="JE7" s="944"/>
      <c r="JF7" s="527" t="s">
        <v>398</v>
      </c>
      <c r="JG7" s="943" t="s">
        <v>134</v>
      </c>
      <c r="JH7" s="944"/>
      <c r="JI7" s="527" t="s">
        <v>398</v>
      </c>
      <c r="JJ7" s="943" t="s">
        <v>134</v>
      </c>
      <c r="JK7" s="944"/>
      <c r="JL7" s="527" t="s">
        <v>398</v>
      </c>
      <c r="JM7" s="943" t="s">
        <v>134</v>
      </c>
      <c r="JN7" s="944"/>
      <c r="JO7" s="527" t="s">
        <v>398</v>
      </c>
      <c r="JP7" s="943" t="s">
        <v>134</v>
      </c>
      <c r="JQ7" s="944"/>
      <c r="JR7" s="527" t="s">
        <v>398</v>
      </c>
      <c r="JS7" s="943" t="s">
        <v>134</v>
      </c>
      <c r="JT7" s="944"/>
      <c r="JU7" s="527" t="s">
        <v>398</v>
      </c>
      <c r="JV7" s="943" t="s">
        <v>134</v>
      </c>
      <c r="JW7" s="944"/>
      <c r="JX7" s="527" t="s">
        <v>398</v>
      </c>
      <c r="JY7" s="943" t="s">
        <v>134</v>
      </c>
      <c r="JZ7" s="944"/>
      <c r="KA7" s="527" t="s">
        <v>398</v>
      </c>
      <c r="KB7" s="943" t="s">
        <v>134</v>
      </c>
      <c r="KC7" s="944"/>
      <c r="KD7" s="527" t="s">
        <v>398</v>
      </c>
      <c r="KE7" s="943" t="s">
        <v>134</v>
      </c>
      <c r="KF7" s="944"/>
      <c r="KG7" s="527" t="s">
        <v>398</v>
      </c>
      <c r="KH7" s="943" t="s">
        <v>134</v>
      </c>
      <c r="KI7" s="944"/>
      <c r="KJ7" s="527" t="s">
        <v>398</v>
      </c>
      <c r="KK7" s="943" t="s">
        <v>134</v>
      </c>
      <c r="KL7" s="944"/>
      <c r="KM7" s="527" t="s">
        <v>398</v>
      </c>
      <c r="KN7" s="943" t="s">
        <v>134</v>
      </c>
      <c r="KO7" s="944"/>
      <c r="KP7" s="527" t="s">
        <v>398</v>
      </c>
      <c r="KQ7" s="945" t="s">
        <v>134</v>
      </c>
      <c r="KR7" s="945"/>
      <c r="KS7" s="532" t="s">
        <v>398</v>
      </c>
      <c r="KT7" s="950"/>
      <c r="KU7" s="950"/>
    </row>
    <row r="8" spans="1:308" ht="15" customHeight="1" thickBot="1">
      <c r="A8" s="966"/>
      <c r="B8" s="957"/>
      <c r="C8" s="957"/>
      <c r="D8" s="963"/>
      <c r="E8" s="960"/>
      <c r="F8" s="528" t="s">
        <v>135</v>
      </c>
      <c r="G8" s="528" t="s">
        <v>39</v>
      </c>
      <c r="H8" s="529"/>
      <c r="I8" s="528" t="s">
        <v>135</v>
      </c>
      <c r="J8" s="528" t="s">
        <v>39</v>
      </c>
      <c r="K8" s="529"/>
      <c r="L8" s="528" t="s">
        <v>135</v>
      </c>
      <c r="M8" s="528" t="s">
        <v>39</v>
      </c>
      <c r="N8" s="529"/>
      <c r="O8" s="528" t="s">
        <v>135</v>
      </c>
      <c r="P8" s="528" t="s">
        <v>39</v>
      </c>
      <c r="Q8" s="529"/>
      <c r="R8" s="528" t="s">
        <v>135</v>
      </c>
      <c r="S8" s="528" t="s">
        <v>39</v>
      </c>
      <c r="T8" s="529"/>
      <c r="U8" s="528" t="s">
        <v>135</v>
      </c>
      <c r="V8" s="528" t="s">
        <v>39</v>
      </c>
      <c r="W8" s="529"/>
      <c r="X8" s="528" t="s">
        <v>135</v>
      </c>
      <c r="Y8" s="528" t="s">
        <v>39</v>
      </c>
      <c r="Z8" s="529"/>
      <c r="AA8" s="528" t="s">
        <v>135</v>
      </c>
      <c r="AB8" s="528" t="s">
        <v>39</v>
      </c>
      <c r="AC8" s="529"/>
      <c r="AD8" s="528" t="s">
        <v>135</v>
      </c>
      <c r="AE8" s="528" t="s">
        <v>39</v>
      </c>
      <c r="AF8" s="529"/>
      <c r="AG8" s="528" t="s">
        <v>135</v>
      </c>
      <c r="AH8" s="528" t="s">
        <v>39</v>
      </c>
      <c r="AI8" s="529"/>
      <c r="AJ8" s="528" t="s">
        <v>135</v>
      </c>
      <c r="AK8" s="528" t="s">
        <v>39</v>
      </c>
      <c r="AL8" s="529"/>
      <c r="AM8" s="528" t="s">
        <v>135</v>
      </c>
      <c r="AN8" s="528" t="s">
        <v>39</v>
      </c>
      <c r="AO8" s="529"/>
      <c r="AP8" s="528" t="s">
        <v>135</v>
      </c>
      <c r="AQ8" s="528" t="s">
        <v>39</v>
      </c>
      <c r="AR8" s="529"/>
      <c r="AS8" s="528" t="s">
        <v>135</v>
      </c>
      <c r="AT8" s="528" t="s">
        <v>39</v>
      </c>
      <c r="AU8" s="529"/>
      <c r="AV8" s="528" t="s">
        <v>135</v>
      </c>
      <c r="AW8" s="528" t="s">
        <v>39</v>
      </c>
      <c r="AX8" s="529"/>
      <c r="AY8" s="528" t="s">
        <v>135</v>
      </c>
      <c r="AZ8" s="528" t="s">
        <v>39</v>
      </c>
      <c r="BA8" s="529"/>
      <c r="BB8" s="528" t="s">
        <v>135</v>
      </c>
      <c r="BC8" s="528" t="s">
        <v>39</v>
      </c>
      <c r="BD8" s="529"/>
      <c r="BE8" s="528" t="s">
        <v>135</v>
      </c>
      <c r="BF8" s="528" t="s">
        <v>39</v>
      </c>
      <c r="BG8" s="529"/>
      <c r="BH8" s="528" t="s">
        <v>135</v>
      </c>
      <c r="BI8" s="528" t="s">
        <v>39</v>
      </c>
      <c r="BJ8" s="529"/>
      <c r="BK8" s="528" t="s">
        <v>135</v>
      </c>
      <c r="BL8" s="528" t="s">
        <v>39</v>
      </c>
      <c r="BM8" s="529"/>
      <c r="BN8" s="528" t="s">
        <v>135</v>
      </c>
      <c r="BO8" s="528" t="s">
        <v>39</v>
      </c>
      <c r="BP8" s="529"/>
      <c r="BQ8" s="528" t="s">
        <v>135</v>
      </c>
      <c r="BR8" s="528" t="s">
        <v>39</v>
      </c>
      <c r="BS8" s="529"/>
      <c r="BT8" s="528" t="s">
        <v>135</v>
      </c>
      <c r="BU8" s="528" t="s">
        <v>39</v>
      </c>
      <c r="BV8" s="529"/>
      <c r="BW8" s="528" t="s">
        <v>135</v>
      </c>
      <c r="BX8" s="528" t="s">
        <v>39</v>
      </c>
      <c r="BY8" s="529"/>
      <c r="BZ8" s="528" t="s">
        <v>135</v>
      </c>
      <c r="CA8" s="528" t="s">
        <v>39</v>
      </c>
      <c r="CB8" s="529"/>
      <c r="CC8" s="528" t="s">
        <v>135</v>
      </c>
      <c r="CD8" s="528" t="s">
        <v>39</v>
      </c>
      <c r="CE8" s="529"/>
      <c r="CF8" s="528" t="s">
        <v>135</v>
      </c>
      <c r="CG8" s="528" t="s">
        <v>39</v>
      </c>
      <c r="CH8" s="529"/>
      <c r="CI8" s="528" t="s">
        <v>135</v>
      </c>
      <c r="CJ8" s="528" t="s">
        <v>39</v>
      </c>
      <c r="CK8" s="529"/>
      <c r="CL8" s="528" t="s">
        <v>135</v>
      </c>
      <c r="CM8" s="528" t="s">
        <v>39</v>
      </c>
      <c r="CN8" s="529"/>
      <c r="CO8" s="528" t="s">
        <v>135</v>
      </c>
      <c r="CP8" s="528" t="s">
        <v>39</v>
      </c>
      <c r="CQ8" s="529"/>
      <c r="CR8" s="528" t="s">
        <v>135</v>
      </c>
      <c r="CS8" s="528" t="s">
        <v>39</v>
      </c>
      <c r="CT8" s="529"/>
      <c r="CU8" s="528" t="s">
        <v>135</v>
      </c>
      <c r="CV8" s="528" t="s">
        <v>39</v>
      </c>
      <c r="CW8" s="529"/>
      <c r="CX8" s="528" t="s">
        <v>135</v>
      </c>
      <c r="CY8" s="528" t="s">
        <v>39</v>
      </c>
      <c r="CZ8" s="529"/>
      <c r="DA8" s="528" t="s">
        <v>135</v>
      </c>
      <c r="DB8" s="528" t="s">
        <v>39</v>
      </c>
      <c r="DC8" s="529"/>
      <c r="DD8" s="528" t="s">
        <v>135</v>
      </c>
      <c r="DE8" s="528" t="s">
        <v>39</v>
      </c>
      <c r="DF8" s="529"/>
      <c r="DG8" s="528" t="s">
        <v>135</v>
      </c>
      <c r="DH8" s="528" t="s">
        <v>39</v>
      </c>
      <c r="DI8" s="529"/>
      <c r="DJ8" s="528" t="s">
        <v>135</v>
      </c>
      <c r="DK8" s="528" t="s">
        <v>39</v>
      </c>
      <c r="DL8" s="529"/>
      <c r="DM8" s="528" t="s">
        <v>135</v>
      </c>
      <c r="DN8" s="528" t="s">
        <v>39</v>
      </c>
      <c r="DO8" s="529"/>
      <c r="DP8" s="528" t="s">
        <v>135</v>
      </c>
      <c r="DQ8" s="528" t="s">
        <v>39</v>
      </c>
      <c r="DR8" s="529"/>
      <c r="DS8" s="528" t="s">
        <v>135</v>
      </c>
      <c r="DT8" s="528" t="s">
        <v>39</v>
      </c>
      <c r="DU8" s="529"/>
      <c r="DV8" s="528" t="s">
        <v>135</v>
      </c>
      <c r="DW8" s="528" t="s">
        <v>39</v>
      </c>
      <c r="DX8" s="529"/>
      <c r="DY8" s="528" t="s">
        <v>135</v>
      </c>
      <c r="DZ8" s="528" t="s">
        <v>39</v>
      </c>
      <c r="EA8" s="529"/>
      <c r="EB8" s="528" t="s">
        <v>135</v>
      </c>
      <c r="EC8" s="528" t="s">
        <v>39</v>
      </c>
      <c r="ED8" s="527"/>
      <c r="EE8" s="528" t="s">
        <v>135</v>
      </c>
      <c r="EF8" s="528" t="s">
        <v>39</v>
      </c>
      <c r="EG8" s="529"/>
      <c r="EH8" s="528" t="s">
        <v>135</v>
      </c>
      <c r="EI8" s="528" t="s">
        <v>39</v>
      </c>
      <c r="EJ8" s="529"/>
      <c r="EK8" s="528" t="s">
        <v>135</v>
      </c>
      <c r="EL8" s="528" t="s">
        <v>39</v>
      </c>
      <c r="EM8" s="529"/>
      <c r="EN8" s="528" t="s">
        <v>135</v>
      </c>
      <c r="EO8" s="528" t="s">
        <v>39</v>
      </c>
      <c r="EP8" s="529"/>
      <c r="EQ8" s="528" t="s">
        <v>135</v>
      </c>
      <c r="ER8" s="528" t="s">
        <v>39</v>
      </c>
      <c r="ES8" s="529"/>
      <c r="ET8" s="528" t="s">
        <v>135</v>
      </c>
      <c r="EU8" s="528" t="s">
        <v>39</v>
      </c>
      <c r="EV8" s="529"/>
      <c r="EW8" s="528" t="s">
        <v>135</v>
      </c>
      <c r="EX8" s="528" t="s">
        <v>39</v>
      </c>
      <c r="EY8" s="529"/>
      <c r="EZ8" s="528" t="s">
        <v>135</v>
      </c>
      <c r="FA8" s="528" t="s">
        <v>39</v>
      </c>
      <c r="FB8" s="529"/>
      <c r="FC8" s="528" t="s">
        <v>135</v>
      </c>
      <c r="FD8" s="528" t="s">
        <v>39</v>
      </c>
      <c r="FE8" s="529"/>
      <c r="FF8" s="528" t="s">
        <v>135</v>
      </c>
      <c r="FG8" s="528" t="s">
        <v>39</v>
      </c>
      <c r="FH8" s="529"/>
      <c r="FI8" s="528" t="s">
        <v>135</v>
      </c>
      <c r="FJ8" s="528" t="s">
        <v>39</v>
      </c>
      <c r="FK8" s="529"/>
      <c r="FL8" s="528" t="s">
        <v>135</v>
      </c>
      <c r="FM8" s="528" t="s">
        <v>39</v>
      </c>
      <c r="FN8" s="529"/>
      <c r="FO8" s="528" t="s">
        <v>135</v>
      </c>
      <c r="FP8" s="528" t="s">
        <v>39</v>
      </c>
      <c r="FQ8" s="529"/>
      <c r="FR8" s="528" t="s">
        <v>135</v>
      </c>
      <c r="FS8" s="528" t="s">
        <v>39</v>
      </c>
      <c r="FT8" s="529"/>
      <c r="FU8" s="528" t="s">
        <v>135</v>
      </c>
      <c r="FV8" s="528" t="s">
        <v>39</v>
      </c>
      <c r="FW8" s="529"/>
      <c r="FX8" s="528" t="s">
        <v>135</v>
      </c>
      <c r="FY8" s="528" t="s">
        <v>39</v>
      </c>
      <c r="FZ8" s="529"/>
      <c r="GA8" s="528" t="s">
        <v>135</v>
      </c>
      <c r="GB8" s="528" t="s">
        <v>39</v>
      </c>
      <c r="GC8" s="529"/>
      <c r="GD8" s="528" t="s">
        <v>135</v>
      </c>
      <c r="GE8" s="528" t="s">
        <v>39</v>
      </c>
      <c r="GF8" s="529"/>
      <c r="GG8" s="528" t="s">
        <v>135</v>
      </c>
      <c r="GH8" s="528" t="s">
        <v>39</v>
      </c>
      <c r="GI8" s="529"/>
      <c r="GJ8" s="528" t="s">
        <v>135</v>
      </c>
      <c r="GK8" s="528" t="s">
        <v>39</v>
      </c>
      <c r="GL8" s="529"/>
      <c r="GM8" s="528" t="s">
        <v>135</v>
      </c>
      <c r="GN8" s="528" t="s">
        <v>39</v>
      </c>
      <c r="GO8" s="529"/>
      <c r="GP8" s="528" t="s">
        <v>135</v>
      </c>
      <c r="GQ8" s="528" t="s">
        <v>39</v>
      </c>
      <c r="GR8" s="529"/>
      <c r="GS8" s="528" t="s">
        <v>135</v>
      </c>
      <c r="GT8" s="528" t="s">
        <v>39</v>
      </c>
      <c r="GU8" s="529"/>
      <c r="GV8" s="528" t="s">
        <v>135</v>
      </c>
      <c r="GW8" s="528" t="s">
        <v>39</v>
      </c>
      <c r="GX8" s="529"/>
      <c r="GY8" s="528" t="s">
        <v>135</v>
      </c>
      <c r="GZ8" s="528" t="s">
        <v>39</v>
      </c>
      <c r="HA8" s="529"/>
      <c r="HB8" s="528" t="s">
        <v>135</v>
      </c>
      <c r="HC8" s="528" t="s">
        <v>39</v>
      </c>
      <c r="HD8" s="529"/>
      <c r="HE8" s="528" t="s">
        <v>135</v>
      </c>
      <c r="HF8" s="528" t="s">
        <v>39</v>
      </c>
      <c r="HG8" s="529"/>
      <c r="HH8" s="528" t="s">
        <v>135</v>
      </c>
      <c r="HI8" s="528" t="s">
        <v>39</v>
      </c>
      <c r="HJ8" s="529"/>
      <c r="HK8" s="528" t="s">
        <v>135</v>
      </c>
      <c r="HL8" s="528" t="s">
        <v>39</v>
      </c>
      <c r="HM8" s="529"/>
      <c r="HN8" s="528" t="s">
        <v>135</v>
      </c>
      <c r="HO8" s="528" t="s">
        <v>39</v>
      </c>
      <c r="HP8" s="529"/>
      <c r="HQ8" s="528" t="s">
        <v>135</v>
      </c>
      <c r="HR8" s="528" t="s">
        <v>39</v>
      </c>
      <c r="HS8" s="529"/>
      <c r="HT8" s="528" t="s">
        <v>135</v>
      </c>
      <c r="HU8" s="528" t="s">
        <v>39</v>
      </c>
      <c r="HV8" s="529"/>
      <c r="HW8" s="528" t="s">
        <v>135</v>
      </c>
      <c r="HX8" s="528" t="s">
        <v>39</v>
      </c>
      <c r="HY8" s="529"/>
      <c r="HZ8" s="528" t="s">
        <v>135</v>
      </c>
      <c r="IA8" s="528" t="s">
        <v>39</v>
      </c>
      <c r="IB8" s="529"/>
      <c r="IC8" s="528" t="s">
        <v>135</v>
      </c>
      <c r="ID8" s="528" t="s">
        <v>39</v>
      </c>
      <c r="IE8" s="529"/>
      <c r="IF8" s="528" t="s">
        <v>135</v>
      </c>
      <c r="IG8" s="528" t="s">
        <v>39</v>
      </c>
      <c r="IH8" s="529"/>
      <c r="II8" s="528" t="s">
        <v>135</v>
      </c>
      <c r="IJ8" s="528" t="s">
        <v>39</v>
      </c>
      <c r="IK8" s="529"/>
      <c r="IL8" s="528" t="s">
        <v>135</v>
      </c>
      <c r="IM8" s="528" t="s">
        <v>39</v>
      </c>
      <c r="IN8" s="529"/>
      <c r="IO8" s="528" t="s">
        <v>135</v>
      </c>
      <c r="IP8" s="528" t="s">
        <v>39</v>
      </c>
      <c r="IQ8" s="529"/>
      <c r="IR8" s="528" t="s">
        <v>135</v>
      </c>
      <c r="IS8" s="528" t="s">
        <v>39</v>
      </c>
      <c r="IT8" s="529"/>
      <c r="IU8" s="528" t="s">
        <v>135</v>
      </c>
      <c r="IV8" s="528" t="s">
        <v>39</v>
      </c>
      <c r="IW8" s="529"/>
      <c r="IX8" s="528" t="s">
        <v>135</v>
      </c>
      <c r="IY8" s="528" t="s">
        <v>39</v>
      </c>
      <c r="IZ8" s="529"/>
      <c r="JA8" s="528" t="s">
        <v>135</v>
      </c>
      <c r="JB8" s="528" t="s">
        <v>39</v>
      </c>
      <c r="JC8" s="529"/>
      <c r="JD8" s="528" t="s">
        <v>135</v>
      </c>
      <c r="JE8" s="528" t="s">
        <v>39</v>
      </c>
      <c r="JF8" s="529"/>
      <c r="JG8" s="528" t="s">
        <v>135</v>
      </c>
      <c r="JH8" s="528" t="s">
        <v>39</v>
      </c>
      <c r="JI8" s="529"/>
      <c r="JJ8" s="528" t="s">
        <v>135</v>
      </c>
      <c r="JK8" s="528" t="s">
        <v>39</v>
      </c>
      <c r="JL8" s="529" t="s">
        <v>413</v>
      </c>
      <c r="JM8" s="528" t="s">
        <v>135</v>
      </c>
      <c r="JN8" s="528" t="s">
        <v>39</v>
      </c>
      <c r="JO8" s="529" t="s">
        <v>413</v>
      </c>
      <c r="JP8" s="528" t="s">
        <v>135</v>
      </c>
      <c r="JQ8" s="528" t="s">
        <v>39</v>
      </c>
      <c r="JR8" s="529" t="s">
        <v>413</v>
      </c>
      <c r="JS8" s="528" t="s">
        <v>135</v>
      </c>
      <c r="JT8" s="528" t="s">
        <v>39</v>
      </c>
      <c r="JU8" s="529" t="s">
        <v>413</v>
      </c>
      <c r="JV8" s="528" t="s">
        <v>135</v>
      </c>
      <c r="JW8" s="528" t="s">
        <v>39</v>
      </c>
      <c r="JX8" s="529" t="s">
        <v>413</v>
      </c>
      <c r="JY8" s="528" t="s">
        <v>135</v>
      </c>
      <c r="JZ8" s="528" t="s">
        <v>39</v>
      </c>
      <c r="KA8" s="529" t="s">
        <v>413</v>
      </c>
      <c r="KB8" s="528" t="s">
        <v>135</v>
      </c>
      <c r="KC8" s="528" t="s">
        <v>39</v>
      </c>
      <c r="KD8" s="529" t="s">
        <v>413</v>
      </c>
      <c r="KE8" s="528" t="s">
        <v>135</v>
      </c>
      <c r="KF8" s="528" t="s">
        <v>39</v>
      </c>
      <c r="KG8" s="529" t="s">
        <v>413</v>
      </c>
      <c r="KH8" s="528" t="s">
        <v>135</v>
      </c>
      <c r="KI8" s="528" t="s">
        <v>39</v>
      </c>
      <c r="KJ8" s="529" t="s">
        <v>413</v>
      </c>
      <c r="KK8" s="528" t="s">
        <v>135</v>
      </c>
      <c r="KL8" s="528" t="s">
        <v>39</v>
      </c>
      <c r="KM8" s="529" t="s">
        <v>413</v>
      </c>
      <c r="KN8" s="528" t="s">
        <v>135</v>
      </c>
      <c r="KO8" s="528" t="s">
        <v>39</v>
      </c>
      <c r="KP8" s="529" t="s">
        <v>413</v>
      </c>
      <c r="KQ8" s="528" t="s">
        <v>135</v>
      </c>
      <c r="KR8" s="528" t="s">
        <v>39</v>
      </c>
      <c r="KS8" s="529" t="s">
        <v>413</v>
      </c>
      <c r="KT8" s="950"/>
      <c r="KU8" s="950"/>
    </row>
    <row r="9" spans="1:308" ht="15" customHeight="1">
      <c r="A9" s="274">
        <f>+Report1!A9</f>
        <v>45962</v>
      </c>
      <c r="B9" s="275" t="str">
        <f>+Report1!B9</f>
        <v>MG</v>
      </c>
      <c r="C9" s="415" t="str">
        <f>+Report1!C9</f>
        <v>14</v>
      </c>
      <c r="D9" s="276">
        <f>+Report1!P9</f>
        <v>65.826999999999998</v>
      </c>
      <c r="E9" s="277">
        <f>+Report1!R9</f>
        <v>59.673000000000002</v>
      </c>
      <c r="F9" s="533">
        <v>253.05120930232556</v>
      </c>
      <c r="G9" s="534">
        <f t="shared" ref="G9:G38" si="0">+F9/$E9</f>
        <v>4.2406315972437376</v>
      </c>
      <c r="H9" s="535">
        <f>+F9*$H$8</f>
        <v>0</v>
      </c>
      <c r="I9" s="533">
        <v>638.38066976744176</v>
      </c>
      <c r="J9" s="534">
        <f t="shared" ref="J9:J38" si="1">+I9/$E9</f>
        <v>10.697981830433223</v>
      </c>
      <c r="K9" s="535">
        <f>+I9*$H$8</f>
        <v>0</v>
      </c>
      <c r="L9" s="533"/>
      <c r="M9" s="534">
        <f t="shared" ref="M9:M38" si="2">+L9/$E9</f>
        <v>0</v>
      </c>
      <c r="N9" s="535">
        <f>+L9*$H$8</f>
        <v>0</v>
      </c>
      <c r="O9" s="533">
        <v>8.9004000000000474</v>
      </c>
      <c r="P9" s="534">
        <f t="shared" ref="P9:P38" si="3">+O9/$E9</f>
        <v>0.14915288321351444</v>
      </c>
      <c r="Q9" s="535">
        <f>+O9*$H$8</f>
        <v>0</v>
      </c>
      <c r="R9" s="533"/>
      <c r="S9" s="534">
        <f t="shared" ref="S9:S38" si="4">+R9/$E9</f>
        <v>0</v>
      </c>
      <c r="T9" s="535">
        <f>+R9*$H$8</f>
        <v>0</v>
      </c>
      <c r="U9" s="533">
        <v>5.069500000000005</v>
      </c>
      <c r="V9" s="534">
        <f t="shared" ref="V9:V38" si="5">+U9/$E9</f>
        <v>8.4954669616074355E-2</v>
      </c>
      <c r="W9" s="535">
        <f>+U9*$H$8</f>
        <v>0</v>
      </c>
      <c r="X9" s="533"/>
      <c r="Y9" s="534">
        <f t="shared" ref="Y9:Y38" si="6">+X9/$E9</f>
        <v>0</v>
      </c>
      <c r="Z9" s="535">
        <f>+X9*$H$8</f>
        <v>0</v>
      </c>
      <c r="AA9" s="533"/>
      <c r="AB9" s="534">
        <f t="shared" ref="AB9:AB38" si="7">+AA9/$E9</f>
        <v>0</v>
      </c>
      <c r="AC9" s="535">
        <f>+AA9*$H$8</f>
        <v>0</v>
      </c>
      <c r="AD9" s="533"/>
      <c r="AE9" s="534">
        <f t="shared" ref="AE9:AE38" si="8">+AD9/$E9</f>
        <v>0</v>
      </c>
      <c r="AF9" s="535">
        <f>+AD9*$H$8</f>
        <v>0</v>
      </c>
      <c r="AG9" s="533"/>
      <c r="AH9" s="534">
        <f t="shared" ref="AH9:AH38" si="9">+AG9/$E9</f>
        <v>0</v>
      </c>
      <c r="AI9" s="535">
        <f>+AG9*$H$8</f>
        <v>0</v>
      </c>
      <c r="AJ9" s="533">
        <v>0</v>
      </c>
      <c r="AK9" s="534">
        <f t="shared" ref="AK9:AK38" si="10">+AJ9/$E9</f>
        <v>0</v>
      </c>
      <c r="AL9" s="535">
        <f>+AJ9*$H$8</f>
        <v>0</v>
      </c>
      <c r="AM9" s="533">
        <v>0</v>
      </c>
      <c r="AN9" s="534">
        <f t="shared" ref="AN9:AN38" si="11">+AM9/$E9</f>
        <v>0</v>
      </c>
      <c r="AO9" s="535">
        <f>+AM9*$H$8</f>
        <v>0</v>
      </c>
      <c r="AP9" s="533">
        <v>0</v>
      </c>
      <c r="AQ9" s="534">
        <f t="shared" ref="AQ9:AQ38" si="12">+AP9/$E9</f>
        <v>0</v>
      </c>
      <c r="AR9" s="535">
        <f>+AP9*$H$8</f>
        <v>0</v>
      </c>
      <c r="AS9" s="533"/>
      <c r="AT9" s="534">
        <f t="shared" ref="AT9:AT38" si="13">+AS9/$E9</f>
        <v>0</v>
      </c>
      <c r="AU9" s="535">
        <f>+AS9*$H$8</f>
        <v>0</v>
      </c>
      <c r="AV9" s="533">
        <v>6.8565000000000111</v>
      </c>
      <c r="AW9" s="534">
        <f t="shared" ref="AW9:AW38" si="14">+AV9/$E9</f>
        <v>0.11490121160323782</v>
      </c>
      <c r="AX9" s="535">
        <f>+AV9*$H$8</f>
        <v>0</v>
      </c>
      <c r="AY9" s="533">
        <v>73.855466666666615</v>
      </c>
      <c r="AZ9" s="534">
        <f t="shared" ref="AZ9:AZ38" si="15">+AY9/$E9</f>
        <v>1.2376697445522533</v>
      </c>
      <c r="BA9" s="535">
        <f>+AY9*$H$8</f>
        <v>0</v>
      </c>
      <c r="BB9" s="533">
        <v>0</v>
      </c>
      <c r="BC9" s="534">
        <f t="shared" ref="BC9:BC38" si="16">+BB9/$E9</f>
        <v>0</v>
      </c>
      <c r="BD9" s="535">
        <f>+BB9*$H$8</f>
        <v>0</v>
      </c>
      <c r="BE9" s="533"/>
      <c r="BF9" s="534">
        <f t="shared" ref="BF9:BF38" si="17">+BE9/$E9</f>
        <v>0</v>
      </c>
      <c r="BG9" s="535">
        <f>+BE9*$H$8</f>
        <v>0</v>
      </c>
      <c r="BH9" s="533"/>
      <c r="BI9" s="534">
        <f t="shared" ref="BI9:BI38" si="18">+BH9/$E9</f>
        <v>0</v>
      </c>
      <c r="BJ9" s="535">
        <f>+BH9*$H$8</f>
        <v>0</v>
      </c>
      <c r="BK9" s="533"/>
      <c r="BL9" s="534">
        <f t="shared" ref="BL9:BL38" si="19">+BK9/$E9</f>
        <v>0</v>
      </c>
      <c r="BM9" s="535">
        <f>+BK9*$H$8</f>
        <v>0</v>
      </c>
      <c r="BN9" s="533">
        <v>7.5046000000000106</v>
      </c>
      <c r="BO9" s="534">
        <f t="shared" ref="BO9:BO38" si="20">+BN9/$E9</f>
        <v>0.1257620699478828</v>
      </c>
      <c r="BP9" s="535">
        <f>+BN9*$H$8</f>
        <v>0</v>
      </c>
      <c r="BQ9" s="533">
        <v>0</v>
      </c>
      <c r="BR9" s="534">
        <f t="shared" ref="BR9:BR38" si="21">+BQ9/$E9</f>
        <v>0</v>
      </c>
      <c r="BS9" s="535">
        <f>+BQ9*$H$8</f>
        <v>0</v>
      </c>
      <c r="BT9" s="533"/>
      <c r="BU9" s="534">
        <f t="shared" ref="BU9:BU38" si="22">+BT9/$E9</f>
        <v>0</v>
      </c>
      <c r="BV9" s="535">
        <f>+BT9*$H$8</f>
        <v>0</v>
      </c>
      <c r="BW9" s="533">
        <v>0.67999999999999972</v>
      </c>
      <c r="BX9" s="534">
        <f t="shared" ref="BX9:BX38" si="23">+BW9/$E9</f>
        <v>1.139543847301124E-2</v>
      </c>
      <c r="BY9" s="535">
        <f>+BW9*$H$8</f>
        <v>0</v>
      </c>
      <c r="BZ9" s="533"/>
      <c r="CA9" s="534">
        <f t="shared" ref="CA9:CA38" si="24">+BZ9/$E9</f>
        <v>0</v>
      </c>
      <c r="CB9" s="535">
        <f>+BZ9*$H$8</f>
        <v>0</v>
      </c>
      <c r="CC9" s="533">
        <v>15.000000000000004</v>
      </c>
      <c r="CD9" s="534">
        <f t="shared" ref="CD9:CD38" si="25">+CC9/$E9</f>
        <v>0.25136996631642455</v>
      </c>
      <c r="CE9" s="535">
        <f>+CC9*$H$8</f>
        <v>0</v>
      </c>
      <c r="CF9" s="533">
        <v>0.1</v>
      </c>
      <c r="CG9" s="534">
        <f t="shared" ref="CG9:CG38" si="26">+CF9/$E9</f>
        <v>1.6757997754428301E-3</v>
      </c>
      <c r="CH9" s="535">
        <f>+CF9*$H$8</f>
        <v>0</v>
      </c>
      <c r="CI9" s="533"/>
      <c r="CJ9" s="534">
        <f t="shared" ref="CJ9:CJ38" si="27">+CI9/$E9</f>
        <v>0</v>
      </c>
      <c r="CK9" s="535">
        <f>+CI9*$H$8</f>
        <v>0</v>
      </c>
      <c r="CL9" s="533"/>
      <c r="CM9" s="534">
        <f t="shared" ref="CM9:CM38" si="28">+CL9/$E9</f>
        <v>0</v>
      </c>
      <c r="CN9" s="535">
        <f>+CL9*$H$8</f>
        <v>0</v>
      </c>
      <c r="CO9" s="533"/>
      <c r="CP9" s="534">
        <f t="shared" ref="CP9:CP38" si="29">+CO9/$E9</f>
        <v>0</v>
      </c>
      <c r="CQ9" s="535">
        <f>+CO9*$H$8</f>
        <v>0</v>
      </c>
      <c r="CR9" s="533"/>
      <c r="CS9" s="534">
        <f t="shared" ref="CS9:CS38" si="30">+CR9/$E9</f>
        <v>0</v>
      </c>
      <c r="CT9" s="535">
        <f>+CR9*$H$8</f>
        <v>0</v>
      </c>
      <c r="CU9" s="533"/>
      <c r="CV9" s="534">
        <f t="shared" ref="CV9:CV38" si="31">+CU9/$E9</f>
        <v>0</v>
      </c>
      <c r="CW9" s="535">
        <f>+CU9*$H$8</f>
        <v>0</v>
      </c>
      <c r="CX9" s="533"/>
      <c r="CY9" s="534">
        <f t="shared" ref="CY9:CY38" si="32">+CX9/$E9</f>
        <v>0</v>
      </c>
      <c r="CZ9" s="535">
        <f>+CX9*$H$8</f>
        <v>0</v>
      </c>
      <c r="DA9" s="533"/>
      <c r="DB9" s="534">
        <f t="shared" ref="DB9:DB38" si="33">+DA9/$E9</f>
        <v>0</v>
      </c>
      <c r="DC9" s="535">
        <f>+DA9*$H$8</f>
        <v>0</v>
      </c>
      <c r="DD9" s="533"/>
      <c r="DE9" s="534">
        <f t="shared" ref="DE9:DE38" si="34">+DD9/$E9</f>
        <v>0</v>
      </c>
      <c r="DF9" s="535">
        <f>+DD9*$H$8</f>
        <v>0</v>
      </c>
      <c r="DG9" s="533">
        <v>4.7250000000000014</v>
      </c>
      <c r="DH9" s="534">
        <f t="shared" ref="DH9:DH38" si="35">+DG9/$E9</f>
        <v>7.9181539389673747E-2</v>
      </c>
      <c r="DI9" s="535">
        <v>0</v>
      </c>
      <c r="DJ9" s="533"/>
      <c r="DK9" s="534">
        <f t="shared" ref="DK9:DK38" si="36">+DJ9/$E9</f>
        <v>0</v>
      </c>
      <c r="DL9" s="535">
        <f>+DJ9*$H$8</f>
        <v>0</v>
      </c>
      <c r="DM9" s="533"/>
      <c r="DN9" s="534">
        <f t="shared" ref="DN9:DN38" si="37">+DM9/$E9</f>
        <v>0</v>
      </c>
      <c r="DO9" s="535">
        <f>+DM9*$H$8</f>
        <v>0</v>
      </c>
      <c r="DP9" s="533"/>
      <c r="DQ9" s="534">
        <f t="shared" ref="DQ9:DQ38" si="38">+DP9/$E9</f>
        <v>0</v>
      </c>
      <c r="DR9" s="535">
        <f>+DP9*$H$8</f>
        <v>0</v>
      </c>
      <c r="DS9" s="533"/>
      <c r="DT9" s="534">
        <f t="shared" ref="DT9:DT38" si="39">+DS9/$E9</f>
        <v>0</v>
      </c>
      <c r="DU9" s="535">
        <f>+DS9*$H$8</f>
        <v>0</v>
      </c>
      <c r="DV9" s="533"/>
      <c r="DW9" s="534">
        <f t="shared" ref="DW9:DW38" si="40">+DV9/$E9</f>
        <v>0</v>
      </c>
      <c r="DX9" s="535">
        <f>+DV9*$H$8</f>
        <v>0</v>
      </c>
      <c r="DY9" s="533"/>
      <c r="DZ9" s="534">
        <f t="shared" ref="DZ9:DZ38" si="41">+DY9/$E9</f>
        <v>0</v>
      </c>
      <c r="EA9" s="535">
        <f>+DY9*$H$8</f>
        <v>0</v>
      </c>
      <c r="EB9" s="533">
        <v>14.376381395348858</v>
      </c>
      <c r="EC9" s="534">
        <f t="shared" ref="EC9:EC38" si="42">+EB9/$E9</f>
        <v>0.24091936714006096</v>
      </c>
      <c r="ED9" s="535">
        <f>+EB9*$H$8</f>
        <v>0</v>
      </c>
      <c r="EE9" s="533">
        <v>1</v>
      </c>
      <c r="EF9" s="534">
        <f t="shared" ref="EF9:EF38" si="43">+EE9/$E9</f>
        <v>1.6757997754428301E-2</v>
      </c>
      <c r="EG9" s="535">
        <f>+EE9*$H$8</f>
        <v>0</v>
      </c>
      <c r="EH9" s="533"/>
      <c r="EI9" s="534">
        <f t="shared" ref="EI9:EI38" si="44">+EH9/$E9</f>
        <v>0</v>
      </c>
      <c r="EJ9" s="535">
        <f>+EH9*$H$8</f>
        <v>0</v>
      </c>
      <c r="EK9" s="533"/>
      <c r="EL9" s="534">
        <f t="shared" ref="EL9:EL38" si="45">+EK9/$E9</f>
        <v>0</v>
      </c>
      <c r="EM9" s="535">
        <f>+EK9*$H$8</f>
        <v>0</v>
      </c>
      <c r="EN9" s="533"/>
      <c r="EO9" s="534">
        <f t="shared" ref="EO9:EO38" si="46">+EN9/$E9</f>
        <v>0</v>
      </c>
      <c r="EP9" s="535">
        <f>+EN9*$H$8</f>
        <v>0</v>
      </c>
      <c r="EQ9" s="533"/>
      <c r="ER9" s="534">
        <f t="shared" ref="ER9:ER38" si="47">+EQ9/$E9</f>
        <v>0</v>
      </c>
      <c r="ES9" s="535">
        <f>+EQ9*$H$8</f>
        <v>0</v>
      </c>
      <c r="ET9" s="533"/>
      <c r="EU9" s="534">
        <f t="shared" ref="EU9:EU38" si="48">+ET9/$E9</f>
        <v>0</v>
      </c>
      <c r="EV9" s="535">
        <f>+ET9*$H$8</f>
        <v>0</v>
      </c>
      <c r="EW9" s="533"/>
      <c r="EX9" s="534">
        <f t="shared" ref="EX9:EX38" si="49">+EW9/$E9</f>
        <v>0</v>
      </c>
      <c r="EY9" s="535">
        <f>+EW9*$H$8</f>
        <v>0</v>
      </c>
      <c r="EZ9" s="533"/>
      <c r="FA9" s="534">
        <f t="shared" ref="FA9:FA38" si="50">+EZ9/$E9</f>
        <v>0</v>
      </c>
      <c r="FB9" s="535">
        <f>+EZ9*$H$8</f>
        <v>0</v>
      </c>
      <c r="FC9" s="533"/>
      <c r="FD9" s="534">
        <f t="shared" ref="FD9:FD38" si="51">+FC9/$E9</f>
        <v>0</v>
      </c>
      <c r="FE9" s="535">
        <f>+FC9*$H$8</f>
        <v>0</v>
      </c>
      <c r="FF9" s="533"/>
      <c r="FG9" s="534">
        <f t="shared" ref="FG9:FG38" si="52">+FF9/$E9</f>
        <v>0</v>
      </c>
      <c r="FH9" s="535">
        <f>+FF9*$H$8</f>
        <v>0</v>
      </c>
      <c r="FI9" s="533"/>
      <c r="FJ9" s="534">
        <f t="shared" ref="FJ9:FJ38" si="53">+FI9/$E9</f>
        <v>0</v>
      </c>
      <c r="FK9" s="535">
        <f>+FI9*$H$8</f>
        <v>0</v>
      </c>
      <c r="FL9" s="533"/>
      <c r="FM9" s="534">
        <f t="shared" ref="FM9:FM38" si="54">+FL9/$E9</f>
        <v>0</v>
      </c>
      <c r="FN9" s="535">
        <f>+FL9*$H$8</f>
        <v>0</v>
      </c>
      <c r="FO9" s="533"/>
      <c r="FP9" s="534">
        <f t="shared" ref="FP9:FP38" si="55">+FO9/$E9</f>
        <v>0</v>
      </c>
      <c r="FQ9" s="535">
        <f>+FO9*$H$8</f>
        <v>0</v>
      </c>
      <c r="FR9" s="533"/>
      <c r="FS9" s="534">
        <f t="shared" ref="FS9:FS38" si="56">+FR9/$E9</f>
        <v>0</v>
      </c>
      <c r="FT9" s="535">
        <f>+FR9*$H$8</f>
        <v>0</v>
      </c>
      <c r="FU9" s="533"/>
      <c r="FV9" s="534">
        <f t="shared" ref="FV9:FV38" si="57">+FU9/$E9</f>
        <v>0</v>
      </c>
      <c r="FW9" s="535">
        <f>+FU9*$H$8</f>
        <v>0</v>
      </c>
      <c r="FX9" s="533"/>
      <c r="FY9" s="534">
        <f t="shared" ref="FY9:FY38" si="58">+FX9/$E9</f>
        <v>0</v>
      </c>
      <c r="FZ9" s="535">
        <f>+FX9*$H$8</f>
        <v>0</v>
      </c>
      <c r="GA9" s="533"/>
      <c r="GB9" s="534">
        <f t="shared" ref="GB9:GB38" si="59">+GA9/$E9</f>
        <v>0</v>
      </c>
      <c r="GC9" s="535">
        <f>+GA9*$H$8</f>
        <v>0</v>
      </c>
      <c r="GD9" s="533"/>
      <c r="GE9" s="534">
        <f t="shared" ref="GE9:GE38" si="60">+GD9/$E9</f>
        <v>0</v>
      </c>
      <c r="GF9" s="535">
        <f>+GD9*$H$8</f>
        <v>0</v>
      </c>
      <c r="GG9" s="533"/>
      <c r="GH9" s="534">
        <f t="shared" ref="GH9:GH38" si="61">+GG9/$E9</f>
        <v>0</v>
      </c>
      <c r="GI9" s="535">
        <f>+GG9*$H$8</f>
        <v>0</v>
      </c>
      <c r="GJ9" s="533"/>
      <c r="GK9" s="534">
        <f t="shared" ref="GK9:GK38" si="62">+GJ9/$E9</f>
        <v>0</v>
      </c>
      <c r="GL9" s="535">
        <f>+GJ9*$H$8</f>
        <v>0</v>
      </c>
      <c r="GM9" s="533"/>
      <c r="GN9" s="534">
        <f t="shared" ref="GN9:GN38" si="63">+GM9/$E9</f>
        <v>0</v>
      </c>
      <c r="GO9" s="535">
        <f>+GM9*$H$8</f>
        <v>0</v>
      </c>
      <c r="GP9" s="533"/>
      <c r="GQ9" s="534">
        <f t="shared" ref="GQ9:GQ38" si="64">+GP9/$E9</f>
        <v>0</v>
      </c>
      <c r="GR9" s="535">
        <f>+GP9*$H$8</f>
        <v>0</v>
      </c>
      <c r="GS9" s="533"/>
      <c r="GT9" s="534">
        <f t="shared" ref="GT9:GT38" si="65">+GS9/$E9</f>
        <v>0</v>
      </c>
      <c r="GU9" s="535">
        <f>+GS9*$H$8</f>
        <v>0</v>
      </c>
      <c r="GV9" s="533"/>
      <c r="GW9" s="534">
        <f t="shared" ref="GW9:GW38" si="66">+GV9/$E9</f>
        <v>0</v>
      </c>
      <c r="GX9" s="535">
        <f>+GV9*$H$8</f>
        <v>0</v>
      </c>
      <c r="GY9" s="533"/>
      <c r="GZ9" s="534">
        <f t="shared" ref="GZ9:GZ38" si="67">+GY9/$E9</f>
        <v>0</v>
      </c>
      <c r="HA9" s="535">
        <f>+GY9*$H$8</f>
        <v>0</v>
      </c>
      <c r="HB9" s="533"/>
      <c r="HC9" s="534">
        <f t="shared" ref="HC9:HC38" si="68">+HB9/$E9</f>
        <v>0</v>
      </c>
      <c r="HD9" s="535">
        <f>+HB9*$H$8</f>
        <v>0</v>
      </c>
      <c r="HE9" s="533"/>
      <c r="HF9" s="534">
        <f t="shared" ref="HF9:HF38" si="69">+HE9/$E9</f>
        <v>0</v>
      </c>
      <c r="HG9" s="535">
        <f>+HE9*$H$8</f>
        <v>0</v>
      </c>
      <c r="HH9" s="533"/>
      <c r="HI9" s="534">
        <f t="shared" ref="HI9:HI38" si="70">+HH9/$E9</f>
        <v>0</v>
      </c>
      <c r="HJ9" s="535">
        <f>+HH9*$H$8</f>
        <v>0</v>
      </c>
      <c r="HK9" s="533"/>
      <c r="HL9" s="534">
        <f t="shared" ref="HL9:HL38" si="71">+HK9/$E9</f>
        <v>0</v>
      </c>
      <c r="HM9" s="535">
        <f>+HK9*$H$8</f>
        <v>0</v>
      </c>
      <c r="HN9" s="533"/>
      <c r="HO9" s="534">
        <f t="shared" ref="HO9:HO38" si="72">+HN9/$E9</f>
        <v>0</v>
      </c>
      <c r="HP9" s="535">
        <f>+HN9*$H$8</f>
        <v>0</v>
      </c>
      <c r="HQ9" s="533"/>
      <c r="HR9" s="534">
        <f t="shared" ref="HR9:HR38" si="73">+HQ9/$E9</f>
        <v>0</v>
      </c>
      <c r="HS9" s="535">
        <f>+HQ9*$H$8</f>
        <v>0</v>
      </c>
      <c r="HT9" s="533"/>
      <c r="HU9" s="534">
        <f t="shared" ref="HU9:HU38" si="74">+HT9/$E9</f>
        <v>0</v>
      </c>
      <c r="HV9" s="535">
        <f>+HT9*$H$8</f>
        <v>0</v>
      </c>
      <c r="HW9" s="533"/>
      <c r="HX9" s="534">
        <f t="shared" ref="HX9:HX38" si="75">+HW9/$E9</f>
        <v>0</v>
      </c>
      <c r="HY9" s="535">
        <f>+HW9*$H$8</f>
        <v>0</v>
      </c>
      <c r="HZ9" s="533"/>
      <c r="IA9" s="534">
        <f t="shared" ref="IA9:IA38" si="76">+HZ9/$E9</f>
        <v>0</v>
      </c>
      <c r="IB9" s="535">
        <f>+HZ9*$H$8</f>
        <v>0</v>
      </c>
      <c r="IC9" s="533"/>
      <c r="ID9" s="534">
        <f t="shared" ref="ID9:ID38" si="77">+IC9/$E9</f>
        <v>0</v>
      </c>
      <c r="IE9" s="535">
        <f>+IC9*$H$8</f>
        <v>0</v>
      </c>
      <c r="IF9" s="533"/>
      <c r="IG9" s="534">
        <f t="shared" ref="IG9:IG38" si="78">+IF9/$E9</f>
        <v>0</v>
      </c>
      <c r="IH9" s="535">
        <f>+IF9*$H$8</f>
        <v>0</v>
      </c>
      <c r="II9" s="533"/>
      <c r="IJ9" s="534">
        <f t="shared" ref="IJ9:IJ38" si="79">+II9/$E9</f>
        <v>0</v>
      </c>
      <c r="IK9" s="535">
        <f>+II9*$H$8</f>
        <v>0</v>
      </c>
      <c r="IL9" s="533"/>
      <c r="IM9" s="534">
        <f t="shared" ref="IM9:IM38" si="80">+IL9/$E9</f>
        <v>0</v>
      </c>
      <c r="IN9" s="535">
        <f>+IL9*$H$8</f>
        <v>0</v>
      </c>
      <c r="IO9" s="533"/>
      <c r="IP9" s="534">
        <f t="shared" ref="IP9:IP38" si="81">+IO9/$E9</f>
        <v>0</v>
      </c>
      <c r="IQ9" s="535">
        <f>+IO9*$H$8</f>
        <v>0</v>
      </c>
      <c r="IR9" s="533"/>
      <c r="IS9" s="534">
        <f t="shared" ref="IS9:IS38" si="82">+IR9/$E9</f>
        <v>0</v>
      </c>
      <c r="IT9" s="535">
        <f>+IR9*$H$8</f>
        <v>0</v>
      </c>
      <c r="IU9" s="533"/>
      <c r="IV9" s="534">
        <f t="shared" ref="IV9:IV38" si="83">+IU9/$E9</f>
        <v>0</v>
      </c>
      <c r="IW9" s="535">
        <f>+IU9*$H$8</f>
        <v>0</v>
      </c>
      <c r="IX9" s="533"/>
      <c r="IY9" s="534">
        <f t="shared" ref="IY9:IY38" si="84">+IX9/$E9</f>
        <v>0</v>
      </c>
      <c r="IZ9" s="535">
        <f>+IX9*$H$8</f>
        <v>0</v>
      </c>
      <c r="JA9" s="533"/>
      <c r="JB9" s="534">
        <f t="shared" ref="JB9:JB38" si="85">+JA9/$E9</f>
        <v>0</v>
      </c>
      <c r="JC9" s="535">
        <f>+JA9*$H$8</f>
        <v>0</v>
      </c>
      <c r="JD9" s="533"/>
      <c r="JE9" s="534">
        <f t="shared" ref="JE9:JE38" si="86">+JD9/$E9</f>
        <v>0</v>
      </c>
      <c r="JF9" s="535">
        <f>+JD9*$H$8</f>
        <v>0</v>
      </c>
      <c r="JG9" s="533"/>
      <c r="JH9" s="534">
        <f t="shared" ref="JH9:JH38" si="87">+JG9/$E9</f>
        <v>0</v>
      </c>
      <c r="JI9" s="535">
        <f>+JG9*$H$8</f>
        <v>0</v>
      </c>
      <c r="JJ9" s="533"/>
      <c r="JK9" s="535" t="str">
        <f t="shared" ref="JK9:JK38" si="88">IFERROR((JJ9/$L9),"0")</f>
        <v>0</v>
      </c>
      <c r="JL9" s="535" t="str">
        <f t="shared" ref="JL9:JL38" si="89">IFERROR(((JJ9*JL$8)/$L9),"0")</f>
        <v>0</v>
      </c>
      <c r="JM9" s="533"/>
      <c r="JN9" s="535" t="str">
        <f t="shared" ref="JN9:JN38" si="90">IFERROR((JM9/$L9),"0")</f>
        <v>0</v>
      </c>
      <c r="JO9" s="535" t="str">
        <f t="shared" ref="JO9:JO38" si="91">IFERROR(((JM9*JO$8)/$L9),"0")</f>
        <v>0</v>
      </c>
      <c r="JP9" s="533"/>
      <c r="JQ9" s="535" t="str">
        <f t="shared" ref="JQ9:JQ38" si="92">IFERROR((JP9/$L9),"0")</f>
        <v>0</v>
      </c>
      <c r="JR9" s="535" t="str">
        <f t="shared" ref="JR9:JR38" si="93">IFERROR(((JP9*JR$8)/$L9),"0")</f>
        <v>0</v>
      </c>
      <c r="JS9" s="533"/>
      <c r="JT9" s="535" t="str">
        <f t="shared" ref="JT9:JT38" si="94">IFERROR((JS9/$L9),"0")</f>
        <v>0</v>
      </c>
      <c r="JU9" s="535" t="str">
        <f t="shared" ref="JU9:JU38" si="95">IFERROR(((JS9*JU$8)/$L9),"0")</f>
        <v>0</v>
      </c>
      <c r="JV9" s="533"/>
      <c r="JW9" s="535" t="str">
        <f t="shared" ref="JW9:JW38" si="96">IFERROR((JV9/$L9),"0")</f>
        <v>0</v>
      </c>
      <c r="JX9" s="535" t="str">
        <f t="shared" ref="JX9:JX38" si="97">IFERROR(((JV9*JX$8)/$L9),"0")</f>
        <v>0</v>
      </c>
      <c r="JY9" s="533"/>
      <c r="JZ9" s="535" t="str">
        <f t="shared" ref="JZ9:JZ38" si="98">IFERROR((JY9/$L9),"0")</f>
        <v>0</v>
      </c>
      <c r="KA9" s="535" t="str">
        <f t="shared" ref="KA9:KA38" si="99">IFERROR(((JY9*KA$8)/$L9),"0")</f>
        <v>0</v>
      </c>
      <c r="KB9" s="533"/>
      <c r="KC9" s="535" t="str">
        <f t="shared" ref="KC9:KC38" si="100">IFERROR((KB9/$L9),"0")</f>
        <v>0</v>
      </c>
      <c r="KD9" s="535" t="str">
        <f t="shared" ref="KD9:KD38" si="101">IFERROR(((KB9*KD$8)/$L9),"0")</f>
        <v>0</v>
      </c>
      <c r="KE9" s="533"/>
      <c r="KF9" s="535" t="str">
        <f t="shared" ref="KF9:KF38" si="102">IFERROR((KE9/$L9),"0")</f>
        <v>0</v>
      </c>
      <c r="KG9" s="535" t="str">
        <f t="shared" ref="KG9:KG38" si="103">IFERROR(((KE9*KG$8)/$L9),"0")</f>
        <v>0</v>
      </c>
      <c r="KH9" s="533"/>
      <c r="KI9" s="535" t="str">
        <f t="shared" ref="KI9:KI38" si="104">IFERROR((KH9/$L9),"0")</f>
        <v>0</v>
      </c>
      <c r="KJ9" s="535" t="str">
        <f t="shared" ref="KJ9:KJ38" si="105">IFERROR(((KH9*KJ$8)/$L9),"0")</f>
        <v>0</v>
      </c>
      <c r="KK9" s="533"/>
      <c r="KL9" s="535" t="str">
        <f t="shared" ref="KL9:KL38" si="106">IFERROR((KK9/$L9),"0")</f>
        <v>0</v>
      </c>
      <c r="KM9" s="535" t="str">
        <f t="shared" ref="KM9:KM38" si="107">IFERROR(((KK9*KM$8)/$L9),"0")</f>
        <v>0</v>
      </c>
      <c r="KN9" s="533"/>
      <c r="KO9" s="535" t="str">
        <f t="shared" ref="KO9:KO38" si="108">IFERROR((KN9/$L9),"0")</f>
        <v>0</v>
      </c>
      <c r="KP9" s="535" t="str">
        <f t="shared" ref="KP9:KP38" si="109">IFERROR(((KN9*KP$8)/$L9),"0")</f>
        <v>0</v>
      </c>
      <c r="KQ9" s="533"/>
      <c r="KR9" s="535" t="str">
        <f t="shared" ref="KR9:KR38" si="110">IFERROR((KQ9/$L9),"0")</f>
        <v>0</v>
      </c>
      <c r="KS9" s="535" t="str">
        <f t="shared" ref="KS9:KS38" si="111">IFERROR(((KQ9*KS$8)/$L9),"0")</f>
        <v>0</v>
      </c>
      <c r="KT9" s="535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35">
        <f>GF9+GI9+GL9+GO9+GR9+GU9+GX9+HA9+HD9+HG9+HJ9+HM9+HP9+HS9+HV9+HY9+IB9+IE9+IH9+IK9+IN9+IQ9+IT9+IW9+IZ9+JC9+JF9+JI9+JL9+JO9+JR9+JU9+JX9++KA9+KD9+KG9+KJ9++KM9+KP9+KS9</f>
        <v>0</v>
      </c>
      <c r="KV9" s="272">
        <f>+F9+I9+L9+O9+R9+U9+X9+AA9+AD9+AG9+AJ9+AM9+AP9+AS9+AV9+AY9+BB9+BE9+BH9+BK9+BN9+BQ9+BT9+BW9+BZ9+CC9+CF9+CI9+CL9+CO9+CR9+CU9+CX9+DA9+DD9+DJ9+DM9+DP9+DS9+DV9+DY9+EB9+DG9+EE9</f>
        <v>1029.4997271317827</v>
      </c>
    </row>
    <row r="10" spans="1:308" ht="15" customHeight="1">
      <c r="A10" s="274">
        <f>+A9+1</f>
        <v>45963</v>
      </c>
      <c r="B10" s="275" t="str">
        <f>+Report1!B10</f>
        <v>MG</v>
      </c>
      <c r="C10" s="415" t="str">
        <f>+Report1!C10</f>
        <v>14/16,5</v>
      </c>
      <c r="D10" s="276">
        <f>+Report1!P10</f>
        <v>65.826999999999998</v>
      </c>
      <c r="E10" s="277">
        <f>+Report1!R10</f>
        <v>62.746000000000002</v>
      </c>
      <c r="F10" s="533">
        <v>258.5802000000001</v>
      </c>
      <c r="G10" s="534">
        <f t="shared" si="0"/>
        <v>4.1210626972237288</v>
      </c>
      <c r="H10" s="535">
        <f t="shared" ref="H10:H38" si="112">+F10*$H$8</f>
        <v>0</v>
      </c>
      <c r="I10" s="533">
        <v>652.32060000000001</v>
      </c>
      <c r="J10" s="534">
        <f t="shared" si="1"/>
        <v>10.396210116979569</v>
      </c>
      <c r="K10" s="535">
        <f t="shared" ref="K10:K38" si="113">+I10*$H$8</f>
        <v>0</v>
      </c>
      <c r="L10" s="533"/>
      <c r="M10" s="534">
        <f t="shared" si="2"/>
        <v>0</v>
      </c>
      <c r="N10" s="535">
        <f t="shared" ref="N10:N38" si="114">+L10*$H$8</f>
        <v>0</v>
      </c>
      <c r="O10" s="533">
        <v>9.0943999999999505</v>
      </c>
      <c r="P10" s="534">
        <f t="shared" si="3"/>
        <v>0.14493991648869969</v>
      </c>
      <c r="Q10" s="535">
        <f t="shared" ref="Q10:Q38" si="115">+O10*$H$8</f>
        <v>0</v>
      </c>
      <c r="R10" s="533"/>
      <c r="S10" s="534">
        <f t="shared" si="4"/>
        <v>0</v>
      </c>
      <c r="T10" s="535">
        <f t="shared" ref="T10:T38" si="116">+R10*$H$8</f>
        <v>0</v>
      </c>
      <c r="U10" s="533">
        <v>5.1809000000000083</v>
      </c>
      <c r="V10" s="534">
        <f t="shared" si="5"/>
        <v>8.256940681477716E-2</v>
      </c>
      <c r="W10" s="535">
        <f t="shared" ref="W10:W38" si="117">+U10*$H$8</f>
        <v>0</v>
      </c>
      <c r="X10" s="533"/>
      <c r="Y10" s="534">
        <f t="shared" si="6"/>
        <v>0</v>
      </c>
      <c r="Z10" s="535">
        <f t="shared" ref="Z10:Z38" si="118">+X10*$H$8</f>
        <v>0</v>
      </c>
      <c r="AA10" s="533"/>
      <c r="AB10" s="534">
        <f t="shared" si="7"/>
        <v>0</v>
      </c>
      <c r="AC10" s="535">
        <f t="shared" ref="AC10:AC38" si="119">+AA10*$H$8</f>
        <v>0</v>
      </c>
      <c r="AD10" s="533"/>
      <c r="AE10" s="534">
        <f t="shared" si="8"/>
        <v>0</v>
      </c>
      <c r="AF10" s="535">
        <f t="shared" ref="AF10:AF38" si="120">+AD10*$H$8</f>
        <v>0</v>
      </c>
      <c r="AG10" s="533"/>
      <c r="AH10" s="534">
        <f t="shared" si="9"/>
        <v>0</v>
      </c>
      <c r="AI10" s="535">
        <f t="shared" ref="AI10:AI38" si="121">+AG10*$H$8</f>
        <v>0</v>
      </c>
      <c r="AJ10" s="533">
        <v>0</v>
      </c>
      <c r="AK10" s="534">
        <f t="shared" si="10"/>
        <v>0</v>
      </c>
      <c r="AL10" s="535">
        <f t="shared" ref="AL10:AL38" si="122">+AJ10*$H$8</f>
        <v>0</v>
      </c>
      <c r="AM10" s="533">
        <v>0</v>
      </c>
      <c r="AN10" s="534">
        <f t="shared" si="11"/>
        <v>0</v>
      </c>
      <c r="AO10" s="535">
        <f t="shared" ref="AO10:AO38" si="123">+AM10*$H$8</f>
        <v>0</v>
      </c>
      <c r="AP10" s="533">
        <v>0</v>
      </c>
      <c r="AQ10" s="534">
        <f t="shared" si="12"/>
        <v>0</v>
      </c>
      <c r="AR10" s="535">
        <f t="shared" ref="AR10:AR38" si="124">+AP10*$H$8</f>
        <v>0</v>
      </c>
      <c r="AS10" s="533"/>
      <c r="AT10" s="534">
        <f t="shared" si="13"/>
        <v>0</v>
      </c>
      <c r="AU10" s="535">
        <f t="shared" ref="AU10:AU38" si="125">+AS10*$H$8</f>
        <v>0</v>
      </c>
      <c r="AV10" s="533">
        <v>7.0150000000000006</v>
      </c>
      <c r="AW10" s="534">
        <f t="shared" si="14"/>
        <v>0.11179995537564148</v>
      </c>
      <c r="AX10" s="535">
        <f t="shared" ref="AX10:AX38" si="126">+AV10*$H$8</f>
        <v>0</v>
      </c>
      <c r="AY10" s="533">
        <v>75.476800000000026</v>
      </c>
      <c r="AZ10" s="534">
        <f t="shared" si="15"/>
        <v>1.2028942083957548</v>
      </c>
      <c r="BA10" s="535">
        <f t="shared" ref="BA10:BA38" si="127">+AY10*$H$8</f>
        <v>0</v>
      </c>
      <c r="BB10" s="533">
        <v>0</v>
      </c>
      <c r="BC10" s="534">
        <f t="shared" si="16"/>
        <v>0</v>
      </c>
      <c r="BD10" s="535">
        <f t="shared" ref="BD10:BD38" si="128">+BB10*$H$8</f>
        <v>0</v>
      </c>
      <c r="BE10" s="533"/>
      <c r="BF10" s="534">
        <f t="shared" si="17"/>
        <v>0</v>
      </c>
      <c r="BG10" s="535">
        <f t="shared" ref="BG10:BG38" si="129">+BE10*$H$8</f>
        <v>0</v>
      </c>
      <c r="BH10" s="533"/>
      <c r="BI10" s="534">
        <f t="shared" si="18"/>
        <v>0</v>
      </c>
      <c r="BJ10" s="535">
        <f t="shared" ref="BJ10:BJ38" si="130">+BH10*$H$8</f>
        <v>0</v>
      </c>
      <c r="BK10" s="533"/>
      <c r="BL10" s="534">
        <f t="shared" si="19"/>
        <v>0</v>
      </c>
      <c r="BM10" s="535">
        <f t="shared" ref="BM10:BM38" si="131">+BK10*$H$8</f>
        <v>0</v>
      </c>
      <c r="BN10" s="533">
        <v>7.6759999999999877</v>
      </c>
      <c r="BO10" s="534">
        <f t="shared" si="20"/>
        <v>0.12233449144168533</v>
      </c>
      <c r="BP10" s="535">
        <f t="shared" ref="BP10:BP38" si="132">+BN10*$H$8</f>
        <v>0</v>
      </c>
      <c r="BQ10" s="533">
        <v>0</v>
      </c>
      <c r="BR10" s="534">
        <f t="shared" si="21"/>
        <v>0</v>
      </c>
      <c r="BS10" s="535">
        <f t="shared" ref="BS10:BS38" si="133">+BQ10*$H$8</f>
        <v>0</v>
      </c>
      <c r="BT10" s="533"/>
      <c r="BU10" s="534">
        <f t="shared" si="22"/>
        <v>0</v>
      </c>
      <c r="BV10" s="535">
        <f t="shared" ref="BV10:BV38" si="134">+BT10*$H$8</f>
        <v>0</v>
      </c>
      <c r="BW10" s="533">
        <v>0.67999999999999972</v>
      </c>
      <c r="BX10" s="534">
        <f t="shared" si="23"/>
        <v>1.0837344213176931E-2</v>
      </c>
      <c r="BY10" s="535">
        <f t="shared" ref="BY10:BY38" si="135">+BW10*$H$8</f>
        <v>0</v>
      </c>
      <c r="BZ10" s="533"/>
      <c r="CA10" s="534">
        <f t="shared" si="24"/>
        <v>0</v>
      </c>
      <c r="CB10" s="535">
        <f t="shared" ref="CB10:CB38" si="136">+BZ10*$H$8</f>
        <v>0</v>
      </c>
      <c r="CC10" s="533">
        <v>15.000000000000004</v>
      </c>
      <c r="CD10" s="534">
        <f t="shared" si="25"/>
        <v>0.23905906352596187</v>
      </c>
      <c r="CE10" s="535">
        <f t="shared" ref="CE10:CE38" si="137">+CC10*$H$8</f>
        <v>0</v>
      </c>
      <c r="CF10" s="533">
        <v>0.1</v>
      </c>
      <c r="CG10" s="534">
        <f t="shared" si="26"/>
        <v>1.5937270901730787E-3</v>
      </c>
      <c r="CH10" s="535">
        <f t="shared" ref="CH10:CH38" si="138">+CF10*$H$8</f>
        <v>0</v>
      </c>
      <c r="CI10" s="533"/>
      <c r="CJ10" s="534">
        <f t="shared" si="27"/>
        <v>0</v>
      </c>
      <c r="CK10" s="535">
        <f t="shared" ref="CK10:CK38" si="139">+CI10*$H$8</f>
        <v>0</v>
      </c>
      <c r="CL10" s="533"/>
      <c r="CM10" s="534">
        <f t="shared" si="28"/>
        <v>0</v>
      </c>
      <c r="CN10" s="535">
        <f t="shared" ref="CN10:CN38" si="140">+CL10*$H$8</f>
        <v>0</v>
      </c>
      <c r="CO10" s="533"/>
      <c r="CP10" s="534">
        <f t="shared" si="29"/>
        <v>0</v>
      </c>
      <c r="CQ10" s="535">
        <f t="shared" ref="CQ10:CQ38" si="141">+CO10*$H$8</f>
        <v>0</v>
      </c>
      <c r="CR10" s="533"/>
      <c r="CS10" s="534">
        <f t="shared" si="30"/>
        <v>0</v>
      </c>
      <c r="CT10" s="535">
        <f t="shared" ref="CT10:CT38" si="142">+CR10*$H$8</f>
        <v>0</v>
      </c>
      <c r="CU10" s="533"/>
      <c r="CV10" s="534">
        <f t="shared" si="31"/>
        <v>0</v>
      </c>
      <c r="CW10" s="535">
        <f t="shared" ref="CW10:CW38" si="143">+CU10*$H$8</f>
        <v>0</v>
      </c>
      <c r="CX10" s="533"/>
      <c r="CY10" s="534">
        <f t="shared" si="32"/>
        <v>0</v>
      </c>
      <c r="CZ10" s="535">
        <f t="shared" ref="CZ10:CZ38" si="144">+CX10*$H$8</f>
        <v>0</v>
      </c>
      <c r="DA10" s="533"/>
      <c r="DB10" s="534">
        <f t="shared" si="33"/>
        <v>0</v>
      </c>
      <c r="DC10" s="535">
        <f t="shared" ref="DC10:DC38" si="145">+DA10*$H$8</f>
        <v>0</v>
      </c>
      <c r="DD10" s="533"/>
      <c r="DE10" s="534">
        <f t="shared" si="34"/>
        <v>0</v>
      </c>
      <c r="DF10" s="535">
        <f t="shared" ref="DF10:DF38" si="146">+DD10*$H$8</f>
        <v>0</v>
      </c>
      <c r="DG10" s="533">
        <v>4.7250000000000014</v>
      </c>
      <c r="DH10" s="534">
        <f t="shared" si="35"/>
        <v>7.5303605010677996E-2</v>
      </c>
      <c r="DI10" s="535">
        <v>0</v>
      </c>
      <c r="DJ10" s="533"/>
      <c r="DK10" s="534">
        <f t="shared" si="36"/>
        <v>0</v>
      </c>
      <c r="DL10" s="535">
        <f t="shared" ref="DL10:DL38" si="147">+DJ10*$H$8</f>
        <v>0</v>
      </c>
      <c r="DM10" s="533"/>
      <c r="DN10" s="534">
        <f t="shared" si="37"/>
        <v>0</v>
      </c>
      <c r="DO10" s="535">
        <f t="shared" ref="DO10:DO38" si="148">+DM10*$H$8</f>
        <v>0</v>
      </c>
      <c r="DP10" s="533"/>
      <c r="DQ10" s="534">
        <f t="shared" si="38"/>
        <v>0</v>
      </c>
      <c r="DR10" s="535">
        <f t="shared" ref="DR10:DR38" si="149">+DP10*$H$8</f>
        <v>0</v>
      </c>
      <c r="DS10" s="533"/>
      <c r="DT10" s="534">
        <f t="shared" si="39"/>
        <v>0</v>
      </c>
      <c r="DU10" s="535">
        <f t="shared" ref="DU10:DU38" si="150">+DS10*$H$8</f>
        <v>0</v>
      </c>
      <c r="DV10" s="533"/>
      <c r="DW10" s="534">
        <f t="shared" si="40"/>
        <v>0</v>
      </c>
      <c r="DX10" s="535">
        <f t="shared" ref="DX10:DX38" si="151">+DV10*$H$8</f>
        <v>0</v>
      </c>
      <c r="DY10" s="533"/>
      <c r="DZ10" s="534">
        <f t="shared" si="41"/>
        <v>0</v>
      </c>
      <c r="EA10" s="535">
        <f t="shared" ref="EA10:EA38" si="152">+DY10*$H$8</f>
        <v>0</v>
      </c>
      <c r="EB10" s="533">
        <v>14.69399999999996</v>
      </c>
      <c r="EC10" s="534">
        <f t="shared" si="42"/>
        <v>0.23418225863003156</v>
      </c>
      <c r="ED10" s="535">
        <f t="shared" ref="ED10:ED38" si="153">+EB10*$H$8</f>
        <v>0</v>
      </c>
      <c r="EE10" s="533">
        <v>1</v>
      </c>
      <c r="EF10" s="534">
        <f t="shared" si="43"/>
        <v>1.5937270901730787E-2</v>
      </c>
      <c r="EG10" s="535">
        <f t="shared" ref="EG10:EG38" si="154">+EE10*$H$8</f>
        <v>0</v>
      </c>
      <c r="EH10" s="533"/>
      <c r="EI10" s="534">
        <f t="shared" si="44"/>
        <v>0</v>
      </c>
      <c r="EJ10" s="535">
        <f t="shared" ref="EJ10:EJ38" si="155">+EH10*$H$8</f>
        <v>0</v>
      </c>
      <c r="EK10" s="533"/>
      <c r="EL10" s="534">
        <f t="shared" si="45"/>
        <v>0</v>
      </c>
      <c r="EM10" s="535">
        <f t="shared" ref="EM10:EM38" si="156">+EK10*$H$8</f>
        <v>0</v>
      </c>
      <c r="EN10" s="533"/>
      <c r="EO10" s="534">
        <f t="shared" si="46"/>
        <v>0</v>
      </c>
      <c r="EP10" s="535">
        <f t="shared" ref="EP10:EP38" si="157">+EN10*$H$8</f>
        <v>0</v>
      </c>
      <c r="EQ10" s="533"/>
      <c r="ER10" s="534">
        <f t="shared" si="47"/>
        <v>0</v>
      </c>
      <c r="ES10" s="535">
        <f t="shared" ref="ES10:ES38" si="158">+EQ10*$H$8</f>
        <v>0</v>
      </c>
      <c r="ET10" s="533"/>
      <c r="EU10" s="534">
        <f t="shared" si="48"/>
        <v>0</v>
      </c>
      <c r="EV10" s="535">
        <f t="shared" ref="EV10:EV38" si="159">+ET10*$H$8</f>
        <v>0</v>
      </c>
      <c r="EW10" s="533"/>
      <c r="EX10" s="534">
        <f t="shared" si="49"/>
        <v>0</v>
      </c>
      <c r="EY10" s="535">
        <f t="shared" ref="EY10:EY38" si="160">+EW10*$H$8</f>
        <v>0</v>
      </c>
      <c r="EZ10" s="533"/>
      <c r="FA10" s="534">
        <f t="shared" si="50"/>
        <v>0</v>
      </c>
      <c r="FB10" s="535">
        <f t="shared" ref="FB10:FB38" si="161">+EZ10*$H$8</f>
        <v>0</v>
      </c>
      <c r="FC10" s="533"/>
      <c r="FD10" s="534">
        <f t="shared" si="51"/>
        <v>0</v>
      </c>
      <c r="FE10" s="535">
        <f t="shared" ref="FE10:FE38" si="162">+FC10*$H$8</f>
        <v>0</v>
      </c>
      <c r="FF10" s="533"/>
      <c r="FG10" s="534">
        <f t="shared" si="52"/>
        <v>0</v>
      </c>
      <c r="FH10" s="535">
        <f t="shared" ref="FH10:FH38" si="163">+FF10*$H$8</f>
        <v>0</v>
      </c>
      <c r="FI10" s="533"/>
      <c r="FJ10" s="534">
        <f t="shared" si="53"/>
        <v>0</v>
      </c>
      <c r="FK10" s="535">
        <f t="shared" ref="FK10:FK38" si="164">+FI10*$H$8</f>
        <v>0</v>
      </c>
      <c r="FL10" s="533"/>
      <c r="FM10" s="534">
        <f t="shared" si="54"/>
        <v>0</v>
      </c>
      <c r="FN10" s="535">
        <f t="shared" ref="FN10:FN38" si="165">+FL10*$H$8</f>
        <v>0</v>
      </c>
      <c r="FO10" s="533"/>
      <c r="FP10" s="534">
        <f t="shared" si="55"/>
        <v>0</v>
      </c>
      <c r="FQ10" s="535">
        <f t="shared" ref="FQ10:FQ38" si="166">+FO10*$H$8</f>
        <v>0</v>
      </c>
      <c r="FR10" s="533"/>
      <c r="FS10" s="534">
        <f t="shared" si="56"/>
        <v>0</v>
      </c>
      <c r="FT10" s="535">
        <f t="shared" ref="FT10:FT38" si="167">+FR10*$H$8</f>
        <v>0</v>
      </c>
      <c r="FU10" s="533"/>
      <c r="FV10" s="534">
        <f t="shared" si="57"/>
        <v>0</v>
      </c>
      <c r="FW10" s="535">
        <f t="shared" ref="FW10:FW38" si="168">+FU10*$H$8</f>
        <v>0</v>
      </c>
      <c r="FX10" s="533"/>
      <c r="FY10" s="534">
        <f t="shared" si="58"/>
        <v>0</v>
      </c>
      <c r="FZ10" s="535">
        <f t="shared" ref="FZ10:FZ38" si="169">+FX10*$H$8</f>
        <v>0</v>
      </c>
      <c r="GA10" s="533"/>
      <c r="GB10" s="534">
        <f t="shared" si="59"/>
        <v>0</v>
      </c>
      <c r="GC10" s="535">
        <f t="shared" ref="GC10:GC38" si="170">+GA10*$H$8</f>
        <v>0</v>
      </c>
      <c r="GD10" s="533"/>
      <c r="GE10" s="534">
        <f t="shared" si="60"/>
        <v>0</v>
      </c>
      <c r="GF10" s="535">
        <f t="shared" ref="GF10:GF38" si="171">+GD10*$H$8</f>
        <v>0</v>
      </c>
      <c r="GG10" s="533"/>
      <c r="GH10" s="534">
        <f t="shared" si="61"/>
        <v>0</v>
      </c>
      <c r="GI10" s="535">
        <f t="shared" ref="GI10:GI38" si="172">+GG10*$H$8</f>
        <v>0</v>
      </c>
      <c r="GJ10" s="533"/>
      <c r="GK10" s="534">
        <f t="shared" si="62"/>
        <v>0</v>
      </c>
      <c r="GL10" s="535">
        <f t="shared" ref="GL10:GL38" si="173">+GJ10*$H$8</f>
        <v>0</v>
      </c>
      <c r="GM10" s="533"/>
      <c r="GN10" s="534">
        <f t="shared" si="63"/>
        <v>0</v>
      </c>
      <c r="GO10" s="535">
        <f t="shared" ref="GO10:GO38" si="174">+GM10*$H$8</f>
        <v>0</v>
      </c>
      <c r="GP10" s="533"/>
      <c r="GQ10" s="534">
        <f t="shared" si="64"/>
        <v>0</v>
      </c>
      <c r="GR10" s="535">
        <f t="shared" ref="GR10:GR38" si="175">+GP10*$H$8</f>
        <v>0</v>
      </c>
      <c r="GS10" s="533"/>
      <c r="GT10" s="534">
        <f t="shared" si="65"/>
        <v>0</v>
      </c>
      <c r="GU10" s="535">
        <f t="shared" ref="GU10:GU38" si="176">+GS10*$H$8</f>
        <v>0</v>
      </c>
      <c r="GV10" s="533"/>
      <c r="GW10" s="534">
        <f t="shared" si="66"/>
        <v>0</v>
      </c>
      <c r="GX10" s="535">
        <f t="shared" ref="GX10:GX38" si="177">+GV10*$H$8</f>
        <v>0</v>
      </c>
      <c r="GY10" s="533"/>
      <c r="GZ10" s="534">
        <f t="shared" si="67"/>
        <v>0</v>
      </c>
      <c r="HA10" s="535">
        <f t="shared" ref="HA10:HA38" si="178">+GY10*$H$8</f>
        <v>0</v>
      </c>
      <c r="HB10" s="533"/>
      <c r="HC10" s="534">
        <f t="shared" si="68"/>
        <v>0</v>
      </c>
      <c r="HD10" s="535">
        <f t="shared" ref="HD10:HD38" si="179">+HB10*$H$8</f>
        <v>0</v>
      </c>
      <c r="HE10" s="533"/>
      <c r="HF10" s="534">
        <f t="shared" si="69"/>
        <v>0</v>
      </c>
      <c r="HG10" s="535">
        <f t="shared" ref="HG10:HG38" si="180">+HE10*$H$8</f>
        <v>0</v>
      </c>
      <c r="HH10" s="533"/>
      <c r="HI10" s="534">
        <f t="shared" si="70"/>
        <v>0</v>
      </c>
      <c r="HJ10" s="535">
        <f t="shared" ref="HJ10:HJ38" si="181">+HH10*$H$8</f>
        <v>0</v>
      </c>
      <c r="HK10" s="533"/>
      <c r="HL10" s="534">
        <f t="shared" si="71"/>
        <v>0</v>
      </c>
      <c r="HM10" s="535">
        <f t="shared" ref="HM10:HM38" si="182">+HK10*$H$8</f>
        <v>0</v>
      </c>
      <c r="HN10" s="533"/>
      <c r="HO10" s="534">
        <f t="shared" si="72"/>
        <v>0</v>
      </c>
      <c r="HP10" s="535">
        <f t="shared" ref="HP10:HP38" si="183">+HN10*$H$8</f>
        <v>0</v>
      </c>
      <c r="HQ10" s="533"/>
      <c r="HR10" s="534">
        <f t="shared" si="73"/>
        <v>0</v>
      </c>
      <c r="HS10" s="535">
        <f t="shared" ref="HS10:HS38" si="184">+HQ10*$H$8</f>
        <v>0</v>
      </c>
      <c r="HT10" s="533"/>
      <c r="HU10" s="534">
        <f t="shared" si="74"/>
        <v>0</v>
      </c>
      <c r="HV10" s="535">
        <f t="shared" ref="HV10:HV38" si="185">+HT10*$H$8</f>
        <v>0</v>
      </c>
      <c r="HW10" s="533"/>
      <c r="HX10" s="534">
        <f t="shared" si="75"/>
        <v>0</v>
      </c>
      <c r="HY10" s="535">
        <f t="shared" ref="HY10:HY38" si="186">+HW10*$H$8</f>
        <v>0</v>
      </c>
      <c r="HZ10" s="533"/>
      <c r="IA10" s="534">
        <f t="shared" si="76"/>
        <v>0</v>
      </c>
      <c r="IB10" s="535">
        <f t="shared" ref="IB10:IB38" si="187">+HZ10*$H$8</f>
        <v>0</v>
      </c>
      <c r="IC10" s="533"/>
      <c r="ID10" s="534">
        <f t="shared" si="77"/>
        <v>0</v>
      </c>
      <c r="IE10" s="535">
        <f t="shared" ref="IE10:IE38" si="188">+IC10*$H$8</f>
        <v>0</v>
      </c>
      <c r="IF10" s="533"/>
      <c r="IG10" s="534">
        <f t="shared" si="78"/>
        <v>0</v>
      </c>
      <c r="IH10" s="535">
        <f t="shared" ref="IH10:IH38" si="189">+IF10*$H$8</f>
        <v>0</v>
      </c>
      <c r="II10" s="533"/>
      <c r="IJ10" s="534">
        <f t="shared" si="79"/>
        <v>0</v>
      </c>
      <c r="IK10" s="535">
        <f t="shared" ref="IK10:IK38" si="190">+II10*$H$8</f>
        <v>0</v>
      </c>
      <c r="IL10" s="533"/>
      <c r="IM10" s="534">
        <f t="shared" si="80"/>
        <v>0</v>
      </c>
      <c r="IN10" s="535">
        <f t="shared" ref="IN10:IN38" si="191">+IL10*$H$8</f>
        <v>0</v>
      </c>
      <c r="IO10" s="533"/>
      <c r="IP10" s="534">
        <f t="shared" si="81"/>
        <v>0</v>
      </c>
      <c r="IQ10" s="535">
        <f t="shared" ref="IQ10:IQ38" si="192">+IO10*$H$8</f>
        <v>0</v>
      </c>
      <c r="IR10" s="533"/>
      <c r="IS10" s="534">
        <f t="shared" si="82"/>
        <v>0</v>
      </c>
      <c r="IT10" s="535">
        <f t="shared" ref="IT10:IT38" si="193">+IR10*$H$8</f>
        <v>0</v>
      </c>
      <c r="IU10" s="533"/>
      <c r="IV10" s="534">
        <f t="shared" si="83"/>
        <v>0</v>
      </c>
      <c r="IW10" s="535">
        <f t="shared" ref="IW10:IW38" si="194">+IU10*$H$8</f>
        <v>0</v>
      </c>
      <c r="IX10" s="533"/>
      <c r="IY10" s="534">
        <f t="shared" si="84"/>
        <v>0</v>
      </c>
      <c r="IZ10" s="535">
        <f t="shared" ref="IZ10:IZ38" si="195">+IX10*$H$8</f>
        <v>0</v>
      </c>
      <c r="JA10" s="533"/>
      <c r="JB10" s="534">
        <f t="shared" si="85"/>
        <v>0</v>
      </c>
      <c r="JC10" s="535">
        <f t="shared" ref="JC10:JC38" si="196">+JA10*$H$8</f>
        <v>0</v>
      </c>
      <c r="JD10" s="533"/>
      <c r="JE10" s="534">
        <f t="shared" si="86"/>
        <v>0</v>
      </c>
      <c r="JF10" s="535">
        <f t="shared" ref="JF10:JF38" si="197">+JD10*$H$8</f>
        <v>0</v>
      </c>
      <c r="JG10" s="533"/>
      <c r="JH10" s="534">
        <f t="shared" si="87"/>
        <v>0</v>
      </c>
      <c r="JI10" s="535">
        <f t="shared" ref="JI10:JI38" si="198">+JG10*$H$8</f>
        <v>0</v>
      </c>
      <c r="JJ10" s="533"/>
      <c r="JK10" s="535" t="str">
        <f t="shared" si="88"/>
        <v>0</v>
      </c>
      <c r="JL10" s="535" t="str">
        <f t="shared" si="89"/>
        <v>0</v>
      </c>
      <c r="JM10" s="533"/>
      <c r="JN10" s="535" t="str">
        <f t="shared" si="90"/>
        <v>0</v>
      </c>
      <c r="JO10" s="535" t="str">
        <f t="shared" si="91"/>
        <v>0</v>
      </c>
      <c r="JP10" s="533"/>
      <c r="JQ10" s="535" t="str">
        <f t="shared" si="92"/>
        <v>0</v>
      </c>
      <c r="JR10" s="535" t="str">
        <f t="shared" si="93"/>
        <v>0</v>
      </c>
      <c r="JS10" s="533"/>
      <c r="JT10" s="535" t="str">
        <f t="shared" si="94"/>
        <v>0</v>
      </c>
      <c r="JU10" s="535" t="str">
        <f t="shared" si="95"/>
        <v>0</v>
      </c>
      <c r="JV10" s="533"/>
      <c r="JW10" s="535" t="str">
        <f t="shared" si="96"/>
        <v>0</v>
      </c>
      <c r="JX10" s="535" t="str">
        <f t="shared" si="97"/>
        <v>0</v>
      </c>
      <c r="JY10" s="533"/>
      <c r="JZ10" s="535" t="str">
        <f t="shared" si="98"/>
        <v>0</v>
      </c>
      <c r="KA10" s="535" t="str">
        <f t="shared" si="99"/>
        <v>0</v>
      </c>
      <c r="KB10" s="533"/>
      <c r="KC10" s="535" t="str">
        <f t="shared" si="100"/>
        <v>0</v>
      </c>
      <c r="KD10" s="535" t="str">
        <f t="shared" si="101"/>
        <v>0</v>
      </c>
      <c r="KE10" s="533"/>
      <c r="KF10" s="535" t="str">
        <f t="shared" si="102"/>
        <v>0</v>
      </c>
      <c r="KG10" s="535" t="str">
        <f t="shared" si="103"/>
        <v>0</v>
      </c>
      <c r="KH10" s="533"/>
      <c r="KI10" s="535" t="str">
        <f t="shared" si="104"/>
        <v>0</v>
      </c>
      <c r="KJ10" s="535" t="str">
        <f t="shared" si="105"/>
        <v>0</v>
      </c>
      <c r="KK10" s="533"/>
      <c r="KL10" s="535" t="str">
        <f t="shared" si="106"/>
        <v>0</v>
      </c>
      <c r="KM10" s="535" t="str">
        <f t="shared" si="107"/>
        <v>0</v>
      </c>
      <c r="KN10" s="533"/>
      <c r="KO10" s="535" t="str">
        <f t="shared" si="108"/>
        <v>0</v>
      </c>
      <c r="KP10" s="535" t="str">
        <f t="shared" si="109"/>
        <v>0</v>
      </c>
      <c r="KQ10" s="533"/>
      <c r="KR10" s="535" t="str">
        <f t="shared" si="110"/>
        <v>0</v>
      </c>
      <c r="KS10" s="535" t="str">
        <f t="shared" si="111"/>
        <v>0</v>
      </c>
      <c r="KT10" s="535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35">
        <f>GF10+GI10+GL10+GO10+GR10+GU10+GX10+HA10+HD10+HG10+HJ10+HM10+HP10+HS10+HV10+HY10+IB10+IE10+IH10+IK10+IN10+IQ10+IT10+IW10+IZ10+JC10+JF10+JI10+JL10+JO10+JR10+JU10+JX10++KA10+KD10+KG10+KJ10++KM10+KP10+KS10</f>
        <v>0</v>
      </c>
      <c r="KV10" s="272">
        <f t="shared" ref="KV10:KV41" si="199">+F10+I10+L10+O10+R10+U10+X10+AA10+AD10+AG10+AJ10+AM10+AP10+AS10+AV10+AY10+BB10+BE10+BH10+BK10+BN10+BQ10+BT10+BW10+BZ10+CC10+CF10+CI10+CL10+CO10+CR10+CU10+CX10+DA10+DD10+DJ10+DM10+DP10+DS10+DV10+DY10+EB10+DG10+EE10</f>
        <v>1051.5428999999999</v>
      </c>
    </row>
    <row r="11" spans="1:308" ht="15" customHeight="1">
      <c r="A11" s="274">
        <f t="shared" ref="A11:A38" si="200">+A10+1</f>
        <v>45964</v>
      </c>
      <c r="B11" s="275" t="str">
        <f>+Report1!B11</f>
        <v>MG</v>
      </c>
      <c r="C11" s="415" t="str">
        <f>+Report1!C11</f>
        <v>16,5</v>
      </c>
      <c r="D11" s="276">
        <f>+Report1!P11</f>
        <v>70.057000000000002</v>
      </c>
      <c r="E11" s="277">
        <f>+Report1!R11</f>
        <v>65.622</v>
      </c>
      <c r="F11" s="533">
        <v>58.136032558139505</v>
      </c>
      <c r="G11" s="534">
        <f t="shared" si="0"/>
        <v>0.88592290021851672</v>
      </c>
      <c r="H11" s="535">
        <f t="shared" si="112"/>
        <v>0</v>
      </c>
      <c r="I11" s="533">
        <v>709.298730232558</v>
      </c>
      <c r="J11" s="534">
        <f t="shared" si="1"/>
        <v>10.808855722662491</v>
      </c>
      <c r="K11" s="535">
        <f t="shared" si="113"/>
        <v>0</v>
      </c>
      <c r="L11" s="533"/>
      <c r="M11" s="534">
        <f t="shared" si="2"/>
        <v>0</v>
      </c>
      <c r="N11" s="535">
        <f t="shared" si="114"/>
        <v>0</v>
      </c>
      <c r="O11" s="533">
        <v>9.0052000000000589</v>
      </c>
      <c r="P11" s="534">
        <f t="shared" si="3"/>
        <v>0.13722836853494344</v>
      </c>
      <c r="Q11" s="535">
        <f t="shared" si="115"/>
        <v>0</v>
      </c>
      <c r="R11" s="533"/>
      <c r="S11" s="534">
        <f t="shared" si="4"/>
        <v>0</v>
      </c>
      <c r="T11" s="535">
        <f t="shared" si="116"/>
        <v>0</v>
      </c>
      <c r="U11" s="533">
        <v>5.1245999999999867</v>
      </c>
      <c r="V11" s="534">
        <f t="shared" si="5"/>
        <v>7.8092712809728237E-2</v>
      </c>
      <c r="W11" s="535">
        <f t="shared" si="117"/>
        <v>0</v>
      </c>
      <c r="X11" s="533"/>
      <c r="Y11" s="534">
        <f t="shared" si="6"/>
        <v>0</v>
      </c>
      <c r="Z11" s="535">
        <f t="shared" si="118"/>
        <v>0</v>
      </c>
      <c r="AA11" s="533"/>
      <c r="AB11" s="534">
        <f t="shared" si="7"/>
        <v>0</v>
      </c>
      <c r="AC11" s="535">
        <f t="shared" si="119"/>
        <v>0</v>
      </c>
      <c r="AD11" s="533"/>
      <c r="AE11" s="534">
        <f t="shared" si="8"/>
        <v>0</v>
      </c>
      <c r="AF11" s="535">
        <f t="shared" si="120"/>
        <v>0</v>
      </c>
      <c r="AG11" s="533"/>
      <c r="AH11" s="534">
        <f t="shared" si="9"/>
        <v>0</v>
      </c>
      <c r="AI11" s="535">
        <f t="shared" si="121"/>
        <v>0</v>
      </c>
      <c r="AJ11" s="533">
        <v>0</v>
      </c>
      <c r="AK11" s="534">
        <f t="shared" si="10"/>
        <v>0</v>
      </c>
      <c r="AL11" s="535">
        <f t="shared" si="122"/>
        <v>0</v>
      </c>
      <c r="AM11" s="533">
        <v>0</v>
      </c>
      <c r="AN11" s="534">
        <f t="shared" si="11"/>
        <v>0</v>
      </c>
      <c r="AO11" s="535">
        <f t="shared" si="123"/>
        <v>0</v>
      </c>
      <c r="AP11" s="533">
        <v>0</v>
      </c>
      <c r="AQ11" s="534">
        <f t="shared" si="12"/>
        <v>0</v>
      </c>
      <c r="AR11" s="535">
        <f t="shared" si="124"/>
        <v>0</v>
      </c>
      <c r="AS11" s="533"/>
      <c r="AT11" s="534">
        <f t="shared" si="13"/>
        <v>0</v>
      </c>
      <c r="AU11" s="535">
        <f t="shared" si="125"/>
        <v>0</v>
      </c>
      <c r="AV11" s="533">
        <v>16.653499999999951</v>
      </c>
      <c r="AW11" s="534">
        <f t="shared" si="14"/>
        <v>0.25377922038340728</v>
      </c>
      <c r="AX11" s="535">
        <f t="shared" si="126"/>
        <v>0</v>
      </c>
      <c r="AY11" s="533">
        <v>77.001066666666645</v>
      </c>
      <c r="AZ11" s="534">
        <f t="shared" si="15"/>
        <v>1.1734032285920368</v>
      </c>
      <c r="BA11" s="535">
        <f t="shared" si="127"/>
        <v>0</v>
      </c>
      <c r="BB11" s="533">
        <v>0</v>
      </c>
      <c r="BC11" s="534">
        <f t="shared" si="16"/>
        <v>0</v>
      </c>
      <c r="BD11" s="535">
        <f t="shared" si="128"/>
        <v>0</v>
      </c>
      <c r="BE11" s="533"/>
      <c r="BF11" s="534">
        <f t="shared" si="17"/>
        <v>0</v>
      </c>
      <c r="BG11" s="535">
        <f t="shared" si="129"/>
        <v>0</v>
      </c>
      <c r="BH11" s="533"/>
      <c r="BI11" s="534">
        <f t="shared" si="18"/>
        <v>0</v>
      </c>
      <c r="BJ11" s="535">
        <f t="shared" si="130"/>
        <v>0</v>
      </c>
      <c r="BK11" s="533"/>
      <c r="BL11" s="534">
        <f t="shared" si="19"/>
        <v>0</v>
      </c>
      <c r="BM11" s="535">
        <f t="shared" si="131"/>
        <v>0</v>
      </c>
      <c r="BN11" s="533">
        <v>0</v>
      </c>
      <c r="BO11" s="534">
        <f t="shared" si="20"/>
        <v>0</v>
      </c>
      <c r="BP11" s="535">
        <f t="shared" si="132"/>
        <v>0</v>
      </c>
      <c r="BQ11" s="533">
        <v>0</v>
      </c>
      <c r="BR11" s="534">
        <f t="shared" si="21"/>
        <v>0</v>
      </c>
      <c r="BS11" s="535">
        <f t="shared" si="133"/>
        <v>0</v>
      </c>
      <c r="BT11" s="533"/>
      <c r="BU11" s="534">
        <f t="shared" si="22"/>
        <v>0</v>
      </c>
      <c r="BV11" s="535">
        <f t="shared" si="134"/>
        <v>0</v>
      </c>
      <c r="BW11" s="533">
        <v>0.67999999999999972</v>
      </c>
      <c r="BX11" s="534">
        <f t="shared" si="23"/>
        <v>1.0362378470634844E-2</v>
      </c>
      <c r="BY11" s="535">
        <f t="shared" si="135"/>
        <v>0</v>
      </c>
      <c r="BZ11" s="533"/>
      <c r="CA11" s="534">
        <f t="shared" si="24"/>
        <v>0</v>
      </c>
      <c r="CB11" s="535">
        <f t="shared" si="136"/>
        <v>0</v>
      </c>
      <c r="CC11" s="533">
        <v>12.5</v>
      </c>
      <c r="CD11" s="534">
        <f t="shared" si="25"/>
        <v>0.19048489835725824</v>
      </c>
      <c r="CE11" s="535">
        <f t="shared" si="137"/>
        <v>0</v>
      </c>
      <c r="CF11" s="533">
        <v>9.9999999999999867E-2</v>
      </c>
      <c r="CG11" s="534">
        <f t="shared" si="26"/>
        <v>1.5238791868580639E-3</v>
      </c>
      <c r="CH11" s="535">
        <f t="shared" si="138"/>
        <v>0</v>
      </c>
      <c r="CI11" s="533"/>
      <c r="CJ11" s="534">
        <f t="shared" si="27"/>
        <v>0</v>
      </c>
      <c r="CK11" s="535">
        <f t="shared" si="139"/>
        <v>0</v>
      </c>
      <c r="CL11" s="533"/>
      <c r="CM11" s="534">
        <f t="shared" si="28"/>
        <v>0</v>
      </c>
      <c r="CN11" s="535">
        <f t="shared" si="140"/>
        <v>0</v>
      </c>
      <c r="CO11" s="533"/>
      <c r="CP11" s="534">
        <f t="shared" si="29"/>
        <v>0</v>
      </c>
      <c r="CQ11" s="535">
        <f t="shared" si="141"/>
        <v>0</v>
      </c>
      <c r="CR11" s="533"/>
      <c r="CS11" s="534">
        <f t="shared" si="30"/>
        <v>0</v>
      </c>
      <c r="CT11" s="535">
        <f t="shared" si="142"/>
        <v>0</v>
      </c>
      <c r="CU11" s="533"/>
      <c r="CV11" s="534">
        <f t="shared" si="31"/>
        <v>0</v>
      </c>
      <c r="CW11" s="535">
        <f t="shared" si="143"/>
        <v>0</v>
      </c>
      <c r="CX11" s="533"/>
      <c r="CY11" s="534">
        <f t="shared" si="32"/>
        <v>0</v>
      </c>
      <c r="CZ11" s="535">
        <f t="shared" si="144"/>
        <v>0</v>
      </c>
      <c r="DA11" s="533"/>
      <c r="DB11" s="534">
        <f t="shared" si="33"/>
        <v>0</v>
      </c>
      <c r="DC11" s="535">
        <f t="shared" si="145"/>
        <v>0</v>
      </c>
      <c r="DD11" s="533"/>
      <c r="DE11" s="534">
        <f t="shared" si="34"/>
        <v>0</v>
      </c>
      <c r="DF11" s="535">
        <f t="shared" si="146"/>
        <v>0</v>
      </c>
      <c r="DG11" s="533">
        <v>4.7249999999999943</v>
      </c>
      <c r="DH11" s="534">
        <f t="shared" si="35"/>
        <v>7.2003291579043532E-2</v>
      </c>
      <c r="DI11" s="535">
        <v>0</v>
      </c>
      <c r="DJ11" s="533"/>
      <c r="DK11" s="534">
        <f t="shared" si="36"/>
        <v>0</v>
      </c>
      <c r="DL11" s="535">
        <f t="shared" si="147"/>
        <v>0</v>
      </c>
      <c r="DM11" s="533"/>
      <c r="DN11" s="534">
        <f t="shared" si="37"/>
        <v>0</v>
      </c>
      <c r="DO11" s="535">
        <f t="shared" si="148"/>
        <v>0</v>
      </c>
      <c r="DP11" s="533"/>
      <c r="DQ11" s="534">
        <f t="shared" si="38"/>
        <v>0</v>
      </c>
      <c r="DR11" s="535">
        <f t="shared" si="149"/>
        <v>0</v>
      </c>
      <c r="DS11" s="533"/>
      <c r="DT11" s="534">
        <f t="shared" si="39"/>
        <v>0</v>
      </c>
      <c r="DU11" s="535">
        <f t="shared" si="150"/>
        <v>0</v>
      </c>
      <c r="DV11" s="533"/>
      <c r="DW11" s="534">
        <f t="shared" si="40"/>
        <v>0</v>
      </c>
      <c r="DX11" s="535">
        <f t="shared" si="151"/>
        <v>0</v>
      </c>
      <c r="DY11" s="533"/>
      <c r="DZ11" s="534">
        <f t="shared" si="41"/>
        <v>0</v>
      </c>
      <c r="EA11" s="535">
        <f t="shared" si="152"/>
        <v>0</v>
      </c>
      <c r="EB11" s="533">
        <v>14.534269767441856</v>
      </c>
      <c r="EC11" s="534">
        <f t="shared" si="42"/>
        <v>0.22148471194785066</v>
      </c>
      <c r="ED11" s="535">
        <f t="shared" si="153"/>
        <v>0</v>
      </c>
      <c r="EE11" s="533">
        <v>1</v>
      </c>
      <c r="EF11" s="534">
        <f t="shared" si="43"/>
        <v>1.5238791868580659E-2</v>
      </c>
      <c r="EG11" s="535">
        <f t="shared" si="154"/>
        <v>0</v>
      </c>
      <c r="EH11" s="533"/>
      <c r="EI11" s="534">
        <f t="shared" si="44"/>
        <v>0</v>
      </c>
      <c r="EJ11" s="535">
        <f t="shared" si="155"/>
        <v>0</v>
      </c>
      <c r="EK11" s="533"/>
      <c r="EL11" s="534">
        <f t="shared" si="45"/>
        <v>0</v>
      </c>
      <c r="EM11" s="535">
        <f t="shared" si="156"/>
        <v>0</v>
      </c>
      <c r="EN11" s="533"/>
      <c r="EO11" s="534">
        <f t="shared" si="46"/>
        <v>0</v>
      </c>
      <c r="EP11" s="535">
        <f t="shared" si="157"/>
        <v>0</v>
      </c>
      <c r="EQ11" s="533"/>
      <c r="ER11" s="534">
        <f t="shared" si="47"/>
        <v>0</v>
      </c>
      <c r="ES11" s="535">
        <f t="shared" si="158"/>
        <v>0</v>
      </c>
      <c r="ET11" s="533"/>
      <c r="EU11" s="534">
        <f t="shared" si="48"/>
        <v>0</v>
      </c>
      <c r="EV11" s="535">
        <f t="shared" si="159"/>
        <v>0</v>
      </c>
      <c r="EW11" s="533"/>
      <c r="EX11" s="534">
        <f t="shared" si="49"/>
        <v>0</v>
      </c>
      <c r="EY11" s="535">
        <f t="shared" si="160"/>
        <v>0</v>
      </c>
      <c r="EZ11" s="533"/>
      <c r="FA11" s="534">
        <f t="shared" si="50"/>
        <v>0</v>
      </c>
      <c r="FB11" s="535">
        <f t="shared" si="161"/>
        <v>0</v>
      </c>
      <c r="FC11" s="533"/>
      <c r="FD11" s="534">
        <f t="shared" si="51"/>
        <v>0</v>
      </c>
      <c r="FE11" s="535">
        <f t="shared" si="162"/>
        <v>0</v>
      </c>
      <c r="FF11" s="533"/>
      <c r="FG11" s="534">
        <f t="shared" si="52"/>
        <v>0</v>
      </c>
      <c r="FH11" s="535">
        <f t="shared" si="163"/>
        <v>0</v>
      </c>
      <c r="FI11" s="533"/>
      <c r="FJ11" s="534">
        <f t="shared" si="53"/>
        <v>0</v>
      </c>
      <c r="FK11" s="535">
        <f t="shared" si="164"/>
        <v>0</v>
      </c>
      <c r="FL11" s="533"/>
      <c r="FM11" s="534">
        <f t="shared" si="54"/>
        <v>0</v>
      </c>
      <c r="FN11" s="535">
        <f t="shared" si="165"/>
        <v>0</v>
      </c>
      <c r="FO11" s="533"/>
      <c r="FP11" s="534">
        <f t="shared" si="55"/>
        <v>0</v>
      </c>
      <c r="FQ11" s="535">
        <f t="shared" si="166"/>
        <v>0</v>
      </c>
      <c r="FR11" s="533"/>
      <c r="FS11" s="534">
        <f t="shared" si="56"/>
        <v>0</v>
      </c>
      <c r="FT11" s="535">
        <f t="shared" si="167"/>
        <v>0</v>
      </c>
      <c r="FU11" s="533"/>
      <c r="FV11" s="534">
        <f t="shared" si="57"/>
        <v>0</v>
      </c>
      <c r="FW11" s="535">
        <f t="shared" si="168"/>
        <v>0</v>
      </c>
      <c r="FX11" s="533"/>
      <c r="FY11" s="534">
        <f t="shared" si="58"/>
        <v>0</v>
      </c>
      <c r="FZ11" s="535">
        <f t="shared" si="169"/>
        <v>0</v>
      </c>
      <c r="GA11" s="533"/>
      <c r="GB11" s="534">
        <f t="shared" si="59"/>
        <v>0</v>
      </c>
      <c r="GC11" s="535">
        <f t="shared" si="170"/>
        <v>0</v>
      </c>
      <c r="GD11" s="533"/>
      <c r="GE11" s="534">
        <f t="shared" si="60"/>
        <v>0</v>
      </c>
      <c r="GF11" s="535">
        <f t="shared" si="171"/>
        <v>0</v>
      </c>
      <c r="GG11" s="533"/>
      <c r="GH11" s="534">
        <f t="shared" si="61"/>
        <v>0</v>
      </c>
      <c r="GI11" s="535">
        <f t="shared" si="172"/>
        <v>0</v>
      </c>
      <c r="GJ11" s="533"/>
      <c r="GK11" s="534">
        <f t="shared" si="62"/>
        <v>0</v>
      </c>
      <c r="GL11" s="535">
        <f t="shared" si="173"/>
        <v>0</v>
      </c>
      <c r="GM11" s="533"/>
      <c r="GN11" s="534">
        <f t="shared" si="63"/>
        <v>0</v>
      </c>
      <c r="GO11" s="535">
        <f t="shared" si="174"/>
        <v>0</v>
      </c>
      <c r="GP11" s="533"/>
      <c r="GQ11" s="534">
        <f t="shared" si="64"/>
        <v>0</v>
      </c>
      <c r="GR11" s="535">
        <f t="shared" si="175"/>
        <v>0</v>
      </c>
      <c r="GS11" s="533"/>
      <c r="GT11" s="534">
        <f t="shared" si="65"/>
        <v>0</v>
      </c>
      <c r="GU11" s="535">
        <f t="shared" si="176"/>
        <v>0</v>
      </c>
      <c r="GV11" s="533"/>
      <c r="GW11" s="534">
        <f t="shared" si="66"/>
        <v>0</v>
      </c>
      <c r="GX11" s="535">
        <f t="shared" si="177"/>
        <v>0</v>
      </c>
      <c r="GY11" s="533"/>
      <c r="GZ11" s="534">
        <f t="shared" si="67"/>
        <v>0</v>
      </c>
      <c r="HA11" s="535">
        <f t="shared" si="178"/>
        <v>0</v>
      </c>
      <c r="HB11" s="533"/>
      <c r="HC11" s="534">
        <f t="shared" si="68"/>
        <v>0</v>
      </c>
      <c r="HD11" s="535">
        <f t="shared" si="179"/>
        <v>0</v>
      </c>
      <c r="HE11" s="533"/>
      <c r="HF11" s="534">
        <f t="shared" si="69"/>
        <v>0</v>
      </c>
      <c r="HG11" s="535">
        <f t="shared" si="180"/>
        <v>0</v>
      </c>
      <c r="HH11" s="533"/>
      <c r="HI11" s="534">
        <f t="shared" si="70"/>
        <v>0</v>
      </c>
      <c r="HJ11" s="535">
        <f t="shared" si="181"/>
        <v>0</v>
      </c>
      <c r="HK11" s="533"/>
      <c r="HL11" s="534">
        <f t="shared" si="71"/>
        <v>0</v>
      </c>
      <c r="HM11" s="535">
        <f t="shared" si="182"/>
        <v>0</v>
      </c>
      <c r="HN11" s="533"/>
      <c r="HO11" s="534">
        <f t="shared" si="72"/>
        <v>0</v>
      </c>
      <c r="HP11" s="535">
        <f t="shared" si="183"/>
        <v>0</v>
      </c>
      <c r="HQ11" s="533"/>
      <c r="HR11" s="534">
        <f t="shared" si="73"/>
        <v>0</v>
      </c>
      <c r="HS11" s="535">
        <f t="shared" si="184"/>
        <v>0</v>
      </c>
      <c r="HT11" s="533"/>
      <c r="HU11" s="534">
        <f t="shared" si="74"/>
        <v>0</v>
      </c>
      <c r="HV11" s="535">
        <f t="shared" si="185"/>
        <v>0</v>
      </c>
      <c r="HW11" s="533"/>
      <c r="HX11" s="534">
        <f t="shared" si="75"/>
        <v>0</v>
      </c>
      <c r="HY11" s="535">
        <f t="shared" si="186"/>
        <v>0</v>
      </c>
      <c r="HZ11" s="533"/>
      <c r="IA11" s="534">
        <f t="shared" si="76"/>
        <v>0</v>
      </c>
      <c r="IB11" s="535">
        <f t="shared" si="187"/>
        <v>0</v>
      </c>
      <c r="IC11" s="533"/>
      <c r="ID11" s="534">
        <f t="shared" si="77"/>
        <v>0</v>
      </c>
      <c r="IE11" s="535">
        <f t="shared" si="188"/>
        <v>0</v>
      </c>
      <c r="IF11" s="533"/>
      <c r="IG11" s="534">
        <f t="shared" si="78"/>
        <v>0</v>
      </c>
      <c r="IH11" s="535">
        <f t="shared" si="189"/>
        <v>0</v>
      </c>
      <c r="II11" s="533"/>
      <c r="IJ11" s="534">
        <f t="shared" si="79"/>
        <v>0</v>
      </c>
      <c r="IK11" s="535">
        <f t="shared" si="190"/>
        <v>0</v>
      </c>
      <c r="IL11" s="533"/>
      <c r="IM11" s="534">
        <f t="shared" si="80"/>
        <v>0</v>
      </c>
      <c r="IN11" s="535">
        <f t="shared" si="191"/>
        <v>0</v>
      </c>
      <c r="IO11" s="533"/>
      <c r="IP11" s="534">
        <f t="shared" si="81"/>
        <v>0</v>
      </c>
      <c r="IQ11" s="535">
        <f t="shared" si="192"/>
        <v>0</v>
      </c>
      <c r="IR11" s="533"/>
      <c r="IS11" s="534">
        <f t="shared" si="82"/>
        <v>0</v>
      </c>
      <c r="IT11" s="535">
        <f t="shared" si="193"/>
        <v>0</v>
      </c>
      <c r="IU11" s="533"/>
      <c r="IV11" s="534">
        <f t="shared" si="83"/>
        <v>0</v>
      </c>
      <c r="IW11" s="535">
        <f t="shared" si="194"/>
        <v>0</v>
      </c>
      <c r="IX11" s="533"/>
      <c r="IY11" s="534">
        <f t="shared" si="84"/>
        <v>0</v>
      </c>
      <c r="IZ11" s="535">
        <f t="shared" si="195"/>
        <v>0</v>
      </c>
      <c r="JA11" s="533"/>
      <c r="JB11" s="534">
        <f t="shared" si="85"/>
        <v>0</v>
      </c>
      <c r="JC11" s="535">
        <f t="shared" si="196"/>
        <v>0</v>
      </c>
      <c r="JD11" s="533"/>
      <c r="JE11" s="534">
        <f t="shared" si="86"/>
        <v>0</v>
      </c>
      <c r="JF11" s="535">
        <f t="shared" si="197"/>
        <v>0</v>
      </c>
      <c r="JG11" s="533"/>
      <c r="JH11" s="534">
        <f t="shared" si="87"/>
        <v>0</v>
      </c>
      <c r="JI11" s="535">
        <f t="shared" si="198"/>
        <v>0</v>
      </c>
      <c r="JJ11" s="533"/>
      <c r="JK11" s="535" t="str">
        <f t="shared" si="88"/>
        <v>0</v>
      </c>
      <c r="JL11" s="535" t="str">
        <f t="shared" si="89"/>
        <v>0</v>
      </c>
      <c r="JM11" s="533"/>
      <c r="JN11" s="535" t="str">
        <f t="shared" si="90"/>
        <v>0</v>
      </c>
      <c r="JO11" s="535" t="str">
        <f t="shared" si="91"/>
        <v>0</v>
      </c>
      <c r="JP11" s="533"/>
      <c r="JQ11" s="535" t="str">
        <f t="shared" si="92"/>
        <v>0</v>
      </c>
      <c r="JR11" s="535" t="str">
        <f t="shared" si="93"/>
        <v>0</v>
      </c>
      <c r="JS11" s="533"/>
      <c r="JT11" s="535" t="str">
        <f t="shared" si="94"/>
        <v>0</v>
      </c>
      <c r="JU11" s="535" t="str">
        <f t="shared" si="95"/>
        <v>0</v>
      </c>
      <c r="JV11" s="533"/>
      <c r="JW11" s="535" t="str">
        <f t="shared" si="96"/>
        <v>0</v>
      </c>
      <c r="JX11" s="535" t="str">
        <f t="shared" si="97"/>
        <v>0</v>
      </c>
      <c r="JY11" s="533"/>
      <c r="JZ11" s="535" t="str">
        <f t="shared" si="98"/>
        <v>0</v>
      </c>
      <c r="KA11" s="535" t="str">
        <f t="shared" si="99"/>
        <v>0</v>
      </c>
      <c r="KB11" s="533"/>
      <c r="KC11" s="535" t="str">
        <f t="shared" si="100"/>
        <v>0</v>
      </c>
      <c r="KD11" s="535" t="str">
        <f t="shared" si="101"/>
        <v>0</v>
      </c>
      <c r="KE11" s="533"/>
      <c r="KF11" s="535" t="str">
        <f t="shared" si="102"/>
        <v>0</v>
      </c>
      <c r="KG11" s="535" t="str">
        <f t="shared" si="103"/>
        <v>0</v>
      </c>
      <c r="KH11" s="533"/>
      <c r="KI11" s="535" t="str">
        <f t="shared" si="104"/>
        <v>0</v>
      </c>
      <c r="KJ11" s="535" t="str">
        <f t="shared" si="105"/>
        <v>0</v>
      </c>
      <c r="KK11" s="533"/>
      <c r="KL11" s="535" t="str">
        <f t="shared" si="106"/>
        <v>0</v>
      </c>
      <c r="KM11" s="535" t="str">
        <f t="shared" si="107"/>
        <v>0</v>
      </c>
      <c r="KN11" s="533"/>
      <c r="KO11" s="535" t="str">
        <f t="shared" si="108"/>
        <v>0</v>
      </c>
      <c r="KP11" s="535" t="str">
        <f t="shared" si="109"/>
        <v>0</v>
      </c>
      <c r="KQ11" s="533"/>
      <c r="KR11" s="535" t="str">
        <f t="shared" si="110"/>
        <v>0</v>
      </c>
      <c r="KS11" s="535" t="str">
        <f t="shared" si="111"/>
        <v>0</v>
      </c>
      <c r="KT11" s="535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35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72">
        <f t="shared" si="199"/>
        <v>908.75839922480611</v>
      </c>
    </row>
    <row r="12" spans="1:308" ht="15" customHeight="1">
      <c r="A12" s="274">
        <f t="shared" si="200"/>
        <v>45965</v>
      </c>
      <c r="B12" s="275" t="str">
        <f>+Report1!B12</f>
        <v>MG</v>
      </c>
      <c r="C12" s="415" t="str">
        <f>+Report1!C12</f>
        <v>16,5/30/17/18/14</v>
      </c>
      <c r="D12" s="276">
        <f>+Report1!P12</f>
        <v>68.326000000000008</v>
      </c>
      <c r="E12" s="277">
        <f>+Report1!R12</f>
        <v>59.649000000000001</v>
      </c>
      <c r="F12" s="533">
        <v>81.395348837209326</v>
      </c>
      <c r="G12" s="534">
        <f t="shared" si="0"/>
        <v>1.3645718928600534</v>
      </c>
      <c r="H12" s="535">
        <f t="shared" si="112"/>
        <v>0</v>
      </c>
      <c r="I12" s="533">
        <v>720.93023255813955</v>
      </c>
      <c r="J12" s="534">
        <f t="shared" si="1"/>
        <v>12.086208193903326</v>
      </c>
      <c r="K12" s="535">
        <f t="shared" si="113"/>
        <v>0</v>
      </c>
      <c r="L12" s="533"/>
      <c r="M12" s="534">
        <f t="shared" si="2"/>
        <v>0</v>
      </c>
      <c r="N12" s="535">
        <f t="shared" si="114"/>
        <v>0</v>
      </c>
      <c r="O12" s="533">
        <v>5.9999999999999432</v>
      </c>
      <c r="P12" s="534">
        <f t="shared" si="3"/>
        <v>0.10058844238796867</v>
      </c>
      <c r="Q12" s="535">
        <f t="shared" si="115"/>
        <v>0</v>
      </c>
      <c r="R12" s="533"/>
      <c r="S12" s="534">
        <f t="shared" si="4"/>
        <v>0</v>
      </c>
      <c r="T12" s="535">
        <f t="shared" si="116"/>
        <v>0</v>
      </c>
      <c r="U12" s="533">
        <v>5.1249999999999716</v>
      </c>
      <c r="V12" s="534">
        <f t="shared" si="5"/>
        <v>8.5919294539723579E-2</v>
      </c>
      <c r="W12" s="535">
        <f t="shared" si="117"/>
        <v>0</v>
      </c>
      <c r="X12" s="533"/>
      <c r="Y12" s="534">
        <f t="shared" si="6"/>
        <v>0</v>
      </c>
      <c r="Z12" s="535">
        <f t="shared" si="118"/>
        <v>0</v>
      </c>
      <c r="AA12" s="533"/>
      <c r="AB12" s="534">
        <f t="shared" si="7"/>
        <v>0</v>
      </c>
      <c r="AC12" s="535">
        <f t="shared" si="119"/>
        <v>0</v>
      </c>
      <c r="AD12" s="533"/>
      <c r="AE12" s="534">
        <f t="shared" si="8"/>
        <v>0</v>
      </c>
      <c r="AF12" s="535">
        <f t="shared" si="120"/>
        <v>0</v>
      </c>
      <c r="AG12" s="533"/>
      <c r="AH12" s="534">
        <f t="shared" si="9"/>
        <v>0</v>
      </c>
      <c r="AI12" s="535">
        <f t="shared" si="121"/>
        <v>0</v>
      </c>
      <c r="AJ12" s="533">
        <v>0</v>
      </c>
      <c r="AK12" s="534">
        <f t="shared" si="10"/>
        <v>0</v>
      </c>
      <c r="AL12" s="535">
        <f t="shared" si="122"/>
        <v>0</v>
      </c>
      <c r="AM12" s="533">
        <v>0</v>
      </c>
      <c r="AN12" s="534">
        <f t="shared" si="11"/>
        <v>0</v>
      </c>
      <c r="AO12" s="535">
        <f t="shared" si="123"/>
        <v>0</v>
      </c>
      <c r="AP12" s="533">
        <v>0</v>
      </c>
      <c r="AQ12" s="534">
        <f t="shared" si="12"/>
        <v>0</v>
      </c>
      <c r="AR12" s="535">
        <f t="shared" si="124"/>
        <v>0</v>
      </c>
      <c r="AS12" s="533"/>
      <c r="AT12" s="534">
        <f t="shared" si="13"/>
        <v>0</v>
      </c>
      <c r="AU12" s="535">
        <f t="shared" si="125"/>
        <v>0</v>
      </c>
      <c r="AV12" s="533">
        <v>11.099999999999994</v>
      </c>
      <c r="AW12" s="534">
        <f t="shared" si="14"/>
        <v>0.18608861841774371</v>
      </c>
      <c r="AX12" s="535">
        <f t="shared" si="126"/>
        <v>0</v>
      </c>
      <c r="AY12" s="533">
        <v>25.666666666666657</v>
      </c>
      <c r="AZ12" s="534">
        <f t="shared" si="15"/>
        <v>0.43029500354853656</v>
      </c>
      <c r="BA12" s="535">
        <f t="shared" si="127"/>
        <v>0</v>
      </c>
      <c r="BB12" s="533">
        <v>63.000000000000014</v>
      </c>
      <c r="BC12" s="534">
        <f t="shared" si="16"/>
        <v>1.0561786450736812</v>
      </c>
      <c r="BD12" s="535">
        <f t="shared" si="128"/>
        <v>0</v>
      </c>
      <c r="BE12" s="533"/>
      <c r="BF12" s="534">
        <f t="shared" si="17"/>
        <v>0</v>
      </c>
      <c r="BG12" s="535">
        <f t="shared" si="129"/>
        <v>0</v>
      </c>
      <c r="BH12" s="533"/>
      <c r="BI12" s="534">
        <f t="shared" si="18"/>
        <v>0</v>
      </c>
      <c r="BJ12" s="535">
        <f t="shared" si="130"/>
        <v>0</v>
      </c>
      <c r="BK12" s="533"/>
      <c r="BL12" s="534">
        <f t="shared" si="19"/>
        <v>0</v>
      </c>
      <c r="BM12" s="535">
        <f t="shared" si="131"/>
        <v>0</v>
      </c>
      <c r="BN12" s="533">
        <v>20.251498765432075</v>
      </c>
      <c r="BO12" s="534">
        <f t="shared" si="20"/>
        <v>0.33951111947278367</v>
      </c>
      <c r="BP12" s="535">
        <f t="shared" si="132"/>
        <v>0</v>
      </c>
      <c r="BQ12" s="533">
        <v>0</v>
      </c>
      <c r="BR12" s="534">
        <f t="shared" si="21"/>
        <v>0</v>
      </c>
      <c r="BS12" s="535">
        <f t="shared" si="133"/>
        <v>0</v>
      </c>
      <c r="BT12" s="533"/>
      <c r="BU12" s="534">
        <f t="shared" si="22"/>
        <v>0</v>
      </c>
      <c r="BV12" s="535">
        <f t="shared" si="134"/>
        <v>0</v>
      </c>
      <c r="BW12" s="533">
        <v>0</v>
      </c>
      <c r="BX12" s="534">
        <f t="shared" si="23"/>
        <v>0</v>
      </c>
      <c r="BY12" s="535">
        <f t="shared" si="135"/>
        <v>0</v>
      </c>
      <c r="BZ12" s="533"/>
      <c r="CA12" s="534">
        <f t="shared" si="24"/>
        <v>0</v>
      </c>
      <c r="CB12" s="535">
        <f t="shared" si="136"/>
        <v>0</v>
      </c>
      <c r="CC12" s="533">
        <v>6.25</v>
      </c>
      <c r="CD12" s="534">
        <f t="shared" si="25"/>
        <v>0.10477962748746836</v>
      </c>
      <c r="CE12" s="535">
        <f t="shared" si="137"/>
        <v>0</v>
      </c>
      <c r="CF12" s="533">
        <v>9.9999999999999867E-2</v>
      </c>
      <c r="CG12" s="534">
        <f t="shared" si="26"/>
        <v>1.6764740397994915E-3</v>
      </c>
      <c r="CH12" s="535">
        <f t="shared" si="138"/>
        <v>0</v>
      </c>
      <c r="CI12" s="533"/>
      <c r="CJ12" s="534">
        <f t="shared" si="27"/>
        <v>0</v>
      </c>
      <c r="CK12" s="535">
        <f t="shared" si="139"/>
        <v>0</v>
      </c>
      <c r="CL12" s="533"/>
      <c r="CM12" s="534">
        <f t="shared" si="28"/>
        <v>0</v>
      </c>
      <c r="CN12" s="535">
        <f t="shared" si="140"/>
        <v>0</v>
      </c>
      <c r="CO12" s="533"/>
      <c r="CP12" s="534">
        <f t="shared" si="29"/>
        <v>0</v>
      </c>
      <c r="CQ12" s="535">
        <f t="shared" si="141"/>
        <v>0</v>
      </c>
      <c r="CR12" s="533"/>
      <c r="CS12" s="534">
        <f t="shared" si="30"/>
        <v>0</v>
      </c>
      <c r="CT12" s="535">
        <f t="shared" si="142"/>
        <v>0</v>
      </c>
      <c r="CU12" s="533"/>
      <c r="CV12" s="534">
        <f t="shared" si="31"/>
        <v>0</v>
      </c>
      <c r="CW12" s="535">
        <f t="shared" si="143"/>
        <v>0</v>
      </c>
      <c r="CX12" s="533"/>
      <c r="CY12" s="534">
        <f t="shared" si="32"/>
        <v>0</v>
      </c>
      <c r="CZ12" s="535">
        <f t="shared" si="144"/>
        <v>0</v>
      </c>
      <c r="DA12" s="533"/>
      <c r="DB12" s="534">
        <f t="shared" si="33"/>
        <v>0</v>
      </c>
      <c r="DC12" s="535">
        <f t="shared" si="145"/>
        <v>0</v>
      </c>
      <c r="DD12" s="533"/>
      <c r="DE12" s="534">
        <f t="shared" si="34"/>
        <v>0</v>
      </c>
      <c r="DF12" s="535">
        <f t="shared" si="146"/>
        <v>0</v>
      </c>
      <c r="DG12" s="533">
        <v>0</v>
      </c>
      <c r="DH12" s="534">
        <f t="shared" si="35"/>
        <v>0</v>
      </c>
      <c r="DI12" s="535">
        <v>0</v>
      </c>
      <c r="DJ12" s="533"/>
      <c r="DK12" s="534">
        <f t="shared" si="36"/>
        <v>0</v>
      </c>
      <c r="DL12" s="535">
        <f t="shared" si="147"/>
        <v>0</v>
      </c>
      <c r="DM12" s="533"/>
      <c r="DN12" s="534">
        <f t="shared" si="37"/>
        <v>0</v>
      </c>
      <c r="DO12" s="535">
        <f t="shared" si="148"/>
        <v>0</v>
      </c>
      <c r="DP12" s="533"/>
      <c r="DQ12" s="534">
        <f t="shared" si="38"/>
        <v>0</v>
      </c>
      <c r="DR12" s="535">
        <f t="shared" si="149"/>
        <v>0</v>
      </c>
      <c r="DS12" s="533"/>
      <c r="DT12" s="534">
        <f t="shared" si="39"/>
        <v>0</v>
      </c>
      <c r="DU12" s="535">
        <f t="shared" si="150"/>
        <v>0</v>
      </c>
      <c r="DV12" s="533"/>
      <c r="DW12" s="534">
        <f t="shared" si="40"/>
        <v>0</v>
      </c>
      <c r="DX12" s="535">
        <f t="shared" si="151"/>
        <v>0</v>
      </c>
      <c r="DY12" s="533"/>
      <c r="DZ12" s="534">
        <f t="shared" si="41"/>
        <v>0</v>
      </c>
      <c r="EA12" s="535">
        <f t="shared" si="152"/>
        <v>0</v>
      </c>
      <c r="EB12" s="533">
        <v>14.534883720930225</v>
      </c>
      <c r="EC12" s="534">
        <f t="shared" si="42"/>
        <v>0.24367355229643789</v>
      </c>
      <c r="ED12" s="535">
        <f t="shared" si="153"/>
        <v>0</v>
      </c>
      <c r="EE12" s="533">
        <v>1</v>
      </c>
      <c r="EF12" s="534">
        <f t="shared" si="43"/>
        <v>1.6764740397994936E-2</v>
      </c>
      <c r="EG12" s="535">
        <f t="shared" si="154"/>
        <v>0</v>
      </c>
      <c r="EH12" s="533"/>
      <c r="EI12" s="534">
        <f t="shared" si="44"/>
        <v>0</v>
      </c>
      <c r="EJ12" s="535">
        <f t="shared" si="155"/>
        <v>0</v>
      </c>
      <c r="EK12" s="533"/>
      <c r="EL12" s="534">
        <f t="shared" si="45"/>
        <v>0</v>
      </c>
      <c r="EM12" s="535">
        <f t="shared" si="156"/>
        <v>0</v>
      </c>
      <c r="EN12" s="533"/>
      <c r="EO12" s="534">
        <f t="shared" si="46"/>
        <v>0</v>
      </c>
      <c r="EP12" s="535">
        <f t="shared" si="157"/>
        <v>0</v>
      </c>
      <c r="EQ12" s="533"/>
      <c r="ER12" s="534">
        <f t="shared" si="47"/>
        <v>0</v>
      </c>
      <c r="ES12" s="535">
        <f t="shared" si="158"/>
        <v>0</v>
      </c>
      <c r="ET12" s="533"/>
      <c r="EU12" s="534">
        <f t="shared" si="48"/>
        <v>0</v>
      </c>
      <c r="EV12" s="535">
        <f t="shared" si="159"/>
        <v>0</v>
      </c>
      <c r="EW12" s="533"/>
      <c r="EX12" s="534">
        <f t="shared" si="49"/>
        <v>0</v>
      </c>
      <c r="EY12" s="535">
        <f t="shared" si="160"/>
        <v>0</v>
      </c>
      <c r="EZ12" s="533"/>
      <c r="FA12" s="534">
        <f t="shared" si="50"/>
        <v>0</v>
      </c>
      <c r="FB12" s="535">
        <f t="shared" si="161"/>
        <v>0</v>
      </c>
      <c r="FC12" s="533"/>
      <c r="FD12" s="534">
        <f t="shared" si="51"/>
        <v>0</v>
      </c>
      <c r="FE12" s="535">
        <f t="shared" si="162"/>
        <v>0</v>
      </c>
      <c r="FF12" s="533"/>
      <c r="FG12" s="534">
        <f t="shared" si="52"/>
        <v>0</v>
      </c>
      <c r="FH12" s="535">
        <f t="shared" si="163"/>
        <v>0</v>
      </c>
      <c r="FI12" s="533"/>
      <c r="FJ12" s="534">
        <f t="shared" si="53"/>
        <v>0</v>
      </c>
      <c r="FK12" s="535">
        <f t="shared" si="164"/>
        <v>0</v>
      </c>
      <c r="FL12" s="533"/>
      <c r="FM12" s="534">
        <f t="shared" si="54"/>
        <v>0</v>
      </c>
      <c r="FN12" s="535">
        <f t="shared" si="165"/>
        <v>0</v>
      </c>
      <c r="FO12" s="533"/>
      <c r="FP12" s="534">
        <f t="shared" si="55"/>
        <v>0</v>
      </c>
      <c r="FQ12" s="535">
        <f t="shared" si="166"/>
        <v>0</v>
      </c>
      <c r="FR12" s="533"/>
      <c r="FS12" s="534">
        <f t="shared" si="56"/>
        <v>0</v>
      </c>
      <c r="FT12" s="535">
        <f t="shared" si="167"/>
        <v>0</v>
      </c>
      <c r="FU12" s="533"/>
      <c r="FV12" s="534">
        <f t="shared" si="57"/>
        <v>0</v>
      </c>
      <c r="FW12" s="535">
        <f t="shared" si="168"/>
        <v>0</v>
      </c>
      <c r="FX12" s="533"/>
      <c r="FY12" s="534">
        <f t="shared" si="58"/>
        <v>0</v>
      </c>
      <c r="FZ12" s="535">
        <f t="shared" si="169"/>
        <v>0</v>
      </c>
      <c r="GA12" s="533"/>
      <c r="GB12" s="534">
        <f t="shared" si="59"/>
        <v>0</v>
      </c>
      <c r="GC12" s="535">
        <f t="shared" si="170"/>
        <v>0</v>
      </c>
      <c r="GD12" s="533"/>
      <c r="GE12" s="534">
        <f t="shared" si="60"/>
        <v>0</v>
      </c>
      <c r="GF12" s="535">
        <f t="shared" si="171"/>
        <v>0</v>
      </c>
      <c r="GG12" s="533"/>
      <c r="GH12" s="534">
        <f t="shared" si="61"/>
        <v>0</v>
      </c>
      <c r="GI12" s="535">
        <f t="shared" si="172"/>
        <v>0</v>
      </c>
      <c r="GJ12" s="533"/>
      <c r="GK12" s="534">
        <f t="shared" si="62"/>
        <v>0</v>
      </c>
      <c r="GL12" s="535">
        <f t="shared" si="173"/>
        <v>0</v>
      </c>
      <c r="GM12" s="533"/>
      <c r="GN12" s="534">
        <f t="shared" si="63"/>
        <v>0</v>
      </c>
      <c r="GO12" s="535">
        <f t="shared" si="174"/>
        <v>0</v>
      </c>
      <c r="GP12" s="533"/>
      <c r="GQ12" s="534">
        <f t="shared" si="64"/>
        <v>0</v>
      </c>
      <c r="GR12" s="535">
        <f t="shared" si="175"/>
        <v>0</v>
      </c>
      <c r="GS12" s="533"/>
      <c r="GT12" s="534">
        <f t="shared" si="65"/>
        <v>0</v>
      </c>
      <c r="GU12" s="535">
        <f t="shared" si="176"/>
        <v>0</v>
      </c>
      <c r="GV12" s="533"/>
      <c r="GW12" s="534">
        <f t="shared" si="66"/>
        <v>0</v>
      </c>
      <c r="GX12" s="535">
        <f t="shared" si="177"/>
        <v>0</v>
      </c>
      <c r="GY12" s="533"/>
      <c r="GZ12" s="534">
        <f t="shared" si="67"/>
        <v>0</v>
      </c>
      <c r="HA12" s="535">
        <f t="shared" si="178"/>
        <v>0</v>
      </c>
      <c r="HB12" s="533"/>
      <c r="HC12" s="534">
        <f t="shared" si="68"/>
        <v>0</v>
      </c>
      <c r="HD12" s="535">
        <f t="shared" si="179"/>
        <v>0</v>
      </c>
      <c r="HE12" s="533"/>
      <c r="HF12" s="534">
        <f t="shared" si="69"/>
        <v>0</v>
      </c>
      <c r="HG12" s="535">
        <f t="shared" si="180"/>
        <v>0</v>
      </c>
      <c r="HH12" s="533"/>
      <c r="HI12" s="534">
        <f t="shared" si="70"/>
        <v>0</v>
      </c>
      <c r="HJ12" s="535">
        <f t="shared" si="181"/>
        <v>0</v>
      </c>
      <c r="HK12" s="533"/>
      <c r="HL12" s="534">
        <f t="shared" si="71"/>
        <v>0</v>
      </c>
      <c r="HM12" s="535">
        <f t="shared" si="182"/>
        <v>0</v>
      </c>
      <c r="HN12" s="533"/>
      <c r="HO12" s="534">
        <f t="shared" si="72"/>
        <v>0</v>
      </c>
      <c r="HP12" s="535">
        <f t="shared" si="183"/>
        <v>0</v>
      </c>
      <c r="HQ12" s="533"/>
      <c r="HR12" s="534">
        <f t="shared" si="73"/>
        <v>0</v>
      </c>
      <c r="HS12" s="535">
        <f t="shared" si="184"/>
        <v>0</v>
      </c>
      <c r="HT12" s="533"/>
      <c r="HU12" s="534">
        <f t="shared" si="74"/>
        <v>0</v>
      </c>
      <c r="HV12" s="535">
        <f t="shared" si="185"/>
        <v>0</v>
      </c>
      <c r="HW12" s="533"/>
      <c r="HX12" s="534">
        <f t="shared" si="75"/>
        <v>0</v>
      </c>
      <c r="HY12" s="535">
        <f t="shared" si="186"/>
        <v>0</v>
      </c>
      <c r="HZ12" s="533"/>
      <c r="IA12" s="534">
        <f t="shared" si="76"/>
        <v>0</v>
      </c>
      <c r="IB12" s="535">
        <f t="shared" si="187"/>
        <v>0</v>
      </c>
      <c r="IC12" s="533"/>
      <c r="ID12" s="534">
        <f t="shared" si="77"/>
        <v>0</v>
      </c>
      <c r="IE12" s="535">
        <f t="shared" si="188"/>
        <v>0</v>
      </c>
      <c r="IF12" s="533"/>
      <c r="IG12" s="534">
        <f t="shared" si="78"/>
        <v>0</v>
      </c>
      <c r="IH12" s="535">
        <f t="shared" si="189"/>
        <v>0</v>
      </c>
      <c r="II12" s="533"/>
      <c r="IJ12" s="534">
        <f t="shared" si="79"/>
        <v>0</v>
      </c>
      <c r="IK12" s="535">
        <f t="shared" si="190"/>
        <v>0</v>
      </c>
      <c r="IL12" s="533"/>
      <c r="IM12" s="534">
        <f t="shared" si="80"/>
        <v>0</v>
      </c>
      <c r="IN12" s="535">
        <f t="shared" si="191"/>
        <v>0</v>
      </c>
      <c r="IO12" s="533"/>
      <c r="IP12" s="534">
        <f t="shared" si="81"/>
        <v>0</v>
      </c>
      <c r="IQ12" s="535">
        <f t="shared" si="192"/>
        <v>0</v>
      </c>
      <c r="IR12" s="533"/>
      <c r="IS12" s="534">
        <f t="shared" si="82"/>
        <v>0</v>
      </c>
      <c r="IT12" s="535">
        <f t="shared" si="193"/>
        <v>0</v>
      </c>
      <c r="IU12" s="533"/>
      <c r="IV12" s="534">
        <f t="shared" si="83"/>
        <v>0</v>
      </c>
      <c r="IW12" s="535">
        <f t="shared" si="194"/>
        <v>0</v>
      </c>
      <c r="IX12" s="533"/>
      <c r="IY12" s="534">
        <f t="shared" si="84"/>
        <v>0</v>
      </c>
      <c r="IZ12" s="535">
        <f t="shared" si="195"/>
        <v>0</v>
      </c>
      <c r="JA12" s="533"/>
      <c r="JB12" s="534">
        <f t="shared" si="85"/>
        <v>0</v>
      </c>
      <c r="JC12" s="535">
        <f t="shared" si="196"/>
        <v>0</v>
      </c>
      <c r="JD12" s="533"/>
      <c r="JE12" s="534">
        <f t="shared" si="86"/>
        <v>0</v>
      </c>
      <c r="JF12" s="535">
        <f t="shared" si="197"/>
        <v>0</v>
      </c>
      <c r="JG12" s="533"/>
      <c r="JH12" s="534">
        <f t="shared" si="87"/>
        <v>0</v>
      </c>
      <c r="JI12" s="535">
        <f t="shared" si="198"/>
        <v>0</v>
      </c>
      <c r="JJ12" s="533"/>
      <c r="JK12" s="535" t="str">
        <f t="shared" si="88"/>
        <v>0</v>
      </c>
      <c r="JL12" s="535" t="str">
        <f t="shared" si="89"/>
        <v>0</v>
      </c>
      <c r="JM12" s="533"/>
      <c r="JN12" s="535" t="str">
        <f t="shared" si="90"/>
        <v>0</v>
      </c>
      <c r="JO12" s="535" t="str">
        <f t="shared" si="91"/>
        <v>0</v>
      </c>
      <c r="JP12" s="533"/>
      <c r="JQ12" s="535" t="str">
        <f t="shared" si="92"/>
        <v>0</v>
      </c>
      <c r="JR12" s="535" t="str">
        <f t="shared" si="93"/>
        <v>0</v>
      </c>
      <c r="JS12" s="533"/>
      <c r="JT12" s="535" t="str">
        <f t="shared" si="94"/>
        <v>0</v>
      </c>
      <c r="JU12" s="535" t="str">
        <f t="shared" si="95"/>
        <v>0</v>
      </c>
      <c r="JV12" s="533"/>
      <c r="JW12" s="535" t="str">
        <f t="shared" si="96"/>
        <v>0</v>
      </c>
      <c r="JX12" s="535" t="str">
        <f t="shared" si="97"/>
        <v>0</v>
      </c>
      <c r="JY12" s="533"/>
      <c r="JZ12" s="535" t="str">
        <f t="shared" si="98"/>
        <v>0</v>
      </c>
      <c r="KA12" s="535" t="str">
        <f t="shared" si="99"/>
        <v>0</v>
      </c>
      <c r="KB12" s="533"/>
      <c r="KC12" s="535" t="str">
        <f t="shared" si="100"/>
        <v>0</v>
      </c>
      <c r="KD12" s="535" t="str">
        <f t="shared" si="101"/>
        <v>0</v>
      </c>
      <c r="KE12" s="533"/>
      <c r="KF12" s="535" t="str">
        <f t="shared" si="102"/>
        <v>0</v>
      </c>
      <c r="KG12" s="535" t="str">
        <f t="shared" si="103"/>
        <v>0</v>
      </c>
      <c r="KH12" s="533"/>
      <c r="KI12" s="535" t="str">
        <f t="shared" si="104"/>
        <v>0</v>
      </c>
      <c r="KJ12" s="535" t="str">
        <f t="shared" si="105"/>
        <v>0</v>
      </c>
      <c r="KK12" s="533"/>
      <c r="KL12" s="535" t="str">
        <f t="shared" si="106"/>
        <v>0</v>
      </c>
      <c r="KM12" s="535" t="str">
        <f t="shared" si="107"/>
        <v>0</v>
      </c>
      <c r="KN12" s="533"/>
      <c r="KO12" s="535" t="str">
        <f t="shared" si="108"/>
        <v>0</v>
      </c>
      <c r="KP12" s="535" t="str">
        <f t="shared" si="109"/>
        <v>0</v>
      </c>
      <c r="KQ12" s="533"/>
      <c r="KR12" s="535" t="str">
        <f t="shared" si="110"/>
        <v>0</v>
      </c>
      <c r="KS12" s="535" t="str">
        <f t="shared" si="111"/>
        <v>0</v>
      </c>
      <c r="KT12" s="535">
        <f t="shared" si="201"/>
        <v>0</v>
      </c>
      <c r="KU12" s="535">
        <f t="shared" si="202"/>
        <v>0</v>
      </c>
      <c r="KV12" s="272">
        <f t="shared" si="199"/>
        <v>955.35363054837774</v>
      </c>
    </row>
    <row r="13" spans="1:308" ht="15" customHeight="1">
      <c r="A13" s="274">
        <f t="shared" si="200"/>
        <v>45966</v>
      </c>
      <c r="B13" s="275" t="str">
        <f>+Report1!B13</f>
        <v>MG/Facial</v>
      </c>
      <c r="C13" s="415" t="str">
        <f>+Report1!C13</f>
        <v>14/10,3</v>
      </c>
      <c r="D13" s="276">
        <f>+Report1!P13</f>
        <v>45.849000000000004</v>
      </c>
      <c r="E13" s="277">
        <f>+Report1!R13</f>
        <v>55.176000000000002</v>
      </c>
      <c r="F13" s="533">
        <v>0</v>
      </c>
      <c r="G13" s="534">
        <f t="shared" si="0"/>
        <v>0</v>
      </c>
      <c r="H13" s="535">
        <f t="shared" si="112"/>
        <v>0</v>
      </c>
      <c r="I13" s="533">
        <v>290.69767441860449</v>
      </c>
      <c r="J13" s="534">
        <f t="shared" si="1"/>
        <v>5.2685528928991676</v>
      </c>
      <c r="K13" s="535">
        <f t="shared" si="113"/>
        <v>0</v>
      </c>
      <c r="L13" s="533"/>
      <c r="M13" s="534">
        <f t="shared" si="2"/>
        <v>0</v>
      </c>
      <c r="N13" s="535">
        <f t="shared" si="114"/>
        <v>0</v>
      </c>
      <c r="O13" s="533">
        <v>9</v>
      </c>
      <c r="P13" s="534">
        <f t="shared" si="3"/>
        <v>0.16311439756415833</v>
      </c>
      <c r="Q13" s="535">
        <f t="shared" si="115"/>
        <v>0</v>
      </c>
      <c r="R13" s="533"/>
      <c r="S13" s="534">
        <f t="shared" si="4"/>
        <v>0</v>
      </c>
      <c r="T13" s="535">
        <f t="shared" si="116"/>
        <v>0</v>
      </c>
      <c r="U13" s="533">
        <v>5.1250000000000284</v>
      </c>
      <c r="V13" s="534">
        <f t="shared" si="5"/>
        <v>9.2884587501812887E-2</v>
      </c>
      <c r="W13" s="535">
        <f t="shared" si="117"/>
        <v>0</v>
      </c>
      <c r="X13" s="533"/>
      <c r="Y13" s="534">
        <f t="shared" si="6"/>
        <v>0</v>
      </c>
      <c r="Z13" s="535">
        <f t="shared" si="118"/>
        <v>0</v>
      </c>
      <c r="AA13" s="533"/>
      <c r="AB13" s="534">
        <f t="shared" si="7"/>
        <v>0</v>
      </c>
      <c r="AC13" s="535">
        <f t="shared" si="119"/>
        <v>0</v>
      </c>
      <c r="AD13" s="533"/>
      <c r="AE13" s="534">
        <f t="shared" si="8"/>
        <v>0</v>
      </c>
      <c r="AF13" s="535">
        <f t="shared" si="120"/>
        <v>0</v>
      </c>
      <c r="AG13" s="533"/>
      <c r="AH13" s="534">
        <f t="shared" si="9"/>
        <v>0</v>
      </c>
      <c r="AI13" s="535">
        <f t="shared" si="121"/>
        <v>0</v>
      </c>
      <c r="AJ13" s="533">
        <v>0</v>
      </c>
      <c r="AK13" s="534">
        <f t="shared" si="10"/>
        <v>0</v>
      </c>
      <c r="AL13" s="535">
        <f t="shared" si="122"/>
        <v>0</v>
      </c>
      <c r="AM13" s="533">
        <v>0</v>
      </c>
      <c r="AN13" s="534">
        <f t="shared" si="11"/>
        <v>0</v>
      </c>
      <c r="AO13" s="535">
        <f t="shared" si="123"/>
        <v>0</v>
      </c>
      <c r="AP13" s="533">
        <v>42.721518987341767</v>
      </c>
      <c r="AQ13" s="534">
        <f t="shared" si="12"/>
        <v>0.77427720362733377</v>
      </c>
      <c r="AR13" s="535">
        <f t="shared" si="124"/>
        <v>0</v>
      </c>
      <c r="AS13" s="533"/>
      <c r="AT13" s="534">
        <f t="shared" si="13"/>
        <v>0</v>
      </c>
      <c r="AU13" s="535">
        <f t="shared" si="125"/>
        <v>0</v>
      </c>
      <c r="AV13" s="533">
        <v>13.875000000000028</v>
      </c>
      <c r="AW13" s="534">
        <f t="shared" si="14"/>
        <v>0.25146802957807796</v>
      </c>
      <c r="AX13" s="535">
        <f t="shared" si="126"/>
        <v>0</v>
      </c>
      <c r="AY13" s="533">
        <v>18.666666666666657</v>
      </c>
      <c r="AZ13" s="534">
        <f t="shared" si="15"/>
        <v>0.33831134309603189</v>
      </c>
      <c r="BA13" s="535">
        <f t="shared" si="127"/>
        <v>0</v>
      </c>
      <c r="BB13" s="533">
        <v>25.666666666666657</v>
      </c>
      <c r="BC13" s="534">
        <f t="shared" si="16"/>
        <v>0.46517809675704391</v>
      </c>
      <c r="BD13" s="535">
        <f t="shared" si="128"/>
        <v>0</v>
      </c>
      <c r="BE13" s="533"/>
      <c r="BF13" s="534">
        <f t="shared" si="17"/>
        <v>0</v>
      </c>
      <c r="BG13" s="535">
        <f t="shared" si="129"/>
        <v>0</v>
      </c>
      <c r="BH13" s="533"/>
      <c r="BI13" s="534">
        <f t="shared" si="18"/>
        <v>0</v>
      </c>
      <c r="BJ13" s="535">
        <f t="shared" si="130"/>
        <v>0</v>
      </c>
      <c r="BK13" s="533"/>
      <c r="BL13" s="534">
        <f t="shared" si="19"/>
        <v>0</v>
      </c>
      <c r="BM13" s="535">
        <f t="shared" si="131"/>
        <v>0</v>
      </c>
      <c r="BN13" s="533">
        <v>12.65432098765433</v>
      </c>
      <c r="BO13" s="534">
        <f t="shared" si="20"/>
        <v>0.22934466049830232</v>
      </c>
      <c r="BP13" s="535">
        <f t="shared" si="132"/>
        <v>0</v>
      </c>
      <c r="BQ13" s="533">
        <v>0</v>
      </c>
      <c r="BR13" s="534">
        <f t="shared" si="21"/>
        <v>0</v>
      </c>
      <c r="BS13" s="535">
        <f t="shared" si="133"/>
        <v>0</v>
      </c>
      <c r="BT13" s="533"/>
      <c r="BU13" s="534">
        <f t="shared" si="22"/>
        <v>0</v>
      </c>
      <c r="BV13" s="535">
        <f t="shared" si="134"/>
        <v>0</v>
      </c>
      <c r="BW13" s="533">
        <v>0</v>
      </c>
      <c r="BX13" s="534">
        <f t="shared" si="23"/>
        <v>0</v>
      </c>
      <c r="BY13" s="535">
        <f t="shared" si="135"/>
        <v>0</v>
      </c>
      <c r="BZ13" s="533"/>
      <c r="CA13" s="534">
        <f t="shared" si="24"/>
        <v>0</v>
      </c>
      <c r="CB13" s="535">
        <f t="shared" si="136"/>
        <v>0</v>
      </c>
      <c r="CC13" s="533">
        <v>6.25</v>
      </c>
      <c r="CD13" s="534">
        <f t="shared" si="25"/>
        <v>0.11327388719733217</v>
      </c>
      <c r="CE13" s="535">
        <f t="shared" si="137"/>
        <v>0</v>
      </c>
      <c r="CF13" s="533">
        <v>9.9999999999999978E-2</v>
      </c>
      <c r="CG13" s="534">
        <f t="shared" si="26"/>
        <v>1.8123821951573143E-3</v>
      </c>
      <c r="CH13" s="535">
        <f t="shared" si="138"/>
        <v>0</v>
      </c>
      <c r="CI13" s="533"/>
      <c r="CJ13" s="534">
        <f t="shared" si="27"/>
        <v>0</v>
      </c>
      <c r="CK13" s="535">
        <f t="shared" si="139"/>
        <v>0</v>
      </c>
      <c r="CL13" s="533"/>
      <c r="CM13" s="534">
        <f t="shared" si="28"/>
        <v>0</v>
      </c>
      <c r="CN13" s="535">
        <f t="shared" si="140"/>
        <v>0</v>
      </c>
      <c r="CO13" s="533"/>
      <c r="CP13" s="534">
        <f t="shared" si="29"/>
        <v>0</v>
      </c>
      <c r="CQ13" s="535">
        <f t="shared" si="141"/>
        <v>0</v>
      </c>
      <c r="CR13" s="533"/>
      <c r="CS13" s="534">
        <f t="shared" si="30"/>
        <v>0</v>
      </c>
      <c r="CT13" s="535">
        <f t="shared" si="142"/>
        <v>0</v>
      </c>
      <c r="CU13" s="533"/>
      <c r="CV13" s="534">
        <f t="shared" si="31"/>
        <v>0</v>
      </c>
      <c r="CW13" s="535">
        <f t="shared" si="143"/>
        <v>0</v>
      </c>
      <c r="CX13" s="533"/>
      <c r="CY13" s="534">
        <f t="shared" si="32"/>
        <v>0</v>
      </c>
      <c r="CZ13" s="535">
        <f t="shared" si="144"/>
        <v>0</v>
      </c>
      <c r="DA13" s="533"/>
      <c r="DB13" s="534">
        <f t="shared" si="33"/>
        <v>0</v>
      </c>
      <c r="DC13" s="535">
        <f t="shared" si="145"/>
        <v>0</v>
      </c>
      <c r="DD13" s="533"/>
      <c r="DE13" s="534">
        <f t="shared" si="34"/>
        <v>0</v>
      </c>
      <c r="DF13" s="535">
        <f t="shared" si="146"/>
        <v>0</v>
      </c>
      <c r="DG13" s="533">
        <v>0</v>
      </c>
      <c r="DH13" s="534">
        <f t="shared" si="35"/>
        <v>0</v>
      </c>
      <c r="DI13" s="535">
        <v>0</v>
      </c>
      <c r="DJ13" s="533"/>
      <c r="DK13" s="534">
        <f t="shared" si="36"/>
        <v>0</v>
      </c>
      <c r="DL13" s="535">
        <f t="shared" si="147"/>
        <v>0</v>
      </c>
      <c r="DM13" s="533"/>
      <c r="DN13" s="534">
        <f t="shared" si="37"/>
        <v>0</v>
      </c>
      <c r="DO13" s="535">
        <f t="shared" si="148"/>
        <v>0</v>
      </c>
      <c r="DP13" s="533"/>
      <c r="DQ13" s="534">
        <f t="shared" si="38"/>
        <v>0</v>
      </c>
      <c r="DR13" s="535">
        <f t="shared" si="149"/>
        <v>0</v>
      </c>
      <c r="DS13" s="533"/>
      <c r="DT13" s="534">
        <f t="shared" si="39"/>
        <v>0</v>
      </c>
      <c r="DU13" s="535">
        <f t="shared" si="150"/>
        <v>0</v>
      </c>
      <c r="DV13" s="533"/>
      <c r="DW13" s="534">
        <f t="shared" si="40"/>
        <v>0</v>
      </c>
      <c r="DX13" s="535">
        <f t="shared" si="151"/>
        <v>0</v>
      </c>
      <c r="DY13" s="533"/>
      <c r="DZ13" s="534">
        <f t="shared" si="41"/>
        <v>0</v>
      </c>
      <c r="EA13" s="535">
        <f t="shared" si="152"/>
        <v>0</v>
      </c>
      <c r="EB13" s="533">
        <v>14.534883720930281</v>
      </c>
      <c r="EC13" s="534">
        <f t="shared" si="42"/>
        <v>0.26342764464495944</v>
      </c>
      <c r="ED13" s="535">
        <f t="shared" si="153"/>
        <v>0</v>
      </c>
      <c r="EE13" s="533">
        <v>1</v>
      </c>
      <c r="EF13" s="534">
        <f t="shared" si="43"/>
        <v>1.8123821951573148E-2</v>
      </c>
      <c r="EG13" s="535">
        <f t="shared" si="154"/>
        <v>0</v>
      </c>
      <c r="EH13" s="533"/>
      <c r="EI13" s="534">
        <f t="shared" si="44"/>
        <v>0</v>
      </c>
      <c r="EJ13" s="535">
        <f t="shared" si="155"/>
        <v>0</v>
      </c>
      <c r="EK13" s="533"/>
      <c r="EL13" s="534">
        <f t="shared" si="45"/>
        <v>0</v>
      </c>
      <c r="EM13" s="535">
        <f t="shared" si="156"/>
        <v>0</v>
      </c>
      <c r="EN13" s="533"/>
      <c r="EO13" s="534">
        <f t="shared" si="46"/>
        <v>0</v>
      </c>
      <c r="EP13" s="535">
        <f t="shared" si="157"/>
        <v>0</v>
      </c>
      <c r="EQ13" s="533"/>
      <c r="ER13" s="534">
        <f t="shared" si="47"/>
        <v>0</v>
      </c>
      <c r="ES13" s="535">
        <f t="shared" si="158"/>
        <v>0</v>
      </c>
      <c r="ET13" s="533"/>
      <c r="EU13" s="534">
        <f t="shared" si="48"/>
        <v>0</v>
      </c>
      <c r="EV13" s="535">
        <f t="shared" si="159"/>
        <v>0</v>
      </c>
      <c r="EW13" s="533"/>
      <c r="EX13" s="534">
        <f t="shared" si="49"/>
        <v>0</v>
      </c>
      <c r="EY13" s="535">
        <f t="shared" si="160"/>
        <v>0</v>
      </c>
      <c r="EZ13" s="533"/>
      <c r="FA13" s="534">
        <f t="shared" si="50"/>
        <v>0</v>
      </c>
      <c r="FB13" s="535">
        <f t="shared" si="161"/>
        <v>0</v>
      </c>
      <c r="FC13" s="533"/>
      <c r="FD13" s="534">
        <f t="shared" si="51"/>
        <v>0</v>
      </c>
      <c r="FE13" s="535">
        <f t="shared" si="162"/>
        <v>0</v>
      </c>
      <c r="FF13" s="533"/>
      <c r="FG13" s="534">
        <f t="shared" si="52"/>
        <v>0</v>
      </c>
      <c r="FH13" s="535">
        <f t="shared" si="163"/>
        <v>0</v>
      </c>
      <c r="FI13" s="533"/>
      <c r="FJ13" s="534">
        <f t="shared" si="53"/>
        <v>0</v>
      </c>
      <c r="FK13" s="535">
        <f t="shared" si="164"/>
        <v>0</v>
      </c>
      <c r="FL13" s="533"/>
      <c r="FM13" s="534">
        <f t="shared" si="54"/>
        <v>0</v>
      </c>
      <c r="FN13" s="535">
        <f t="shared" si="165"/>
        <v>0</v>
      </c>
      <c r="FO13" s="533"/>
      <c r="FP13" s="534">
        <f t="shared" si="55"/>
        <v>0</v>
      </c>
      <c r="FQ13" s="535">
        <f t="shared" si="166"/>
        <v>0</v>
      </c>
      <c r="FR13" s="533"/>
      <c r="FS13" s="534">
        <f t="shared" si="56"/>
        <v>0</v>
      </c>
      <c r="FT13" s="535">
        <f t="shared" si="167"/>
        <v>0</v>
      </c>
      <c r="FU13" s="533"/>
      <c r="FV13" s="534">
        <f t="shared" si="57"/>
        <v>0</v>
      </c>
      <c r="FW13" s="535">
        <f t="shared" si="168"/>
        <v>0</v>
      </c>
      <c r="FX13" s="533"/>
      <c r="FY13" s="534">
        <f t="shared" si="58"/>
        <v>0</v>
      </c>
      <c r="FZ13" s="535">
        <f t="shared" si="169"/>
        <v>0</v>
      </c>
      <c r="GA13" s="533"/>
      <c r="GB13" s="534">
        <f t="shared" si="59"/>
        <v>0</v>
      </c>
      <c r="GC13" s="535">
        <f t="shared" si="170"/>
        <v>0</v>
      </c>
      <c r="GD13" s="533"/>
      <c r="GE13" s="534">
        <f t="shared" si="60"/>
        <v>0</v>
      </c>
      <c r="GF13" s="535">
        <f t="shared" si="171"/>
        <v>0</v>
      </c>
      <c r="GG13" s="533"/>
      <c r="GH13" s="534">
        <f t="shared" si="61"/>
        <v>0</v>
      </c>
      <c r="GI13" s="535">
        <f t="shared" si="172"/>
        <v>0</v>
      </c>
      <c r="GJ13" s="533"/>
      <c r="GK13" s="534">
        <f t="shared" si="62"/>
        <v>0</v>
      </c>
      <c r="GL13" s="535">
        <f t="shared" si="173"/>
        <v>0</v>
      </c>
      <c r="GM13" s="533"/>
      <c r="GN13" s="534">
        <f t="shared" si="63"/>
        <v>0</v>
      </c>
      <c r="GO13" s="535">
        <f t="shared" si="174"/>
        <v>0</v>
      </c>
      <c r="GP13" s="533"/>
      <c r="GQ13" s="534">
        <f t="shared" si="64"/>
        <v>0</v>
      </c>
      <c r="GR13" s="535">
        <f t="shared" si="175"/>
        <v>0</v>
      </c>
      <c r="GS13" s="533"/>
      <c r="GT13" s="534">
        <f t="shared" si="65"/>
        <v>0</v>
      </c>
      <c r="GU13" s="535">
        <f t="shared" si="176"/>
        <v>0</v>
      </c>
      <c r="GV13" s="533"/>
      <c r="GW13" s="534">
        <f t="shared" si="66"/>
        <v>0</v>
      </c>
      <c r="GX13" s="535">
        <f t="shared" si="177"/>
        <v>0</v>
      </c>
      <c r="GY13" s="533"/>
      <c r="GZ13" s="534">
        <f t="shared" si="67"/>
        <v>0</v>
      </c>
      <c r="HA13" s="535">
        <f t="shared" si="178"/>
        <v>0</v>
      </c>
      <c r="HB13" s="533"/>
      <c r="HC13" s="534">
        <f t="shared" si="68"/>
        <v>0</v>
      </c>
      <c r="HD13" s="535">
        <f t="shared" si="179"/>
        <v>0</v>
      </c>
      <c r="HE13" s="533"/>
      <c r="HF13" s="534">
        <f t="shared" si="69"/>
        <v>0</v>
      </c>
      <c r="HG13" s="535">
        <f t="shared" si="180"/>
        <v>0</v>
      </c>
      <c r="HH13" s="533"/>
      <c r="HI13" s="534">
        <f t="shared" si="70"/>
        <v>0</v>
      </c>
      <c r="HJ13" s="535">
        <f t="shared" si="181"/>
        <v>0</v>
      </c>
      <c r="HK13" s="533"/>
      <c r="HL13" s="534">
        <f t="shared" si="71"/>
        <v>0</v>
      </c>
      <c r="HM13" s="535">
        <f t="shared" si="182"/>
        <v>0</v>
      </c>
      <c r="HN13" s="533"/>
      <c r="HO13" s="534">
        <f t="shared" si="72"/>
        <v>0</v>
      </c>
      <c r="HP13" s="535">
        <f t="shared" si="183"/>
        <v>0</v>
      </c>
      <c r="HQ13" s="533"/>
      <c r="HR13" s="534">
        <f t="shared" si="73"/>
        <v>0</v>
      </c>
      <c r="HS13" s="535">
        <f t="shared" si="184"/>
        <v>0</v>
      </c>
      <c r="HT13" s="533"/>
      <c r="HU13" s="534">
        <f t="shared" si="74"/>
        <v>0</v>
      </c>
      <c r="HV13" s="535">
        <f t="shared" si="185"/>
        <v>0</v>
      </c>
      <c r="HW13" s="533"/>
      <c r="HX13" s="534">
        <f t="shared" si="75"/>
        <v>0</v>
      </c>
      <c r="HY13" s="535">
        <f t="shared" si="186"/>
        <v>0</v>
      </c>
      <c r="HZ13" s="533"/>
      <c r="IA13" s="534">
        <f t="shared" si="76"/>
        <v>0</v>
      </c>
      <c r="IB13" s="535">
        <f t="shared" si="187"/>
        <v>0</v>
      </c>
      <c r="IC13" s="533"/>
      <c r="ID13" s="534">
        <f t="shared" si="77"/>
        <v>0</v>
      </c>
      <c r="IE13" s="535">
        <f t="shared" si="188"/>
        <v>0</v>
      </c>
      <c r="IF13" s="533"/>
      <c r="IG13" s="534">
        <f t="shared" si="78"/>
        <v>0</v>
      </c>
      <c r="IH13" s="535">
        <f t="shared" si="189"/>
        <v>0</v>
      </c>
      <c r="II13" s="533"/>
      <c r="IJ13" s="534">
        <f t="shared" si="79"/>
        <v>0</v>
      </c>
      <c r="IK13" s="535">
        <f t="shared" si="190"/>
        <v>0</v>
      </c>
      <c r="IL13" s="533"/>
      <c r="IM13" s="534">
        <f t="shared" si="80"/>
        <v>0</v>
      </c>
      <c r="IN13" s="535">
        <f t="shared" si="191"/>
        <v>0</v>
      </c>
      <c r="IO13" s="533"/>
      <c r="IP13" s="534">
        <f t="shared" si="81"/>
        <v>0</v>
      </c>
      <c r="IQ13" s="535">
        <f t="shared" si="192"/>
        <v>0</v>
      </c>
      <c r="IR13" s="533"/>
      <c r="IS13" s="534">
        <f t="shared" si="82"/>
        <v>0</v>
      </c>
      <c r="IT13" s="535">
        <f t="shared" si="193"/>
        <v>0</v>
      </c>
      <c r="IU13" s="533"/>
      <c r="IV13" s="534">
        <f t="shared" si="83"/>
        <v>0</v>
      </c>
      <c r="IW13" s="535">
        <f t="shared" si="194"/>
        <v>0</v>
      </c>
      <c r="IX13" s="533"/>
      <c r="IY13" s="534">
        <f t="shared" si="84"/>
        <v>0</v>
      </c>
      <c r="IZ13" s="535">
        <f t="shared" si="195"/>
        <v>0</v>
      </c>
      <c r="JA13" s="533"/>
      <c r="JB13" s="534">
        <f t="shared" si="85"/>
        <v>0</v>
      </c>
      <c r="JC13" s="535">
        <f t="shared" si="196"/>
        <v>0</v>
      </c>
      <c r="JD13" s="533"/>
      <c r="JE13" s="534">
        <f t="shared" si="86"/>
        <v>0</v>
      </c>
      <c r="JF13" s="535">
        <f t="shared" si="197"/>
        <v>0</v>
      </c>
      <c r="JG13" s="533"/>
      <c r="JH13" s="534">
        <f t="shared" si="87"/>
        <v>0</v>
      </c>
      <c r="JI13" s="535">
        <f t="shared" si="198"/>
        <v>0</v>
      </c>
      <c r="JJ13" s="533"/>
      <c r="JK13" s="535" t="str">
        <f t="shared" si="88"/>
        <v>0</v>
      </c>
      <c r="JL13" s="535" t="str">
        <f t="shared" si="89"/>
        <v>0</v>
      </c>
      <c r="JM13" s="533"/>
      <c r="JN13" s="535" t="str">
        <f t="shared" si="90"/>
        <v>0</v>
      </c>
      <c r="JO13" s="535" t="str">
        <f t="shared" si="91"/>
        <v>0</v>
      </c>
      <c r="JP13" s="533"/>
      <c r="JQ13" s="535" t="str">
        <f t="shared" si="92"/>
        <v>0</v>
      </c>
      <c r="JR13" s="535" t="str">
        <f t="shared" si="93"/>
        <v>0</v>
      </c>
      <c r="JS13" s="533"/>
      <c r="JT13" s="535" t="str">
        <f t="shared" si="94"/>
        <v>0</v>
      </c>
      <c r="JU13" s="535" t="str">
        <f t="shared" si="95"/>
        <v>0</v>
      </c>
      <c r="JV13" s="533"/>
      <c r="JW13" s="535" t="str">
        <f t="shared" si="96"/>
        <v>0</v>
      </c>
      <c r="JX13" s="535" t="str">
        <f t="shared" si="97"/>
        <v>0</v>
      </c>
      <c r="JY13" s="533"/>
      <c r="JZ13" s="535" t="str">
        <f t="shared" si="98"/>
        <v>0</v>
      </c>
      <c r="KA13" s="535" t="str">
        <f t="shared" si="99"/>
        <v>0</v>
      </c>
      <c r="KB13" s="533"/>
      <c r="KC13" s="535" t="str">
        <f t="shared" si="100"/>
        <v>0</v>
      </c>
      <c r="KD13" s="535" t="str">
        <f t="shared" si="101"/>
        <v>0</v>
      </c>
      <c r="KE13" s="533"/>
      <c r="KF13" s="535" t="str">
        <f t="shared" si="102"/>
        <v>0</v>
      </c>
      <c r="KG13" s="535" t="str">
        <f t="shared" si="103"/>
        <v>0</v>
      </c>
      <c r="KH13" s="533"/>
      <c r="KI13" s="535" t="str">
        <f t="shared" si="104"/>
        <v>0</v>
      </c>
      <c r="KJ13" s="535" t="str">
        <f t="shared" si="105"/>
        <v>0</v>
      </c>
      <c r="KK13" s="533"/>
      <c r="KL13" s="535" t="str">
        <f t="shared" si="106"/>
        <v>0</v>
      </c>
      <c r="KM13" s="535" t="str">
        <f t="shared" si="107"/>
        <v>0</v>
      </c>
      <c r="KN13" s="533"/>
      <c r="KO13" s="535" t="str">
        <f t="shared" si="108"/>
        <v>0</v>
      </c>
      <c r="KP13" s="535" t="str">
        <f t="shared" si="109"/>
        <v>0</v>
      </c>
      <c r="KQ13" s="533"/>
      <c r="KR13" s="535" t="str">
        <f t="shared" si="110"/>
        <v>0</v>
      </c>
      <c r="KS13" s="535" t="str">
        <f t="shared" si="111"/>
        <v>0</v>
      </c>
      <c r="KT13" s="535">
        <f t="shared" si="201"/>
        <v>0</v>
      </c>
      <c r="KU13" s="535">
        <f t="shared" si="202"/>
        <v>0</v>
      </c>
      <c r="KV13" s="272">
        <f t="shared" si="199"/>
        <v>440.29173144786421</v>
      </c>
    </row>
    <row r="14" spans="1:308" ht="15" customHeight="1">
      <c r="A14" s="274">
        <f t="shared" si="200"/>
        <v>45967</v>
      </c>
      <c r="B14" s="275" t="str">
        <f>+Report1!B14</f>
        <v>Facial</v>
      </c>
      <c r="C14" s="415" t="str">
        <f>+Report1!C14</f>
        <v>12/13</v>
      </c>
      <c r="D14" s="276">
        <f>+Report1!P14</f>
        <v>50.673000000000002</v>
      </c>
      <c r="E14" s="277">
        <f>+Report1!R14</f>
        <v>44.353000000000002</v>
      </c>
      <c r="F14" s="533">
        <v>0</v>
      </c>
      <c r="G14" s="534">
        <f t="shared" si="0"/>
        <v>0</v>
      </c>
      <c r="H14" s="535">
        <f t="shared" si="112"/>
        <v>0</v>
      </c>
      <c r="I14" s="533">
        <v>290.69767441860472</v>
      </c>
      <c r="J14" s="534">
        <f t="shared" si="1"/>
        <v>6.5541829057471812</v>
      </c>
      <c r="K14" s="535">
        <f t="shared" si="113"/>
        <v>0</v>
      </c>
      <c r="L14" s="533"/>
      <c r="M14" s="534">
        <f t="shared" si="2"/>
        <v>0</v>
      </c>
      <c r="N14" s="535">
        <f t="shared" si="114"/>
        <v>0</v>
      </c>
      <c r="O14" s="533">
        <v>9</v>
      </c>
      <c r="P14" s="534">
        <f t="shared" si="3"/>
        <v>0.20291750276193268</v>
      </c>
      <c r="Q14" s="535">
        <f t="shared" si="115"/>
        <v>0</v>
      </c>
      <c r="R14" s="533"/>
      <c r="S14" s="534">
        <f t="shared" si="4"/>
        <v>0</v>
      </c>
      <c r="T14" s="535">
        <f t="shared" si="116"/>
        <v>0</v>
      </c>
      <c r="U14" s="533">
        <v>5.1249999999999858</v>
      </c>
      <c r="V14" s="534">
        <f t="shared" si="5"/>
        <v>0.11555024462832245</v>
      </c>
      <c r="W14" s="535">
        <f t="shared" si="117"/>
        <v>0</v>
      </c>
      <c r="X14" s="533"/>
      <c r="Y14" s="534">
        <f t="shared" si="6"/>
        <v>0</v>
      </c>
      <c r="Z14" s="535">
        <f t="shared" si="118"/>
        <v>0</v>
      </c>
      <c r="AA14" s="533"/>
      <c r="AB14" s="534">
        <f t="shared" si="7"/>
        <v>0</v>
      </c>
      <c r="AC14" s="535">
        <f t="shared" si="119"/>
        <v>0</v>
      </c>
      <c r="AD14" s="533"/>
      <c r="AE14" s="534">
        <f t="shared" si="8"/>
        <v>0</v>
      </c>
      <c r="AF14" s="535">
        <f t="shared" si="120"/>
        <v>0</v>
      </c>
      <c r="AG14" s="533"/>
      <c r="AH14" s="534">
        <f t="shared" si="9"/>
        <v>0</v>
      </c>
      <c r="AI14" s="535">
        <f t="shared" si="121"/>
        <v>0</v>
      </c>
      <c r="AJ14" s="533">
        <v>0</v>
      </c>
      <c r="AK14" s="534">
        <f t="shared" si="10"/>
        <v>0</v>
      </c>
      <c r="AL14" s="535">
        <f t="shared" si="122"/>
        <v>0</v>
      </c>
      <c r="AM14" s="533">
        <v>0</v>
      </c>
      <c r="AN14" s="534">
        <f t="shared" si="11"/>
        <v>0</v>
      </c>
      <c r="AO14" s="535">
        <f t="shared" si="123"/>
        <v>0</v>
      </c>
      <c r="AP14" s="533">
        <v>54.113924050632903</v>
      </c>
      <c r="AQ14" s="534">
        <f t="shared" si="12"/>
        <v>1.2200735925559241</v>
      </c>
      <c r="AR14" s="535">
        <f t="shared" si="124"/>
        <v>0</v>
      </c>
      <c r="AS14" s="533"/>
      <c r="AT14" s="534">
        <f t="shared" si="13"/>
        <v>0</v>
      </c>
      <c r="AU14" s="535">
        <f t="shared" si="125"/>
        <v>0</v>
      </c>
      <c r="AV14" s="533">
        <v>8.3249999999999886</v>
      </c>
      <c r="AW14" s="534">
        <f t="shared" si="14"/>
        <v>0.18769869005478745</v>
      </c>
      <c r="AX14" s="535">
        <f t="shared" si="126"/>
        <v>0</v>
      </c>
      <c r="AY14" s="533">
        <v>46.666666666666686</v>
      </c>
      <c r="AZ14" s="534">
        <f t="shared" si="15"/>
        <v>1.0521648291359476</v>
      </c>
      <c r="BA14" s="535">
        <f t="shared" si="127"/>
        <v>0</v>
      </c>
      <c r="BB14" s="533">
        <v>0</v>
      </c>
      <c r="BC14" s="534">
        <f t="shared" si="16"/>
        <v>0</v>
      </c>
      <c r="BD14" s="535">
        <f t="shared" si="128"/>
        <v>0</v>
      </c>
      <c r="BE14" s="533"/>
      <c r="BF14" s="534">
        <f t="shared" si="17"/>
        <v>0</v>
      </c>
      <c r="BG14" s="535">
        <f t="shared" si="129"/>
        <v>0</v>
      </c>
      <c r="BH14" s="533"/>
      <c r="BI14" s="534">
        <f t="shared" si="18"/>
        <v>0</v>
      </c>
      <c r="BJ14" s="535">
        <f t="shared" si="130"/>
        <v>0</v>
      </c>
      <c r="BK14" s="533"/>
      <c r="BL14" s="534">
        <f t="shared" si="19"/>
        <v>0</v>
      </c>
      <c r="BM14" s="535">
        <f t="shared" si="131"/>
        <v>0</v>
      </c>
      <c r="BN14" s="533">
        <v>10.12345679012347</v>
      </c>
      <c r="BO14" s="534">
        <f t="shared" si="20"/>
        <v>0.22824739679668724</v>
      </c>
      <c r="BP14" s="535">
        <f t="shared" si="132"/>
        <v>0</v>
      </c>
      <c r="BQ14" s="533">
        <v>0</v>
      </c>
      <c r="BR14" s="534">
        <f t="shared" si="21"/>
        <v>0</v>
      </c>
      <c r="BS14" s="535">
        <f t="shared" si="133"/>
        <v>0</v>
      </c>
      <c r="BT14" s="533"/>
      <c r="BU14" s="534">
        <f t="shared" si="22"/>
        <v>0</v>
      </c>
      <c r="BV14" s="535">
        <f t="shared" si="134"/>
        <v>0</v>
      </c>
      <c r="BW14" s="533">
        <v>0</v>
      </c>
      <c r="BX14" s="534">
        <f t="shared" si="23"/>
        <v>0</v>
      </c>
      <c r="BY14" s="535">
        <f t="shared" si="135"/>
        <v>0</v>
      </c>
      <c r="BZ14" s="533"/>
      <c r="CA14" s="534">
        <f t="shared" si="24"/>
        <v>0</v>
      </c>
      <c r="CB14" s="535">
        <f t="shared" si="136"/>
        <v>0</v>
      </c>
      <c r="CC14" s="533">
        <v>0</v>
      </c>
      <c r="CD14" s="534">
        <f t="shared" si="25"/>
        <v>0</v>
      </c>
      <c r="CE14" s="535">
        <f t="shared" si="137"/>
        <v>0</v>
      </c>
      <c r="CF14" s="533">
        <v>9.9999999999999978E-2</v>
      </c>
      <c r="CG14" s="534">
        <f t="shared" si="26"/>
        <v>2.2546389195770293E-3</v>
      </c>
      <c r="CH14" s="535">
        <f t="shared" si="138"/>
        <v>0</v>
      </c>
      <c r="CI14" s="533"/>
      <c r="CJ14" s="534">
        <f t="shared" si="27"/>
        <v>0</v>
      </c>
      <c r="CK14" s="535">
        <f t="shared" si="139"/>
        <v>0</v>
      </c>
      <c r="CL14" s="533"/>
      <c r="CM14" s="534">
        <f t="shared" si="28"/>
        <v>0</v>
      </c>
      <c r="CN14" s="535">
        <f t="shared" si="140"/>
        <v>0</v>
      </c>
      <c r="CO14" s="533"/>
      <c r="CP14" s="534">
        <f t="shared" si="29"/>
        <v>0</v>
      </c>
      <c r="CQ14" s="535">
        <f t="shared" si="141"/>
        <v>0</v>
      </c>
      <c r="CR14" s="533"/>
      <c r="CS14" s="534">
        <f t="shared" si="30"/>
        <v>0</v>
      </c>
      <c r="CT14" s="535">
        <f t="shared" si="142"/>
        <v>0</v>
      </c>
      <c r="CU14" s="533"/>
      <c r="CV14" s="534">
        <f t="shared" si="31"/>
        <v>0</v>
      </c>
      <c r="CW14" s="535">
        <f t="shared" si="143"/>
        <v>0</v>
      </c>
      <c r="CX14" s="533"/>
      <c r="CY14" s="534">
        <f t="shared" si="32"/>
        <v>0</v>
      </c>
      <c r="CZ14" s="535">
        <f t="shared" si="144"/>
        <v>0</v>
      </c>
      <c r="DA14" s="533"/>
      <c r="DB14" s="534">
        <f t="shared" si="33"/>
        <v>0</v>
      </c>
      <c r="DC14" s="535">
        <f t="shared" si="145"/>
        <v>0</v>
      </c>
      <c r="DD14" s="533"/>
      <c r="DE14" s="534">
        <f t="shared" si="34"/>
        <v>0</v>
      </c>
      <c r="DF14" s="535">
        <f t="shared" si="146"/>
        <v>0</v>
      </c>
      <c r="DG14" s="533">
        <v>0</v>
      </c>
      <c r="DH14" s="534">
        <f t="shared" si="35"/>
        <v>0</v>
      </c>
      <c r="DI14" s="535">
        <f t="shared" ref="DI14:DI38" si="203">+DG14*$H$8</f>
        <v>0</v>
      </c>
      <c r="DJ14" s="533"/>
      <c r="DK14" s="534">
        <f t="shared" si="36"/>
        <v>0</v>
      </c>
      <c r="DL14" s="535">
        <f t="shared" si="147"/>
        <v>0</v>
      </c>
      <c r="DM14" s="533"/>
      <c r="DN14" s="534">
        <f t="shared" si="37"/>
        <v>0</v>
      </c>
      <c r="DO14" s="535">
        <f t="shared" si="148"/>
        <v>0</v>
      </c>
      <c r="DP14" s="533"/>
      <c r="DQ14" s="534">
        <f t="shared" si="38"/>
        <v>0</v>
      </c>
      <c r="DR14" s="535">
        <f t="shared" si="149"/>
        <v>0</v>
      </c>
      <c r="DS14" s="533"/>
      <c r="DT14" s="534">
        <f t="shared" si="39"/>
        <v>0</v>
      </c>
      <c r="DU14" s="535">
        <f t="shared" si="150"/>
        <v>0</v>
      </c>
      <c r="DV14" s="533"/>
      <c r="DW14" s="534">
        <f t="shared" si="40"/>
        <v>0</v>
      </c>
      <c r="DX14" s="535">
        <f t="shared" si="151"/>
        <v>0</v>
      </c>
      <c r="DY14" s="533"/>
      <c r="DZ14" s="534">
        <f t="shared" si="41"/>
        <v>0</v>
      </c>
      <c r="EA14" s="535">
        <f t="shared" si="152"/>
        <v>0</v>
      </c>
      <c r="EB14" s="533">
        <v>14.534883720930225</v>
      </c>
      <c r="EC14" s="534">
        <f t="shared" si="42"/>
        <v>0.32770914528735878</v>
      </c>
      <c r="ED14" s="535">
        <f t="shared" si="153"/>
        <v>0</v>
      </c>
      <c r="EE14" s="533">
        <v>1</v>
      </c>
      <c r="EF14" s="534">
        <f t="shared" si="43"/>
        <v>2.2546389195770296E-2</v>
      </c>
      <c r="EG14" s="535">
        <f t="shared" si="154"/>
        <v>0</v>
      </c>
      <c r="EH14" s="533"/>
      <c r="EI14" s="534">
        <f t="shared" si="44"/>
        <v>0</v>
      </c>
      <c r="EJ14" s="535">
        <f t="shared" si="155"/>
        <v>0</v>
      </c>
      <c r="EK14" s="533"/>
      <c r="EL14" s="534">
        <f t="shared" si="45"/>
        <v>0</v>
      </c>
      <c r="EM14" s="535">
        <f t="shared" si="156"/>
        <v>0</v>
      </c>
      <c r="EN14" s="533"/>
      <c r="EO14" s="534">
        <f t="shared" si="46"/>
        <v>0</v>
      </c>
      <c r="EP14" s="535">
        <f t="shared" si="157"/>
        <v>0</v>
      </c>
      <c r="EQ14" s="533"/>
      <c r="ER14" s="534">
        <f t="shared" si="47"/>
        <v>0</v>
      </c>
      <c r="ES14" s="535">
        <f t="shared" si="158"/>
        <v>0</v>
      </c>
      <c r="ET14" s="533"/>
      <c r="EU14" s="534">
        <f t="shared" si="48"/>
        <v>0</v>
      </c>
      <c r="EV14" s="535">
        <f t="shared" si="159"/>
        <v>0</v>
      </c>
      <c r="EW14" s="533"/>
      <c r="EX14" s="534">
        <f t="shared" si="49"/>
        <v>0</v>
      </c>
      <c r="EY14" s="535">
        <f t="shared" si="160"/>
        <v>0</v>
      </c>
      <c r="EZ14" s="533"/>
      <c r="FA14" s="534">
        <f t="shared" si="50"/>
        <v>0</v>
      </c>
      <c r="FB14" s="535">
        <f t="shared" si="161"/>
        <v>0</v>
      </c>
      <c r="FC14" s="533"/>
      <c r="FD14" s="534">
        <f t="shared" si="51"/>
        <v>0</v>
      </c>
      <c r="FE14" s="535">
        <f t="shared" si="162"/>
        <v>0</v>
      </c>
      <c r="FF14" s="533"/>
      <c r="FG14" s="534">
        <f t="shared" si="52"/>
        <v>0</v>
      </c>
      <c r="FH14" s="535">
        <f t="shared" si="163"/>
        <v>0</v>
      </c>
      <c r="FI14" s="533"/>
      <c r="FJ14" s="534">
        <f t="shared" si="53"/>
        <v>0</v>
      </c>
      <c r="FK14" s="535">
        <f t="shared" si="164"/>
        <v>0</v>
      </c>
      <c r="FL14" s="533"/>
      <c r="FM14" s="534">
        <f t="shared" si="54"/>
        <v>0</v>
      </c>
      <c r="FN14" s="535">
        <f t="shared" si="165"/>
        <v>0</v>
      </c>
      <c r="FO14" s="533"/>
      <c r="FP14" s="534">
        <f t="shared" si="55"/>
        <v>0</v>
      </c>
      <c r="FQ14" s="535">
        <f t="shared" si="166"/>
        <v>0</v>
      </c>
      <c r="FR14" s="533"/>
      <c r="FS14" s="534">
        <f t="shared" si="56"/>
        <v>0</v>
      </c>
      <c r="FT14" s="535">
        <f t="shared" si="167"/>
        <v>0</v>
      </c>
      <c r="FU14" s="533"/>
      <c r="FV14" s="534">
        <f t="shared" si="57"/>
        <v>0</v>
      </c>
      <c r="FW14" s="535">
        <f t="shared" si="168"/>
        <v>0</v>
      </c>
      <c r="FX14" s="533"/>
      <c r="FY14" s="534">
        <f t="shared" si="58"/>
        <v>0</v>
      </c>
      <c r="FZ14" s="535">
        <f t="shared" si="169"/>
        <v>0</v>
      </c>
      <c r="GA14" s="533"/>
      <c r="GB14" s="534">
        <f t="shared" si="59"/>
        <v>0</v>
      </c>
      <c r="GC14" s="535">
        <f t="shared" si="170"/>
        <v>0</v>
      </c>
      <c r="GD14" s="533"/>
      <c r="GE14" s="534">
        <f t="shared" si="60"/>
        <v>0</v>
      </c>
      <c r="GF14" s="535">
        <f t="shared" si="171"/>
        <v>0</v>
      </c>
      <c r="GG14" s="533"/>
      <c r="GH14" s="534">
        <f t="shared" si="61"/>
        <v>0</v>
      </c>
      <c r="GI14" s="535">
        <f t="shared" si="172"/>
        <v>0</v>
      </c>
      <c r="GJ14" s="533"/>
      <c r="GK14" s="534">
        <f t="shared" si="62"/>
        <v>0</v>
      </c>
      <c r="GL14" s="535">
        <f t="shared" si="173"/>
        <v>0</v>
      </c>
      <c r="GM14" s="533"/>
      <c r="GN14" s="534">
        <f t="shared" si="63"/>
        <v>0</v>
      </c>
      <c r="GO14" s="535">
        <f t="shared" si="174"/>
        <v>0</v>
      </c>
      <c r="GP14" s="533"/>
      <c r="GQ14" s="534">
        <f t="shared" si="64"/>
        <v>0</v>
      </c>
      <c r="GR14" s="535">
        <f t="shared" si="175"/>
        <v>0</v>
      </c>
      <c r="GS14" s="533"/>
      <c r="GT14" s="534">
        <f t="shared" si="65"/>
        <v>0</v>
      </c>
      <c r="GU14" s="535">
        <f t="shared" si="176"/>
        <v>0</v>
      </c>
      <c r="GV14" s="533"/>
      <c r="GW14" s="534">
        <f t="shared" si="66"/>
        <v>0</v>
      </c>
      <c r="GX14" s="535">
        <f t="shared" si="177"/>
        <v>0</v>
      </c>
      <c r="GY14" s="533"/>
      <c r="GZ14" s="534">
        <f t="shared" si="67"/>
        <v>0</v>
      </c>
      <c r="HA14" s="535">
        <f t="shared" si="178"/>
        <v>0</v>
      </c>
      <c r="HB14" s="533"/>
      <c r="HC14" s="534">
        <f t="shared" si="68"/>
        <v>0</v>
      </c>
      <c r="HD14" s="535">
        <f t="shared" si="179"/>
        <v>0</v>
      </c>
      <c r="HE14" s="533"/>
      <c r="HF14" s="534">
        <f t="shared" si="69"/>
        <v>0</v>
      </c>
      <c r="HG14" s="535">
        <f t="shared" si="180"/>
        <v>0</v>
      </c>
      <c r="HH14" s="533"/>
      <c r="HI14" s="534">
        <f t="shared" si="70"/>
        <v>0</v>
      </c>
      <c r="HJ14" s="535">
        <f t="shared" si="181"/>
        <v>0</v>
      </c>
      <c r="HK14" s="533"/>
      <c r="HL14" s="534">
        <f t="shared" si="71"/>
        <v>0</v>
      </c>
      <c r="HM14" s="535">
        <f t="shared" si="182"/>
        <v>0</v>
      </c>
      <c r="HN14" s="533"/>
      <c r="HO14" s="534">
        <f t="shared" si="72"/>
        <v>0</v>
      </c>
      <c r="HP14" s="535">
        <f t="shared" si="183"/>
        <v>0</v>
      </c>
      <c r="HQ14" s="533"/>
      <c r="HR14" s="534">
        <f t="shared" si="73"/>
        <v>0</v>
      </c>
      <c r="HS14" s="535">
        <f t="shared" si="184"/>
        <v>0</v>
      </c>
      <c r="HT14" s="533"/>
      <c r="HU14" s="534">
        <f t="shared" si="74"/>
        <v>0</v>
      </c>
      <c r="HV14" s="535">
        <f t="shared" si="185"/>
        <v>0</v>
      </c>
      <c r="HW14" s="533"/>
      <c r="HX14" s="534">
        <f t="shared" si="75"/>
        <v>0</v>
      </c>
      <c r="HY14" s="535">
        <f t="shared" si="186"/>
        <v>0</v>
      </c>
      <c r="HZ14" s="533"/>
      <c r="IA14" s="534">
        <f t="shared" si="76"/>
        <v>0</v>
      </c>
      <c r="IB14" s="535">
        <f t="shared" si="187"/>
        <v>0</v>
      </c>
      <c r="IC14" s="533"/>
      <c r="ID14" s="534">
        <f t="shared" si="77"/>
        <v>0</v>
      </c>
      <c r="IE14" s="535">
        <f t="shared" si="188"/>
        <v>0</v>
      </c>
      <c r="IF14" s="533"/>
      <c r="IG14" s="534">
        <f t="shared" si="78"/>
        <v>0</v>
      </c>
      <c r="IH14" s="535">
        <f t="shared" si="189"/>
        <v>0</v>
      </c>
      <c r="II14" s="533"/>
      <c r="IJ14" s="534">
        <f t="shared" si="79"/>
        <v>0</v>
      </c>
      <c r="IK14" s="535">
        <f t="shared" si="190"/>
        <v>0</v>
      </c>
      <c r="IL14" s="533"/>
      <c r="IM14" s="534">
        <f t="shared" si="80"/>
        <v>0</v>
      </c>
      <c r="IN14" s="535">
        <f t="shared" si="191"/>
        <v>0</v>
      </c>
      <c r="IO14" s="533"/>
      <c r="IP14" s="534">
        <f t="shared" si="81"/>
        <v>0</v>
      </c>
      <c r="IQ14" s="535">
        <f t="shared" si="192"/>
        <v>0</v>
      </c>
      <c r="IR14" s="533"/>
      <c r="IS14" s="534">
        <f t="shared" si="82"/>
        <v>0</v>
      </c>
      <c r="IT14" s="535">
        <f t="shared" si="193"/>
        <v>0</v>
      </c>
      <c r="IU14" s="533"/>
      <c r="IV14" s="534">
        <f t="shared" si="83"/>
        <v>0</v>
      </c>
      <c r="IW14" s="535">
        <f t="shared" si="194"/>
        <v>0</v>
      </c>
      <c r="IX14" s="533"/>
      <c r="IY14" s="534">
        <f t="shared" si="84"/>
        <v>0</v>
      </c>
      <c r="IZ14" s="535">
        <f t="shared" si="195"/>
        <v>0</v>
      </c>
      <c r="JA14" s="533"/>
      <c r="JB14" s="534">
        <f t="shared" si="85"/>
        <v>0</v>
      </c>
      <c r="JC14" s="535">
        <f t="shared" si="196"/>
        <v>0</v>
      </c>
      <c r="JD14" s="533"/>
      <c r="JE14" s="534">
        <f t="shared" si="86"/>
        <v>0</v>
      </c>
      <c r="JF14" s="535">
        <f t="shared" si="197"/>
        <v>0</v>
      </c>
      <c r="JG14" s="533"/>
      <c r="JH14" s="534">
        <f t="shared" si="87"/>
        <v>0</v>
      </c>
      <c r="JI14" s="535">
        <f t="shared" si="198"/>
        <v>0</v>
      </c>
      <c r="JJ14" s="533"/>
      <c r="JK14" s="535" t="str">
        <f t="shared" si="88"/>
        <v>0</v>
      </c>
      <c r="JL14" s="535" t="str">
        <f t="shared" si="89"/>
        <v>0</v>
      </c>
      <c r="JM14" s="533"/>
      <c r="JN14" s="535" t="str">
        <f t="shared" si="90"/>
        <v>0</v>
      </c>
      <c r="JO14" s="535" t="str">
        <f t="shared" si="91"/>
        <v>0</v>
      </c>
      <c r="JP14" s="533"/>
      <c r="JQ14" s="535" t="str">
        <f t="shared" si="92"/>
        <v>0</v>
      </c>
      <c r="JR14" s="535" t="str">
        <f t="shared" si="93"/>
        <v>0</v>
      </c>
      <c r="JS14" s="533"/>
      <c r="JT14" s="535" t="str">
        <f t="shared" si="94"/>
        <v>0</v>
      </c>
      <c r="JU14" s="535" t="str">
        <f t="shared" si="95"/>
        <v>0</v>
      </c>
      <c r="JV14" s="533"/>
      <c r="JW14" s="535" t="str">
        <f t="shared" si="96"/>
        <v>0</v>
      </c>
      <c r="JX14" s="535" t="str">
        <f t="shared" si="97"/>
        <v>0</v>
      </c>
      <c r="JY14" s="533"/>
      <c r="JZ14" s="535" t="str">
        <f t="shared" si="98"/>
        <v>0</v>
      </c>
      <c r="KA14" s="535" t="str">
        <f t="shared" si="99"/>
        <v>0</v>
      </c>
      <c r="KB14" s="533"/>
      <c r="KC14" s="535" t="str">
        <f t="shared" si="100"/>
        <v>0</v>
      </c>
      <c r="KD14" s="535" t="str">
        <f t="shared" si="101"/>
        <v>0</v>
      </c>
      <c r="KE14" s="533"/>
      <c r="KF14" s="535" t="str">
        <f t="shared" si="102"/>
        <v>0</v>
      </c>
      <c r="KG14" s="535" t="str">
        <f t="shared" si="103"/>
        <v>0</v>
      </c>
      <c r="KH14" s="533"/>
      <c r="KI14" s="535" t="str">
        <f t="shared" si="104"/>
        <v>0</v>
      </c>
      <c r="KJ14" s="535" t="str">
        <f t="shared" si="105"/>
        <v>0</v>
      </c>
      <c r="KK14" s="533"/>
      <c r="KL14" s="535" t="str">
        <f t="shared" si="106"/>
        <v>0</v>
      </c>
      <c r="KM14" s="535" t="str">
        <f t="shared" si="107"/>
        <v>0</v>
      </c>
      <c r="KN14" s="533"/>
      <c r="KO14" s="535" t="str">
        <f t="shared" si="108"/>
        <v>0</v>
      </c>
      <c r="KP14" s="535" t="str">
        <f t="shared" si="109"/>
        <v>0</v>
      </c>
      <c r="KQ14" s="533"/>
      <c r="KR14" s="535" t="str">
        <f t="shared" si="110"/>
        <v>0</v>
      </c>
      <c r="KS14" s="535" t="str">
        <f t="shared" si="111"/>
        <v>0</v>
      </c>
      <c r="KT14" s="535">
        <f t="shared" si="201"/>
        <v>0</v>
      </c>
      <c r="KU14" s="535">
        <f t="shared" si="202"/>
        <v>0</v>
      </c>
      <c r="KV14" s="272">
        <f t="shared" si="199"/>
        <v>439.68660564695801</v>
      </c>
    </row>
    <row r="15" spans="1:308" ht="15" customHeight="1">
      <c r="A15" s="274">
        <f t="shared" si="200"/>
        <v>45968</v>
      </c>
      <c r="B15" s="275" t="str">
        <f>+Report1!B15</f>
        <v>Facial</v>
      </c>
      <c r="C15" s="415" t="str">
        <f>+Report1!C15</f>
        <v>13/10,3</v>
      </c>
      <c r="D15" s="276">
        <f>+Report1!P15</f>
        <v>51.206000000000003</v>
      </c>
      <c r="E15" s="277">
        <f>+Report1!R15</f>
        <v>48.692</v>
      </c>
      <c r="F15" s="533">
        <v>0</v>
      </c>
      <c r="G15" s="534">
        <f t="shared" si="0"/>
        <v>0</v>
      </c>
      <c r="H15" s="535">
        <f t="shared" si="112"/>
        <v>0</v>
      </c>
      <c r="I15" s="533">
        <v>232.55813953488359</v>
      </c>
      <c r="J15" s="534">
        <f t="shared" si="1"/>
        <v>4.7761057162343628</v>
      </c>
      <c r="K15" s="535">
        <f t="shared" si="113"/>
        <v>0</v>
      </c>
      <c r="L15" s="533"/>
      <c r="M15" s="534">
        <f t="shared" si="2"/>
        <v>0</v>
      </c>
      <c r="N15" s="535">
        <f t="shared" si="114"/>
        <v>0</v>
      </c>
      <c r="O15" s="533">
        <v>9</v>
      </c>
      <c r="P15" s="534">
        <f t="shared" si="3"/>
        <v>0.18483529121826994</v>
      </c>
      <c r="Q15" s="535">
        <f t="shared" si="115"/>
        <v>0</v>
      </c>
      <c r="R15" s="533"/>
      <c r="S15" s="534">
        <f t="shared" si="4"/>
        <v>0</v>
      </c>
      <c r="T15" s="535">
        <f t="shared" si="116"/>
        <v>0</v>
      </c>
      <c r="U15" s="533">
        <v>5.125</v>
      </c>
      <c r="V15" s="534">
        <f t="shared" si="5"/>
        <v>0.10525342972151483</v>
      </c>
      <c r="W15" s="535">
        <f t="shared" si="117"/>
        <v>0</v>
      </c>
      <c r="X15" s="533"/>
      <c r="Y15" s="534">
        <f t="shared" si="6"/>
        <v>0</v>
      </c>
      <c r="Z15" s="535">
        <f t="shared" si="118"/>
        <v>0</v>
      </c>
      <c r="AA15" s="533"/>
      <c r="AB15" s="534">
        <f t="shared" si="7"/>
        <v>0</v>
      </c>
      <c r="AC15" s="535">
        <f t="shared" si="119"/>
        <v>0</v>
      </c>
      <c r="AD15" s="533"/>
      <c r="AE15" s="534">
        <f t="shared" si="8"/>
        <v>0</v>
      </c>
      <c r="AF15" s="535">
        <f t="shared" si="120"/>
        <v>0</v>
      </c>
      <c r="AG15" s="533"/>
      <c r="AH15" s="534">
        <f t="shared" si="9"/>
        <v>0</v>
      </c>
      <c r="AI15" s="535">
        <f t="shared" si="121"/>
        <v>0</v>
      </c>
      <c r="AJ15" s="533">
        <v>14.6875</v>
      </c>
      <c r="AK15" s="534">
        <f t="shared" si="10"/>
        <v>0.30164092664092662</v>
      </c>
      <c r="AL15" s="535">
        <f t="shared" si="122"/>
        <v>0</v>
      </c>
      <c r="AM15" s="533">
        <v>0</v>
      </c>
      <c r="AN15" s="534">
        <f t="shared" si="11"/>
        <v>0</v>
      </c>
      <c r="AO15" s="535">
        <f t="shared" si="123"/>
        <v>0</v>
      </c>
      <c r="AP15" s="533">
        <v>48.417721518987321</v>
      </c>
      <c r="AQ15" s="534">
        <f t="shared" si="12"/>
        <v>0.99436707300967964</v>
      </c>
      <c r="AR15" s="535">
        <f t="shared" si="124"/>
        <v>0</v>
      </c>
      <c r="AS15" s="533"/>
      <c r="AT15" s="534">
        <f t="shared" si="13"/>
        <v>0</v>
      </c>
      <c r="AU15" s="535">
        <f t="shared" si="125"/>
        <v>0</v>
      </c>
      <c r="AV15" s="533">
        <v>5.5500000000000114</v>
      </c>
      <c r="AW15" s="534">
        <f t="shared" si="14"/>
        <v>0.11398176291793337</v>
      </c>
      <c r="AX15" s="535">
        <f t="shared" si="126"/>
        <v>0</v>
      </c>
      <c r="AY15" s="533">
        <v>81.666666666666657</v>
      </c>
      <c r="AZ15" s="534">
        <f t="shared" si="15"/>
        <v>1.6772091240176346</v>
      </c>
      <c r="BA15" s="535">
        <f t="shared" si="127"/>
        <v>0</v>
      </c>
      <c r="BB15" s="533">
        <v>0</v>
      </c>
      <c r="BC15" s="534">
        <f t="shared" si="16"/>
        <v>0</v>
      </c>
      <c r="BD15" s="535">
        <f t="shared" si="128"/>
        <v>0</v>
      </c>
      <c r="BE15" s="533"/>
      <c r="BF15" s="534">
        <f t="shared" si="17"/>
        <v>0</v>
      </c>
      <c r="BG15" s="535">
        <f t="shared" si="129"/>
        <v>0</v>
      </c>
      <c r="BH15" s="533"/>
      <c r="BI15" s="534">
        <f t="shared" si="18"/>
        <v>0</v>
      </c>
      <c r="BJ15" s="535">
        <f t="shared" si="130"/>
        <v>0</v>
      </c>
      <c r="BK15" s="533"/>
      <c r="BL15" s="534">
        <f t="shared" si="19"/>
        <v>0</v>
      </c>
      <c r="BM15" s="535">
        <f t="shared" si="131"/>
        <v>0</v>
      </c>
      <c r="BN15" s="533">
        <v>7.592592592592581</v>
      </c>
      <c r="BO15" s="534">
        <f t="shared" si="20"/>
        <v>0.15593100699483656</v>
      </c>
      <c r="BP15" s="535">
        <f t="shared" si="132"/>
        <v>0</v>
      </c>
      <c r="BQ15" s="533">
        <v>0</v>
      </c>
      <c r="BR15" s="534">
        <f t="shared" si="21"/>
        <v>0</v>
      </c>
      <c r="BS15" s="535">
        <f t="shared" si="133"/>
        <v>0</v>
      </c>
      <c r="BT15" s="533"/>
      <c r="BU15" s="534">
        <f t="shared" si="22"/>
        <v>0</v>
      </c>
      <c r="BV15" s="535">
        <f t="shared" si="134"/>
        <v>0</v>
      </c>
      <c r="BW15" s="533">
        <v>0</v>
      </c>
      <c r="BX15" s="534">
        <f t="shared" si="23"/>
        <v>0</v>
      </c>
      <c r="BY15" s="535">
        <f t="shared" si="135"/>
        <v>0</v>
      </c>
      <c r="BZ15" s="533"/>
      <c r="CA15" s="534">
        <f t="shared" si="24"/>
        <v>0</v>
      </c>
      <c r="CB15" s="535">
        <f t="shared" si="136"/>
        <v>0</v>
      </c>
      <c r="CC15" s="533">
        <v>0</v>
      </c>
      <c r="CD15" s="534">
        <f t="shared" si="25"/>
        <v>0</v>
      </c>
      <c r="CE15" s="535">
        <f t="shared" si="137"/>
        <v>0</v>
      </c>
      <c r="CF15" s="533">
        <v>0.10000000000000009</v>
      </c>
      <c r="CG15" s="534">
        <f t="shared" si="26"/>
        <v>2.0537254579807789E-3</v>
      </c>
      <c r="CH15" s="535">
        <f t="shared" si="138"/>
        <v>0</v>
      </c>
      <c r="CI15" s="533"/>
      <c r="CJ15" s="534">
        <f t="shared" si="27"/>
        <v>0</v>
      </c>
      <c r="CK15" s="535">
        <f t="shared" si="139"/>
        <v>0</v>
      </c>
      <c r="CL15" s="533"/>
      <c r="CM15" s="534">
        <f t="shared" si="28"/>
        <v>0</v>
      </c>
      <c r="CN15" s="535">
        <f t="shared" si="140"/>
        <v>0</v>
      </c>
      <c r="CO15" s="533"/>
      <c r="CP15" s="534">
        <f t="shared" si="29"/>
        <v>0</v>
      </c>
      <c r="CQ15" s="535">
        <f t="shared" si="141"/>
        <v>0</v>
      </c>
      <c r="CR15" s="533"/>
      <c r="CS15" s="534">
        <f t="shared" si="30"/>
        <v>0</v>
      </c>
      <c r="CT15" s="535">
        <f t="shared" si="142"/>
        <v>0</v>
      </c>
      <c r="CU15" s="533"/>
      <c r="CV15" s="534">
        <f t="shared" si="31"/>
        <v>0</v>
      </c>
      <c r="CW15" s="535">
        <f t="shared" si="143"/>
        <v>0</v>
      </c>
      <c r="CX15" s="533"/>
      <c r="CY15" s="534">
        <f t="shared" si="32"/>
        <v>0</v>
      </c>
      <c r="CZ15" s="535">
        <f t="shared" si="144"/>
        <v>0</v>
      </c>
      <c r="DA15" s="533"/>
      <c r="DB15" s="534">
        <f t="shared" si="33"/>
        <v>0</v>
      </c>
      <c r="DC15" s="535">
        <f t="shared" si="145"/>
        <v>0</v>
      </c>
      <c r="DD15" s="533"/>
      <c r="DE15" s="534">
        <f t="shared" si="34"/>
        <v>0</v>
      </c>
      <c r="DF15" s="535">
        <f t="shared" si="146"/>
        <v>0</v>
      </c>
      <c r="DG15" s="533">
        <v>0</v>
      </c>
      <c r="DH15" s="534">
        <f t="shared" si="35"/>
        <v>0</v>
      </c>
      <c r="DI15" s="535">
        <f t="shared" si="203"/>
        <v>0</v>
      </c>
      <c r="DJ15" s="533"/>
      <c r="DK15" s="534">
        <f t="shared" si="36"/>
        <v>0</v>
      </c>
      <c r="DL15" s="535">
        <f t="shared" si="147"/>
        <v>0</v>
      </c>
      <c r="DM15" s="533"/>
      <c r="DN15" s="534">
        <f t="shared" si="37"/>
        <v>0</v>
      </c>
      <c r="DO15" s="535">
        <f t="shared" si="148"/>
        <v>0</v>
      </c>
      <c r="DP15" s="533"/>
      <c r="DQ15" s="534">
        <f t="shared" si="38"/>
        <v>0</v>
      </c>
      <c r="DR15" s="535">
        <f t="shared" si="149"/>
        <v>0</v>
      </c>
      <c r="DS15" s="533"/>
      <c r="DT15" s="534">
        <f t="shared" si="39"/>
        <v>0</v>
      </c>
      <c r="DU15" s="535">
        <f t="shared" si="150"/>
        <v>0</v>
      </c>
      <c r="DV15" s="533"/>
      <c r="DW15" s="534">
        <f t="shared" si="40"/>
        <v>0</v>
      </c>
      <c r="DX15" s="535">
        <f t="shared" si="151"/>
        <v>0</v>
      </c>
      <c r="DY15" s="533"/>
      <c r="DZ15" s="534">
        <f t="shared" si="41"/>
        <v>0</v>
      </c>
      <c r="EA15" s="535">
        <f t="shared" si="152"/>
        <v>0</v>
      </c>
      <c r="EB15" s="533">
        <v>14.534883720930225</v>
      </c>
      <c r="EC15" s="534">
        <f t="shared" si="42"/>
        <v>0.29850660726464767</v>
      </c>
      <c r="ED15" s="535">
        <f t="shared" si="153"/>
        <v>0</v>
      </c>
      <c r="EE15" s="533">
        <v>1</v>
      </c>
      <c r="EF15" s="534">
        <f t="shared" si="43"/>
        <v>2.0537254579807773E-2</v>
      </c>
      <c r="EG15" s="535">
        <f t="shared" si="154"/>
        <v>0</v>
      </c>
      <c r="EH15" s="533"/>
      <c r="EI15" s="534">
        <f t="shared" si="44"/>
        <v>0</v>
      </c>
      <c r="EJ15" s="535">
        <f t="shared" si="155"/>
        <v>0</v>
      </c>
      <c r="EK15" s="533"/>
      <c r="EL15" s="534">
        <f t="shared" si="45"/>
        <v>0</v>
      </c>
      <c r="EM15" s="535">
        <f t="shared" si="156"/>
        <v>0</v>
      </c>
      <c r="EN15" s="533"/>
      <c r="EO15" s="534">
        <f t="shared" si="46"/>
        <v>0</v>
      </c>
      <c r="EP15" s="535">
        <f t="shared" si="157"/>
        <v>0</v>
      </c>
      <c r="EQ15" s="533"/>
      <c r="ER15" s="534">
        <f t="shared" si="47"/>
        <v>0</v>
      </c>
      <c r="ES15" s="535">
        <f t="shared" si="158"/>
        <v>0</v>
      </c>
      <c r="ET15" s="533"/>
      <c r="EU15" s="534">
        <f t="shared" si="48"/>
        <v>0</v>
      </c>
      <c r="EV15" s="535">
        <f t="shared" si="159"/>
        <v>0</v>
      </c>
      <c r="EW15" s="533"/>
      <c r="EX15" s="534">
        <f t="shared" si="49"/>
        <v>0</v>
      </c>
      <c r="EY15" s="535">
        <f t="shared" si="160"/>
        <v>0</v>
      </c>
      <c r="EZ15" s="533"/>
      <c r="FA15" s="534">
        <f t="shared" si="50"/>
        <v>0</v>
      </c>
      <c r="FB15" s="535">
        <f t="shared" si="161"/>
        <v>0</v>
      </c>
      <c r="FC15" s="533"/>
      <c r="FD15" s="534">
        <f t="shared" si="51"/>
        <v>0</v>
      </c>
      <c r="FE15" s="535">
        <f t="shared" si="162"/>
        <v>0</v>
      </c>
      <c r="FF15" s="533"/>
      <c r="FG15" s="534">
        <f t="shared" si="52"/>
        <v>0</v>
      </c>
      <c r="FH15" s="535">
        <f t="shared" si="163"/>
        <v>0</v>
      </c>
      <c r="FI15" s="533"/>
      <c r="FJ15" s="534">
        <f t="shared" si="53"/>
        <v>0</v>
      </c>
      <c r="FK15" s="535">
        <f t="shared" si="164"/>
        <v>0</v>
      </c>
      <c r="FL15" s="533"/>
      <c r="FM15" s="534">
        <f t="shared" si="54"/>
        <v>0</v>
      </c>
      <c r="FN15" s="535">
        <f t="shared" si="165"/>
        <v>0</v>
      </c>
      <c r="FO15" s="533"/>
      <c r="FP15" s="534">
        <f t="shared" si="55"/>
        <v>0</v>
      </c>
      <c r="FQ15" s="535">
        <f t="shared" si="166"/>
        <v>0</v>
      </c>
      <c r="FR15" s="533"/>
      <c r="FS15" s="534">
        <f t="shared" si="56"/>
        <v>0</v>
      </c>
      <c r="FT15" s="535">
        <f t="shared" si="167"/>
        <v>0</v>
      </c>
      <c r="FU15" s="533"/>
      <c r="FV15" s="534">
        <f t="shared" si="57"/>
        <v>0</v>
      </c>
      <c r="FW15" s="535">
        <f t="shared" si="168"/>
        <v>0</v>
      </c>
      <c r="FX15" s="533"/>
      <c r="FY15" s="534">
        <f t="shared" si="58"/>
        <v>0</v>
      </c>
      <c r="FZ15" s="535">
        <f t="shared" si="169"/>
        <v>0</v>
      </c>
      <c r="GA15" s="533"/>
      <c r="GB15" s="534">
        <f t="shared" si="59"/>
        <v>0</v>
      </c>
      <c r="GC15" s="535">
        <f t="shared" si="170"/>
        <v>0</v>
      </c>
      <c r="GD15" s="533"/>
      <c r="GE15" s="534">
        <f t="shared" si="60"/>
        <v>0</v>
      </c>
      <c r="GF15" s="535">
        <f t="shared" si="171"/>
        <v>0</v>
      </c>
      <c r="GG15" s="533"/>
      <c r="GH15" s="534">
        <f t="shared" si="61"/>
        <v>0</v>
      </c>
      <c r="GI15" s="535">
        <f t="shared" si="172"/>
        <v>0</v>
      </c>
      <c r="GJ15" s="533"/>
      <c r="GK15" s="534">
        <f t="shared" si="62"/>
        <v>0</v>
      </c>
      <c r="GL15" s="535">
        <f t="shared" si="173"/>
        <v>0</v>
      </c>
      <c r="GM15" s="533"/>
      <c r="GN15" s="534">
        <f t="shared" si="63"/>
        <v>0</v>
      </c>
      <c r="GO15" s="535">
        <f t="shared" si="174"/>
        <v>0</v>
      </c>
      <c r="GP15" s="533"/>
      <c r="GQ15" s="534">
        <f t="shared" si="64"/>
        <v>0</v>
      </c>
      <c r="GR15" s="535">
        <f t="shared" si="175"/>
        <v>0</v>
      </c>
      <c r="GS15" s="533"/>
      <c r="GT15" s="534">
        <f t="shared" si="65"/>
        <v>0</v>
      </c>
      <c r="GU15" s="535">
        <f t="shared" si="176"/>
        <v>0</v>
      </c>
      <c r="GV15" s="533"/>
      <c r="GW15" s="534">
        <f t="shared" si="66"/>
        <v>0</v>
      </c>
      <c r="GX15" s="535">
        <f t="shared" si="177"/>
        <v>0</v>
      </c>
      <c r="GY15" s="533"/>
      <c r="GZ15" s="534">
        <f t="shared" si="67"/>
        <v>0</v>
      </c>
      <c r="HA15" s="535">
        <f t="shared" si="178"/>
        <v>0</v>
      </c>
      <c r="HB15" s="533"/>
      <c r="HC15" s="534">
        <f t="shared" si="68"/>
        <v>0</v>
      </c>
      <c r="HD15" s="535">
        <f t="shared" si="179"/>
        <v>0</v>
      </c>
      <c r="HE15" s="533"/>
      <c r="HF15" s="534">
        <f t="shared" si="69"/>
        <v>0</v>
      </c>
      <c r="HG15" s="535">
        <f t="shared" si="180"/>
        <v>0</v>
      </c>
      <c r="HH15" s="533"/>
      <c r="HI15" s="534">
        <f t="shared" si="70"/>
        <v>0</v>
      </c>
      <c r="HJ15" s="535">
        <f t="shared" si="181"/>
        <v>0</v>
      </c>
      <c r="HK15" s="533"/>
      <c r="HL15" s="534">
        <f t="shared" si="71"/>
        <v>0</v>
      </c>
      <c r="HM15" s="535">
        <f t="shared" si="182"/>
        <v>0</v>
      </c>
      <c r="HN15" s="533"/>
      <c r="HO15" s="534">
        <f t="shared" si="72"/>
        <v>0</v>
      </c>
      <c r="HP15" s="535">
        <f t="shared" si="183"/>
        <v>0</v>
      </c>
      <c r="HQ15" s="533"/>
      <c r="HR15" s="534">
        <f t="shared" si="73"/>
        <v>0</v>
      </c>
      <c r="HS15" s="535">
        <f t="shared" si="184"/>
        <v>0</v>
      </c>
      <c r="HT15" s="533"/>
      <c r="HU15" s="534">
        <f t="shared" si="74"/>
        <v>0</v>
      </c>
      <c r="HV15" s="535">
        <f t="shared" si="185"/>
        <v>0</v>
      </c>
      <c r="HW15" s="533"/>
      <c r="HX15" s="534">
        <f t="shared" si="75"/>
        <v>0</v>
      </c>
      <c r="HY15" s="535">
        <f t="shared" si="186"/>
        <v>0</v>
      </c>
      <c r="HZ15" s="533"/>
      <c r="IA15" s="534">
        <f t="shared" si="76"/>
        <v>0</v>
      </c>
      <c r="IB15" s="535">
        <f t="shared" si="187"/>
        <v>0</v>
      </c>
      <c r="IC15" s="533"/>
      <c r="ID15" s="534">
        <f t="shared" si="77"/>
        <v>0</v>
      </c>
      <c r="IE15" s="535">
        <f t="shared" si="188"/>
        <v>0</v>
      </c>
      <c r="IF15" s="533"/>
      <c r="IG15" s="534">
        <f t="shared" si="78"/>
        <v>0</v>
      </c>
      <c r="IH15" s="535">
        <f t="shared" si="189"/>
        <v>0</v>
      </c>
      <c r="II15" s="533"/>
      <c r="IJ15" s="534">
        <f t="shared" si="79"/>
        <v>0</v>
      </c>
      <c r="IK15" s="535">
        <f t="shared" si="190"/>
        <v>0</v>
      </c>
      <c r="IL15" s="533"/>
      <c r="IM15" s="534">
        <f t="shared" si="80"/>
        <v>0</v>
      </c>
      <c r="IN15" s="535">
        <f t="shared" si="191"/>
        <v>0</v>
      </c>
      <c r="IO15" s="533"/>
      <c r="IP15" s="534">
        <f t="shared" si="81"/>
        <v>0</v>
      </c>
      <c r="IQ15" s="535">
        <f t="shared" si="192"/>
        <v>0</v>
      </c>
      <c r="IR15" s="533"/>
      <c r="IS15" s="534">
        <f t="shared" si="82"/>
        <v>0</v>
      </c>
      <c r="IT15" s="535">
        <f t="shared" si="193"/>
        <v>0</v>
      </c>
      <c r="IU15" s="533"/>
      <c r="IV15" s="534">
        <f t="shared" si="83"/>
        <v>0</v>
      </c>
      <c r="IW15" s="535">
        <f t="shared" si="194"/>
        <v>0</v>
      </c>
      <c r="IX15" s="533"/>
      <c r="IY15" s="534">
        <f t="shared" si="84"/>
        <v>0</v>
      </c>
      <c r="IZ15" s="535">
        <f t="shared" si="195"/>
        <v>0</v>
      </c>
      <c r="JA15" s="533"/>
      <c r="JB15" s="534">
        <f t="shared" si="85"/>
        <v>0</v>
      </c>
      <c r="JC15" s="535">
        <f t="shared" si="196"/>
        <v>0</v>
      </c>
      <c r="JD15" s="533"/>
      <c r="JE15" s="534">
        <f t="shared" si="86"/>
        <v>0</v>
      </c>
      <c r="JF15" s="535">
        <f t="shared" si="197"/>
        <v>0</v>
      </c>
      <c r="JG15" s="533"/>
      <c r="JH15" s="534">
        <f t="shared" si="87"/>
        <v>0</v>
      </c>
      <c r="JI15" s="535">
        <f t="shared" si="198"/>
        <v>0</v>
      </c>
      <c r="JJ15" s="533"/>
      <c r="JK15" s="535" t="str">
        <f t="shared" si="88"/>
        <v>0</v>
      </c>
      <c r="JL15" s="535" t="str">
        <f t="shared" si="89"/>
        <v>0</v>
      </c>
      <c r="JM15" s="533"/>
      <c r="JN15" s="535" t="str">
        <f t="shared" si="90"/>
        <v>0</v>
      </c>
      <c r="JO15" s="535" t="str">
        <f t="shared" si="91"/>
        <v>0</v>
      </c>
      <c r="JP15" s="533"/>
      <c r="JQ15" s="535" t="str">
        <f t="shared" si="92"/>
        <v>0</v>
      </c>
      <c r="JR15" s="535" t="str">
        <f t="shared" si="93"/>
        <v>0</v>
      </c>
      <c r="JS15" s="533"/>
      <c r="JT15" s="535" t="str">
        <f t="shared" si="94"/>
        <v>0</v>
      </c>
      <c r="JU15" s="535" t="str">
        <f t="shared" si="95"/>
        <v>0</v>
      </c>
      <c r="JV15" s="533"/>
      <c r="JW15" s="535" t="str">
        <f t="shared" si="96"/>
        <v>0</v>
      </c>
      <c r="JX15" s="535" t="str">
        <f t="shared" si="97"/>
        <v>0</v>
      </c>
      <c r="JY15" s="533"/>
      <c r="JZ15" s="535" t="str">
        <f t="shared" si="98"/>
        <v>0</v>
      </c>
      <c r="KA15" s="535" t="str">
        <f t="shared" si="99"/>
        <v>0</v>
      </c>
      <c r="KB15" s="533"/>
      <c r="KC15" s="535" t="str">
        <f t="shared" si="100"/>
        <v>0</v>
      </c>
      <c r="KD15" s="535" t="str">
        <f t="shared" si="101"/>
        <v>0</v>
      </c>
      <c r="KE15" s="533"/>
      <c r="KF15" s="535" t="str">
        <f t="shared" si="102"/>
        <v>0</v>
      </c>
      <c r="KG15" s="535" t="str">
        <f t="shared" si="103"/>
        <v>0</v>
      </c>
      <c r="KH15" s="533"/>
      <c r="KI15" s="535" t="str">
        <f t="shared" si="104"/>
        <v>0</v>
      </c>
      <c r="KJ15" s="535" t="str">
        <f t="shared" si="105"/>
        <v>0</v>
      </c>
      <c r="KK15" s="533"/>
      <c r="KL15" s="535" t="str">
        <f t="shared" si="106"/>
        <v>0</v>
      </c>
      <c r="KM15" s="535" t="str">
        <f t="shared" si="107"/>
        <v>0</v>
      </c>
      <c r="KN15" s="533"/>
      <c r="KO15" s="535" t="str">
        <f t="shared" si="108"/>
        <v>0</v>
      </c>
      <c r="KP15" s="535" t="str">
        <f t="shared" si="109"/>
        <v>0</v>
      </c>
      <c r="KQ15" s="533"/>
      <c r="KR15" s="535" t="str">
        <f t="shared" si="110"/>
        <v>0</v>
      </c>
      <c r="KS15" s="535" t="str">
        <f t="shared" si="111"/>
        <v>0</v>
      </c>
      <c r="KT15" s="535">
        <f t="shared" si="201"/>
        <v>0</v>
      </c>
      <c r="KU15" s="535">
        <f t="shared" si="202"/>
        <v>0</v>
      </c>
      <c r="KV15" s="272">
        <f t="shared" si="199"/>
        <v>420.23250403406041</v>
      </c>
    </row>
    <row r="16" spans="1:308" ht="15" customHeight="1">
      <c r="A16" s="274">
        <f t="shared" si="200"/>
        <v>45969</v>
      </c>
      <c r="B16" s="275" t="str">
        <f>+Report1!B16</f>
        <v>Facial</v>
      </c>
      <c r="C16" s="415" t="str">
        <f>+Report1!C16</f>
        <v>10,3</v>
      </c>
      <c r="D16" s="276">
        <f>+Report1!P16</f>
        <v>46.725999999999999</v>
      </c>
      <c r="E16" s="277">
        <f>+Report1!R16</f>
        <v>47.743000000000002</v>
      </c>
      <c r="F16" s="533">
        <v>0</v>
      </c>
      <c r="G16" s="534">
        <f t="shared" si="0"/>
        <v>0</v>
      </c>
      <c r="H16" s="535">
        <f t="shared" si="112"/>
        <v>0</v>
      </c>
      <c r="I16" s="533">
        <v>241.22754883720927</v>
      </c>
      <c r="J16" s="534">
        <f t="shared" si="1"/>
        <v>5.0526265387011557</v>
      </c>
      <c r="K16" s="535">
        <f t="shared" si="113"/>
        <v>0</v>
      </c>
      <c r="L16" s="533"/>
      <c r="M16" s="534">
        <f t="shared" si="2"/>
        <v>0</v>
      </c>
      <c r="N16" s="535">
        <f t="shared" si="114"/>
        <v>0</v>
      </c>
      <c r="O16" s="533">
        <v>8.3039999999999736</v>
      </c>
      <c r="P16" s="534">
        <f t="shared" si="3"/>
        <v>0.17393125693818934</v>
      </c>
      <c r="Q16" s="535">
        <f t="shared" si="115"/>
        <v>0</v>
      </c>
      <c r="R16" s="533"/>
      <c r="S16" s="534">
        <f t="shared" si="4"/>
        <v>0</v>
      </c>
      <c r="T16" s="535">
        <f t="shared" si="116"/>
        <v>0</v>
      </c>
      <c r="U16" s="533">
        <v>4.7295000000000158</v>
      </c>
      <c r="V16" s="534">
        <f t="shared" si="5"/>
        <v>9.906164254445711E-2</v>
      </c>
      <c r="W16" s="535">
        <f t="shared" si="117"/>
        <v>0</v>
      </c>
      <c r="X16" s="533"/>
      <c r="Y16" s="534">
        <f t="shared" si="6"/>
        <v>0</v>
      </c>
      <c r="Z16" s="535">
        <f t="shared" si="118"/>
        <v>0</v>
      </c>
      <c r="AA16" s="533"/>
      <c r="AB16" s="534">
        <f t="shared" si="7"/>
        <v>0</v>
      </c>
      <c r="AC16" s="535">
        <f t="shared" si="119"/>
        <v>0</v>
      </c>
      <c r="AD16" s="533"/>
      <c r="AE16" s="534">
        <f t="shared" si="8"/>
        <v>0</v>
      </c>
      <c r="AF16" s="535">
        <f t="shared" si="120"/>
        <v>0</v>
      </c>
      <c r="AG16" s="533"/>
      <c r="AH16" s="534">
        <f t="shared" si="9"/>
        <v>0</v>
      </c>
      <c r="AI16" s="535">
        <f t="shared" si="121"/>
        <v>0</v>
      </c>
      <c r="AJ16" s="533">
        <v>6.774799999999999</v>
      </c>
      <c r="AK16" s="534">
        <f t="shared" si="10"/>
        <v>0.1419014305762101</v>
      </c>
      <c r="AL16" s="535">
        <f t="shared" si="122"/>
        <v>0</v>
      </c>
      <c r="AM16" s="533">
        <v>0</v>
      </c>
      <c r="AN16" s="534">
        <f t="shared" si="11"/>
        <v>0</v>
      </c>
      <c r="AO16" s="535">
        <f t="shared" si="123"/>
        <v>0</v>
      </c>
      <c r="AP16" s="533">
        <v>47.262743037974644</v>
      </c>
      <c r="AQ16" s="534">
        <f t="shared" si="12"/>
        <v>0.98994078792649487</v>
      </c>
      <c r="AR16" s="535">
        <f t="shared" si="124"/>
        <v>0</v>
      </c>
      <c r="AS16" s="533"/>
      <c r="AT16" s="534">
        <f t="shared" si="13"/>
        <v>0</v>
      </c>
      <c r="AU16" s="535">
        <f t="shared" si="125"/>
        <v>0</v>
      </c>
      <c r="AV16" s="533">
        <v>7.6815000000000282</v>
      </c>
      <c r="AW16" s="534">
        <f t="shared" si="14"/>
        <v>0.16089269631150174</v>
      </c>
      <c r="AX16" s="535">
        <f t="shared" si="126"/>
        <v>0</v>
      </c>
      <c r="AY16" s="533">
        <v>57.01626666666661</v>
      </c>
      <c r="AZ16" s="534">
        <f t="shared" si="15"/>
        <v>1.1942330114711395</v>
      </c>
      <c r="BA16" s="535">
        <f t="shared" si="127"/>
        <v>0</v>
      </c>
      <c r="BB16" s="533">
        <v>0</v>
      </c>
      <c r="BC16" s="534">
        <f t="shared" si="16"/>
        <v>0</v>
      </c>
      <c r="BD16" s="535">
        <f t="shared" si="128"/>
        <v>0</v>
      </c>
      <c r="BE16" s="533"/>
      <c r="BF16" s="534">
        <f t="shared" si="17"/>
        <v>0</v>
      </c>
      <c r="BG16" s="535">
        <f t="shared" si="129"/>
        <v>0</v>
      </c>
      <c r="BH16" s="533"/>
      <c r="BI16" s="534">
        <f t="shared" si="18"/>
        <v>0</v>
      </c>
      <c r="BJ16" s="535">
        <f t="shared" si="130"/>
        <v>0</v>
      </c>
      <c r="BK16" s="533"/>
      <c r="BL16" s="534">
        <f t="shared" si="19"/>
        <v>0</v>
      </c>
      <c r="BM16" s="535">
        <f t="shared" si="131"/>
        <v>0</v>
      </c>
      <c r="BN16" s="533">
        <v>6.9986308641975654</v>
      </c>
      <c r="BO16" s="534">
        <f t="shared" si="20"/>
        <v>0.14658967522354199</v>
      </c>
      <c r="BP16" s="535">
        <f t="shared" si="132"/>
        <v>0</v>
      </c>
      <c r="BQ16" s="533">
        <v>0</v>
      </c>
      <c r="BR16" s="534">
        <f t="shared" si="21"/>
        <v>0</v>
      </c>
      <c r="BS16" s="535">
        <f t="shared" si="133"/>
        <v>0</v>
      </c>
      <c r="BT16" s="533"/>
      <c r="BU16" s="534">
        <f t="shared" si="22"/>
        <v>0</v>
      </c>
      <c r="BV16" s="535">
        <f t="shared" si="134"/>
        <v>0</v>
      </c>
      <c r="BW16" s="533">
        <v>0</v>
      </c>
      <c r="BX16" s="534">
        <f t="shared" si="23"/>
        <v>0</v>
      </c>
      <c r="BY16" s="535">
        <f t="shared" si="135"/>
        <v>0</v>
      </c>
      <c r="BZ16" s="533"/>
      <c r="CA16" s="534">
        <f t="shared" si="24"/>
        <v>0</v>
      </c>
      <c r="CB16" s="535">
        <f t="shared" si="136"/>
        <v>0</v>
      </c>
      <c r="CC16" s="533">
        <v>0</v>
      </c>
      <c r="CD16" s="534">
        <f t="shared" si="25"/>
        <v>0</v>
      </c>
      <c r="CE16" s="535">
        <f t="shared" si="137"/>
        <v>0</v>
      </c>
      <c r="CF16" s="533">
        <v>9.9999999999999978E-2</v>
      </c>
      <c r="CG16" s="534">
        <f t="shared" si="26"/>
        <v>2.0945478918375465E-3</v>
      </c>
      <c r="CH16" s="535">
        <f t="shared" si="138"/>
        <v>0</v>
      </c>
      <c r="CI16" s="533"/>
      <c r="CJ16" s="534">
        <f t="shared" si="27"/>
        <v>0</v>
      </c>
      <c r="CK16" s="535">
        <f t="shared" si="139"/>
        <v>0</v>
      </c>
      <c r="CL16" s="533"/>
      <c r="CM16" s="534">
        <f t="shared" si="28"/>
        <v>0</v>
      </c>
      <c r="CN16" s="535">
        <f t="shared" si="140"/>
        <v>0</v>
      </c>
      <c r="CO16" s="533"/>
      <c r="CP16" s="534">
        <f t="shared" si="29"/>
        <v>0</v>
      </c>
      <c r="CQ16" s="535">
        <f t="shared" si="141"/>
        <v>0</v>
      </c>
      <c r="CR16" s="533"/>
      <c r="CS16" s="534">
        <f t="shared" si="30"/>
        <v>0</v>
      </c>
      <c r="CT16" s="535">
        <f t="shared" si="142"/>
        <v>0</v>
      </c>
      <c r="CU16" s="533"/>
      <c r="CV16" s="534">
        <f t="shared" si="31"/>
        <v>0</v>
      </c>
      <c r="CW16" s="535">
        <f t="shared" si="143"/>
        <v>0</v>
      </c>
      <c r="CX16" s="533"/>
      <c r="CY16" s="534">
        <f t="shared" si="32"/>
        <v>0</v>
      </c>
      <c r="CZ16" s="535">
        <f t="shared" si="144"/>
        <v>0</v>
      </c>
      <c r="DA16" s="533"/>
      <c r="DB16" s="534">
        <f t="shared" si="33"/>
        <v>0</v>
      </c>
      <c r="DC16" s="535">
        <f t="shared" si="145"/>
        <v>0</v>
      </c>
      <c r="DD16" s="533"/>
      <c r="DE16" s="534">
        <f t="shared" si="34"/>
        <v>0</v>
      </c>
      <c r="DF16" s="535">
        <f t="shared" si="146"/>
        <v>0</v>
      </c>
      <c r="DG16" s="533">
        <v>0</v>
      </c>
      <c r="DH16" s="534">
        <f t="shared" si="35"/>
        <v>0</v>
      </c>
      <c r="DI16" s="535">
        <f t="shared" si="203"/>
        <v>0</v>
      </c>
      <c r="DJ16" s="533"/>
      <c r="DK16" s="534">
        <f t="shared" si="36"/>
        <v>0</v>
      </c>
      <c r="DL16" s="535">
        <f t="shared" si="147"/>
        <v>0</v>
      </c>
      <c r="DM16" s="533"/>
      <c r="DN16" s="534">
        <f t="shared" si="37"/>
        <v>0</v>
      </c>
      <c r="DO16" s="535">
        <f t="shared" si="148"/>
        <v>0</v>
      </c>
      <c r="DP16" s="533"/>
      <c r="DQ16" s="534">
        <f t="shared" si="38"/>
        <v>0</v>
      </c>
      <c r="DR16" s="535">
        <f t="shared" si="149"/>
        <v>0</v>
      </c>
      <c r="DS16" s="533"/>
      <c r="DT16" s="534">
        <f t="shared" si="39"/>
        <v>0</v>
      </c>
      <c r="DU16" s="535">
        <f t="shared" si="150"/>
        <v>0</v>
      </c>
      <c r="DV16" s="533"/>
      <c r="DW16" s="534">
        <f t="shared" si="40"/>
        <v>0</v>
      </c>
      <c r="DX16" s="535">
        <f t="shared" si="151"/>
        <v>0</v>
      </c>
      <c r="DY16" s="533"/>
      <c r="DZ16" s="534">
        <f t="shared" si="41"/>
        <v>0</v>
      </c>
      <c r="EA16" s="535">
        <f t="shared" si="152"/>
        <v>0</v>
      </c>
      <c r="EB16" s="533">
        <v>14.534883720930225</v>
      </c>
      <c r="EC16" s="534">
        <f t="shared" si="42"/>
        <v>0.30444010055778281</v>
      </c>
      <c r="ED16" s="535">
        <f t="shared" si="153"/>
        <v>0</v>
      </c>
      <c r="EE16" s="533">
        <v>1</v>
      </c>
      <c r="EF16" s="534">
        <f t="shared" si="43"/>
        <v>2.0945478918375469E-2</v>
      </c>
      <c r="EG16" s="535">
        <f t="shared" si="154"/>
        <v>0</v>
      </c>
      <c r="EH16" s="533"/>
      <c r="EI16" s="534">
        <f t="shared" si="44"/>
        <v>0</v>
      </c>
      <c r="EJ16" s="535">
        <f t="shared" si="155"/>
        <v>0</v>
      </c>
      <c r="EK16" s="533"/>
      <c r="EL16" s="534">
        <f t="shared" si="45"/>
        <v>0</v>
      </c>
      <c r="EM16" s="535">
        <f t="shared" si="156"/>
        <v>0</v>
      </c>
      <c r="EN16" s="533"/>
      <c r="EO16" s="534">
        <f t="shared" si="46"/>
        <v>0</v>
      </c>
      <c r="EP16" s="535">
        <f t="shared" si="157"/>
        <v>0</v>
      </c>
      <c r="EQ16" s="533"/>
      <c r="ER16" s="534">
        <f t="shared" si="47"/>
        <v>0</v>
      </c>
      <c r="ES16" s="535">
        <f t="shared" si="158"/>
        <v>0</v>
      </c>
      <c r="ET16" s="533"/>
      <c r="EU16" s="534">
        <f t="shared" si="48"/>
        <v>0</v>
      </c>
      <c r="EV16" s="535">
        <f t="shared" si="159"/>
        <v>0</v>
      </c>
      <c r="EW16" s="533"/>
      <c r="EX16" s="534">
        <f t="shared" si="49"/>
        <v>0</v>
      </c>
      <c r="EY16" s="535">
        <f t="shared" si="160"/>
        <v>0</v>
      </c>
      <c r="EZ16" s="533"/>
      <c r="FA16" s="534">
        <f t="shared" si="50"/>
        <v>0</v>
      </c>
      <c r="FB16" s="535">
        <f t="shared" si="161"/>
        <v>0</v>
      </c>
      <c r="FC16" s="533"/>
      <c r="FD16" s="534">
        <f t="shared" si="51"/>
        <v>0</v>
      </c>
      <c r="FE16" s="535">
        <f t="shared" si="162"/>
        <v>0</v>
      </c>
      <c r="FF16" s="533"/>
      <c r="FG16" s="534">
        <f t="shared" si="52"/>
        <v>0</v>
      </c>
      <c r="FH16" s="535">
        <f t="shared" si="163"/>
        <v>0</v>
      </c>
      <c r="FI16" s="533"/>
      <c r="FJ16" s="534">
        <f t="shared" si="53"/>
        <v>0</v>
      </c>
      <c r="FK16" s="535">
        <f t="shared" si="164"/>
        <v>0</v>
      </c>
      <c r="FL16" s="533"/>
      <c r="FM16" s="534">
        <f t="shared" si="54"/>
        <v>0</v>
      </c>
      <c r="FN16" s="535">
        <f t="shared" si="165"/>
        <v>0</v>
      </c>
      <c r="FO16" s="533"/>
      <c r="FP16" s="534">
        <f t="shared" si="55"/>
        <v>0</v>
      </c>
      <c r="FQ16" s="535">
        <f t="shared" si="166"/>
        <v>0</v>
      </c>
      <c r="FR16" s="533"/>
      <c r="FS16" s="534">
        <f t="shared" si="56"/>
        <v>0</v>
      </c>
      <c r="FT16" s="535">
        <f t="shared" si="167"/>
        <v>0</v>
      </c>
      <c r="FU16" s="533"/>
      <c r="FV16" s="534">
        <f t="shared" si="57"/>
        <v>0</v>
      </c>
      <c r="FW16" s="535">
        <f t="shared" si="168"/>
        <v>0</v>
      </c>
      <c r="FX16" s="533"/>
      <c r="FY16" s="534">
        <f t="shared" si="58"/>
        <v>0</v>
      </c>
      <c r="FZ16" s="535">
        <f t="shared" si="169"/>
        <v>0</v>
      </c>
      <c r="GA16" s="533"/>
      <c r="GB16" s="534">
        <f t="shared" si="59"/>
        <v>0</v>
      </c>
      <c r="GC16" s="535">
        <f t="shared" si="170"/>
        <v>0</v>
      </c>
      <c r="GD16" s="533"/>
      <c r="GE16" s="534">
        <f t="shared" si="60"/>
        <v>0</v>
      </c>
      <c r="GF16" s="535">
        <f t="shared" si="171"/>
        <v>0</v>
      </c>
      <c r="GG16" s="533"/>
      <c r="GH16" s="534">
        <f t="shared" si="61"/>
        <v>0</v>
      </c>
      <c r="GI16" s="535">
        <f t="shared" si="172"/>
        <v>0</v>
      </c>
      <c r="GJ16" s="533"/>
      <c r="GK16" s="534">
        <f t="shared" si="62"/>
        <v>0</v>
      </c>
      <c r="GL16" s="535">
        <f t="shared" si="173"/>
        <v>0</v>
      </c>
      <c r="GM16" s="533"/>
      <c r="GN16" s="534">
        <f t="shared" si="63"/>
        <v>0</v>
      </c>
      <c r="GO16" s="535">
        <f t="shared" si="174"/>
        <v>0</v>
      </c>
      <c r="GP16" s="533"/>
      <c r="GQ16" s="534">
        <f t="shared" si="64"/>
        <v>0</v>
      </c>
      <c r="GR16" s="535">
        <f t="shared" si="175"/>
        <v>0</v>
      </c>
      <c r="GS16" s="533"/>
      <c r="GT16" s="534">
        <f t="shared" si="65"/>
        <v>0</v>
      </c>
      <c r="GU16" s="535">
        <f t="shared" si="176"/>
        <v>0</v>
      </c>
      <c r="GV16" s="533"/>
      <c r="GW16" s="534">
        <f t="shared" si="66"/>
        <v>0</v>
      </c>
      <c r="GX16" s="535">
        <f t="shared" si="177"/>
        <v>0</v>
      </c>
      <c r="GY16" s="533"/>
      <c r="GZ16" s="534">
        <f t="shared" si="67"/>
        <v>0</v>
      </c>
      <c r="HA16" s="535">
        <f t="shared" si="178"/>
        <v>0</v>
      </c>
      <c r="HB16" s="533"/>
      <c r="HC16" s="534">
        <f t="shared" si="68"/>
        <v>0</v>
      </c>
      <c r="HD16" s="535">
        <f t="shared" si="179"/>
        <v>0</v>
      </c>
      <c r="HE16" s="533"/>
      <c r="HF16" s="534">
        <f t="shared" si="69"/>
        <v>0</v>
      </c>
      <c r="HG16" s="535">
        <f t="shared" si="180"/>
        <v>0</v>
      </c>
      <c r="HH16" s="533"/>
      <c r="HI16" s="534">
        <f t="shared" si="70"/>
        <v>0</v>
      </c>
      <c r="HJ16" s="535">
        <f t="shared" si="181"/>
        <v>0</v>
      </c>
      <c r="HK16" s="533"/>
      <c r="HL16" s="534">
        <f t="shared" si="71"/>
        <v>0</v>
      </c>
      <c r="HM16" s="535">
        <f t="shared" si="182"/>
        <v>0</v>
      </c>
      <c r="HN16" s="533"/>
      <c r="HO16" s="534">
        <f t="shared" si="72"/>
        <v>0</v>
      </c>
      <c r="HP16" s="535">
        <f t="shared" si="183"/>
        <v>0</v>
      </c>
      <c r="HQ16" s="533"/>
      <c r="HR16" s="534">
        <f t="shared" si="73"/>
        <v>0</v>
      </c>
      <c r="HS16" s="535">
        <f t="shared" si="184"/>
        <v>0</v>
      </c>
      <c r="HT16" s="533"/>
      <c r="HU16" s="534">
        <f t="shared" si="74"/>
        <v>0</v>
      </c>
      <c r="HV16" s="535">
        <f t="shared" si="185"/>
        <v>0</v>
      </c>
      <c r="HW16" s="533"/>
      <c r="HX16" s="534">
        <f t="shared" si="75"/>
        <v>0</v>
      </c>
      <c r="HY16" s="535">
        <f t="shared" si="186"/>
        <v>0</v>
      </c>
      <c r="HZ16" s="533"/>
      <c r="IA16" s="534">
        <f t="shared" si="76"/>
        <v>0</v>
      </c>
      <c r="IB16" s="535">
        <f t="shared" si="187"/>
        <v>0</v>
      </c>
      <c r="IC16" s="533"/>
      <c r="ID16" s="534">
        <f t="shared" si="77"/>
        <v>0</v>
      </c>
      <c r="IE16" s="535">
        <f t="shared" si="188"/>
        <v>0</v>
      </c>
      <c r="IF16" s="533"/>
      <c r="IG16" s="534">
        <f t="shared" si="78"/>
        <v>0</v>
      </c>
      <c r="IH16" s="535">
        <f t="shared" si="189"/>
        <v>0</v>
      </c>
      <c r="II16" s="533"/>
      <c r="IJ16" s="534">
        <f t="shared" si="79"/>
        <v>0</v>
      </c>
      <c r="IK16" s="535">
        <f t="shared" si="190"/>
        <v>0</v>
      </c>
      <c r="IL16" s="533"/>
      <c r="IM16" s="534">
        <f t="shared" si="80"/>
        <v>0</v>
      </c>
      <c r="IN16" s="535">
        <f t="shared" si="191"/>
        <v>0</v>
      </c>
      <c r="IO16" s="533"/>
      <c r="IP16" s="534">
        <f t="shared" si="81"/>
        <v>0</v>
      </c>
      <c r="IQ16" s="535">
        <f t="shared" si="192"/>
        <v>0</v>
      </c>
      <c r="IR16" s="533"/>
      <c r="IS16" s="534">
        <f t="shared" si="82"/>
        <v>0</v>
      </c>
      <c r="IT16" s="535">
        <f t="shared" si="193"/>
        <v>0</v>
      </c>
      <c r="IU16" s="533"/>
      <c r="IV16" s="534">
        <f t="shared" si="83"/>
        <v>0</v>
      </c>
      <c r="IW16" s="535">
        <f t="shared" si="194"/>
        <v>0</v>
      </c>
      <c r="IX16" s="533"/>
      <c r="IY16" s="534">
        <f t="shared" si="84"/>
        <v>0</v>
      </c>
      <c r="IZ16" s="535">
        <f t="shared" si="195"/>
        <v>0</v>
      </c>
      <c r="JA16" s="533"/>
      <c r="JB16" s="534">
        <f t="shared" si="85"/>
        <v>0</v>
      </c>
      <c r="JC16" s="535">
        <f t="shared" si="196"/>
        <v>0</v>
      </c>
      <c r="JD16" s="533"/>
      <c r="JE16" s="534">
        <f t="shared" si="86"/>
        <v>0</v>
      </c>
      <c r="JF16" s="535">
        <f t="shared" si="197"/>
        <v>0</v>
      </c>
      <c r="JG16" s="533"/>
      <c r="JH16" s="534">
        <f t="shared" si="87"/>
        <v>0</v>
      </c>
      <c r="JI16" s="535">
        <f t="shared" si="198"/>
        <v>0</v>
      </c>
      <c r="JJ16" s="533"/>
      <c r="JK16" s="535" t="str">
        <f t="shared" si="88"/>
        <v>0</v>
      </c>
      <c r="JL16" s="535" t="str">
        <f t="shared" si="89"/>
        <v>0</v>
      </c>
      <c r="JM16" s="533"/>
      <c r="JN16" s="535" t="str">
        <f t="shared" si="90"/>
        <v>0</v>
      </c>
      <c r="JO16" s="535" t="str">
        <f t="shared" si="91"/>
        <v>0</v>
      </c>
      <c r="JP16" s="533"/>
      <c r="JQ16" s="535" t="str">
        <f t="shared" si="92"/>
        <v>0</v>
      </c>
      <c r="JR16" s="535" t="str">
        <f t="shared" si="93"/>
        <v>0</v>
      </c>
      <c r="JS16" s="533"/>
      <c r="JT16" s="535" t="str">
        <f t="shared" si="94"/>
        <v>0</v>
      </c>
      <c r="JU16" s="535" t="str">
        <f t="shared" si="95"/>
        <v>0</v>
      </c>
      <c r="JV16" s="533"/>
      <c r="JW16" s="535" t="str">
        <f t="shared" si="96"/>
        <v>0</v>
      </c>
      <c r="JX16" s="535" t="str">
        <f t="shared" si="97"/>
        <v>0</v>
      </c>
      <c r="JY16" s="533"/>
      <c r="JZ16" s="535" t="str">
        <f t="shared" si="98"/>
        <v>0</v>
      </c>
      <c r="KA16" s="535" t="str">
        <f t="shared" si="99"/>
        <v>0</v>
      </c>
      <c r="KB16" s="533"/>
      <c r="KC16" s="535" t="str">
        <f t="shared" si="100"/>
        <v>0</v>
      </c>
      <c r="KD16" s="535" t="str">
        <f t="shared" si="101"/>
        <v>0</v>
      </c>
      <c r="KE16" s="533"/>
      <c r="KF16" s="535" t="str">
        <f t="shared" si="102"/>
        <v>0</v>
      </c>
      <c r="KG16" s="535" t="str">
        <f t="shared" si="103"/>
        <v>0</v>
      </c>
      <c r="KH16" s="533"/>
      <c r="KI16" s="535" t="str">
        <f t="shared" si="104"/>
        <v>0</v>
      </c>
      <c r="KJ16" s="535" t="str">
        <f t="shared" si="105"/>
        <v>0</v>
      </c>
      <c r="KK16" s="533"/>
      <c r="KL16" s="535" t="str">
        <f t="shared" si="106"/>
        <v>0</v>
      </c>
      <c r="KM16" s="535" t="str">
        <f t="shared" si="107"/>
        <v>0</v>
      </c>
      <c r="KN16" s="533"/>
      <c r="KO16" s="535" t="str">
        <f t="shared" si="108"/>
        <v>0</v>
      </c>
      <c r="KP16" s="535" t="str">
        <f t="shared" si="109"/>
        <v>0</v>
      </c>
      <c r="KQ16" s="533"/>
      <c r="KR16" s="535" t="str">
        <f t="shared" si="110"/>
        <v>0</v>
      </c>
      <c r="KS16" s="535" t="str">
        <f t="shared" si="111"/>
        <v>0</v>
      </c>
      <c r="KT16" s="535">
        <f t="shared" si="201"/>
        <v>0</v>
      </c>
      <c r="KU16" s="535">
        <f t="shared" si="202"/>
        <v>0</v>
      </c>
      <c r="KV16" s="272">
        <f t="shared" si="199"/>
        <v>395.6298731269784</v>
      </c>
    </row>
    <row r="17" spans="1:309" ht="15" customHeight="1">
      <c r="A17" s="274">
        <f t="shared" si="200"/>
        <v>45970</v>
      </c>
      <c r="B17" s="275" t="str">
        <f>+Report1!B17</f>
        <v>Facial</v>
      </c>
      <c r="C17" s="415" t="str">
        <f>+Report1!C17</f>
        <v>10,3/12,5</v>
      </c>
      <c r="D17" s="276">
        <f>+Report1!P17</f>
        <v>54.628999999999998</v>
      </c>
      <c r="E17" s="277">
        <f>+Report1!R17</f>
        <v>53.112000000000002</v>
      </c>
      <c r="F17" s="533">
        <v>0</v>
      </c>
      <c r="G17" s="534">
        <f t="shared" si="0"/>
        <v>0</v>
      </c>
      <c r="H17" s="535">
        <f t="shared" si="112"/>
        <v>0</v>
      </c>
      <c r="I17" s="533">
        <v>282.02999999999997</v>
      </c>
      <c r="J17" s="534">
        <f t="shared" si="1"/>
        <v>5.3100994125621321</v>
      </c>
      <c r="K17" s="535">
        <f t="shared" si="113"/>
        <v>0</v>
      </c>
      <c r="L17" s="533"/>
      <c r="M17" s="534">
        <f t="shared" si="2"/>
        <v>0</v>
      </c>
      <c r="N17" s="535">
        <f t="shared" si="114"/>
        <v>0</v>
      </c>
      <c r="O17" s="533">
        <v>9.6976000000000226</v>
      </c>
      <c r="P17" s="534">
        <f t="shared" si="3"/>
        <v>0.18258773911733736</v>
      </c>
      <c r="Q17" s="535">
        <f t="shared" si="115"/>
        <v>0</v>
      </c>
      <c r="R17" s="533"/>
      <c r="S17" s="534">
        <f t="shared" si="4"/>
        <v>0</v>
      </c>
      <c r="T17" s="535">
        <f t="shared" si="116"/>
        <v>0</v>
      </c>
      <c r="U17" s="533">
        <v>5.5207999999999942</v>
      </c>
      <c r="V17" s="534">
        <f t="shared" si="5"/>
        <v>0.1039463774664858</v>
      </c>
      <c r="W17" s="535">
        <f t="shared" si="117"/>
        <v>0</v>
      </c>
      <c r="X17" s="533"/>
      <c r="Y17" s="534">
        <f t="shared" si="6"/>
        <v>0</v>
      </c>
      <c r="Z17" s="535">
        <f t="shared" si="118"/>
        <v>0</v>
      </c>
      <c r="AA17" s="533"/>
      <c r="AB17" s="534">
        <f t="shared" si="7"/>
        <v>0</v>
      </c>
      <c r="AC17" s="535">
        <f t="shared" si="119"/>
        <v>0</v>
      </c>
      <c r="AD17" s="533"/>
      <c r="AE17" s="534">
        <f t="shared" si="8"/>
        <v>0</v>
      </c>
      <c r="AF17" s="535">
        <f t="shared" si="120"/>
        <v>0</v>
      </c>
      <c r="AG17" s="533"/>
      <c r="AH17" s="534">
        <f t="shared" si="9"/>
        <v>0</v>
      </c>
      <c r="AI17" s="535">
        <f t="shared" si="121"/>
        <v>0</v>
      </c>
      <c r="AJ17" s="533">
        <v>7.9088999999999885</v>
      </c>
      <c r="AK17" s="534">
        <f t="shared" si="10"/>
        <v>0.14890985088115657</v>
      </c>
      <c r="AL17" s="535">
        <f t="shared" si="122"/>
        <v>0</v>
      </c>
      <c r="AM17" s="533">
        <v>0</v>
      </c>
      <c r="AN17" s="534">
        <f t="shared" si="11"/>
        <v>0</v>
      </c>
      <c r="AO17" s="535">
        <f t="shared" si="123"/>
        <v>0</v>
      </c>
      <c r="AP17" s="533">
        <v>55.265500000000031</v>
      </c>
      <c r="AQ17" s="534">
        <f t="shared" si="12"/>
        <v>1.0405463925289959</v>
      </c>
      <c r="AR17" s="535">
        <f t="shared" si="124"/>
        <v>0</v>
      </c>
      <c r="AS17" s="533"/>
      <c r="AT17" s="534">
        <f t="shared" si="13"/>
        <v>0</v>
      </c>
      <c r="AU17" s="535">
        <f t="shared" si="125"/>
        <v>0</v>
      </c>
      <c r="AV17" s="533">
        <v>8.9700000000000273</v>
      </c>
      <c r="AW17" s="534">
        <f t="shared" si="14"/>
        <v>0.16888838680524226</v>
      </c>
      <c r="AX17" s="535">
        <f t="shared" si="126"/>
        <v>0</v>
      </c>
      <c r="AY17" s="533">
        <v>66.654000000000025</v>
      </c>
      <c r="AZ17" s="534">
        <f t="shared" si="15"/>
        <v>1.2549706281066431</v>
      </c>
      <c r="BA17" s="535">
        <f t="shared" si="127"/>
        <v>0</v>
      </c>
      <c r="BB17" s="533">
        <v>0</v>
      </c>
      <c r="BC17" s="534">
        <f t="shared" si="16"/>
        <v>0</v>
      </c>
      <c r="BD17" s="535">
        <f t="shared" si="128"/>
        <v>0</v>
      </c>
      <c r="BE17" s="533"/>
      <c r="BF17" s="534">
        <f t="shared" si="17"/>
        <v>0</v>
      </c>
      <c r="BG17" s="535">
        <f t="shared" si="129"/>
        <v>0</v>
      </c>
      <c r="BH17" s="533"/>
      <c r="BI17" s="534">
        <f t="shared" si="18"/>
        <v>0</v>
      </c>
      <c r="BJ17" s="535">
        <f t="shared" si="130"/>
        <v>0</v>
      </c>
      <c r="BK17" s="533"/>
      <c r="BL17" s="534">
        <f t="shared" si="19"/>
        <v>0</v>
      </c>
      <c r="BM17" s="535">
        <f t="shared" si="131"/>
        <v>0</v>
      </c>
      <c r="BN17" s="533">
        <v>8.1910999999999774</v>
      </c>
      <c r="BO17" s="534">
        <f t="shared" si="20"/>
        <v>0.15422315107696899</v>
      </c>
      <c r="BP17" s="535">
        <f t="shared" si="132"/>
        <v>0</v>
      </c>
      <c r="BQ17" s="533">
        <v>0</v>
      </c>
      <c r="BR17" s="534">
        <f t="shared" si="21"/>
        <v>0</v>
      </c>
      <c r="BS17" s="535">
        <f t="shared" si="133"/>
        <v>0</v>
      </c>
      <c r="BT17" s="533"/>
      <c r="BU17" s="534">
        <f t="shared" si="22"/>
        <v>0</v>
      </c>
      <c r="BV17" s="535">
        <f t="shared" si="134"/>
        <v>0</v>
      </c>
      <c r="BW17" s="533">
        <v>0</v>
      </c>
      <c r="BX17" s="534">
        <f t="shared" si="23"/>
        <v>0</v>
      </c>
      <c r="BY17" s="535">
        <f t="shared" si="135"/>
        <v>0</v>
      </c>
      <c r="BZ17" s="533"/>
      <c r="CA17" s="534">
        <f t="shared" si="24"/>
        <v>0</v>
      </c>
      <c r="CB17" s="535">
        <f t="shared" si="136"/>
        <v>0</v>
      </c>
      <c r="CC17" s="533">
        <v>0</v>
      </c>
      <c r="CD17" s="534">
        <f t="shared" si="25"/>
        <v>0</v>
      </c>
      <c r="CE17" s="535">
        <f t="shared" si="137"/>
        <v>0</v>
      </c>
      <c r="CF17" s="533">
        <v>0.1</v>
      </c>
      <c r="CG17" s="534">
        <f t="shared" si="26"/>
        <v>1.882813676758548E-3</v>
      </c>
      <c r="CH17" s="535">
        <f t="shared" si="138"/>
        <v>0</v>
      </c>
      <c r="CI17" s="533"/>
      <c r="CJ17" s="534">
        <f t="shared" si="27"/>
        <v>0</v>
      </c>
      <c r="CK17" s="535">
        <f t="shared" si="139"/>
        <v>0</v>
      </c>
      <c r="CL17" s="533"/>
      <c r="CM17" s="534">
        <f t="shared" si="28"/>
        <v>0</v>
      </c>
      <c r="CN17" s="535">
        <f t="shared" si="140"/>
        <v>0</v>
      </c>
      <c r="CO17" s="533"/>
      <c r="CP17" s="534">
        <f t="shared" si="29"/>
        <v>0</v>
      </c>
      <c r="CQ17" s="535">
        <f t="shared" si="141"/>
        <v>0</v>
      </c>
      <c r="CR17" s="533"/>
      <c r="CS17" s="534">
        <f t="shared" si="30"/>
        <v>0</v>
      </c>
      <c r="CT17" s="535">
        <f t="shared" si="142"/>
        <v>0</v>
      </c>
      <c r="CU17" s="533"/>
      <c r="CV17" s="534">
        <f t="shared" si="31"/>
        <v>0</v>
      </c>
      <c r="CW17" s="535">
        <f t="shared" si="143"/>
        <v>0</v>
      </c>
      <c r="CX17" s="533"/>
      <c r="CY17" s="534">
        <f t="shared" si="32"/>
        <v>0</v>
      </c>
      <c r="CZ17" s="535">
        <f t="shared" si="144"/>
        <v>0</v>
      </c>
      <c r="DA17" s="533"/>
      <c r="DB17" s="534">
        <f t="shared" si="33"/>
        <v>0</v>
      </c>
      <c r="DC17" s="535">
        <f t="shared" si="145"/>
        <v>0</v>
      </c>
      <c r="DD17" s="533"/>
      <c r="DE17" s="534">
        <f t="shared" si="34"/>
        <v>0</v>
      </c>
      <c r="DF17" s="535">
        <f t="shared" si="146"/>
        <v>0</v>
      </c>
      <c r="DG17" s="533">
        <v>0</v>
      </c>
      <c r="DH17" s="534">
        <f t="shared" si="35"/>
        <v>0</v>
      </c>
      <c r="DI17" s="535">
        <f t="shared" si="203"/>
        <v>0</v>
      </c>
      <c r="DJ17" s="533"/>
      <c r="DK17" s="534">
        <f t="shared" si="36"/>
        <v>0</v>
      </c>
      <c r="DL17" s="535">
        <f t="shared" si="147"/>
        <v>0</v>
      </c>
      <c r="DM17" s="533"/>
      <c r="DN17" s="534">
        <f t="shared" si="37"/>
        <v>0</v>
      </c>
      <c r="DO17" s="535">
        <f t="shared" si="148"/>
        <v>0</v>
      </c>
      <c r="DP17" s="533"/>
      <c r="DQ17" s="534">
        <f t="shared" si="38"/>
        <v>0</v>
      </c>
      <c r="DR17" s="535">
        <f t="shared" si="149"/>
        <v>0</v>
      </c>
      <c r="DS17" s="533"/>
      <c r="DT17" s="534">
        <f t="shared" si="39"/>
        <v>0</v>
      </c>
      <c r="DU17" s="535">
        <f t="shared" si="150"/>
        <v>0</v>
      </c>
      <c r="DV17" s="533"/>
      <c r="DW17" s="534">
        <f t="shared" si="40"/>
        <v>0</v>
      </c>
      <c r="DX17" s="535">
        <f t="shared" si="151"/>
        <v>0</v>
      </c>
      <c r="DY17" s="533"/>
      <c r="DZ17" s="534">
        <f t="shared" si="41"/>
        <v>0</v>
      </c>
      <c r="EA17" s="535">
        <f t="shared" si="152"/>
        <v>0</v>
      </c>
      <c r="EB17" s="533">
        <v>14.534883720930225</v>
      </c>
      <c r="EC17" s="534">
        <f t="shared" si="42"/>
        <v>0.27366477859862598</v>
      </c>
      <c r="ED17" s="535">
        <f t="shared" si="153"/>
        <v>0</v>
      </c>
      <c r="EE17" s="533">
        <v>1</v>
      </c>
      <c r="EF17" s="534">
        <f t="shared" si="43"/>
        <v>1.882813676758548E-2</v>
      </c>
      <c r="EG17" s="535">
        <f t="shared" si="154"/>
        <v>0</v>
      </c>
      <c r="EH17" s="533"/>
      <c r="EI17" s="534">
        <f t="shared" si="44"/>
        <v>0</v>
      </c>
      <c r="EJ17" s="535">
        <f t="shared" si="155"/>
        <v>0</v>
      </c>
      <c r="EK17" s="533"/>
      <c r="EL17" s="534">
        <f t="shared" si="45"/>
        <v>0</v>
      </c>
      <c r="EM17" s="535">
        <f t="shared" si="156"/>
        <v>0</v>
      </c>
      <c r="EN17" s="533"/>
      <c r="EO17" s="534">
        <f t="shared" si="46"/>
        <v>0</v>
      </c>
      <c r="EP17" s="535">
        <f t="shared" si="157"/>
        <v>0</v>
      </c>
      <c r="EQ17" s="533"/>
      <c r="ER17" s="534">
        <f t="shared" si="47"/>
        <v>0</v>
      </c>
      <c r="ES17" s="535">
        <f t="shared" si="158"/>
        <v>0</v>
      </c>
      <c r="ET17" s="533"/>
      <c r="EU17" s="534">
        <f t="shared" si="48"/>
        <v>0</v>
      </c>
      <c r="EV17" s="535">
        <f t="shared" si="159"/>
        <v>0</v>
      </c>
      <c r="EW17" s="533"/>
      <c r="EX17" s="534">
        <f t="shared" si="49"/>
        <v>0</v>
      </c>
      <c r="EY17" s="535">
        <f t="shared" si="160"/>
        <v>0</v>
      </c>
      <c r="EZ17" s="533"/>
      <c r="FA17" s="534">
        <f t="shared" si="50"/>
        <v>0</v>
      </c>
      <c r="FB17" s="535">
        <f t="shared" si="161"/>
        <v>0</v>
      </c>
      <c r="FC17" s="533"/>
      <c r="FD17" s="534">
        <f t="shared" si="51"/>
        <v>0</v>
      </c>
      <c r="FE17" s="535">
        <f t="shared" si="162"/>
        <v>0</v>
      </c>
      <c r="FF17" s="533"/>
      <c r="FG17" s="534">
        <f t="shared" si="52"/>
        <v>0</v>
      </c>
      <c r="FH17" s="535">
        <f t="shared" si="163"/>
        <v>0</v>
      </c>
      <c r="FI17" s="533"/>
      <c r="FJ17" s="534">
        <f t="shared" si="53"/>
        <v>0</v>
      </c>
      <c r="FK17" s="535">
        <f t="shared" si="164"/>
        <v>0</v>
      </c>
      <c r="FL17" s="533"/>
      <c r="FM17" s="534">
        <f t="shared" si="54"/>
        <v>0</v>
      </c>
      <c r="FN17" s="535">
        <f t="shared" si="165"/>
        <v>0</v>
      </c>
      <c r="FO17" s="533"/>
      <c r="FP17" s="534">
        <f t="shared" si="55"/>
        <v>0</v>
      </c>
      <c r="FQ17" s="535">
        <f t="shared" si="166"/>
        <v>0</v>
      </c>
      <c r="FR17" s="533"/>
      <c r="FS17" s="534">
        <f t="shared" si="56"/>
        <v>0</v>
      </c>
      <c r="FT17" s="535">
        <f t="shared" si="167"/>
        <v>0</v>
      </c>
      <c r="FU17" s="533"/>
      <c r="FV17" s="534">
        <f t="shared" si="57"/>
        <v>0</v>
      </c>
      <c r="FW17" s="535">
        <f t="shared" si="168"/>
        <v>0</v>
      </c>
      <c r="FX17" s="533"/>
      <c r="FY17" s="534">
        <f t="shared" si="58"/>
        <v>0</v>
      </c>
      <c r="FZ17" s="535">
        <f t="shared" si="169"/>
        <v>0</v>
      </c>
      <c r="GA17" s="533"/>
      <c r="GB17" s="534">
        <f t="shared" si="59"/>
        <v>0</v>
      </c>
      <c r="GC17" s="535">
        <f t="shared" si="170"/>
        <v>0</v>
      </c>
      <c r="GD17" s="533"/>
      <c r="GE17" s="534">
        <f t="shared" si="60"/>
        <v>0</v>
      </c>
      <c r="GF17" s="535">
        <f t="shared" si="171"/>
        <v>0</v>
      </c>
      <c r="GG17" s="533"/>
      <c r="GH17" s="534">
        <f t="shared" si="61"/>
        <v>0</v>
      </c>
      <c r="GI17" s="535">
        <f t="shared" si="172"/>
        <v>0</v>
      </c>
      <c r="GJ17" s="533"/>
      <c r="GK17" s="534">
        <f t="shared" si="62"/>
        <v>0</v>
      </c>
      <c r="GL17" s="535">
        <f t="shared" si="173"/>
        <v>0</v>
      </c>
      <c r="GM17" s="533"/>
      <c r="GN17" s="534">
        <f t="shared" si="63"/>
        <v>0</v>
      </c>
      <c r="GO17" s="535">
        <f t="shared" si="174"/>
        <v>0</v>
      </c>
      <c r="GP17" s="533"/>
      <c r="GQ17" s="534">
        <f t="shared" si="64"/>
        <v>0</v>
      </c>
      <c r="GR17" s="535">
        <f t="shared" si="175"/>
        <v>0</v>
      </c>
      <c r="GS17" s="533"/>
      <c r="GT17" s="534">
        <f t="shared" si="65"/>
        <v>0</v>
      </c>
      <c r="GU17" s="535">
        <f t="shared" si="176"/>
        <v>0</v>
      </c>
      <c r="GV17" s="533"/>
      <c r="GW17" s="534">
        <f t="shared" si="66"/>
        <v>0</v>
      </c>
      <c r="GX17" s="535">
        <f t="shared" si="177"/>
        <v>0</v>
      </c>
      <c r="GY17" s="533"/>
      <c r="GZ17" s="534">
        <f t="shared" si="67"/>
        <v>0</v>
      </c>
      <c r="HA17" s="535">
        <f t="shared" si="178"/>
        <v>0</v>
      </c>
      <c r="HB17" s="533"/>
      <c r="HC17" s="534">
        <f t="shared" si="68"/>
        <v>0</v>
      </c>
      <c r="HD17" s="535">
        <f t="shared" si="179"/>
        <v>0</v>
      </c>
      <c r="HE17" s="533"/>
      <c r="HF17" s="534">
        <f t="shared" si="69"/>
        <v>0</v>
      </c>
      <c r="HG17" s="535">
        <f t="shared" si="180"/>
        <v>0</v>
      </c>
      <c r="HH17" s="533"/>
      <c r="HI17" s="534">
        <f t="shared" si="70"/>
        <v>0</v>
      </c>
      <c r="HJ17" s="535">
        <f t="shared" si="181"/>
        <v>0</v>
      </c>
      <c r="HK17" s="533"/>
      <c r="HL17" s="534">
        <f t="shared" si="71"/>
        <v>0</v>
      </c>
      <c r="HM17" s="535">
        <f t="shared" si="182"/>
        <v>0</v>
      </c>
      <c r="HN17" s="533"/>
      <c r="HO17" s="534">
        <f t="shared" si="72"/>
        <v>0</v>
      </c>
      <c r="HP17" s="535">
        <f t="shared" si="183"/>
        <v>0</v>
      </c>
      <c r="HQ17" s="533"/>
      <c r="HR17" s="534">
        <f t="shared" si="73"/>
        <v>0</v>
      </c>
      <c r="HS17" s="535">
        <f t="shared" si="184"/>
        <v>0</v>
      </c>
      <c r="HT17" s="533"/>
      <c r="HU17" s="534">
        <f t="shared" si="74"/>
        <v>0</v>
      </c>
      <c r="HV17" s="535">
        <f t="shared" si="185"/>
        <v>0</v>
      </c>
      <c r="HW17" s="533"/>
      <c r="HX17" s="534">
        <f t="shared" si="75"/>
        <v>0</v>
      </c>
      <c r="HY17" s="535">
        <f t="shared" si="186"/>
        <v>0</v>
      </c>
      <c r="HZ17" s="533"/>
      <c r="IA17" s="534">
        <f t="shared" si="76"/>
        <v>0</v>
      </c>
      <c r="IB17" s="535">
        <f t="shared" si="187"/>
        <v>0</v>
      </c>
      <c r="IC17" s="533"/>
      <c r="ID17" s="534">
        <f t="shared" si="77"/>
        <v>0</v>
      </c>
      <c r="IE17" s="535">
        <f t="shared" si="188"/>
        <v>0</v>
      </c>
      <c r="IF17" s="533"/>
      <c r="IG17" s="534">
        <f t="shared" si="78"/>
        <v>0</v>
      </c>
      <c r="IH17" s="535">
        <f t="shared" si="189"/>
        <v>0</v>
      </c>
      <c r="II17" s="533"/>
      <c r="IJ17" s="534">
        <f t="shared" si="79"/>
        <v>0</v>
      </c>
      <c r="IK17" s="535">
        <f t="shared" si="190"/>
        <v>0</v>
      </c>
      <c r="IL17" s="533"/>
      <c r="IM17" s="534">
        <f t="shared" si="80"/>
        <v>0</v>
      </c>
      <c r="IN17" s="535">
        <f t="shared" si="191"/>
        <v>0</v>
      </c>
      <c r="IO17" s="533"/>
      <c r="IP17" s="534">
        <f t="shared" si="81"/>
        <v>0</v>
      </c>
      <c r="IQ17" s="535">
        <f t="shared" si="192"/>
        <v>0</v>
      </c>
      <c r="IR17" s="533"/>
      <c r="IS17" s="534">
        <f t="shared" si="82"/>
        <v>0</v>
      </c>
      <c r="IT17" s="535">
        <f t="shared" si="193"/>
        <v>0</v>
      </c>
      <c r="IU17" s="533"/>
      <c r="IV17" s="534">
        <f t="shared" si="83"/>
        <v>0</v>
      </c>
      <c r="IW17" s="535">
        <f t="shared" si="194"/>
        <v>0</v>
      </c>
      <c r="IX17" s="533"/>
      <c r="IY17" s="534">
        <f t="shared" si="84"/>
        <v>0</v>
      </c>
      <c r="IZ17" s="535">
        <f t="shared" si="195"/>
        <v>0</v>
      </c>
      <c r="JA17" s="533"/>
      <c r="JB17" s="534">
        <f t="shared" si="85"/>
        <v>0</v>
      </c>
      <c r="JC17" s="535">
        <f t="shared" si="196"/>
        <v>0</v>
      </c>
      <c r="JD17" s="533"/>
      <c r="JE17" s="534">
        <f t="shared" si="86"/>
        <v>0</v>
      </c>
      <c r="JF17" s="535">
        <f t="shared" si="197"/>
        <v>0</v>
      </c>
      <c r="JG17" s="533"/>
      <c r="JH17" s="534">
        <f t="shared" si="87"/>
        <v>0</v>
      </c>
      <c r="JI17" s="535">
        <f t="shared" si="198"/>
        <v>0</v>
      </c>
      <c r="JJ17" s="533"/>
      <c r="JK17" s="535" t="str">
        <f t="shared" si="88"/>
        <v>0</v>
      </c>
      <c r="JL17" s="535" t="str">
        <f t="shared" si="89"/>
        <v>0</v>
      </c>
      <c r="JM17" s="533"/>
      <c r="JN17" s="535" t="str">
        <f t="shared" si="90"/>
        <v>0</v>
      </c>
      <c r="JO17" s="535" t="str">
        <f t="shared" si="91"/>
        <v>0</v>
      </c>
      <c r="JP17" s="533"/>
      <c r="JQ17" s="535" t="str">
        <f t="shared" si="92"/>
        <v>0</v>
      </c>
      <c r="JR17" s="535" t="str">
        <f t="shared" si="93"/>
        <v>0</v>
      </c>
      <c r="JS17" s="533"/>
      <c r="JT17" s="535" t="str">
        <f t="shared" si="94"/>
        <v>0</v>
      </c>
      <c r="JU17" s="535" t="str">
        <f t="shared" si="95"/>
        <v>0</v>
      </c>
      <c r="JV17" s="533"/>
      <c r="JW17" s="535" t="str">
        <f t="shared" si="96"/>
        <v>0</v>
      </c>
      <c r="JX17" s="535" t="str">
        <f t="shared" si="97"/>
        <v>0</v>
      </c>
      <c r="JY17" s="533"/>
      <c r="JZ17" s="535" t="str">
        <f t="shared" si="98"/>
        <v>0</v>
      </c>
      <c r="KA17" s="535" t="str">
        <f t="shared" si="99"/>
        <v>0</v>
      </c>
      <c r="KB17" s="533"/>
      <c r="KC17" s="535" t="str">
        <f t="shared" si="100"/>
        <v>0</v>
      </c>
      <c r="KD17" s="535" t="str">
        <f t="shared" si="101"/>
        <v>0</v>
      </c>
      <c r="KE17" s="533"/>
      <c r="KF17" s="535" t="str">
        <f t="shared" si="102"/>
        <v>0</v>
      </c>
      <c r="KG17" s="535" t="str">
        <f t="shared" si="103"/>
        <v>0</v>
      </c>
      <c r="KH17" s="533"/>
      <c r="KI17" s="535" t="str">
        <f t="shared" si="104"/>
        <v>0</v>
      </c>
      <c r="KJ17" s="535" t="str">
        <f t="shared" si="105"/>
        <v>0</v>
      </c>
      <c r="KK17" s="533"/>
      <c r="KL17" s="535" t="str">
        <f t="shared" si="106"/>
        <v>0</v>
      </c>
      <c r="KM17" s="535" t="str">
        <f t="shared" si="107"/>
        <v>0</v>
      </c>
      <c r="KN17" s="533"/>
      <c r="KO17" s="535" t="str">
        <f t="shared" si="108"/>
        <v>0</v>
      </c>
      <c r="KP17" s="535" t="str">
        <f t="shared" si="109"/>
        <v>0</v>
      </c>
      <c r="KQ17" s="533"/>
      <c r="KR17" s="535" t="str">
        <f t="shared" si="110"/>
        <v>0</v>
      </c>
      <c r="KS17" s="535" t="str">
        <f t="shared" si="111"/>
        <v>0</v>
      </c>
      <c r="KT17" s="535">
        <f t="shared" si="201"/>
        <v>0</v>
      </c>
      <c r="KU17" s="535">
        <f t="shared" si="202"/>
        <v>0</v>
      </c>
      <c r="KV17" s="272">
        <f t="shared" si="199"/>
        <v>459.87278372093033</v>
      </c>
    </row>
    <row r="18" spans="1:309" ht="15" customHeight="1">
      <c r="A18" s="274">
        <f t="shared" si="200"/>
        <v>45971</v>
      </c>
      <c r="B18" s="275" t="str">
        <f>+Report1!B18</f>
        <v>Facial/Sanitary Napkin</v>
      </c>
      <c r="C18" s="415" t="str">
        <f>+Report1!C18</f>
        <v>12/13</v>
      </c>
      <c r="D18" s="276">
        <f>+Report1!P18</f>
        <v>48.67</v>
      </c>
      <c r="E18" s="277">
        <f>+Report1!R18</f>
        <v>43.384999999999998</v>
      </c>
      <c r="F18" s="533">
        <v>244.18604651162786</v>
      </c>
      <c r="G18" s="534">
        <f t="shared" si="0"/>
        <v>5.6283518845598222</v>
      </c>
      <c r="H18" s="535">
        <f t="shared" si="112"/>
        <v>0</v>
      </c>
      <c r="I18" s="533">
        <v>383.71919534883739</v>
      </c>
      <c r="J18" s="534">
        <f t="shared" si="1"/>
        <v>8.8445129733510992</v>
      </c>
      <c r="K18" s="535">
        <f t="shared" si="113"/>
        <v>0</v>
      </c>
      <c r="L18" s="533"/>
      <c r="M18" s="534">
        <f t="shared" si="2"/>
        <v>0</v>
      </c>
      <c r="N18" s="535">
        <f t="shared" si="114"/>
        <v>0</v>
      </c>
      <c r="O18" s="533">
        <v>14.998400000000004</v>
      </c>
      <c r="P18" s="534">
        <f t="shared" si="3"/>
        <v>0.34570473666013607</v>
      </c>
      <c r="Q18" s="535">
        <f t="shared" si="115"/>
        <v>0</v>
      </c>
      <c r="R18" s="533"/>
      <c r="S18" s="534">
        <f t="shared" si="4"/>
        <v>0</v>
      </c>
      <c r="T18" s="535">
        <f t="shared" si="116"/>
        <v>0</v>
      </c>
      <c r="U18" s="533">
        <v>7.68719999999999</v>
      </c>
      <c r="V18" s="534">
        <f t="shared" si="5"/>
        <v>0.17718566324766602</v>
      </c>
      <c r="W18" s="535">
        <f t="shared" si="117"/>
        <v>0</v>
      </c>
      <c r="X18" s="533"/>
      <c r="Y18" s="534">
        <f t="shared" si="6"/>
        <v>0</v>
      </c>
      <c r="Z18" s="535">
        <f t="shared" si="118"/>
        <v>0</v>
      </c>
      <c r="AA18" s="533"/>
      <c r="AB18" s="534">
        <f t="shared" si="7"/>
        <v>0</v>
      </c>
      <c r="AC18" s="535">
        <f t="shared" si="119"/>
        <v>0</v>
      </c>
      <c r="AD18" s="533"/>
      <c r="AE18" s="534">
        <f t="shared" si="8"/>
        <v>0</v>
      </c>
      <c r="AF18" s="535">
        <f t="shared" si="120"/>
        <v>0</v>
      </c>
      <c r="AG18" s="533"/>
      <c r="AH18" s="534">
        <f t="shared" si="9"/>
        <v>0</v>
      </c>
      <c r="AI18" s="535">
        <f t="shared" si="121"/>
        <v>0</v>
      </c>
      <c r="AJ18" s="533">
        <v>0</v>
      </c>
      <c r="AK18" s="534">
        <f t="shared" si="10"/>
        <v>0</v>
      </c>
      <c r="AL18" s="535">
        <f t="shared" si="122"/>
        <v>0</v>
      </c>
      <c r="AM18" s="533">
        <v>28.910256410256409</v>
      </c>
      <c r="AN18" s="534">
        <f t="shared" si="11"/>
        <v>0.66636525089907594</v>
      </c>
      <c r="AO18" s="535">
        <f t="shared" si="123"/>
        <v>0</v>
      </c>
      <c r="AP18" s="533">
        <v>5.699605063291159</v>
      </c>
      <c r="AQ18" s="534">
        <f t="shared" si="12"/>
        <v>0.13137271092062139</v>
      </c>
      <c r="AR18" s="535">
        <f t="shared" si="124"/>
        <v>0</v>
      </c>
      <c r="AS18" s="533"/>
      <c r="AT18" s="534">
        <f t="shared" si="13"/>
        <v>0</v>
      </c>
      <c r="AU18" s="535">
        <f t="shared" si="125"/>
        <v>0</v>
      </c>
      <c r="AV18" s="533">
        <v>2.7734999999999275</v>
      </c>
      <c r="AW18" s="534">
        <f t="shared" si="14"/>
        <v>6.3927624755098014E-2</v>
      </c>
      <c r="AX18" s="535">
        <f t="shared" si="126"/>
        <v>0</v>
      </c>
      <c r="AY18" s="533">
        <v>51.329733333333309</v>
      </c>
      <c r="AZ18" s="534">
        <f t="shared" si="15"/>
        <v>1.1831216626330139</v>
      </c>
      <c r="BA18" s="535">
        <f t="shared" si="127"/>
        <v>0</v>
      </c>
      <c r="BB18" s="533">
        <v>0</v>
      </c>
      <c r="BC18" s="534">
        <f t="shared" si="16"/>
        <v>0</v>
      </c>
      <c r="BD18" s="535">
        <f t="shared" si="128"/>
        <v>0</v>
      </c>
      <c r="BE18" s="533"/>
      <c r="BF18" s="534">
        <f t="shared" si="17"/>
        <v>0</v>
      </c>
      <c r="BG18" s="535">
        <f t="shared" si="129"/>
        <v>0</v>
      </c>
      <c r="BH18" s="533"/>
      <c r="BI18" s="534">
        <f t="shared" si="18"/>
        <v>0</v>
      </c>
      <c r="BJ18" s="535">
        <f t="shared" si="130"/>
        <v>0</v>
      </c>
      <c r="BK18" s="533"/>
      <c r="BL18" s="534">
        <f t="shared" si="19"/>
        <v>0</v>
      </c>
      <c r="BM18" s="535">
        <f t="shared" si="131"/>
        <v>0</v>
      </c>
      <c r="BN18" s="533">
        <v>10.118911111111117</v>
      </c>
      <c r="BO18" s="534">
        <f t="shared" si="20"/>
        <v>0.23323524515641622</v>
      </c>
      <c r="BP18" s="535">
        <f t="shared" si="132"/>
        <v>0</v>
      </c>
      <c r="BQ18" s="533">
        <v>0</v>
      </c>
      <c r="BR18" s="534">
        <f t="shared" si="21"/>
        <v>0</v>
      </c>
      <c r="BS18" s="535">
        <f t="shared" si="133"/>
        <v>0</v>
      </c>
      <c r="BT18" s="533"/>
      <c r="BU18" s="534">
        <f t="shared" si="22"/>
        <v>0</v>
      </c>
      <c r="BV18" s="535">
        <f t="shared" si="134"/>
        <v>0</v>
      </c>
      <c r="BW18" s="533">
        <v>0</v>
      </c>
      <c r="BX18" s="534">
        <f t="shared" si="23"/>
        <v>0</v>
      </c>
      <c r="BY18" s="535">
        <f t="shared" si="135"/>
        <v>0</v>
      </c>
      <c r="BZ18" s="533"/>
      <c r="CA18" s="534">
        <f t="shared" si="24"/>
        <v>0</v>
      </c>
      <c r="CB18" s="535">
        <f t="shared" si="136"/>
        <v>0</v>
      </c>
      <c r="CC18" s="533">
        <v>0</v>
      </c>
      <c r="CD18" s="534">
        <f t="shared" si="25"/>
        <v>0</v>
      </c>
      <c r="CE18" s="535">
        <f t="shared" si="137"/>
        <v>0</v>
      </c>
      <c r="CF18" s="533">
        <v>9.9999999999999978E-2</v>
      </c>
      <c r="CG18" s="534">
        <f t="shared" si="26"/>
        <v>2.304944105105451E-3</v>
      </c>
      <c r="CH18" s="535">
        <f t="shared" si="138"/>
        <v>0</v>
      </c>
      <c r="CI18" s="533"/>
      <c r="CJ18" s="534">
        <f t="shared" si="27"/>
        <v>0</v>
      </c>
      <c r="CK18" s="535">
        <f t="shared" si="139"/>
        <v>0</v>
      </c>
      <c r="CL18" s="533"/>
      <c r="CM18" s="534">
        <f t="shared" si="28"/>
        <v>0</v>
      </c>
      <c r="CN18" s="535">
        <f t="shared" si="140"/>
        <v>0</v>
      </c>
      <c r="CO18" s="533"/>
      <c r="CP18" s="534">
        <f t="shared" si="29"/>
        <v>0</v>
      </c>
      <c r="CQ18" s="535">
        <f t="shared" si="141"/>
        <v>0</v>
      </c>
      <c r="CR18" s="533"/>
      <c r="CS18" s="534">
        <f t="shared" si="30"/>
        <v>0</v>
      </c>
      <c r="CT18" s="535">
        <f t="shared" si="142"/>
        <v>0</v>
      </c>
      <c r="CU18" s="533"/>
      <c r="CV18" s="534">
        <f t="shared" si="31"/>
        <v>0</v>
      </c>
      <c r="CW18" s="535">
        <f t="shared" si="143"/>
        <v>0</v>
      </c>
      <c r="CX18" s="533"/>
      <c r="CY18" s="534">
        <f t="shared" si="32"/>
        <v>0</v>
      </c>
      <c r="CZ18" s="535">
        <f t="shared" si="144"/>
        <v>0</v>
      </c>
      <c r="DA18" s="533"/>
      <c r="DB18" s="534">
        <f t="shared" si="33"/>
        <v>0</v>
      </c>
      <c r="DC18" s="535">
        <f t="shared" si="145"/>
        <v>0</v>
      </c>
      <c r="DD18" s="533"/>
      <c r="DE18" s="534">
        <f t="shared" si="34"/>
        <v>0</v>
      </c>
      <c r="DF18" s="535">
        <f t="shared" si="146"/>
        <v>0</v>
      </c>
      <c r="DG18" s="533">
        <v>0</v>
      </c>
      <c r="DH18" s="534">
        <f t="shared" si="35"/>
        <v>0</v>
      </c>
      <c r="DI18" s="535">
        <f t="shared" si="203"/>
        <v>0</v>
      </c>
      <c r="DJ18" s="533"/>
      <c r="DK18" s="534">
        <f t="shared" si="36"/>
        <v>0</v>
      </c>
      <c r="DL18" s="535">
        <f t="shared" si="147"/>
        <v>0</v>
      </c>
      <c r="DM18" s="533"/>
      <c r="DN18" s="534">
        <f t="shared" si="37"/>
        <v>0</v>
      </c>
      <c r="DO18" s="535">
        <f t="shared" si="148"/>
        <v>0</v>
      </c>
      <c r="DP18" s="533"/>
      <c r="DQ18" s="534">
        <f t="shared" si="38"/>
        <v>0</v>
      </c>
      <c r="DR18" s="535">
        <f t="shared" si="149"/>
        <v>0</v>
      </c>
      <c r="DS18" s="533"/>
      <c r="DT18" s="534">
        <f t="shared" si="39"/>
        <v>0</v>
      </c>
      <c r="DU18" s="535">
        <f t="shared" si="150"/>
        <v>0</v>
      </c>
      <c r="DV18" s="533"/>
      <c r="DW18" s="534">
        <f t="shared" si="40"/>
        <v>0</v>
      </c>
      <c r="DX18" s="535">
        <f t="shared" si="151"/>
        <v>0</v>
      </c>
      <c r="DY18" s="533"/>
      <c r="DZ18" s="534">
        <f t="shared" si="41"/>
        <v>0</v>
      </c>
      <c r="EA18" s="535">
        <f t="shared" si="152"/>
        <v>0</v>
      </c>
      <c r="EB18" s="533">
        <v>14.536455813953467</v>
      </c>
      <c r="EC18" s="534">
        <f t="shared" si="42"/>
        <v>0.33505718137497909</v>
      </c>
      <c r="ED18" s="535">
        <f t="shared" si="153"/>
        <v>0</v>
      </c>
      <c r="EE18" s="533">
        <v>1</v>
      </c>
      <c r="EF18" s="534">
        <f t="shared" si="43"/>
        <v>2.3049441051054512E-2</v>
      </c>
      <c r="EG18" s="535">
        <f t="shared" si="154"/>
        <v>0</v>
      </c>
      <c r="EH18" s="533"/>
      <c r="EI18" s="534">
        <f t="shared" si="44"/>
        <v>0</v>
      </c>
      <c r="EJ18" s="535">
        <f t="shared" si="155"/>
        <v>0</v>
      </c>
      <c r="EK18" s="533"/>
      <c r="EL18" s="534">
        <f t="shared" si="45"/>
        <v>0</v>
      </c>
      <c r="EM18" s="535">
        <f t="shared" si="156"/>
        <v>0</v>
      </c>
      <c r="EN18" s="533"/>
      <c r="EO18" s="534">
        <f t="shared" si="46"/>
        <v>0</v>
      </c>
      <c r="EP18" s="535">
        <f t="shared" si="157"/>
        <v>0</v>
      </c>
      <c r="EQ18" s="533"/>
      <c r="ER18" s="534">
        <f t="shared" si="47"/>
        <v>0</v>
      </c>
      <c r="ES18" s="535">
        <f t="shared" si="158"/>
        <v>0</v>
      </c>
      <c r="ET18" s="533"/>
      <c r="EU18" s="534">
        <f t="shared" si="48"/>
        <v>0</v>
      </c>
      <c r="EV18" s="535">
        <f t="shared" si="159"/>
        <v>0</v>
      </c>
      <c r="EW18" s="533"/>
      <c r="EX18" s="534">
        <f t="shared" si="49"/>
        <v>0</v>
      </c>
      <c r="EY18" s="535">
        <f t="shared" si="160"/>
        <v>0</v>
      </c>
      <c r="EZ18" s="533"/>
      <c r="FA18" s="534">
        <f t="shared" si="50"/>
        <v>0</v>
      </c>
      <c r="FB18" s="535">
        <f t="shared" si="161"/>
        <v>0</v>
      </c>
      <c r="FC18" s="533"/>
      <c r="FD18" s="534">
        <f t="shared" si="51"/>
        <v>0</v>
      </c>
      <c r="FE18" s="535">
        <f t="shared" si="162"/>
        <v>0</v>
      </c>
      <c r="FF18" s="533"/>
      <c r="FG18" s="534">
        <f t="shared" si="52"/>
        <v>0</v>
      </c>
      <c r="FH18" s="535">
        <f t="shared" si="163"/>
        <v>0</v>
      </c>
      <c r="FI18" s="533"/>
      <c r="FJ18" s="534">
        <f t="shared" si="53"/>
        <v>0</v>
      </c>
      <c r="FK18" s="535">
        <f t="shared" si="164"/>
        <v>0</v>
      </c>
      <c r="FL18" s="533"/>
      <c r="FM18" s="534">
        <f t="shared" si="54"/>
        <v>0</v>
      </c>
      <c r="FN18" s="535">
        <f t="shared" si="165"/>
        <v>0</v>
      </c>
      <c r="FO18" s="533"/>
      <c r="FP18" s="534">
        <f t="shared" si="55"/>
        <v>0</v>
      </c>
      <c r="FQ18" s="535">
        <f t="shared" si="166"/>
        <v>0</v>
      </c>
      <c r="FR18" s="533"/>
      <c r="FS18" s="534">
        <f t="shared" si="56"/>
        <v>0</v>
      </c>
      <c r="FT18" s="535">
        <f t="shared" si="167"/>
        <v>0</v>
      </c>
      <c r="FU18" s="533"/>
      <c r="FV18" s="534">
        <f t="shared" si="57"/>
        <v>0</v>
      </c>
      <c r="FW18" s="535">
        <f t="shared" si="168"/>
        <v>0</v>
      </c>
      <c r="FX18" s="533"/>
      <c r="FY18" s="534">
        <f t="shared" si="58"/>
        <v>0</v>
      </c>
      <c r="FZ18" s="535">
        <f t="shared" si="169"/>
        <v>0</v>
      </c>
      <c r="GA18" s="533"/>
      <c r="GB18" s="534">
        <f t="shared" si="59"/>
        <v>0</v>
      </c>
      <c r="GC18" s="535">
        <f t="shared" si="170"/>
        <v>0</v>
      </c>
      <c r="GD18" s="533"/>
      <c r="GE18" s="534">
        <f t="shared" si="60"/>
        <v>0</v>
      </c>
      <c r="GF18" s="535">
        <f t="shared" si="171"/>
        <v>0</v>
      </c>
      <c r="GG18" s="533"/>
      <c r="GH18" s="534">
        <f t="shared" si="61"/>
        <v>0</v>
      </c>
      <c r="GI18" s="535">
        <f t="shared" si="172"/>
        <v>0</v>
      </c>
      <c r="GJ18" s="533"/>
      <c r="GK18" s="534">
        <f t="shared" si="62"/>
        <v>0</v>
      </c>
      <c r="GL18" s="535">
        <f t="shared" si="173"/>
        <v>0</v>
      </c>
      <c r="GM18" s="533"/>
      <c r="GN18" s="534">
        <f t="shared" si="63"/>
        <v>0</v>
      </c>
      <c r="GO18" s="535">
        <f t="shared" si="174"/>
        <v>0</v>
      </c>
      <c r="GP18" s="533"/>
      <c r="GQ18" s="534">
        <f t="shared" si="64"/>
        <v>0</v>
      </c>
      <c r="GR18" s="535">
        <f t="shared" si="175"/>
        <v>0</v>
      </c>
      <c r="GS18" s="533"/>
      <c r="GT18" s="534">
        <f t="shared" si="65"/>
        <v>0</v>
      </c>
      <c r="GU18" s="535">
        <f t="shared" si="176"/>
        <v>0</v>
      </c>
      <c r="GV18" s="533"/>
      <c r="GW18" s="534">
        <f t="shared" si="66"/>
        <v>0</v>
      </c>
      <c r="GX18" s="535">
        <f t="shared" si="177"/>
        <v>0</v>
      </c>
      <c r="GY18" s="533"/>
      <c r="GZ18" s="534">
        <f t="shared" si="67"/>
        <v>0</v>
      </c>
      <c r="HA18" s="535">
        <f t="shared" si="178"/>
        <v>0</v>
      </c>
      <c r="HB18" s="533"/>
      <c r="HC18" s="534">
        <f t="shared" si="68"/>
        <v>0</v>
      </c>
      <c r="HD18" s="535">
        <f t="shared" si="179"/>
        <v>0</v>
      </c>
      <c r="HE18" s="533"/>
      <c r="HF18" s="534">
        <f t="shared" si="69"/>
        <v>0</v>
      </c>
      <c r="HG18" s="535">
        <f t="shared" si="180"/>
        <v>0</v>
      </c>
      <c r="HH18" s="533"/>
      <c r="HI18" s="534">
        <f t="shared" si="70"/>
        <v>0</v>
      </c>
      <c r="HJ18" s="535">
        <f t="shared" si="181"/>
        <v>0</v>
      </c>
      <c r="HK18" s="533"/>
      <c r="HL18" s="534">
        <f t="shared" si="71"/>
        <v>0</v>
      </c>
      <c r="HM18" s="535">
        <f t="shared" si="182"/>
        <v>0</v>
      </c>
      <c r="HN18" s="533"/>
      <c r="HO18" s="534">
        <f t="shared" si="72"/>
        <v>0</v>
      </c>
      <c r="HP18" s="535">
        <f t="shared" si="183"/>
        <v>0</v>
      </c>
      <c r="HQ18" s="533"/>
      <c r="HR18" s="534">
        <f t="shared" si="73"/>
        <v>0</v>
      </c>
      <c r="HS18" s="535">
        <f t="shared" si="184"/>
        <v>0</v>
      </c>
      <c r="HT18" s="533"/>
      <c r="HU18" s="534">
        <f t="shared" si="74"/>
        <v>0</v>
      </c>
      <c r="HV18" s="535">
        <f t="shared" si="185"/>
        <v>0</v>
      </c>
      <c r="HW18" s="533"/>
      <c r="HX18" s="534">
        <f t="shared" si="75"/>
        <v>0</v>
      </c>
      <c r="HY18" s="535">
        <f t="shared" si="186"/>
        <v>0</v>
      </c>
      <c r="HZ18" s="533"/>
      <c r="IA18" s="534">
        <f t="shared" si="76"/>
        <v>0</v>
      </c>
      <c r="IB18" s="535">
        <f t="shared" si="187"/>
        <v>0</v>
      </c>
      <c r="IC18" s="533"/>
      <c r="ID18" s="534">
        <f t="shared" si="77"/>
        <v>0</v>
      </c>
      <c r="IE18" s="535">
        <f t="shared" si="188"/>
        <v>0</v>
      </c>
      <c r="IF18" s="533"/>
      <c r="IG18" s="534">
        <f t="shared" si="78"/>
        <v>0</v>
      </c>
      <c r="IH18" s="535">
        <f t="shared" si="189"/>
        <v>0</v>
      </c>
      <c r="II18" s="533"/>
      <c r="IJ18" s="534">
        <f t="shared" si="79"/>
        <v>0</v>
      </c>
      <c r="IK18" s="535">
        <f t="shared" si="190"/>
        <v>0</v>
      </c>
      <c r="IL18" s="533"/>
      <c r="IM18" s="534">
        <f t="shared" si="80"/>
        <v>0</v>
      </c>
      <c r="IN18" s="535">
        <f t="shared" si="191"/>
        <v>0</v>
      </c>
      <c r="IO18" s="533"/>
      <c r="IP18" s="534">
        <f t="shared" si="81"/>
        <v>0</v>
      </c>
      <c r="IQ18" s="535">
        <f t="shared" si="192"/>
        <v>0</v>
      </c>
      <c r="IR18" s="533"/>
      <c r="IS18" s="534">
        <f t="shared" si="82"/>
        <v>0</v>
      </c>
      <c r="IT18" s="535">
        <f t="shared" si="193"/>
        <v>0</v>
      </c>
      <c r="IU18" s="533"/>
      <c r="IV18" s="534">
        <f t="shared" si="83"/>
        <v>0</v>
      </c>
      <c r="IW18" s="535">
        <f t="shared" si="194"/>
        <v>0</v>
      </c>
      <c r="IX18" s="533"/>
      <c r="IY18" s="534">
        <f t="shared" si="84"/>
        <v>0</v>
      </c>
      <c r="IZ18" s="535">
        <f t="shared" si="195"/>
        <v>0</v>
      </c>
      <c r="JA18" s="533"/>
      <c r="JB18" s="534">
        <f t="shared" si="85"/>
        <v>0</v>
      </c>
      <c r="JC18" s="535">
        <f t="shared" si="196"/>
        <v>0</v>
      </c>
      <c r="JD18" s="533"/>
      <c r="JE18" s="534">
        <f t="shared" si="86"/>
        <v>0</v>
      </c>
      <c r="JF18" s="535">
        <f t="shared" si="197"/>
        <v>0</v>
      </c>
      <c r="JG18" s="533"/>
      <c r="JH18" s="534">
        <f t="shared" si="87"/>
        <v>0</v>
      </c>
      <c r="JI18" s="535">
        <f t="shared" si="198"/>
        <v>0</v>
      </c>
      <c r="JJ18" s="533"/>
      <c r="JK18" s="535" t="str">
        <f t="shared" si="88"/>
        <v>0</v>
      </c>
      <c r="JL18" s="535" t="str">
        <f t="shared" si="89"/>
        <v>0</v>
      </c>
      <c r="JM18" s="533"/>
      <c r="JN18" s="535" t="str">
        <f t="shared" si="90"/>
        <v>0</v>
      </c>
      <c r="JO18" s="535" t="str">
        <f t="shared" si="91"/>
        <v>0</v>
      </c>
      <c r="JP18" s="533"/>
      <c r="JQ18" s="535" t="str">
        <f t="shared" si="92"/>
        <v>0</v>
      </c>
      <c r="JR18" s="535" t="str">
        <f t="shared" si="93"/>
        <v>0</v>
      </c>
      <c r="JS18" s="533"/>
      <c r="JT18" s="535" t="str">
        <f t="shared" si="94"/>
        <v>0</v>
      </c>
      <c r="JU18" s="535" t="str">
        <f t="shared" si="95"/>
        <v>0</v>
      </c>
      <c r="JV18" s="533"/>
      <c r="JW18" s="535" t="str">
        <f t="shared" si="96"/>
        <v>0</v>
      </c>
      <c r="JX18" s="535" t="str">
        <f t="shared" si="97"/>
        <v>0</v>
      </c>
      <c r="JY18" s="533"/>
      <c r="JZ18" s="535" t="str">
        <f t="shared" si="98"/>
        <v>0</v>
      </c>
      <c r="KA18" s="535" t="str">
        <f t="shared" si="99"/>
        <v>0</v>
      </c>
      <c r="KB18" s="533"/>
      <c r="KC18" s="535" t="str">
        <f t="shared" si="100"/>
        <v>0</v>
      </c>
      <c r="KD18" s="535" t="str">
        <f t="shared" si="101"/>
        <v>0</v>
      </c>
      <c r="KE18" s="533"/>
      <c r="KF18" s="535" t="str">
        <f t="shared" si="102"/>
        <v>0</v>
      </c>
      <c r="KG18" s="535" t="str">
        <f t="shared" si="103"/>
        <v>0</v>
      </c>
      <c r="KH18" s="533"/>
      <c r="KI18" s="535" t="str">
        <f t="shared" si="104"/>
        <v>0</v>
      </c>
      <c r="KJ18" s="535" t="str">
        <f t="shared" si="105"/>
        <v>0</v>
      </c>
      <c r="KK18" s="533"/>
      <c r="KL18" s="535" t="str">
        <f t="shared" si="106"/>
        <v>0</v>
      </c>
      <c r="KM18" s="535" t="str">
        <f t="shared" si="107"/>
        <v>0</v>
      </c>
      <c r="KN18" s="533"/>
      <c r="KO18" s="535" t="str">
        <f t="shared" si="108"/>
        <v>0</v>
      </c>
      <c r="KP18" s="535" t="str">
        <f t="shared" si="109"/>
        <v>0</v>
      </c>
      <c r="KQ18" s="533"/>
      <c r="KR18" s="535" t="str">
        <f t="shared" si="110"/>
        <v>0</v>
      </c>
      <c r="KS18" s="535" t="str">
        <f t="shared" si="111"/>
        <v>0</v>
      </c>
      <c r="KT18" s="535">
        <f t="shared" si="201"/>
        <v>0</v>
      </c>
      <c r="KU18" s="535">
        <f t="shared" si="202"/>
        <v>0</v>
      </c>
      <c r="KV18" s="272">
        <f t="shared" si="199"/>
        <v>765.05930359241074</v>
      </c>
    </row>
    <row r="19" spans="1:309" ht="15" customHeight="1">
      <c r="A19" s="274">
        <f t="shared" si="200"/>
        <v>45972</v>
      </c>
      <c r="B19" s="275" t="str">
        <f>+Report1!B19</f>
        <v>Sanitary Napkin</v>
      </c>
      <c r="C19" s="415" t="str">
        <f>+Report1!C19</f>
        <v>13</v>
      </c>
      <c r="D19" s="276">
        <f>+Report1!P19</f>
        <v>53.982999999999997</v>
      </c>
      <c r="E19" s="277">
        <f>+Report1!R19</f>
        <v>51.335000000000001</v>
      </c>
      <c r="F19" s="533">
        <v>313.95348837209303</v>
      </c>
      <c r="G19" s="534">
        <f t="shared" si="0"/>
        <v>6.1157784819731766</v>
      </c>
      <c r="H19" s="535">
        <f t="shared" si="112"/>
        <v>0</v>
      </c>
      <c r="I19" s="533">
        <v>348.83720930232539</v>
      </c>
      <c r="J19" s="534">
        <f t="shared" si="1"/>
        <v>6.7953094244146373</v>
      </c>
      <c r="K19" s="535">
        <f t="shared" si="113"/>
        <v>0</v>
      </c>
      <c r="L19" s="533"/>
      <c r="M19" s="534">
        <f t="shared" si="2"/>
        <v>0</v>
      </c>
      <c r="N19" s="535">
        <f t="shared" si="114"/>
        <v>0</v>
      </c>
      <c r="O19" s="533">
        <v>9</v>
      </c>
      <c r="P19" s="534">
        <f t="shared" si="3"/>
        <v>0.17531898314989772</v>
      </c>
      <c r="Q19" s="535">
        <f t="shared" si="115"/>
        <v>0</v>
      </c>
      <c r="R19" s="533"/>
      <c r="S19" s="534">
        <f t="shared" si="4"/>
        <v>0</v>
      </c>
      <c r="T19" s="535">
        <f t="shared" si="116"/>
        <v>0</v>
      </c>
      <c r="U19" s="533">
        <v>5.1250000000000142</v>
      </c>
      <c r="V19" s="534">
        <f t="shared" si="5"/>
        <v>9.9834420960358702E-2</v>
      </c>
      <c r="W19" s="535">
        <f t="shared" si="117"/>
        <v>0</v>
      </c>
      <c r="X19" s="533"/>
      <c r="Y19" s="534">
        <f t="shared" si="6"/>
        <v>0</v>
      </c>
      <c r="Z19" s="535">
        <f t="shared" si="118"/>
        <v>0</v>
      </c>
      <c r="AA19" s="533"/>
      <c r="AB19" s="534">
        <f t="shared" si="7"/>
        <v>0</v>
      </c>
      <c r="AC19" s="535">
        <f t="shared" si="119"/>
        <v>0</v>
      </c>
      <c r="AD19" s="533"/>
      <c r="AE19" s="534">
        <f t="shared" si="8"/>
        <v>0</v>
      </c>
      <c r="AF19" s="535">
        <f t="shared" si="120"/>
        <v>0</v>
      </c>
      <c r="AG19" s="533"/>
      <c r="AH19" s="534">
        <f t="shared" si="9"/>
        <v>0</v>
      </c>
      <c r="AI19" s="535">
        <f t="shared" si="121"/>
        <v>0</v>
      </c>
      <c r="AJ19" s="533">
        <v>0</v>
      </c>
      <c r="AK19" s="534">
        <f t="shared" si="10"/>
        <v>0</v>
      </c>
      <c r="AL19" s="535">
        <f t="shared" si="122"/>
        <v>0</v>
      </c>
      <c r="AM19" s="533">
        <v>34.166666666666686</v>
      </c>
      <c r="AN19" s="534">
        <f t="shared" si="11"/>
        <v>0.66556280640238985</v>
      </c>
      <c r="AO19" s="535">
        <f t="shared" si="123"/>
        <v>0</v>
      </c>
      <c r="AP19" s="533">
        <v>0</v>
      </c>
      <c r="AQ19" s="534">
        <f t="shared" si="12"/>
        <v>0</v>
      </c>
      <c r="AR19" s="535">
        <f t="shared" si="124"/>
        <v>0</v>
      </c>
      <c r="AS19" s="533"/>
      <c r="AT19" s="534">
        <f t="shared" si="13"/>
        <v>0</v>
      </c>
      <c r="AU19" s="535">
        <f t="shared" si="125"/>
        <v>0</v>
      </c>
      <c r="AV19" s="533">
        <v>5.5499999999999829</v>
      </c>
      <c r="AW19" s="534">
        <f t="shared" si="14"/>
        <v>0.1081133729424366</v>
      </c>
      <c r="AX19" s="535">
        <f t="shared" si="126"/>
        <v>0</v>
      </c>
      <c r="AY19" s="533">
        <v>67.666666666666714</v>
      </c>
      <c r="AZ19" s="534">
        <f t="shared" si="15"/>
        <v>1.318139021460343</v>
      </c>
      <c r="BA19" s="535">
        <f t="shared" si="127"/>
        <v>0</v>
      </c>
      <c r="BB19" s="533">
        <v>0</v>
      </c>
      <c r="BC19" s="534">
        <f t="shared" si="16"/>
        <v>0</v>
      </c>
      <c r="BD19" s="535">
        <f t="shared" si="128"/>
        <v>0</v>
      </c>
      <c r="BE19" s="533"/>
      <c r="BF19" s="534">
        <f t="shared" si="17"/>
        <v>0</v>
      </c>
      <c r="BG19" s="535">
        <f t="shared" si="129"/>
        <v>0</v>
      </c>
      <c r="BH19" s="533"/>
      <c r="BI19" s="534">
        <f t="shared" si="18"/>
        <v>0</v>
      </c>
      <c r="BJ19" s="535">
        <f t="shared" si="130"/>
        <v>0</v>
      </c>
      <c r="BK19" s="533"/>
      <c r="BL19" s="534">
        <f t="shared" si="19"/>
        <v>0</v>
      </c>
      <c r="BM19" s="535">
        <f t="shared" si="131"/>
        <v>0</v>
      </c>
      <c r="BN19" s="533">
        <v>10.123456790123441</v>
      </c>
      <c r="BO19" s="534">
        <f t="shared" si="20"/>
        <v>0.1972037944895966</v>
      </c>
      <c r="BP19" s="535">
        <f t="shared" si="132"/>
        <v>0</v>
      </c>
      <c r="BQ19" s="533">
        <v>0</v>
      </c>
      <c r="BR19" s="534">
        <f t="shared" si="21"/>
        <v>0</v>
      </c>
      <c r="BS19" s="535">
        <f t="shared" si="133"/>
        <v>0</v>
      </c>
      <c r="BT19" s="533"/>
      <c r="BU19" s="534">
        <f t="shared" si="22"/>
        <v>0</v>
      </c>
      <c r="BV19" s="535">
        <f t="shared" si="134"/>
        <v>0</v>
      </c>
      <c r="BW19" s="533">
        <v>0</v>
      </c>
      <c r="BX19" s="534">
        <f t="shared" si="23"/>
        <v>0</v>
      </c>
      <c r="BY19" s="535">
        <f t="shared" si="135"/>
        <v>0</v>
      </c>
      <c r="BZ19" s="533"/>
      <c r="CA19" s="534">
        <f t="shared" si="24"/>
        <v>0</v>
      </c>
      <c r="CB19" s="535">
        <f t="shared" si="136"/>
        <v>0</v>
      </c>
      <c r="CC19" s="533">
        <v>0</v>
      </c>
      <c r="CD19" s="534">
        <f t="shared" si="25"/>
        <v>0</v>
      </c>
      <c r="CE19" s="535">
        <f t="shared" si="137"/>
        <v>0</v>
      </c>
      <c r="CF19" s="533">
        <v>0.10000000000000003</v>
      </c>
      <c r="CG19" s="534">
        <f t="shared" si="26"/>
        <v>1.9479887016655309E-3</v>
      </c>
      <c r="CH19" s="535">
        <f t="shared" si="138"/>
        <v>0</v>
      </c>
      <c r="CI19" s="533"/>
      <c r="CJ19" s="534">
        <f t="shared" si="27"/>
        <v>0</v>
      </c>
      <c r="CK19" s="535">
        <f t="shared" si="139"/>
        <v>0</v>
      </c>
      <c r="CL19" s="533"/>
      <c r="CM19" s="534">
        <f t="shared" si="28"/>
        <v>0</v>
      </c>
      <c r="CN19" s="535">
        <f t="shared" si="140"/>
        <v>0</v>
      </c>
      <c r="CO19" s="533"/>
      <c r="CP19" s="534">
        <f t="shared" si="29"/>
        <v>0</v>
      </c>
      <c r="CQ19" s="535">
        <f t="shared" si="141"/>
        <v>0</v>
      </c>
      <c r="CR19" s="533"/>
      <c r="CS19" s="534">
        <f t="shared" si="30"/>
        <v>0</v>
      </c>
      <c r="CT19" s="535">
        <f t="shared" si="142"/>
        <v>0</v>
      </c>
      <c r="CU19" s="533"/>
      <c r="CV19" s="534">
        <f t="shared" si="31"/>
        <v>0</v>
      </c>
      <c r="CW19" s="535">
        <f t="shared" si="143"/>
        <v>0</v>
      </c>
      <c r="CX19" s="533"/>
      <c r="CY19" s="534">
        <f t="shared" si="32"/>
        <v>0</v>
      </c>
      <c r="CZ19" s="535">
        <f t="shared" si="144"/>
        <v>0</v>
      </c>
      <c r="DA19" s="533"/>
      <c r="DB19" s="534">
        <f t="shared" si="33"/>
        <v>0</v>
      </c>
      <c r="DC19" s="535">
        <f t="shared" si="145"/>
        <v>0</v>
      </c>
      <c r="DD19" s="533"/>
      <c r="DE19" s="534">
        <f t="shared" si="34"/>
        <v>0</v>
      </c>
      <c r="DF19" s="535">
        <f t="shared" si="146"/>
        <v>0</v>
      </c>
      <c r="DG19" s="533">
        <v>0</v>
      </c>
      <c r="DH19" s="534">
        <f t="shared" si="35"/>
        <v>0</v>
      </c>
      <c r="DI19" s="535">
        <f t="shared" si="203"/>
        <v>0</v>
      </c>
      <c r="DJ19" s="533"/>
      <c r="DK19" s="534">
        <f t="shared" si="36"/>
        <v>0</v>
      </c>
      <c r="DL19" s="535">
        <f t="shared" si="147"/>
        <v>0</v>
      </c>
      <c r="DM19" s="533"/>
      <c r="DN19" s="534">
        <f t="shared" si="37"/>
        <v>0</v>
      </c>
      <c r="DO19" s="535">
        <f t="shared" si="148"/>
        <v>0</v>
      </c>
      <c r="DP19" s="533"/>
      <c r="DQ19" s="534">
        <f t="shared" si="38"/>
        <v>0</v>
      </c>
      <c r="DR19" s="535">
        <f t="shared" si="149"/>
        <v>0</v>
      </c>
      <c r="DS19" s="533"/>
      <c r="DT19" s="534">
        <f t="shared" si="39"/>
        <v>0</v>
      </c>
      <c r="DU19" s="535">
        <f t="shared" si="150"/>
        <v>0</v>
      </c>
      <c r="DV19" s="533"/>
      <c r="DW19" s="534">
        <f t="shared" si="40"/>
        <v>0</v>
      </c>
      <c r="DX19" s="535">
        <f t="shared" si="151"/>
        <v>0</v>
      </c>
      <c r="DY19" s="533"/>
      <c r="DZ19" s="534">
        <f t="shared" si="41"/>
        <v>0</v>
      </c>
      <c r="EA19" s="535">
        <f t="shared" si="152"/>
        <v>0</v>
      </c>
      <c r="EB19" s="533">
        <v>14.534883720930225</v>
      </c>
      <c r="EC19" s="534">
        <f t="shared" si="42"/>
        <v>0.28313789268394318</v>
      </c>
      <c r="ED19" s="535">
        <f t="shared" si="153"/>
        <v>0</v>
      </c>
      <c r="EE19" s="533">
        <v>1</v>
      </c>
      <c r="EF19" s="534">
        <f t="shared" si="43"/>
        <v>1.9479887016655303E-2</v>
      </c>
      <c r="EG19" s="535">
        <f t="shared" si="154"/>
        <v>0</v>
      </c>
      <c r="EH19" s="533"/>
      <c r="EI19" s="534">
        <f t="shared" si="44"/>
        <v>0</v>
      </c>
      <c r="EJ19" s="535">
        <f t="shared" si="155"/>
        <v>0</v>
      </c>
      <c r="EK19" s="533"/>
      <c r="EL19" s="534">
        <f t="shared" si="45"/>
        <v>0</v>
      </c>
      <c r="EM19" s="535">
        <f t="shared" si="156"/>
        <v>0</v>
      </c>
      <c r="EN19" s="533"/>
      <c r="EO19" s="534">
        <f t="shared" si="46"/>
        <v>0</v>
      </c>
      <c r="EP19" s="535">
        <f t="shared" si="157"/>
        <v>0</v>
      </c>
      <c r="EQ19" s="533"/>
      <c r="ER19" s="534">
        <f t="shared" si="47"/>
        <v>0</v>
      </c>
      <c r="ES19" s="535">
        <f t="shared" si="158"/>
        <v>0</v>
      </c>
      <c r="ET19" s="533"/>
      <c r="EU19" s="534">
        <f t="shared" si="48"/>
        <v>0</v>
      </c>
      <c r="EV19" s="535">
        <f t="shared" si="159"/>
        <v>0</v>
      </c>
      <c r="EW19" s="533"/>
      <c r="EX19" s="534">
        <f t="shared" si="49"/>
        <v>0</v>
      </c>
      <c r="EY19" s="535">
        <f t="shared" si="160"/>
        <v>0</v>
      </c>
      <c r="EZ19" s="533"/>
      <c r="FA19" s="534">
        <f t="shared" si="50"/>
        <v>0</v>
      </c>
      <c r="FB19" s="535">
        <f t="shared" si="161"/>
        <v>0</v>
      </c>
      <c r="FC19" s="533"/>
      <c r="FD19" s="534">
        <f t="shared" si="51"/>
        <v>0</v>
      </c>
      <c r="FE19" s="535">
        <f t="shared" si="162"/>
        <v>0</v>
      </c>
      <c r="FF19" s="533"/>
      <c r="FG19" s="534">
        <f t="shared" si="52"/>
        <v>0</v>
      </c>
      <c r="FH19" s="535">
        <f t="shared" si="163"/>
        <v>0</v>
      </c>
      <c r="FI19" s="533"/>
      <c r="FJ19" s="534">
        <f t="shared" si="53"/>
        <v>0</v>
      </c>
      <c r="FK19" s="535">
        <f t="shared" si="164"/>
        <v>0</v>
      </c>
      <c r="FL19" s="533"/>
      <c r="FM19" s="534">
        <f t="shared" si="54"/>
        <v>0</v>
      </c>
      <c r="FN19" s="535">
        <f t="shared" si="165"/>
        <v>0</v>
      </c>
      <c r="FO19" s="533"/>
      <c r="FP19" s="534">
        <f t="shared" si="55"/>
        <v>0</v>
      </c>
      <c r="FQ19" s="535">
        <f t="shared" si="166"/>
        <v>0</v>
      </c>
      <c r="FR19" s="533"/>
      <c r="FS19" s="534">
        <f t="shared" si="56"/>
        <v>0</v>
      </c>
      <c r="FT19" s="535">
        <f t="shared" si="167"/>
        <v>0</v>
      </c>
      <c r="FU19" s="533"/>
      <c r="FV19" s="534">
        <f t="shared" si="57"/>
        <v>0</v>
      </c>
      <c r="FW19" s="535">
        <f t="shared" si="168"/>
        <v>0</v>
      </c>
      <c r="FX19" s="533"/>
      <c r="FY19" s="534">
        <f t="shared" si="58"/>
        <v>0</v>
      </c>
      <c r="FZ19" s="535">
        <f t="shared" si="169"/>
        <v>0</v>
      </c>
      <c r="GA19" s="533"/>
      <c r="GB19" s="534">
        <f t="shared" si="59"/>
        <v>0</v>
      </c>
      <c r="GC19" s="535">
        <f t="shared" si="170"/>
        <v>0</v>
      </c>
      <c r="GD19" s="533"/>
      <c r="GE19" s="534">
        <f t="shared" si="60"/>
        <v>0</v>
      </c>
      <c r="GF19" s="535">
        <f t="shared" si="171"/>
        <v>0</v>
      </c>
      <c r="GG19" s="533"/>
      <c r="GH19" s="534">
        <f t="shared" si="61"/>
        <v>0</v>
      </c>
      <c r="GI19" s="535">
        <f t="shared" si="172"/>
        <v>0</v>
      </c>
      <c r="GJ19" s="533"/>
      <c r="GK19" s="534">
        <f t="shared" si="62"/>
        <v>0</v>
      </c>
      <c r="GL19" s="535">
        <f t="shared" si="173"/>
        <v>0</v>
      </c>
      <c r="GM19" s="533"/>
      <c r="GN19" s="534">
        <f t="shared" si="63"/>
        <v>0</v>
      </c>
      <c r="GO19" s="535">
        <f t="shared" si="174"/>
        <v>0</v>
      </c>
      <c r="GP19" s="533"/>
      <c r="GQ19" s="534">
        <f t="shared" si="64"/>
        <v>0</v>
      </c>
      <c r="GR19" s="535">
        <f t="shared" si="175"/>
        <v>0</v>
      </c>
      <c r="GS19" s="533"/>
      <c r="GT19" s="534">
        <f t="shared" si="65"/>
        <v>0</v>
      </c>
      <c r="GU19" s="535">
        <f t="shared" si="176"/>
        <v>0</v>
      </c>
      <c r="GV19" s="533"/>
      <c r="GW19" s="534">
        <f t="shared" si="66"/>
        <v>0</v>
      </c>
      <c r="GX19" s="535">
        <f t="shared" si="177"/>
        <v>0</v>
      </c>
      <c r="GY19" s="533"/>
      <c r="GZ19" s="534">
        <f t="shared" si="67"/>
        <v>0</v>
      </c>
      <c r="HA19" s="535">
        <f t="shared" si="178"/>
        <v>0</v>
      </c>
      <c r="HB19" s="533"/>
      <c r="HC19" s="534">
        <f t="shared" si="68"/>
        <v>0</v>
      </c>
      <c r="HD19" s="535">
        <f t="shared" si="179"/>
        <v>0</v>
      </c>
      <c r="HE19" s="533"/>
      <c r="HF19" s="534">
        <f t="shared" si="69"/>
        <v>0</v>
      </c>
      <c r="HG19" s="535">
        <f t="shared" si="180"/>
        <v>0</v>
      </c>
      <c r="HH19" s="533"/>
      <c r="HI19" s="534">
        <f t="shared" si="70"/>
        <v>0</v>
      </c>
      <c r="HJ19" s="535">
        <f t="shared" si="181"/>
        <v>0</v>
      </c>
      <c r="HK19" s="533"/>
      <c r="HL19" s="534">
        <f t="shared" si="71"/>
        <v>0</v>
      </c>
      <c r="HM19" s="535">
        <f t="shared" si="182"/>
        <v>0</v>
      </c>
      <c r="HN19" s="533"/>
      <c r="HO19" s="534">
        <f t="shared" si="72"/>
        <v>0</v>
      </c>
      <c r="HP19" s="535">
        <f t="shared" si="183"/>
        <v>0</v>
      </c>
      <c r="HQ19" s="533"/>
      <c r="HR19" s="534">
        <f t="shared" si="73"/>
        <v>0</v>
      </c>
      <c r="HS19" s="535">
        <f t="shared" si="184"/>
        <v>0</v>
      </c>
      <c r="HT19" s="533"/>
      <c r="HU19" s="534">
        <f t="shared" si="74"/>
        <v>0</v>
      </c>
      <c r="HV19" s="535">
        <f t="shared" si="185"/>
        <v>0</v>
      </c>
      <c r="HW19" s="533"/>
      <c r="HX19" s="534">
        <f t="shared" si="75"/>
        <v>0</v>
      </c>
      <c r="HY19" s="535">
        <f t="shared" si="186"/>
        <v>0</v>
      </c>
      <c r="HZ19" s="533"/>
      <c r="IA19" s="534">
        <f t="shared" si="76"/>
        <v>0</v>
      </c>
      <c r="IB19" s="535">
        <f t="shared" si="187"/>
        <v>0</v>
      </c>
      <c r="IC19" s="533"/>
      <c r="ID19" s="534">
        <f t="shared" si="77"/>
        <v>0</v>
      </c>
      <c r="IE19" s="535">
        <f t="shared" si="188"/>
        <v>0</v>
      </c>
      <c r="IF19" s="533"/>
      <c r="IG19" s="534">
        <f t="shared" si="78"/>
        <v>0</v>
      </c>
      <c r="IH19" s="535">
        <f t="shared" si="189"/>
        <v>0</v>
      </c>
      <c r="II19" s="533"/>
      <c r="IJ19" s="534">
        <f t="shared" si="79"/>
        <v>0</v>
      </c>
      <c r="IK19" s="535">
        <f t="shared" si="190"/>
        <v>0</v>
      </c>
      <c r="IL19" s="533"/>
      <c r="IM19" s="534">
        <f t="shared" si="80"/>
        <v>0</v>
      </c>
      <c r="IN19" s="535">
        <f t="shared" si="191"/>
        <v>0</v>
      </c>
      <c r="IO19" s="533"/>
      <c r="IP19" s="534">
        <f t="shared" si="81"/>
        <v>0</v>
      </c>
      <c r="IQ19" s="535">
        <f t="shared" si="192"/>
        <v>0</v>
      </c>
      <c r="IR19" s="533"/>
      <c r="IS19" s="534">
        <f t="shared" si="82"/>
        <v>0</v>
      </c>
      <c r="IT19" s="535">
        <f t="shared" si="193"/>
        <v>0</v>
      </c>
      <c r="IU19" s="533"/>
      <c r="IV19" s="534">
        <f t="shared" si="83"/>
        <v>0</v>
      </c>
      <c r="IW19" s="535">
        <f t="shared" si="194"/>
        <v>0</v>
      </c>
      <c r="IX19" s="533"/>
      <c r="IY19" s="534">
        <f t="shared" si="84"/>
        <v>0</v>
      </c>
      <c r="IZ19" s="535">
        <f t="shared" si="195"/>
        <v>0</v>
      </c>
      <c r="JA19" s="533"/>
      <c r="JB19" s="534">
        <f t="shared" si="85"/>
        <v>0</v>
      </c>
      <c r="JC19" s="535">
        <f t="shared" si="196"/>
        <v>0</v>
      </c>
      <c r="JD19" s="533"/>
      <c r="JE19" s="534">
        <f t="shared" si="86"/>
        <v>0</v>
      </c>
      <c r="JF19" s="535">
        <f t="shared" si="197"/>
        <v>0</v>
      </c>
      <c r="JG19" s="533"/>
      <c r="JH19" s="534">
        <f t="shared" si="87"/>
        <v>0</v>
      </c>
      <c r="JI19" s="535">
        <f t="shared" si="198"/>
        <v>0</v>
      </c>
      <c r="JJ19" s="533"/>
      <c r="JK19" s="535" t="str">
        <f t="shared" si="88"/>
        <v>0</v>
      </c>
      <c r="JL19" s="535" t="str">
        <f t="shared" si="89"/>
        <v>0</v>
      </c>
      <c r="JM19" s="533"/>
      <c r="JN19" s="535" t="str">
        <f t="shared" si="90"/>
        <v>0</v>
      </c>
      <c r="JO19" s="535" t="str">
        <f t="shared" si="91"/>
        <v>0</v>
      </c>
      <c r="JP19" s="533"/>
      <c r="JQ19" s="535" t="str">
        <f t="shared" si="92"/>
        <v>0</v>
      </c>
      <c r="JR19" s="535" t="str">
        <f t="shared" si="93"/>
        <v>0</v>
      </c>
      <c r="JS19" s="533"/>
      <c r="JT19" s="535" t="str">
        <f t="shared" si="94"/>
        <v>0</v>
      </c>
      <c r="JU19" s="535" t="str">
        <f t="shared" si="95"/>
        <v>0</v>
      </c>
      <c r="JV19" s="533"/>
      <c r="JW19" s="535" t="str">
        <f t="shared" si="96"/>
        <v>0</v>
      </c>
      <c r="JX19" s="535" t="str">
        <f t="shared" si="97"/>
        <v>0</v>
      </c>
      <c r="JY19" s="533"/>
      <c r="JZ19" s="535" t="str">
        <f t="shared" si="98"/>
        <v>0</v>
      </c>
      <c r="KA19" s="535" t="str">
        <f t="shared" si="99"/>
        <v>0</v>
      </c>
      <c r="KB19" s="533"/>
      <c r="KC19" s="535" t="str">
        <f t="shared" si="100"/>
        <v>0</v>
      </c>
      <c r="KD19" s="535" t="str">
        <f t="shared" si="101"/>
        <v>0</v>
      </c>
      <c r="KE19" s="533"/>
      <c r="KF19" s="535" t="str">
        <f t="shared" si="102"/>
        <v>0</v>
      </c>
      <c r="KG19" s="535" t="str">
        <f t="shared" si="103"/>
        <v>0</v>
      </c>
      <c r="KH19" s="533"/>
      <c r="KI19" s="535" t="str">
        <f t="shared" si="104"/>
        <v>0</v>
      </c>
      <c r="KJ19" s="535" t="str">
        <f t="shared" si="105"/>
        <v>0</v>
      </c>
      <c r="KK19" s="533"/>
      <c r="KL19" s="535" t="str">
        <f t="shared" si="106"/>
        <v>0</v>
      </c>
      <c r="KM19" s="535" t="str">
        <f t="shared" si="107"/>
        <v>0</v>
      </c>
      <c r="KN19" s="533"/>
      <c r="KO19" s="535" t="str">
        <f t="shared" si="108"/>
        <v>0</v>
      </c>
      <c r="KP19" s="535" t="str">
        <f t="shared" si="109"/>
        <v>0</v>
      </c>
      <c r="KQ19" s="533"/>
      <c r="KR19" s="535" t="str">
        <f t="shared" si="110"/>
        <v>0</v>
      </c>
      <c r="KS19" s="535" t="str">
        <f t="shared" si="111"/>
        <v>0</v>
      </c>
      <c r="KT19" s="535">
        <f t="shared" si="201"/>
        <v>0</v>
      </c>
      <c r="KU19" s="535">
        <f t="shared" si="202"/>
        <v>0</v>
      </c>
      <c r="KV19" s="272">
        <f t="shared" si="199"/>
        <v>810.05737151880555</v>
      </c>
    </row>
    <row r="20" spans="1:309" ht="15" customHeight="1">
      <c r="A20" s="274">
        <f t="shared" si="200"/>
        <v>45973</v>
      </c>
      <c r="B20" s="275" t="str">
        <f>+Report1!B20</f>
        <v>Sanitary Napkin</v>
      </c>
      <c r="C20" s="415" t="str">
        <f>+Report1!C20</f>
        <v>13/14/15</v>
      </c>
      <c r="D20" s="276">
        <f>+Report1!P20</f>
        <v>55.837000000000003</v>
      </c>
      <c r="E20" s="277">
        <f>+Report1!R20</f>
        <v>48.634999999999998</v>
      </c>
      <c r="F20" s="533">
        <v>325.5813953488373</v>
      </c>
      <c r="G20" s="534">
        <f t="shared" si="0"/>
        <v>6.6943846067407691</v>
      </c>
      <c r="H20" s="535">
        <f t="shared" si="112"/>
        <v>0</v>
      </c>
      <c r="I20" s="533">
        <v>500.00000000000011</v>
      </c>
      <c r="J20" s="534">
        <f t="shared" si="1"/>
        <v>10.280662074637609</v>
      </c>
      <c r="K20" s="535">
        <f t="shared" si="113"/>
        <v>0</v>
      </c>
      <c r="L20" s="533"/>
      <c r="M20" s="534">
        <f t="shared" si="2"/>
        <v>0</v>
      </c>
      <c r="N20" s="535">
        <f t="shared" si="114"/>
        <v>0</v>
      </c>
      <c r="O20" s="533">
        <v>9</v>
      </c>
      <c r="P20" s="534">
        <f t="shared" si="3"/>
        <v>0.18505191734347692</v>
      </c>
      <c r="Q20" s="535">
        <f t="shared" si="115"/>
        <v>0</v>
      </c>
      <c r="R20" s="533"/>
      <c r="S20" s="534">
        <f t="shared" si="4"/>
        <v>0</v>
      </c>
      <c r="T20" s="535">
        <f t="shared" si="116"/>
        <v>0</v>
      </c>
      <c r="U20" s="533">
        <v>5.125</v>
      </c>
      <c r="V20" s="534">
        <f t="shared" si="5"/>
        <v>0.10537678626503547</v>
      </c>
      <c r="W20" s="535">
        <f t="shared" si="117"/>
        <v>0</v>
      </c>
      <c r="X20" s="533"/>
      <c r="Y20" s="534">
        <f t="shared" si="6"/>
        <v>0</v>
      </c>
      <c r="Z20" s="535">
        <f t="shared" si="118"/>
        <v>0</v>
      </c>
      <c r="AA20" s="533"/>
      <c r="AB20" s="534">
        <f t="shared" si="7"/>
        <v>0</v>
      </c>
      <c r="AC20" s="535">
        <f t="shared" si="119"/>
        <v>0</v>
      </c>
      <c r="AD20" s="533"/>
      <c r="AE20" s="534">
        <f t="shared" si="8"/>
        <v>0</v>
      </c>
      <c r="AF20" s="535">
        <f t="shared" si="120"/>
        <v>0</v>
      </c>
      <c r="AG20" s="533"/>
      <c r="AH20" s="534">
        <f t="shared" si="9"/>
        <v>0</v>
      </c>
      <c r="AI20" s="535">
        <f t="shared" si="121"/>
        <v>0</v>
      </c>
      <c r="AJ20" s="533">
        <v>0</v>
      </c>
      <c r="AK20" s="534">
        <f t="shared" si="10"/>
        <v>0</v>
      </c>
      <c r="AL20" s="535">
        <f t="shared" si="122"/>
        <v>0</v>
      </c>
      <c r="AM20" s="533">
        <v>26.28205128205127</v>
      </c>
      <c r="AN20" s="534">
        <f t="shared" si="11"/>
        <v>0.54039377571813041</v>
      </c>
      <c r="AO20" s="535">
        <f t="shared" si="123"/>
        <v>0</v>
      </c>
      <c r="AP20" s="533">
        <v>0</v>
      </c>
      <c r="AQ20" s="534">
        <f t="shared" si="12"/>
        <v>0</v>
      </c>
      <c r="AR20" s="535">
        <f t="shared" si="124"/>
        <v>0</v>
      </c>
      <c r="AS20" s="533"/>
      <c r="AT20" s="534">
        <f t="shared" si="13"/>
        <v>0</v>
      </c>
      <c r="AU20" s="535">
        <f t="shared" si="125"/>
        <v>0</v>
      </c>
      <c r="AV20" s="533">
        <v>5.5500000000000114</v>
      </c>
      <c r="AW20" s="534">
        <f t="shared" si="14"/>
        <v>0.11411534902847767</v>
      </c>
      <c r="AX20" s="535">
        <f t="shared" si="126"/>
        <v>0</v>
      </c>
      <c r="AY20" s="533">
        <v>81.666666666666657</v>
      </c>
      <c r="AZ20" s="534">
        <f t="shared" si="15"/>
        <v>1.6791748055241422</v>
      </c>
      <c r="BA20" s="535">
        <f t="shared" si="127"/>
        <v>0</v>
      </c>
      <c r="BB20" s="533">
        <v>0</v>
      </c>
      <c r="BC20" s="534">
        <f t="shared" si="16"/>
        <v>0</v>
      </c>
      <c r="BD20" s="535">
        <f t="shared" si="128"/>
        <v>0</v>
      </c>
      <c r="BE20" s="533"/>
      <c r="BF20" s="534">
        <f t="shared" si="17"/>
        <v>0</v>
      </c>
      <c r="BG20" s="535">
        <f t="shared" si="129"/>
        <v>0</v>
      </c>
      <c r="BH20" s="533"/>
      <c r="BI20" s="534">
        <f t="shared" si="18"/>
        <v>0</v>
      </c>
      <c r="BJ20" s="535">
        <f t="shared" si="130"/>
        <v>0</v>
      </c>
      <c r="BK20" s="533"/>
      <c r="BL20" s="534">
        <f t="shared" si="19"/>
        <v>0</v>
      </c>
      <c r="BM20" s="535">
        <f t="shared" si="131"/>
        <v>0</v>
      </c>
      <c r="BN20" s="533">
        <v>12.65432098765433</v>
      </c>
      <c r="BO20" s="534">
        <f t="shared" si="20"/>
        <v>0.26018959571613715</v>
      </c>
      <c r="BP20" s="535">
        <f t="shared" si="132"/>
        <v>0</v>
      </c>
      <c r="BQ20" s="533">
        <v>0</v>
      </c>
      <c r="BR20" s="534">
        <f t="shared" si="21"/>
        <v>0</v>
      </c>
      <c r="BS20" s="535">
        <f t="shared" si="133"/>
        <v>0</v>
      </c>
      <c r="BT20" s="533"/>
      <c r="BU20" s="534">
        <f t="shared" si="22"/>
        <v>0</v>
      </c>
      <c r="BV20" s="535">
        <f t="shared" si="134"/>
        <v>0</v>
      </c>
      <c r="BW20" s="533">
        <v>0</v>
      </c>
      <c r="BX20" s="534">
        <f t="shared" si="23"/>
        <v>0</v>
      </c>
      <c r="BY20" s="535">
        <f t="shared" si="135"/>
        <v>0</v>
      </c>
      <c r="BZ20" s="533"/>
      <c r="CA20" s="534">
        <f t="shared" si="24"/>
        <v>0</v>
      </c>
      <c r="CB20" s="535">
        <f t="shared" si="136"/>
        <v>0</v>
      </c>
      <c r="CC20" s="533">
        <v>0</v>
      </c>
      <c r="CD20" s="534">
        <f t="shared" si="25"/>
        <v>0</v>
      </c>
      <c r="CE20" s="535">
        <f t="shared" si="137"/>
        <v>0</v>
      </c>
      <c r="CF20" s="533">
        <v>9.9999999999999978E-2</v>
      </c>
      <c r="CG20" s="534">
        <f t="shared" si="26"/>
        <v>2.0561324149275212E-3</v>
      </c>
      <c r="CH20" s="535">
        <f t="shared" si="138"/>
        <v>0</v>
      </c>
      <c r="CI20" s="533"/>
      <c r="CJ20" s="534">
        <f t="shared" si="27"/>
        <v>0</v>
      </c>
      <c r="CK20" s="535">
        <f t="shared" si="139"/>
        <v>0</v>
      </c>
      <c r="CL20" s="533"/>
      <c r="CM20" s="534">
        <f t="shared" si="28"/>
        <v>0</v>
      </c>
      <c r="CN20" s="535">
        <f t="shared" si="140"/>
        <v>0</v>
      </c>
      <c r="CO20" s="533"/>
      <c r="CP20" s="534">
        <f t="shared" si="29"/>
        <v>0</v>
      </c>
      <c r="CQ20" s="535">
        <f t="shared" si="141"/>
        <v>0</v>
      </c>
      <c r="CR20" s="533"/>
      <c r="CS20" s="534">
        <f t="shared" si="30"/>
        <v>0</v>
      </c>
      <c r="CT20" s="535">
        <f t="shared" si="142"/>
        <v>0</v>
      </c>
      <c r="CU20" s="533"/>
      <c r="CV20" s="534">
        <f t="shared" si="31"/>
        <v>0</v>
      </c>
      <c r="CW20" s="535">
        <f t="shared" si="143"/>
        <v>0</v>
      </c>
      <c r="CX20" s="533"/>
      <c r="CY20" s="534">
        <f t="shared" si="32"/>
        <v>0</v>
      </c>
      <c r="CZ20" s="535">
        <f t="shared" si="144"/>
        <v>0</v>
      </c>
      <c r="DA20" s="533"/>
      <c r="DB20" s="534">
        <f t="shared" si="33"/>
        <v>0</v>
      </c>
      <c r="DC20" s="535">
        <f t="shared" si="145"/>
        <v>0</v>
      </c>
      <c r="DD20" s="533"/>
      <c r="DE20" s="534">
        <f t="shared" si="34"/>
        <v>0</v>
      </c>
      <c r="DF20" s="535">
        <f t="shared" si="146"/>
        <v>0</v>
      </c>
      <c r="DG20" s="533">
        <v>0</v>
      </c>
      <c r="DH20" s="534">
        <f t="shared" si="35"/>
        <v>0</v>
      </c>
      <c r="DI20" s="535">
        <f t="shared" si="203"/>
        <v>0</v>
      </c>
      <c r="DJ20" s="533"/>
      <c r="DK20" s="534">
        <f t="shared" si="36"/>
        <v>0</v>
      </c>
      <c r="DL20" s="535">
        <f t="shared" si="147"/>
        <v>0</v>
      </c>
      <c r="DM20" s="533"/>
      <c r="DN20" s="534">
        <f t="shared" si="37"/>
        <v>0</v>
      </c>
      <c r="DO20" s="535">
        <f t="shared" si="148"/>
        <v>0</v>
      </c>
      <c r="DP20" s="533"/>
      <c r="DQ20" s="534">
        <f t="shared" si="38"/>
        <v>0</v>
      </c>
      <c r="DR20" s="535">
        <f t="shared" si="149"/>
        <v>0</v>
      </c>
      <c r="DS20" s="533"/>
      <c r="DT20" s="534">
        <f t="shared" si="39"/>
        <v>0</v>
      </c>
      <c r="DU20" s="535">
        <f t="shared" si="150"/>
        <v>0</v>
      </c>
      <c r="DV20" s="533"/>
      <c r="DW20" s="534">
        <f t="shared" si="40"/>
        <v>0</v>
      </c>
      <c r="DX20" s="535">
        <f t="shared" si="151"/>
        <v>0</v>
      </c>
      <c r="DY20" s="533"/>
      <c r="DZ20" s="534">
        <f t="shared" si="41"/>
        <v>0</v>
      </c>
      <c r="EA20" s="535">
        <f t="shared" si="152"/>
        <v>0</v>
      </c>
      <c r="EB20" s="533">
        <v>14.534883720930225</v>
      </c>
      <c r="EC20" s="534">
        <f t="shared" si="42"/>
        <v>0.29885645565806979</v>
      </c>
      <c r="ED20" s="535">
        <f t="shared" si="153"/>
        <v>0</v>
      </c>
      <c r="EE20" s="533">
        <v>1</v>
      </c>
      <c r="EF20" s="534">
        <f t="shared" si="43"/>
        <v>2.0561324149275213E-2</v>
      </c>
      <c r="EG20" s="535">
        <f t="shared" si="154"/>
        <v>0</v>
      </c>
      <c r="EH20" s="533"/>
      <c r="EI20" s="534">
        <f t="shared" si="44"/>
        <v>0</v>
      </c>
      <c r="EJ20" s="535">
        <f t="shared" si="155"/>
        <v>0</v>
      </c>
      <c r="EK20" s="533"/>
      <c r="EL20" s="534">
        <f t="shared" si="45"/>
        <v>0</v>
      </c>
      <c r="EM20" s="535">
        <f t="shared" si="156"/>
        <v>0</v>
      </c>
      <c r="EN20" s="533"/>
      <c r="EO20" s="534">
        <f t="shared" si="46"/>
        <v>0</v>
      </c>
      <c r="EP20" s="535">
        <f t="shared" si="157"/>
        <v>0</v>
      </c>
      <c r="EQ20" s="533"/>
      <c r="ER20" s="534">
        <f t="shared" si="47"/>
        <v>0</v>
      </c>
      <c r="ES20" s="535">
        <f t="shared" si="158"/>
        <v>0</v>
      </c>
      <c r="ET20" s="533"/>
      <c r="EU20" s="534">
        <f t="shared" si="48"/>
        <v>0</v>
      </c>
      <c r="EV20" s="535">
        <f t="shared" si="159"/>
        <v>0</v>
      </c>
      <c r="EW20" s="533"/>
      <c r="EX20" s="534">
        <f t="shared" si="49"/>
        <v>0</v>
      </c>
      <c r="EY20" s="535">
        <f t="shared" si="160"/>
        <v>0</v>
      </c>
      <c r="EZ20" s="533"/>
      <c r="FA20" s="534">
        <f t="shared" si="50"/>
        <v>0</v>
      </c>
      <c r="FB20" s="535">
        <f t="shared" si="161"/>
        <v>0</v>
      </c>
      <c r="FC20" s="533"/>
      <c r="FD20" s="534">
        <f t="shared" si="51"/>
        <v>0</v>
      </c>
      <c r="FE20" s="535">
        <f t="shared" si="162"/>
        <v>0</v>
      </c>
      <c r="FF20" s="533"/>
      <c r="FG20" s="534">
        <f t="shared" si="52"/>
        <v>0</v>
      </c>
      <c r="FH20" s="535">
        <f t="shared" si="163"/>
        <v>0</v>
      </c>
      <c r="FI20" s="533"/>
      <c r="FJ20" s="534">
        <f t="shared" si="53"/>
        <v>0</v>
      </c>
      <c r="FK20" s="535">
        <f t="shared" si="164"/>
        <v>0</v>
      </c>
      <c r="FL20" s="533"/>
      <c r="FM20" s="534">
        <f t="shared" si="54"/>
        <v>0</v>
      </c>
      <c r="FN20" s="535">
        <f t="shared" si="165"/>
        <v>0</v>
      </c>
      <c r="FO20" s="533"/>
      <c r="FP20" s="534">
        <f t="shared" si="55"/>
        <v>0</v>
      </c>
      <c r="FQ20" s="535">
        <f t="shared" si="166"/>
        <v>0</v>
      </c>
      <c r="FR20" s="533"/>
      <c r="FS20" s="534">
        <f t="shared" si="56"/>
        <v>0</v>
      </c>
      <c r="FT20" s="535">
        <f t="shared" si="167"/>
        <v>0</v>
      </c>
      <c r="FU20" s="533"/>
      <c r="FV20" s="534">
        <f t="shared" si="57"/>
        <v>0</v>
      </c>
      <c r="FW20" s="535">
        <f t="shared" si="168"/>
        <v>0</v>
      </c>
      <c r="FX20" s="533"/>
      <c r="FY20" s="534">
        <f t="shared" si="58"/>
        <v>0</v>
      </c>
      <c r="FZ20" s="535">
        <f t="shared" si="169"/>
        <v>0</v>
      </c>
      <c r="GA20" s="533"/>
      <c r="GB20" s="534">
        <f t="shared" si="59"/>
        <v>0</v>
      </c>
      <c r="GC20" s="535">
        <f t="shared" si="170"/>
        <v>0</v>
      </c>
      <c r="GD20" s="533"/>
      <c r="GE20" s="534">
        <f t="shared" si="60"/>
        <v>0</v>
      </c>
      <c r="GF20" s="535">
        <f t="shared" si="171"/>
        <v>0</v>
      </c>
      <c r="GG20" s="533"/>
      <c r="GH20" s="534">
        <f t="shared" si="61"/>
        <v>0</v>
      </c>
      <c r="GI20" s="535">
        <f t="shared" si="172"/>
        <v>0</v>
      </c>
      <c r="GJ20" s="533"/>
      <c r="GK20" s="534">
        <f t="shared" si="62"/>
        <v>0</v>
      </c>
      <c r="GL20" s="535">
        <f t="shared" si="173"/>
        <v>0</v>
      </c>
      <c r="GM20" s="533"/>
      <c r="GN20" s="534">
        <f t="shared" si="63"/>
        <v>0</v>
      </c>
      <c r="GO20" s="535">
        <f t="shared" si="174"/>
        <v>0</v>
      </c>
      <c r="GP20" s="533"/>
      <c r="GQ20" s="534">
        <f t="shared" si="64"/>
        <v>0</v>
      </c>
      <c r="GR20" s="535">
        <f t="shared" si="175"/>
        <v>0</v>
      </c>
      <c r="GS20" s="533"/>
      <c r="GT20" s="534">
        <f t="shared" si="65"/>
        <v>0</v>
      </c>
      <c r="GU20" s="535">
        <f t="shared" si="176"/>
        <v>0</v>
      </c>
      <c r="GV20" s="533"/>
      <c r="GW20" s="534">
        <f t="shared" si="66"/>
        <v>0</v>
      </c>
      <c r="GX20" s="535">
        <f t="shared" si="177"/>
        <v>0</v>
      </c>
      <c r="GY20" s="533"/>
      <c r="GZ20" s="534">
        <f t="shared" si="67"/>
        <v>0</v>
      </c>
      <c r="HA20" s="535">
        <f t="shared" si="178"/>
        <v>0</v>
      </c>
      <c r="HB20" s="533"/>
      <c r="HC20" s="534">
        <f t="shared" si="68"/>
        <v>0</v>
      </c>
      <c r="HD20" s="535">
        <f t="shared" si="179"/>
        <v>0</v>
      </c>
      <c r="HE20" s="533"/>
      <c r="HF20" s="534">
        <f t="shared" si="69"/>
        <v>0</v>
      </c>
      <c r="HG20" s="535">
        <f t="shared" si="180"/>
        <v>0</v>
      </c>
      <c r="HH20" s="533"/>
      <c r="HI20" s="534">
        <f t="shared" si="70"/>
        <v>0</v>
      </c>
      <c r="HJ20" s="535">
        <f t="shared" si="181"/>
        <v>0</v>
      </c>
      <c r="HK20" s="533"/>
      <c r="HL20" s="534">
        <f t="shared" si="71"/>
        <v>0</v>
      </c>
      <c r="HM20" s="535">
        <f t="shared" si="182"/>
        <v>0</v>
      </c>
      <c r="HN20" s="533"/>
      <c r="HO20" s="534">
        <f t="shared" si="72"/>
        <v>0</v>
      </c>
      <c r="HP20" s="535">
        <f t="shared" si="183"/>
        <v>0</v>
      </c>
      <c r="HQ20" s="533"/>
      <c r="HR20" s="534">
        <f t="shared" si="73"/>
        <v>0</v>
      </c>
      <c r="HS20" s="535">
        <f t="shared" si="184"/>
        <v>0</v>
      </c>
      <c r="HT20" s="533"/>
      <c r="HU20" s="534">
        <f t="shared" si="74"/>
        <v>0</v>
      </c>
      <c r="HV20" s="535">
        <f t="shared" si="185"/>
        <v>0</v>
      </c>
      <c r="HW20" s="533"/>
      <c r="HX20" s="534">
        <f t="shared" si="75"/>
        <v>0</v>
      </c>
      <c r="HY20" s="535">
        <f t="shared" si="186"/>
        <v>0</v>
      </c>
      <c r="HZ20" s="533"/>
      <c r="IA20" s="534">
        <f t="shared" si="76"/>
        <v>0</v>
      </c>
      <c r="IB20" s="535">
        <f t="shared" si="187"/>
        <v>0</v>
      </c>
      <c r="IC20" s="533"/>
      <c r="ID20" s="534">
        <f t="shared" si="77"/>
        <v>0</v>
      </c>
      <c r="IE20" s="535">
        <f t="shared" si="188"/>
        <v>0</v>
      </c>
      <c r="IF20" s="533"/>
      <c r="IG20" s="534">
        <f t="shared" si="78"/>
        <v>0</v>
      </c>
      <c r="IH20" s="535">
        <f t="shared" si="189"/>
        <v>0</v>
      </c>
      <c r="II20" s="533"/>
      <c r="IJ20" s="534">
        <f t="shared" si="79"/>
        <v>0</v>
      </c>
      <c r="IK20" s="535">
        <f t="shared" si="190"/>
        <v>0</v>
      </c>
      <c r="IL20" s="533"/>
      <c r="IM20" s="534">
        <f t="shared" si="80"/>
        <v>0</v>
      </c>
      <c r="IN20" s="535">
        <f t="shared" si="191"/>
        <v>0</v>
      </c>
      <c r="IO20" s="533"/>
      <c r="IP20" s="534">
        <f t="shared" si="81"/>
        <v>0</v>
      </c>
      <c r="IQ20" s="535">
        <f t="shared" si="192"/>
        <v>0</v>
      </c>
      <c r="IR20" s="533"/>
      <c r="IS20" s="534">
        <f t="shared" si="82"/>
        <v>0</v>
      </c>
      <c r="IT20" s="535">
        <f t="shared" si="193"/>
        <v>0</v>
      </c>
      <c r="IU20" s="533"/>
      <c r="IV20" s="534">
        <f t="shared" si="83"/>
        <v>0</v>
      </c>
      <c r="IW20" s="535">
        <f t="shared" si="194"/>
        <v>0</v>
      </c>
      <c r="IX20" s="533"/>
      <c r="IY20" s="534">
        <f t="shared" si="84"/>
        <v>0</v>
      </c>
      <c r="IZ20" s="535">
        <f t="shared" si="195"/>
        <v>0</v>
      </c>
      <c r="JA20" s="533"/>
      <c r="JB20" s="534">
        <f t="shared" si="85"/>
        <v>0</v>
      </c>
      <c r="JC20" s="535">
        <f t="shared" si="196"/>
        <v>0</v>
      </c>
      <c r="JD20" s="533"/>
      <c r="JE20" s="534">
        <f t="shared" si="86"/>
        <v>0</v>
      </c>
      <c r="JF20" s="535">
        <f t="shared" si="197"/>
        <v>0</v>
      </c>
      <c r="JG20" s="533"/>
      <c r="JH20" s="534">
        <f t="shared" si="87"/>
        <v>0</v>
      </c>
      <c r="JI20" s="535">
        <f t="shared" si="198"/>
        <v>0</v>
      </c>
      <c r="JJ20" s="533"/>
      <c r="JK20" s="535" t="str">
        <f t="shared" si="88"/>
        <v>0</v>
      </c>
      <c r="JL20" s="535" t="str">
        <f t="shared" si="89"/>
        <v>0</v>
      </c>
      <c r="JM20" s="533"/>
      <c r="JN20" s="535" t="str">
        <f t="shared" si="90"/>
        <v>0</v>
      </c>
      <c r="JO20" s="535" t="str">
        <f t="shared" si="91"/>
        <v>0</v>
      </c>
      <c r="JP20" s="533"/>
      <c r="JQ20" s="535" t="str">
        <f t="shared" si="92"/>
        <v>0</v>
      </c>
      <c r="JR20" s="535" t="str">
        <f t="shared" si="93"/>
        <v>0</v>
      </c>
      <c r="JS20" s="533"/>
      <c r="JT20" s="535" t="str">
        <f t="shared" si="94"/>
        <v>0</v>
      </c>
      <c r="JU20" s="535" t="str">
        <f t="shared" si="95"/>
        <v>0</v>
      </c>
      <c r="JV20" s="533"/>
      <c r="JW20" s="535" t="str">
        <f t="shared" si="96"/>
        <v>0</v>
      </c>
      <c r="JX20" s="535" t="str">
        <f t="shared" si="97"/>
        <v>0</v>
      </c>
      <c r="JY20" s="533"/>
      <c r="JZ20" s="535" t="str">
        <f t="shared" si="98"/>
        <v>0</v>
      </c>
      <c r="KA20" s="535" t="str">
        <f t="shared" si="99"/>
        <v>0</v>
      </c>
      <c r="KB20" s="533"/>
      <c r="KC20" s="535" t="str">
        <f t="shared" si="100"/>
        <v>0</v>
      </c>
      <c r="KD20" s="535" t="str">
        <f t="shared" si="101"/>
        <v>0</v>
      </c>
      <c r="KE20" s="533"/>
      <c r="KF20" s="535" t="str">
        <f t="shared" si="102"/>
        <v>0</v>
      </c>
      <c r="KG20" s="535" t="str">
        <f t="shared" si="103"/>
        <v>0</v>
      </c>
      <c r="KH20" s="533"/>
      <c r="KI20" s="535" t="str">
        <f t="shared" si="104"/>
        <v>0</v>
      </c>
      <c r="KJ20" s="535" t="str">
        <f t="shared" si="105"/>
        <v>0</v>
      </c>
      <c r="KK20" s="533"/>
      <c r="KL20" s="535" t="str">
        <f t="shared" si="106"/>
        <v>0</v>
      </c>
      <c r="KM20" s="535" t="str">
        <f t="shared" si="107"/>
        <v>0</v>
      </c>
      <c r="KN20" s="533"/>
      <c r="KO20" s="535" t="str">
        <f t="shared" si="108"/>
        <v>0</v>
      </c>
      <c r="KP20" s="535" t="str">
        <f t="shared" si="109"/>
        <v>0</v>
      </c>
      <c r="KQ20" s="533"/>
      <c r="KR20" s="535" t="str">
        <f t="shared" si="110"/>
        <v>0</v>
      </c>
      <c r="KS20" s="535" t="str">
        <f t="shared" si="111"/>
        <v>0</v>
      </c>
      <c r="KT20" s="535">
        <f t="shared" si="201"/>
        <v>0</v>
      </c>
      <c r="KU20" s="535">
        <f t="shared" si="202"/>
        <v>0</v>
      </c>
      <c r="KV20" s="272">
        <f t="shared" si="199"/>
        <v>981.49431800614002</v>
      </c>
    </row>
    <row r="21" spans="1:309" ht="15" customHeight="1">
      <c r="A21" s="274">
        <f t="shared" si="200"/>
        <v>45974</v>
      </c>
      <c r="B21" s="275" t="str">
        <f>+Report1!B21</f>
        <v>Sanitary Napkin/Facial</v>
      </c>
      <c r="C21" s="415" t="str">
        <f>+Report1!C21</f>
        <v>15/12,5/13</v>
      </c>
      <c r="D21" s="276">
        <f>+Report1!P21</f>
        <v>37.926000000000002</v>
      </c>
      <c r="E21" s="277">
        <f>+Report1!R21</f>
        <v>43.908999999999999</v>
      </c>
      <c r="F21" s="533">
        <v>0</v>
      </c>
      <c r="G21" s="534">
        <f t="shared" si="0"/>
        <v>0</v>
      </c>
      <c r="H21" s="535">
        <f t="shared" si="112"/>
        <v>0</v>
      </c>
      <c r="I21" s="533">
        <v>186.04651162790697</v>
      </c>
      <c r="J21" s="534">
        <f t="shared" si="1"/>
        <v>4.237092888198478</v>
      </c>
      <c r="K21" s="535">
        <f t="shared" si="113"/>
        <v>0</v>
      </c>
      <c r="L21" s="533"/>
      <c r="M21" s="534">
        <f t="shared" si="2"/>
        <v>0</v>
      </c>
      <c r="N21" s="535">
        <f t="shared" si="114"/>
        <v>0</v>
      </c>
      <c r="O21" s="533">
        <v>9</v>
      </c>
      <c r="P21" s="534">
        <f t="shared" si="3"/>
        <v>0.20496936846660138</v>
      </c>
      <c r="Q21" s="535">
        <f t="shared" si="115"/>
        <v>0</v>
      </c>
      <c r="R21" s="533"/>
      <c r="S21" s="534">
        <f t="shared" si="4"/>
        <v>0</v>
      </c>
      <c r="T21" s="535">
        <f t="shared" si="116"/>
        <v>0</v>
      </c>
      <c r="U21" s="533">
        <v>5.125</v>
      </c>
      <c r="V21" s="534">
        <f t="shared" si="5"/>
        <v>0.11671866815459246</v>
      </c>
      <c r="W21" s="535">
        <f t="shared" si="117"/>
        <v>0</v>
      </c>
      <c r="X21" s="533"/>
      <c r="Y21" s="534">
        <f t="shared" si="6"/>
        <v>0</v>
      </c>
      <c r="Z21" s="535">
        <f t="shared" si="118"/>
        <v>0</v>
      </c>
      <c r="AA21" s="533"/>
      <c r="AB21" s="534">
        <f t="shared" si="7"/>
        <v>0</v>
      </c>
      <c r="AC21" s="535">
        <f t="shared" si="119"/>
        <v>0</v>
      </c>
      <c r="AD21" s="533"/>
      <c r="AE21" s="534">
        <f t="shared" si="8"/>
        <v>0</v>
      </c>
      <c r="AF21" s="535">
        <f t="shared" si="120"/>
        <v>0</v>
      </c>
      <c r="AG21" s="533"/>
      <c r="AH21" s="534">
        <f t="shared" si="9"/>
        <v>0</v>
      </c>
      <c r="AI21" s="535">
        <f t="shared" si="121"/>
        <v>0</v>
      </c>
      <c r="AJ21" s="533">
        <v>0</v>
      </c>
      <c r="AK21" s="534">
        <f t="shared" si="10"/>
        <v>0</v>
      </c>
      <c r="AL21" s="535">
        <f t="shared" si="122"/>
        <v>0</v>
      </c>
      <c r="AM21" s="533">
        <v>7.8846153846153868</v>
      </c>
      <c r="AN21" s="534">
        <f t="shared" si="11"/>
        <v>0.17956718177629613</v>
      </c>
      <c r="AO21" s="535">
        <f t="shared" si="123"/>
        <v>0</v>
      </c>
      <c r="AP21" s="533">
        <v>19.936708860759495</v>
      </c>
      <c r="AQ21" s="534">
        <f t="shared" si="12"/>
        <v>0.4540460693880411</v>
      </c>
      <c r="AR21" s="535">
        <f t="shared" si="124"/>
        <v>0</v>
      </c>
      <c r="AS21" s="533"/>
      <c r="AT21" s="534">
        <f t="shared" si="13"/>
        <v>0</v>
      </c>
      <c r="AU21" s="535">
        <f t="shared" si="125"/>
        <v>0</v>
      </c>
      <c r="AV21" s="533">
        <v>2.7750000000000057</v>
      </c>
      <c r="AW21" s="534">
        <f t="shared" si="14"/>
        <v>6.3198888610535561E-2</v>
      </c>
      <c r="AX21" s="535">
        <f t="shared" si="126"/>
        <v>0</v>
      </c>
      <c r="AY21" s="533">
        <v>49</v>
      </c>
      <c r="AZ21" s="534">
        <f t="shared" si="15"/>
        <v>1.1159443394292743</v>
      </c>
      <c r="BA21" s="535">
        <f t="shared" si="127"/>
        <v>0</v>
      </c>
      <c r="BB21" s="533">
        <v>0</v>
      </c>
      <c r="BC21" s="534">
        <f t="shared" si="16"/>
        <v>0</v>
      </c>
      <c r="BD21" s="535">
        <f t="shared" si="128"/>
        <v>0</v>
      </c>
      <c r="BE21" s="533"/>
      <c r="BF21" s="534">
        <f t="shared" si="17"/>
        <v>0</v>
      </c>
      <c r="BG21" s="535">
        <f t="shared" si="129"/>
        <v>0</v>
      </c>
      <c r="BH21" s="533"/>
      <c r="BI21" s="534">
        <f t="shared" si="18"/>
        <v>0</v>
      </c>
      <c r="BJ21" s="535">
        <f t="shared" si="130"/>
        <v>0</v>
      </c>
      <c r="BK21" s="533"/>
      <c r="BL21" s="534">
        <f t="shared" si="19"/>
        <v>0</v>
      </c>
      <c r="BM21" s="535">
        <f t="shared" si="131"/>
        <v>0</v>
      </c>
      <c r="BN21" s="533">
        <v>5.0617283950617349</v>
      </c>
      <c r="BO21" s="534">
        <f t="shared" si="20"/>
        <v>0.11527769694280751</v>
      </c>
      <c r="BP21" s="535">
        <f t="shared" si="132"/>
        <v>0</v>
      </c>
      <c r="BQ21" s="533">
        <v>0</v>
      </c>
      <c r="BR21" s="534">
        <f t="shared" si="21"/>
        <v>0</v>
      </c>
      <c r="BS21" s="535">
        <f t="shared" si="133"/>
        <v>0</v>
      </c>
      <c r="BT21" s="533"/>
      <c r="BU21" s="534">
        <f t="shared" si="22"/>
        <v>0</v>
      </c>
      <c r="BV21" s="535">
        <f t="shared" si="134"/>
        <v>0</v>
      </c>
      <c r="BW21" s="533">
        <v>0</v>
      </c>
      <c r="BX21" s="534">
        <f t="shared" si="23"/>
        <v>0</v>
      </c>
      <c r="BY21" s="535">
        <f t="shared" si="135"/>
        <v>0</v>
      </c>
      <c r="BZ21" s="533"/>
      <c r="CA21" s="534">
        <f t="shared" si="24"/>
        <v>0</v>
      </c>
      <c r="CB21" s="535">
        <f t="shared" si="136"/>
        <v>0</v>
      </c>
      <c r="CC21" s="533">
        <v>0</v>
      </c>
      <c r="CD21" s="534">
        <f t="shared" si="25"/>
        <v>0</v>
      </c>
      <c r="CE21" s="535">
        <f t="shared" si="137"/>
        <v>0</v>
      </c>
      <c r="CF21" s="533">
        <v>0.1</v>
      </c>
      <c r="CG21" s="534">
        <f t="shared" si="26"/>
        <v>2.2774374274066823E-3</v>
      </c>
      <c r="CH21" s="535">
        <f t="shared" si="138"/>
        <v>0</v>
      </c>
      <c r="CI21" s="533"/>
      <c r="CJ21" s="534">
        <f t="shared" si="27"/>
        <v>0</v>
      </c>
      <c r="CK21" s="535">
        <f t="shared" si="139"/>
        <v>0</v>
      </c>
      <c r="CL21" s="533"/>
      <c r="CM21" s="534">
        <f t="shared" si="28"/>
        <v>0</v>
      </c>
      <c r="CN21" s="535">
        <f t="shared" si="140"/>
        <v>0</v>
      </c>
      <c r="CO21" s="533"/>
      <c r="CP21" s="534">
        <f t="shared" si="29"/>
        <v>0</v>
      </c>
      <c r="CQ21" s="535">
        <f t="shared" si="141"/>
        <v>0</v>
      </c>
      <c r="CR21" s="533"/>
      <c r="CS21" s="534">
        <f t="shared" si="30"/>
        <v>0</v>
      </c>
      <c r="CT21" s="535">
        <f t="shared" si="142"/>
        <v>0</v>
      </c>
      <c r="CU21" s="533"/>
      <c r="CV21" s="534">
        <f t="shared" si="31"/>
        <v>0</v>
      </c>
      <c r="CW21" s="535">
        <f t="shared" si="143"/>
        <v>0</v>
      </c>
      <c r="CX21" s="533"/>
      <c r="CY21" s="534">
        <f t="shared" si="32"/>
        <v>0</v>
      </c>
      <c r="CZ21" s="535">
        <f t="shared" si="144"/>
        <v>0</v>
      </c>
      <c r="DA21" s="533"/>
      <c r="DB21" s="534">
        <f t="shared" si="33"/>
        <v>0</v>
      </c>
      <c r="DC21" s="535">
        <f t="shared" si="145"/>
        <v>0</v>
      </c>
      <c r="DD21" s="533"/>
      <c r="DE21" s="534">
        <f t="shared" si="34"/>
        <v>0</v>
      </c>
      <c r="DF21" s="535">
        <f t="shared" si="146"/>
        <v>0</v>
      </c>
      <c r="DG21" s="533">
        <v>0</v>
      </c>
      <c r="DH21" s="534">
        <f t="shared" si="35"/>
        <v>0</v>
      </c>
      <c r="DI21" s="535">
        <f t="shared" si="203"/>
        <v>0</v>
      </c>
      <c r="DJ21" s="533"/>
      <c r="DK21" s="534">
        <f t="shared" si="36"/>
        <v>0</v>
      </c>
      <c r="DL21" s="535">
        <f t="shared" si="147"/>
        <v>0</v>
      </c>
      <c r="DM21" s="533"/>
      <c r="DN21" s="534">
        <f t="shared" si="37"/>
        <v>0</v>
      </c>
      <c r="DO21" s="535">
        <f t="shared" si="148"/>
        <v>0</v>
      </c>
      <c r="DP21" s="533"/>
      <c r="DQ21" s="534">
        <f t="shared" si="38"/>
        <v>0</v>
      </c>
      <c r="DR21" s="535">
        <f t="shared" si="149"/>
        <v>0</v>
      </c>
      <c r="DS21" s="533"/>
      <c r="DT21" s="534">
        <f t="shared" si="39"/>
        <v>0</v>
      </c>
      <c r="DU21" s="535">
        <f t="shared" si="150"/>
        <v>0</v>
      </c>
      <c r="DV21" s="533"/>
      <c r="DW21" s="534">
        <f t="shared" si="40"/>
        <v>0</v>
      </c>
      <c r="DX21" s="535">
        <f t="shared" si="151"/>
        <v>0</v>
      </c>
      <c r="DY21" s="533"/>
      <c r="DZ21" s="534">
        <f t="shared" si="41"/>
        <v>0</v>
      </c>
      <c r="EA21" s="535">
        <f t="shared" si="152"/>
        <v>0</v>
      </c>
      <c r="EB21" s="533">
        <v>14.534883720930281</v>
      </c>
      <c r="EC21" s="534">
        <f t="shared" si="42"/>
        <v>0.33102288189050721</v>
      </c>
      <c r="ED21" s="535">
        <f t="shared" si="153"/>
        <v>0</v>
      </c>
      <c r="EE21" s="533">
        <v>1</v>
      </c>
      <c r="EF21" s="534">
        <f t="shared" si="43"/>
        <v>2.2774374274066821E-2</v>
      </c>
      <c r="EG21" s="535">
        <f t="shared" si="154"/>
        <v>0</v>
      </c>
      <c r="EH21" s="533"/>
      <c r="EI21" s="534">
        <f t="shared" si="44"/>
        <v>0</v>
      </c>
      <c r="EJ21" s="535">
        <f t="shared" si="155"/>
        <v>0</v>
      </c>
      <c r="EK21" s="533"/>
      <c r="EL21" s="534">
        <f t="shared" si="45"/>
        <v>0</v>
      </c>
      <c r="EM21" s="535">
        <f t="shared" si="156"/>
        <v>0</v>
      </c>
      <c r="EN21" s="533"/>
      <c r="EO21" s="534">
        <f t="shared" si="46"/>
        <v>0</v>
      </c>
      <c r="EP21" s="535">
        <f t="shared" si="157"/>
        <v>0</v>
      </c>
      <c r="EQ21" s="533"/>
      <c r="ER21" s="534">
        <f t="shared" si="47"/>
        <v>0</v>
      </c>
      <c r="ES21" s="535">
        <f t="shared" si="158"/>
        <v>0</v>
      </c>
      <c r="ET21" s="533"/>
      <c r="EU21" s="534">
        <f t="shared" si="48"/>
        <v>0</v>
      </c>
      <c r="EV21" s="535">
        <f t="shared" si="159"/>
        <v>0</v>
      </c>
      <c r="EW21" s="533"/>
      <c r="EX21" s="534">
        <f t="shared" si="49"/>
        <v>0</v>
      </c>
      <c r="EY21" s="535">
        <f t="shared" si="160"/>
        <v>0</v>
      </c>
      <c r="EZ21" s="533"/>
      <c r="FA21" s="534">
        <f t="shared" si="50"/>
        <v>0</v>
      </c>
      <c r="FB21" s="535">
        <f t="shared" si="161"/>
        <v>0</v>
      </c>
      <c r="FC21" s="533"/>
      <c r="FD21" s="534">
        <f t="shared" si="51"/>
        <v>0</v>
      </c>
      <c r="FE21" s="535">
        <f t="shared" si="162"/>
        <v>0</v>
      </c>
      <c r="FF21" s="533"/>
      <c r="FG21" s="534">
        <f t="shared" si="52"/>
        <v>0</v>
      </c>
      <c r="FH21" s="535">
        <f t="shared" si="163"/>
        <v>0</v>
      </c>
      <c r="FI21" s="533"/>
      <c r="FJ21" s="534">
        <f t="shared" si="53"/>
        <v>0</v>
      </c>
      <c r="FK21" s="535">
        <f t="shared" si="164"/>
        <v>0</v>
      </c>
      <c r="FL21" s="533"/>
      <c r="FM21" s="534">
        <f t="shared" si="54"/>
        <v>0</v>
      </c>
      <c r="FN21" s="535">
        <f t="shared" si="165"/>
        <v>0</v>
      </c>
      <c r="FO21" s="533"/>
      <c r="FP21" s="534">
        <f t="shared" si="55"/>
        <v>0</v>
      </c>
      <c r="FQ21" s="535">
        <f t="shared" si="166"/>
        <v>0</v>
      </c>
      <c r="FR21" s="533"/>
      <c r="FS21" s="534">
        <f t="shared" si="56"/>
        <v>0</v>
      </c>
      <c r="FT21" s="535">
        <f t="shared" si="167"/>
        <v>0</v>
      </c>
      <c r="FU21" s="533"/>
      <c r="FV21" s="534">
        <f t="shared" si="57"/>
        <v>0</v>
      </c>
      <c r="FW21" s="535">
        <f t="shared" si="168"/>
        <v>0</v>
      </c>
      <c r="FX21" s="533"/>
      <c r="FY21" s="534">
        <f t="shared" si="58"/>
        <v>0</v>
      </c>
      <c r="FZ21" s="535">
        <f t="shared" si="169"/>
        <v>0</v>
      </c>
      <c r="GA21" s="533"/>
      <c r="GB21" s="534">
        <f t="shared" si="59"/>
        <v>0</v>
      </c>
      <c r="GC21" s="535">
        <f t="shared" si="170"/>
        <v>0</v>
      </c>
      <c r="GD21" s="533"/>
      <c r="GE21" s="534">
        <f t="shared" si="60"/>
        <v>0</v>
      </c>
      <c r="GF21" s="535">
        <f t="shared" si="171"/>
        <v>0</v>
      </c>
      <c r="GG21" s="533"/>
      <c r="GH21" s="534">
        <f t="shared" si="61"/>
        <v>0</v>
      </c>
      <c r="GI21" s="535">
        <f t="shared" si="172"/>
        <v>0</v>
      </c>
      <c r="GJ21" s="533"/>
      <c r="GK21" s="534">
        <f t="shared" si="62"/>
        <v>0</v>
      </c>
      <c r="GL21" s="535">
        <f t="shared" si="173"/>
        <v>0</v>
      </c>
      <c r="GM21" s="533"/>
      <c r="GN21" s="534">
        <f t="shared" si="63"/>
        <v>0</v>
      </c>
      <c r="GO21" s="535">
        <f t="shared" si="174"/>
        <v>0</v>
      </c>
      <c r="GP21" s="533"/>
      <c r="GQ21" s="534">
        <f t="shared" si="64"/>
        <v>0</v>
      </c>
      <c r="GR21" s="535">
        <f t="shared" si="175"/>
        <v>0</v>
      </c>
      <c r="GS21" s="533"/>
      <c r="GT21" s="534">
        <f t="shared" si="65"/>
        <v>0</v>
      </c>
      <c r="GU21" s="535">
        <f t="shared" si="176"/>
        <v>0</v>
      </c>
      <c r="GV21" s="533"/>
      <c r="GW21" s="534">
        <f t="shared" si="66"/>
        <v>0</v>
      </c>
      <c r="GX21" s="535">
        <f t="shared" si="177"/>
        <v>0</v>
      </c>
      <c r="GY21" s="533"/>
      <c r="GZ21" s="534">
        <f t="shared" si="67"/>
        <v>0</v>
      </c>
      <c r="HA21" s="535">
        <f t="shared" si="178"/>
        <v>0</v>
      </c>
      <c r="HB21" s="533"/>
      <c r="HC21" s="534">
        <f t="shared" si="68"/>
        <v>0</v>
      </c>
      <c r="HD21" s="535">
        <f t="shared" si="179"/>
        <v>0</v>
      </c>
      <c r="HE21" s="533"/>
      <c r="HF21" s="534">
        <f t="shared" si="69"/>
        <v>0</v>
      </c>
      <c r="HG21" s="535">
        <f t="shared" si="180"/>
        <v>0</v>
      </c>
      <c r="HH21" s="533"/>
      <c r="HI21" s="534">
        <f t="shared" si="70"/>
        <v>0</v>
      </c>
      <c r="HJ21" s="535">
        <f t="shared" si="181"/>
        <v>0</v>
      </c>
      <c r="HK21" s="533"/>
      <c r="HL21" s="534">
        <f t="shared" si="71"/>
        <v>0</v>
      </c>
      <c r="HM21" s="535">
        <f t="shared" si="182"/>
        <v>0</v>
      </c>
      <c r="HN21" s="533"/>
      <c r="HO21" s="534">
        <f t="shared" si="72"/>
        <v>0</v>
      </c>
      <c r="HP21" s="535">
        <f t="shared" si="183"/>
        <v>0</v>
      </c>
      <c r="HQ21" s="533"/>
      <c r="HR21" s="534">
        <f t="shared" si="73"/>
        <v>0</v>
      </c>
      <c r="HS21" s="535">
        <f t="shared" si="184"/>
        <v>0</v>
      </c>
      <c r="HT21" s="533"/>
      <c r="HU21" s="534">
        <f t="shared" si="74"/>
        <v>0</v>
      </c>
      <c r="HV21" s="535">
        <f t="shared" si="185"/>
        <v>0</v>
      </c>
      <c r="HW21" s="533"/>
      <c r="HX21" s="534">
        <f t="shared" si="75"/>
        <v>0</v>
      </c>
      <c r="HY21" s="535">
        <f t="shared" si="186"/>
        <v>0</v>
      </c>
      <c r="HZ21" s="533"/>
      <c r="IA21" s="534">
        <f t="shared" si="76"/>
        <v>0</v>
      </c>
      <c r="IB21" s="535">
        <f t="shared" si="187"/>
        <v>0</v>
      </c>
      <c r="IC21" s="533"/>
      <c r="ID21" s="534">
        <f t="shared" si="77"/>
        <v>0</v>
      </c>
      <c r="IE21" s="535">
        <f t="shared" si="188"/>
        <v>0</v>
      </c>
      <c r="IF21" s="533"/>
      <c r="IG21" s="534">
        <f t="shared" si="78"/>
        <v>0</v>
      </c>
      <c r="IH21" s="535">
        <f t="shared" si="189"/>
        <v>0</v>
      </c>
      <c r="II21" s="533"/>
      <c r="IJ21" s="534">
        <f t="shared" si="79"/>
        <v>0</v>
      </c>
      <c r="IK21" s="535">
        <f t="shared" si="190"/>
        <v>0</v>
      </c>
      <c r="IL21" s="533"/>
      <c r="IM21" s="534">
        <f t="shared" si="80"/>
        <v>0</v>
      </c>
      <c r="IN21" s="535">
        <f t="shared" si="191"/>
        <v>0</v>
      </c>
      <c r="IO21" s="533"/>
      <c r="IP21" s="534">
        <f t="shared" si="81"/>
        <v>0</v>
      </c>
      <c r="IQ21" s="535">
        <f t="shared" si="192"/>
        <v>0</v>
      </c>
      <c r="IR21" s="533"/>
      <c r="IS21" s="534">
        <f t="shared" si="82"/>
        <v>0</v>
      </c>
      <c r="IT21" s="535">
        <f t="shared" si="193"/>
        <v>0</v>
      </c>
      <c r="IU21" s="533"/>
      <c r="IV21" s="534">
        <f t="shared" si="83"/>
        <v>0</v>
      </c>
      <c r="IW21" s="535">
        <f t="shared" si="194"/>
        <v>0</v>
      </c>
      <c r="IX21" s="533"/>
      <c r="IY21" s="534">
        <f t="shared" si="84"/>
        <v>0</v>
      </c>
      <c r="IZ21" s="535">
        <f t="shared" si="195"/>
        <v>0</v>
      </c>
      <c r="JA21" s="533"/>
      <c r="JB21" s="534">
        <f t="shared" si="85"/>
        <v>0</v>
      </c>
      <c r="JC21" s="535">
        <f t="shared" si="196"/>
        <v>0</v>
      </c>
      <c r="JD21" s="533"/>
      <c r="JE21" s="534">
        <f t="shared" si="86"/>
        <v>0</v>
      </c>
      <c r="JF21" s="535">
        <f t="shared" si="197"/>
        <v>0</v>
      </c>
      <c r="JG21" s="533"/>
      <c r="JH21" s="534">
        <f t="shared" si="87"/>
        <v>0</v>
      </c>
      <c r="JI21" s="535">
        <f t="shared" si="198"/>
        <v>0</v>
      </c>
      <c r="JJ21" s="533"/>
      <c r="JK21" s="535" t="str">
        <f t="shared" si="88"/>
        <v>0</v>
      </c>
      <c r="JL21" s="535" t="str">
        <f t="shared" si="89"/>
        <v>0</v>
      </c>
      <c r="JM21" s="533"/>
      <c r="JN21" s="535" t="str">
        <f t="shared" si="90"/>
        <v>0</v>
      </c>
      <c r="JO21" s="535" t="str">
        <f t="shared" si="91"/>
        <v>0</v>
      </c>
      <c r="JP21" s="533"/>
      <c r="JQ21" s="535" t="str">
        <f t="shared" si="92"/>
        <v>0</v>
      </c>
      <c r="JR21" s="535" t="str">
        <f t="shared" si="93"/>
        <v>0</v>
      </c>
      <c r="JS21" s="533"/>
      <c r="JT21" s="535" t="str">
        <f t="shared" si="94"/>
        <v>0</v>
      </c>
      <c r="JU21" s="535" t="str">
        <f t="shared" si="95"/>
        <v>0</v>
      </c>
      <c r="JV21" s="533"/>
      <c r="JW21" s="535" t="str">
        <f t="shared" si="96"/>
        <v>0</v>
      </c>
      <c r="JX21" s="535" t="str">
        <f t="shared" si="97"/>
        <v>0</v>
      </c>
      <c r="JY21" s="533"/>
      <c r="JZ21" s="535" t="str">
        <f t="shared" si="98"/>
        <v>0</v>
      </c>
      <c r="KA21" s="535" t="str">
        <f t="shared" si="99"/>
        <v>0</v>
      </c>
      <c r="KB21" s="533"/>
      <c r="KC21" s="535" t="str">
        <f t="shared" si="100"/>
        <v>0</v>
      </c>
      <c r="KD21" s="535" t="str">
        <f t="shared" si="101"/>
        <v>0</v>
      </c>
      <c r="KE21" s="533"/>
      <c r="KF21" s="535" t="str">
        <f t="shared" si="102"/>
        <v>0</v>
      </c>
      <c r="KG21" s="535" t="str">
        <f t="shared" si="103"/>
        <v>0</v>
      </c>
      <c r="KH21" s="533"/>
      <c r="KI21" s="535" t="str">
        <f t="shared" si="104"/>
        <v>0</v>
      </c>
      <c r="KJ21" s="535" t="str">
        <f t="shared" si="105"/>
        <v>0</v>
      </c>
      <c r="KK21" s="533"/>
      <c r="KL21" s="535" t="str">
        <f t="shared" si="106"/>
        <v>0</v>
      </c>
      <c r="KM21" s="535" t="str">
        <f t="shared" si="107"/>
        <v>0</v>
      </c>
      <c r="KN21" s="533"/>
      <c r="KO21" s="535" t="str">
        <f t="shared" si="108"/>
        <v>0</v>
      </c>
      <c r="KP21" s="535" t="str">
        <f t="shared" si="109"/>
        <v>0</v>
      </c>
      <c r="KQ21" s="533"/>
      <c r="KR21" s="535" t="str">
        <f t="shared" si="110"/>
        <v>0</v>
      </c>
      <c r="KS21" s="535" t="str">
        <f t="shared" si="111"/>
        <v>0</v>
      </c>
      <c r="KT21" s="535">
        <f t="shared" si="201"/>
        <v>0</v>
      </c>
      <c r="KU21" s="535">
        <f t="shared" si="202"/>
        <v>0</v>
      </c>
      <c r="KV21" s="272">
        <f t="shared" si="199"/>
        <v>300.46444798927388</v>
      </c>
    </row>
    <row r="22" spans="1:309" ht="15" customHeight="1">
      <c r="A22" s="274">
        <f t="shared" si="200"/>
        <v>45975</v>
      </c>
      <c r="B22" s="275" t="str">
        <f>+Report1!B22</f>
        <v>Facial</v>
      </c>
      <c r="C22" s="415" t="str">
        <f>+Report1!C22</f>
        <v>13/12,5</v>
      </c>
      <c r="D22" s="276">
        <f>+Report1!P22</f>
        <v>52.349000000000004</v>
      </c>
      <c r="E22" s="277">
        <f>+Report1!R22</f>
        <v>47.758000000000003</v>
      </c>
      <c r="F22" s="533">
        <v>0</v>
      </c>
      <c r="G22" s="534">
        <f t="shared" si="0"/>
        <v>0</v>
      </c>
      <c r="H22" s="535">
        <f t="shared" si="112"/>
        <v>0</v>
      </c>
      <c r="I22" s="533">
        <v>313.95348837209303</v>
      </c>
      <c r="J22" s="534">
        <f t="shared" si="1"/>
        <v>6.5738407883934213</v>
      </c>
      <c r="K22" s="535">
        <f t="shared" si="113"/>
        <v>0</v>
      </c>
      <c r="L22" s="533"/>
      <c r="M22" s="534">
        <f t="shared" si="2"/>
        <v>0</v>
      </c>
      <c r="N22" s="535">
        <f t="shared" si="114"/>
        <v>0</v>
      </c>
      <c r="O22" s="533">
        <v>9</v>
      </c>
      <c r="P22" s="534">
        <f t="shared" si="3"/>
        <v>0.1884501026006114</v>
      </c>
      <c r="Q22" s="535">
        <f t="shared" si="115"/>
        <v>0</v>
      </c>
      <c r="R22" s="533"/>
      <c r="S22" s="534">
        <f t="shared" si="4"/>
        <v>0</v>
      </c>
      <c r="T22" s="535">
        <f t="shared" si="116"/>
        <v>0</v>
      </c>
      <c r="U22" s="533">
        <v>5.1249999999999858</v>
      </c>
      <c r="V22" s="534">
        <f t="shared" si="5"/>
        <v>0.10731186398090342</v>
      </c>
      <c r="W22" s="535">
        <f t="shared" si="117"/>
        <v>0</v>
      </c>
      <c r="X22" s="533"/>
      <c r="Y22" s="534">
        <f t="shared" si="6"/>
        <v>0</v>
      </c>
      <c r="Z22" s="535">
        <f t="shared" si="118"/>
        <v>0</v>
      </c>
      <c r="AA22" s="533"/>
      <c r="AB22" s="534">
        <f t="shared" si="7"/>
        <v>0</v>
      </c>
      <c r="AC22" s="535">
        <f t="shared" si="119"/>
        <v>0</v>
      </c>
      <c r="AD22" s="533"/>
      <c r="AE22" s="534">
        <f t="shared" si="8"/>
        <v>0</v>
      </c>
      <c r="AF22" s="535">
        <f t="shared" si="120"/>
        <v>0</v>
      </c>
      <c r="AG22" s="533"/>
      <c r="AH22" s="534">
        <f t="shared" si="9"/>
        <v>0</v>
      </c>
      <c r="AI22" s="535">
        <f t="shared" si="121"/>
        <v>0</v>
      </c>
      <c r="AJ22" s="533">
        <v>0</v>
      </c>
      <c r="AK22" s="534">
        <f t="shared" si="10"/>
        <v>0</v>
      </c>
      <c r="AL22" s="535">
        <f t="shared" si="122"/>
        <v>0</v>
      </c>
      <c r="AM22" s="533">
        <v>0</v>
      </c>
      <c r="AN22" s="534">
        <f t="shared" si="11"/>
        <v>0</v>
      </c>
      <c r="AO22" s="535">
        <f t="shared" si="123"/>
        <v>0</v>
      </c>
      <c r="AP22" s="533">
        <v>51.265822784810126</v>
      </c>
      <c r="AQ22" s="534">
        <f t="shared" si="12"/>
        <v>1.07344995152247</v>
      </c>
      <c r="AR22" s="535">
        <f t="shared" si="124"/>
        <v>0</v>
      </c>
      <c r="AS22" s="533"/>
      <c r="AT22" s="534">
        <f t="shared" si="13"/>
        <v>0</v>
      </c>
      <c r="AU22" s="535">
        <f t="shared" si="125"/>
        <v>0</v>
      </c>
      <c r="AV22" s="533">
        <v>2.7750000000000057</v>
      </c>
      <c r="AW22" s="534">
        <f t="shared" si="14"/>
        <v>5.8105448301855302E-2</v>
      </c>
      <c r="AX22" s="535">
        <f t="shared" si="126"/>
        <v>0</v>
      </c>
      <c r="AY22" s="533">
        <v>53.666666666666657</v>
      </c>
      <c r="AZ22" s="534">
        <f t="shared" si="15"/>
        <v>1.1237209821740159</v>
      </c>
      <c r="BA22" s="535">
        <f t="shared" si="127"/>
        <v>0</v>
      </c>
      <c r="BB22" s="533">
        <v>0</v>
      </c>
      <c r="BC22" s="534">
        <f t="shared" si="16"/>
        <v>0</v>
      </c>
      <c r="BD22" s="535">
        <f t="shared" si="128"/>
        <v>0</v>
      </c>
      <c r="BE22" s="533"/>
      <c r="BF22" s="534">
        <f t="shared" si="17"/>
        <v>0</v>
      </c>
      <c r="BG22" s="535">
        <f t="shared" si="129"/>
        <v>0</v>
      </c>
      <c r="BH22" s="533"/>
      <c r="BI22" s="534">
        <f t="shared" si="18"/>
        <v>0</v>
      </c>
      <c r="BJ22" s="535">
        <f t="shared" si="130"/>
        <v>0</v>
      </c>
      <c r="BK22" s="533"/>
      <c r="BL22" s="534">
        <f t="shared" si="19"/>
        <v>0</v>
      </c>
      <c r="BM22" s="535">
        <f t="shared" si="131"/>
        <v>0</v>
      </c>
      <c r="BN22" s="533">
        <v>2.5308641975308603</v>
      </c>
      <c r="BO22" s="534">
        <f t="shared" si="20"/>
        <v>5.2993513076989407E-2</v>
      </c>
      <c r="BP22" s="535">
        <f t="shared" si="132"/>
        <v>0</v>
      </c>
      <c r="BQ22" s="533">
        <v>64.102564102564145</v>
      </c>
      <c r="BR22" s="534">
        <f t="shared" si="21"/>
        <v>1.3422371980100536</v>
      </c>
      <c r="BS22" s="535">
        <f t="shared" si="133"/>
        <v>0</v>
      </c>
      <c r="BT22" s="533"/>
      <c r="BU22" s="534">
        <f t="shared" si="22"/>
        <v>0</v>
      </c>
      <c r="BV22" s="535">
        <f t="shared" si="134"/>
        <v>0</v>
      </c>
      <c r="BW22" s="533">
        <v>0</v>
      </c>
      <c r="BX22" s="534">
        <f t="shared" si="23"/>
        <v>0</v>
      </c>
      <c r="BY22" s="535">
        <f t="shared" si="135"/>
        <v>0</v>
      </c>
      <c r="BZ22" s="533"/>
      <c r="CA22" s="534">
        <f t="shared" si="24"/>
        <v>0</v>
      </c>
      <c r="CB22" s="535">
        <f t="shared" si="136"/>
        <v>0</v>
      </c>
      <c r="CC22" s="533">
        <v>0</v>
      </c>
      <c r="CD22" s="534">
        <f t="shared" si="25"/>
        <v>0</v>
      </c>
      <c r="CE22" s="535">
        <f t="shared" si="137"/>
        <v>0</v>
      </c>
      <c r="CF22" s="533">
        <v>0.10000000000000009</v>
      </c>
      <c r="CG22" s="534">
        <f t="shared" si="26"/>
        <v>2.0938900288956842E-3</v>
      </c>
      <c r="CH22" s="535">
        <f t="shared" si="138"/>
        <v>0</v>
      </c>
      <c r="CI22" s="533"/>
      <c r="CJ22" s="534">
        <f t="shared" si="27"/>
        <v>0</v>
      </c>
      <c r="CK22" s="535">
        <f t="shared" si="139"/>
        <v>0</v>
      </c>
      <c r="CL22" s="533"/>
      <c r="CM22" s="534">
        <f t="shared" si="28"/>
        <v>0</v>
      </c>
      <c r="CN22" s="535">
        <f t="shared" si="140"/>
        <v>0</v>
      </c>
      <c r="CO22" s="533"/>
      <c r="CP22" s="534">
        <f t="shared" si="29"/>
        <v>0</v>
      </c>
      <c r="CQ22" s="535">
        <f t="shared" si="141"/>
        <v>0</v>
      </c>
      <c r="CR22" s="533"/>
      <c r="CS22" s="534">
        <f t="shared" si="30"/>
        <v>0</v>
      </c>
      <c r="CT22" s="535">
        <f t="shared" si="142"/>
        <v>0</v>
      </c>
      <c r="CU22" s="533"/>
      <c r="CV22" s="534">
        <f t="shared" si="31"/>
        <v>0</v>
      </c>
      <c r="CW22" s="535">
        <f t="shared" si="143"/>
        <v>0</v>
      </c>
      <c r="CX22" s="533"/>
      <c r="CY22" s="534">
        <f t="shared" si="32"/>
        <v>0</v>
      </c>
      <c r="CZ22" s="535">
        <f t="shared" si="144"/>
        <v>0</v>
      </c>
      <c r="DA22" s="533"/>
      <c r="DB22" s="534">
        <f t="shared" si="33"/>
        <v>0</v>
      </c>
      <c r="DC22" s="535">
        <f t="shared" si="145"/>
        <v>0</v>
      </c>
      <c r="DD22" s="533"/>
      <c r="DE22" s="534">
        <f t="shared" si="34"/>
        <v>0</v>
      </c>
      <c r="DF22" s="535">
        <f t="shared" si="146"/>
        <v>0</v>
      </c>
      <c r="DG22" s="533">
        <v>0</v>
      </c>
      <c r="DH22" s="534">
        <f t="shared" si="35"/>
        <v>0</v>
      </c>
      <c r="DI22" s="535">
        <f t="shared" si="203"/>
        <v>0</v>
      </c>
      <c r="DJ22" s="533"/>
      <c r="DK22" s="534">
        <f t="shared" si="36"/>
        <v>0</v>
      </c>
      <c r="DL22" s="535">
        <f t="shared" si="147"/>
        <v>0</v>
      </c>
      <c r="DM22" s="533"/>
      <c r="DN22" s="534">
        <f t="shared" si="37"/>
        <v>0</v>
      </c>
      <c r="DO22" s="535">
        <f t="shared" si="148"/>
        <v>0</v>
      </c>
      <c r="DP22" s="533"/>
      <c r="DQ22" s="534">
        <f t="shared" si="38"/>
        <v>0</v>
      </c>
      <c r="DR22" s="535">
        <f t="shared" si="149"/>
        <v>0</v>
      </c>
      <c r="DS22" s="533"/>
      <c r="DT22" s="534">
        <f t="shared" si="39"/>
        <v>0</v>
      </c>
      <c r="DU22" s="535">
        <f t="shared" si="150"/>
        <v>0</v>
      </c>
      <c r="DV22" s="533"/>
      <c r="DW22" s="534">
        <f t="shared" si="40"/>
        <v>0</v>
      </c>
      <c r="DX22" s="535">
        <f t="shared" si="151"/>
        <v>0</v>
      </c>
      <c r="DY22" s="533"/>
      <c r="DZ22" s="534">
        <f t="shared" si="41"/>
        <v>0</v>
      </c>
      <c r="EA22" s="535">
        <f t="shared" si="152"/>
        <v>0</v>
      </c>
      <c r="EB22" s="533">
        <v>14.534883720930225</v>
      </c>
      <c r="EC22" s="534">
        <f t="shared" si="42"/>
        <v>0.30434448094413968</v>
      </c>
      <c r="ED22" s="535">
        <f t="shared" si="153"/>
        <v>0</v>
      </c>
      <c r="EE22" s="533">
        <v>1</v>
      </c>
      <c r="EF22" s="534">
        <f t="shared" si="43"/>
        <v>2.0938900288956824E-2</v>
      </c>
      <c r="EG22" s="535">
        <f t="shared" si="154"/>
        <v>0</v>
      </c>
      <c r="EH22" s="533"/>
      <c r="EI22" s="534">
        <f t="shared" si="44"/>
        <v>0</v>
      </c>
      <c r="EJ22" s="535">
        <f t="shared" si="155"/>
        <v>0</v>
      </c>
      <c r="EK22" s="533"/>
      <c r="EL22" s="534">
        <f t="shared" si="45"/>
        <v>0</v>
      </c>
      <c r="EM22" s="535">
        <f t="shared" si="156"/>
        <v>0</v>
      </c>
      <c r="EN22" s="533"/>
      <c r="EO22" s="534">
        <f t="shared" si="46"/>
        <v>0</v>
      </c>
      <c r="EP22" s="535">
        <f t="shared" si="157"/>
        <v>0</v>
      </c>
      <c r="EQ22" s="533"/>
      <c r="ER22" s="534">
        <f t="shared" si="47"/>
        <v>0</v>
      </c>
      <c r="ES22" s="535">
        <f t="shared" si="158"/>
        <v>0</v>
      </c>
      <c r="ET22" s="533"/>
      <c r="EU22" s="534">
        <f t="shared" si="48"/>
        <v>0</v>
      </c>
      <c r="EV22" s="535">
        <f t="shared" si="159"/>
        <v>0</v>
      </c>
      <c r="EW22" s="533"/>
      <c r="EX22" s="534">
        <f t="shared" si="49"/>
        <v>0</v>
      </c>
      <c r="EY22" s="535">
        <f t="shared" si="160"/>
        <v>0</v>
      </c>
      <c r="EZ22" s="533"/>
      <c r="FA22" s="534">
        <f t="shared" si="50"/>
        <v>0</v>
      </c>
      <c r="FB22" s="535">
        <f t="shared" si="161"/>
        <v>0</v>
      </c>
      <c r="FC22" s="533"/>
      <c r="FD22" s="534">
        <f t="shared" si="51"/>
        <v>0</v>
      </c>
      <c r="FE22" s="535">
        <f t="shared" si="162"/>
        <v>0</v>
      </c>
      <c r="FF22" s="533"/>
      <c r="FG22" s="534">
        <f t="shared" si="52"/>
        <v>0</v>
      </c>
      <c r="FH22" s="535">
        <f t="shared" si="163"/>
        <v>0</v>
      </c>
      <c r="FI22" s="533"/>
      <c r="FJ22" s="534">
        <f t="shared" si="53"/>
        <v>0</v>
      </c>
      <c r="FK22" s="535">
        <f t="shared" si="164"/>
        <v>0</v>
      </c>
      <c r="FL22" s="533"/>
      <c r="FM22" s="534">
        <f t="shared" si="54"/>
        <v>0</v>
      </c>
      <c r="FN22" s="535">
        <f t="shared" si="165"/>
        <v>0</v>
      </c>
      <c r="FO22" s="533"/>
      <c r="FP22" s="534">
        <f t="shared" si="55"/>
        <v>0</v>
      </c>
      <c r="FQ22" s="535">
        <f t="shared" si="166"/>
        <v>0</v>
      </c>
      <c r="FR22" s="533"/>
      <c r="FS22" s="534">
        <f t="shared" si="56"/>
        <v>0</v>
      </c>
      <c r="FT22" s="535">
        <f t="shared" si="167"/>
        <v>0</v>
      </c>
      <c r="FU22" s="533"/>
      <c r="FV22" s="534">
        <f t="shared" si="57"/>
        <v>0</v>
      </c>
      <c r="FW22" s="535">
        <f t="shared" si="168"/>
        <v>0</v>
      </c>
      <c r="FX22" s="533"/>
      <c r="FY22" s="534">
        <f t="shared" si="58"/>
        <v>0</v>
      </c>
      <c r="FZ22" s="535">
        <f t="shared" si="169"/>
        <v>0</v>
      </c>
      <c r="GA22" s="533"/>
      <c r="GB22" s="534">
        <f t="shared" si="59"/>
        <v>0</v>
      </c>
      <c r="GC22" s="535">
        <f t="shared" si="170"/>
        <v>0</v>
      </c>
      <c r="GD22" s="533"/>
      <c r="GE22" s="534">
        <f t="shared" si="60"/>
        <v>0</v>
      </c>
      <c r="GF22" s="535">
        <f t="shared" si="171"/>
        <v>0</v>
      </c>
      <c r="GG22" s="533"/>
      <c r="GH22" s="534">
        <f t="shared" si="61"/>
        <v>0</v>
      </c>
      <c r="GI22" s="535">
        <f t="shared" si="172"/>
        <v>0</v>
      </c>
      <c r="GJ22" s="533"/>
      <c r="GK22" s="534">
        <f t="shared" si="62"/>
        <v>0</v>
      </c>
      <c r="GL22" s="535">
        <f t="shared" si="173"/>
        <v>0</v>
      </c>
      <c r="GM22" s="533"/>
      <c r="GN22" s="534">
        <f t="shared" si="63"/>
        <v>0</v>
      </c>
      <c r="GO22" s="535">
        <f t="shared" si="174"/>
        <v>0</v>
      </c>
      <c r="GP22" s="533"/>
      <c r="GQ22" s="534">
        <f t="shared" si="64"/>
        <v>0</v>
      </c>
      <c r="GR22" s="535">
        <f t="shared" si="175"/>
        <v>0</v>
      </c>
      <c r="GS22" s="533"/>
      <c r="GT22" s="534">
        <f t="shared" si="65"/>
        <v>0</v>
      </c>
      <c r="GU22" s="535">
        <f t="shared" si="176"/>
        <v>0</v>
      </c>
      <c r="GV22" s="533"/>
      <c r="GW22" s="534">
        <f t="shared" si="66"/>
        <v>0</v>
      </c>
      <c r="GX22" s="535">
        <f t="shared" si="177"/>
        <v>0</v>
      </c>
      <c r="GY22" s="533"/>
      <c r="GZ22" s="534">
        <f t="shared" si="67"/>
        <v>0</v>
      </c>
      <c r="HA22" s="535">
        <f t="shared" si="178"/>
        <v>0</v>
      </c>
      <c r="HB22" s="533"/>
      <c r="HC22" s="534">
        <f t="shared" si="68"/>
        <v>0</v>
      </c>
      <c r="HD22" s="535">
        <f t="shared" si="179"/>
        <v>0</v>
      </c>
      <c r="HE22" s="533"/>
      <c r="HF22" s="534">
        <f t="shared" si="69"/>
        <v>0</v>
      </c>
      <c r="HG22" s="535">
        <f t="shared" si="180"/>
        <v>0</v>
      </c>
      <c r="HH22" s="533"/>
      <c r="HI22" s="534">
        <f t="shared" si="70"/>
        <v>0</v>
      </c>
      <c r="HJ22" s="535">
        <f t="shared" si="181"/>
        <v>0</v>
      </c>
      <c r="HK22" s="533"/>
      <c r="HL22" s="534">
        <f t="shared" si="71"/>
        <v>0</v>
      </c>
      <c r="HM22" s="535">
        <f t="shared" si="182"/>
        <v>0</v>
      </c>
      <c r="HN22" s="533"/>
      <c r="HO22" s="534">
        <f t="shared" si="72"/>
        <v>0</v>
      </c>
      <c r="HP22" s="535">
        <f t="shared" si="183"/>
        <v>0</v>
      </c>
      <c r="HQ22" s="533"/>
      <c r="HR22" s="534">
        <f t="shared" si="73"/>
        <v>0</v>
      </c>
      <c r="HS22" s="535">
        <f t="shared" si="184"/>
        <v>0</v>
      </c>
      <c r="HT22" s="533"/>
      <c r="HU22" s="534">
        <f t="shared" si="74"/>
        <v>0</v>
      </c>
      <c r="HV22" s="535">
        <f t="shared" si="185"/>
        <v>0</v>
      </c>
      <c r="HW22" s="533"/>
      <c r="HX22" s="534">
        <f t="shared" si="75"/>
        <v>0</v>
      </c>
      <c r="HY22" s="535">
        <f t="shared" si="186"/>
        <v>0</v>
      </c>
      <c r="HZ22" s="533"/>
      <c r="IA22" s="534">
        <f t="shared" si="76"/>
        <v>0</v>
      </c>
      <c r="IB22" s="535">
        <f t="shared" si="187"/>
        <v>0</v>
      </c>
      <c r="IC22" s="533"/>
      <c r="ID22" s="534">
        <f t="shared" si="77"/>
        <v>0</v>
      </c>
      <c r="IE22" s="535">
        <f t="shared" si="188"/>
        <v>0</v>
      </c>
      <c r="IF22" s="533"/>
      <c r="IG22" s="534">
        <f t="shared" si="78"/>
        <v>0</v>
      </c>
      <c r="IH22" s="535">
        <f t="shared" si="189"/>
        <v>0</v>
      </c>
      <c r="II22" s="533"/>
      <c r="IJ22" s="534">
        <f t="shared" si="79"/>
        <v>0</v>
      </c>
      <c r="IK22" s="535">
        <f t="shared" si="190"/>
        <v>0</v>
      </c>
      <c r="IL22" s="533"/>
      <c r="IM22" s="534">
        <f t="shared" si="80"/>
        <v>0</v>
      </c>
      <c r="IN22" s="535">
        <f t="shared" si="191"/>
        <v>0</v>
      </c>
      <c r="IO22" s="533"/>
      <c r="IP22" s="534">
        <f t="shared" si="81"/>
        <v>0</v>
      </c>
      <c r="IQ22" s="535">
        <f t="shared" si="192"/>
        <v>0</v>
      </c>
      <c r="IR22" s="533"/>
      <c r="IS22" s="534">
        <f t="shared" si="82"/>
        <v>0</v>
      </c>
      <c r="IT22" s="535">
        <f t="shared" si="193"/>
        <v>0</v>
      </c>
      <c r="IU22" s="533"/>
      <c r="IV22" s="534">
        <f t="shared" si="83"/>
        <v>0</v>
      </c>
      <c r="IW22" s="535">
        <f t="shared" si="194"/>
        <v>0</v>
      </c>
      <c r="IX22" s="533"/>
      <c r="IY22" s="534">
        <f t="shared" si="84"/>
        <v>0</v>
      </c>
      <c r="IZ22" s="535">
        <f t="shared" si="195"/>
        <v>0</v>
      </c>
      <c r="JA22" s="533"/>
      <c r="JB22" s="534">
        <f t="shared" si="85"/>
        <v>0</v>
      </c>
      <c r="JC22" s="535">
        <f t="shared" si="196"/>
        <v>0</v>
      </c>
      <c r="JD22" s="533"/>
      <c r="JE22" s="534">
        <f t="shared" si="86"/>
        <v>0</v>
      </c>
      <c r="JF22" s="535">
        <f t="shared" si="197"/>
        <v>0</v>
      </c>
      <c r="JG22" s="533"/>
      <c r="JH22" s="534">
        <f t="shared" si="87"/>
        <v>0</v>
      </c>
      <c r="JI22" s="535">
        <f t="shared" si="198"/>
        <v>0</v>
      </c>
      <c r="JJ22" s="533"/>
      <c r="JK22" s="535" t="str">
        <f t="shared" si="88"/>
        <v>0</v>
      </c>
      <c r="JL22" s="535" t="str">
        <f t="shared" si="89"/>
        <v>0</v>
      </c>
      <c r="JM22" s="533"/>
      <c r="JN22" s="535" t="str">
        <f t="shared" si="90"/>
        <v>0</v>
      </c>
      <c r="JO22" s="535" t="str">
        <f t="shared" si="91"/>
        <v>0</v>
      </c>
      <c r="JP22" s="533"/>
      <c r="JQ22" s="535" t="str">
        <f t="shared" si="92"/>
        <v>0</v>
      </c>
      <c r="JR22" s="535" t="str">
        <f t="shared" si="93"/>
        <v>0</v>
      </c>
      <c r="JS22" s="533"/>
      <c r="JT22" s="535" t="str">
        <f t="shared" si="94"/>
        <v>0</v>
      </c>
      <c r="JU22" s="535" t="str">
        <f t="shared" si="95"/>
        <v>0</v>
      </c>
      <c r="JV22" s="533"/>
      <c r="JW22" s="535" t="str">
        <f t="shared" si="96"/>
        <v>0</v>
      </c>
      <c r="JX22" s="535" t="str">
        <f t="shared" si="97"/>
        <v>0</v>
      </c>
      <c r="JY22" s="533"/>
      <c r="JZ22" s="535" t="str">
        <f t="shared" si="98"/>
        <v>0</v>
      </c>
      <c r="KA22" s="535" t="str">
        <f t="shared" si="99"/>
        <v>0</v>
      </c>
      <c r="KB22" s="533"/>
      <c r="KC22" s="535" t="str">
        <f t="shared" si="100"/>
        <v>0</v>
      </c>
      <c r="KD22" s="535" t="str">
        <f t="shared" si="101"/>
        <v>0</v>
      </c>
      <c r="KE22" s="533"/>
      <c r="KF22" s="535" t="str">
        <f t="shared" si="102"/>
        <v>0</v>
      </c>
      <c r="KG22" s="535" t="str">
        <f t="shared" si="103"/>
        <v>0</v>
      </c>
      <c r="KH22" s="533"/>
      <c r="KI22" s="535" t="str">
        <f t="shared" si="104"/>
        <v>0</v>
      </c>
      <c r="KJ22" s="535" t="str">
        <f t="shared" si="105"/>
        <v>0</v>
      </c>
      <c r="KK22" s="533"/>
      <c r="KL22" s="535" t="str">
        <f t="shared" si="106"/>
        <v>0</v>
      </c>
      <c r="KM22" s="535" t="str">
        <f t="shared" si="107"/>
        <v>0</v>
      </c>
      <c r="KN22" s="533"/>
      <c r="KO22" s="535" t="str">
        <f t="shared" si="108"/>
        <v>0</v>
      </c>
      <c r="KP22" s="535" t="str">
        <f t="shared" si="109"/>
        <v>0</v>
      </c>
      <c r="KQ22" s="533"/>
      <c r="KR22" s="535" t="str">
        <f t="shared" si="110"/>
        <v>0</v>
      </c>
      <c r="KS22" s="535" t="str">
        <f t="shared" si="111"/>
        <v>0</v>
      </c>
      <c r="KT22" s="535">
        <f t="shared" si="201"/>
        <v>0</v>
      </c>
      <c r="KU22" s="535">
        <f t="shared" si="202"/>
        <v>0</v>
      </c>
      <c r="KV22" s="272">
        <f t="shared" si="199"/>
        <v>518.0542898445949</v>
      </c>
    </row>
    <row r="23" spans="1:309" ht="15" customHeight="1">
      <c r="A23" s="274">
        <f t="shared" si="200"/>
        <v>45976</v>
      </c>
      <c r="B23" s="275" t="str">
        <f>+Report1!B23</f>
        <v>Facial</v>
      </c>
      <c r="C23" s="415" t="str">
        <f>+Report1!C23</f>
        <v>12,5/12</v>
      </c>
      <c r="D23" s="276">
        <f>+Report1!P23</f>
        <v>51.089999999999996</v>
      </c>
      <c r="E23" s="277">
        <f>+Report1!R23</f>
        <v>46.701999999999998</v>
      </c>
      <c r="F23" s="533">
        <v>0</v>
      </c>
      <c r="G23" s="534">
        <f t="shared" si="0"/>
        <v>0</v>
      </c>
      <c r="H23" s="535">
        <f t="shared" si="112"/>
        <v>0</v>
      </c>
      <c r="I23" s="533">
        <v>200.13379534883734</v>
      </c>
      <c r="J23" s="534">
        <f t="shared" si="1"/>
        <v>4.2853367168180663</v>
      </c>
      <c r="K23" s="535">
        <f t="shared" si="113"/>
        <v>0</v>
      </c>
      <c r="L23" s="533"/>
      <c r="M23" s="534">
        <f t="shared" si="2"/>
        <v>0</v>
      </c>
      <c r="N23" s="535">
        <f t="shared" si="114"/>
        <v>0</v>
      </c>
      <c r="O23" s="533">
        <v>4.1827999999999861</v>
      </c>
      <c r="P23" s="534">
        <f t="shared" si="3"/>
        <v>8.9563616119223727E-2</v>
      </c>
      <c r="Q23" s="535">
        <f t="shared" si="115"/>
        <v>0</v>
      </c>
      <c r="R23" s="533"/>
      <c r="S23" s="534">
        <f t="shared" si="4"/>
        <v>0</v>
      </c>
      <c r="T23" s="535">
        <f t="shared" si="116"/>
        <v>0</v>
      </c>
      <c r="U23" s="533">
        <v>2.3832000000000164</v>
      </c>
      <c r="V23" s="534">
        <f t="shared" si="5"/>
        <v>5.102993447818116E-2</v>
      </c>
      <c r="W23" s="535">
        <f t="shared" si="117"/>
        <v>0</v>
      </c>
      <c r="X23" s="533"/>
      <c r="Y23" s="534">
        <f t="shared" si="6"/>
        <v>0</v>
      </c>
      <c r="Z23" s="535">
        <f t="shared" si="118"/>
        <v>0</v>
      </c>
      <c r="AA23" s="533"/>
      <c r="AB23" s="534">
        <f t="shared" si="7"/>
        <v>0</v>
      </c>
      <c r="AC23" s="535">
        <f t="shared" si="119"/>
        <v>0</v>
      </c>
      <c r="AD23" s="533"/>
      <c r="AE23" s="534">
        <f t="shared" si="8"/>
        <v>0</v>
      </c>
      <c r="AF23" s="535">
        <f t="shared" si="120"/>
        <v>0</v>
      </c>
      <c r="AG23" s="533"/>
      <c r="AH23" s="534">
        <f t="shared" si="9"/>
        <v>0</v>
      </c>
      <c r="AI23" s="535">
        <f t="shared" si="121"/>
        <v>0</v>
      </c>
      <c r="AJ23" s="533">
        <v>0</v>
      </c>
      <c r="AK23" s="534">
        <f t="shared" si="10"/>
        <v>0</v>
      </c>
      <c r="AL23" s="535">
        <f t="shared" si="122"/>
        <v>0</v>
      </c>
      <c r="AM23" s="533">
        <v>0</v>
      </c>
      <c r="AN23" s="534">
        <f t="shared" si="11"/>
        <v>0</v>
      </c>
      <c r="AO23" s="535">
        <f t="shared" si="123"/>
        <v>0</v>
      </c>
      <c r="AP23" s="533">
        <v>45.046163291139237</v>
      </c>
      <c r="AQ23" s="534">
        <f t="shared" si="12"/>
        <v>0.96454462959057941</v>
      </c>
      <c r="AR23" s="535">
        <f t="shared" si="124"/>
        <v>0</v>
      </c>
      <c r="AS23" s="533"/>
      <c r="AT23" s="534">
        <f t="shared" si="13"/>
        <v>0</v>
      </c>
      <c r="AU23" s="535">
        <f t="shared" si="125"/>
        <v>0</v>
      </c>
      <c r="AV23" s="533">
        <v>2.5875000000000341</v>
      </c>
      <c r="AW23" s="534">
        <f t="shared" si="14"/>
        <v>5.5404479465548245E-2</v>
      </c>
      <c r="AX23" s="535">
        <f t="shared" si="126"/>
        <v>0</v>
      </c>
      <c r="AY23" s="533">
        <v>61.866266666666661</v>
      </c>
      <c r="AZ23" s="534">
        <f t="shared" si="15"/>
        <v>1.3247027250795824</v>
      </c>
      <c r="BA23" s="535">
        <f t="shared" si="127"/>
        <v>0</v>
      </c>
      <c r="BB23" s="533">
        <v>0</v>
      </c>
      <c r="BC23" s="534">
        <f t="shared" si="16"/>
        <v>0</v>
      </c>
      <c r="BD23" s="535">
        <f t="shared" si="128"/>
        <v>0</v>
      </c>
      <c r="BE23" s="533"/>
      <c r="BF23" s="534">
        <f t="shared" si="17"/>
        <v>0</v>
      </c>
      <c r="BG23" s="535">
        <f t="shared" si="129"/>
        <v>0</v>
      </c>
      <c r="BH23" s="533"/>
      <c r="BI23" s="534">
        <f t="shared" si="18"/>
        <v>0</v>
      </c>
      <c r="BJ23" s="535">
        <f t="shared" si="130"/>
        <v>0</v>
      </c>
      <c r="BK23" s="533"/>
      <c r="BL23" s="534">
        <f t="shared" si="19"/>
        <v>0</v>
      </c>
      <c r="BM23" s="535">
        <f t="shared" si="131"/>
        <v>0</v>
      </c>
      <c r="BN23" s="533">
        <v>11.778218518518514</v>
      </c>
      <c r="BO23" s="534">
        <f t="shared" si="20"/>
        <v>0.25219944581642145</v>
      </c>
      <c r="BP23" s="535">
        <f t="shared" si="132"/>
        <v>0</v>
      </c>
      <c r="BQ23" s="533">
        <v>8.3522292307692396</v>
      </c>
      <c r="BR23" s="534">
        <f t="shared" si="21"/>
        <v>0.178840932524715</v>
      </c>
      <c r="BS23" s="535">
        <f t="shared" si="133"/>
        <v>0</v>
      </c>
      <c r="BT23" s="533"/>
      <c r="BU23" s="534">
        <f t="shared" si="22"/>
        <v>0</v>
      </c>
      <c r="BV23" s="535">
        <f t="shared" si="134"/>
        <v>0</v>
      </c>
      <c r="BW23" s="533">
        <v>0</v>
      </c>
      <c r="BX23" s="534">
        <f t="shared" si="23"/>
        <v>0</v>
      </c>
      <c r="BY23" s="535">
        <f t="shared" si="135"/>
        <v>0</v>
      </c>
      <c r="BZ23" s="533"/>
      <c r="CA23" s="534">
        <f t="shared" si="24"/>
        <v>0</v>
      </c>
      <c r="CB23" s="535">
        <f t="shared" si="136"/>
        <v>0</v>
      </c>
      <c r="CC23" s="533">
        <v>0</v>
      </c>
      <c r="CD23" s="534">
        <f t="shared" si="25"/>
        <v>0</v>
      </c>
      <c r="CE23" s="535">
        <f t="shared" si="137"/>
        <v>0</v>
      </c>
      <c r="CF23" s="533">
        <v>0.15000000000000002</v>
      </c>
      <c r="CG23" s="534">
        <f t="shared" si="26"/>
        <v>3.2118538820607259E-3</v>
      </c>
      <c r="CH23" s="535">
        <f t="shared" si="138"/>
        <v>0</v>
      </c>
      <c r="CI23" s="533"/>
      <c r="CJ23" s="534">
        <f t="shared" si="27"/>
        <v>0</v>
      </c>
      <c r="CK23" s="535">
        <f t="shared" si="139"/>
        <v>0</v>
      </c>
      <c r="CL23" s="533"/>
      <c r="CM23" s="534">
        <f t="shared" si="28"/>
        <v>0</v>
      </c>
      <c r="CN23" s="535">
        <f t="shared" si="140"/>
        <v>0</v>
      </c>
      <c r="CO23" s="533"/>
      <c r="CP23" s="534">
        <f t="shared" si="29"/>
        <v>0</v>
      </c>
      <c r="CQ23" s="535">
        <f t="shared" si="141"/>
        <v>0</v>
      </c>
      <c r="CR23" s="533"/>
      <c r="CS23" s="534">
        <f t="shared" si="30"/>
        <v>0</v>
      </c>
      <c r="CT23" s="535">
        <f t="shared" si="142"/>
        <v>0</v>
      </c>
      <c r="CU23" s="533"/>
      <c r="CV23" s="534">
        <f t="shared" si="31"/>
        <v>0</v>
      </c>
      <c r="CW23" s="535">
        <f t="shared" si="143"/>
        <v>0</v>
      </c>
      <c r="CX23" s="533"/>
      <c r="CY23" s="534">
        <f t="shared" si="32"/>
        <v>0</v>
      </c>
      <c r="CZ23" s="535">
        <f t="shared" si="144"/>
        <v>0</v>
      </c>
      <c r="DA23" s="533"/>
      <c r="DB23" s="534">
        <f t="shared" si="33"/>
        <v>0</v>
      </c>
      <c r="DC23" s="535">
        <f t="shared" si="145"/>
        <v>0</v>
      </c>
      <c r="DD23" s="533"/>
      <c r="DE23" s="534">
        <f t="shared" si="34"/>
        <v>0</v>
      </c>
      <c r="DF23" s="535">
        <f t="shared" si="146"/>
        <v>0</v>
      </c>
      <c r="DG23" s="533">
        <v>0</v>
      </c>
      <c r="DH23" s="534">
        <f t="shared" si="35"/>
        <v>0</v>
      </c>
      <c r="DI23" s="535">
        <f t="shared" si="203"/>
        <v>0</v>
      </c>
      <c r="DJ23" s="533"/>
      <c r="DK23" s="534">
        <f t="shared" si="36"/>
        <v>0</v>
      </c>
      <c r="DL23" s="535">
        <f t="shared" si="147"/>
        <v>0</v>
      </c>
      <c r="DM23" s="533"/>
      <c r="DN23" s="534">
        <f t="shared" si="37"/>
        <v>0</v>
      </c>
      <c r="DO23" s="535">
        <f t="shared" si="148"/>
        <v>0</v>
      </c>
      <c r="DP23" s="533"/>
      <c r="DQ23" s="534">
        <f t="shared" si="38"/>
        <v>0</v>
      </c>
      <c r="DR23" s="535">
        <f t="shared" si="149"/>
        <v>0</v>
      </c>
      <c r="DS23" s="533"/>
      <c r="DT23" s="534">
        <f t="shared" si="39"/>
        <v>0</v>
      </c>
      <c r="DU23" s="535">
        <f t="shared" si="150"/>
        <v>0</v>
      </c>
      <c r="DV23" s="533"/>
      <c r="DW23" s="534">
        <f t="shared" si="40"/>
        <v>0</v>
      </c>
      <c r="DX23" s="535">
        <f t="shared" si="151"/>
        <v>0</v>
      </c>
      <c r="DY23" s="533"/>
      <c r="DZ23" s="534">
        <f t="shared" si="41"/>
        <v>0</v>
      </c>
      <c r="EA23" s="535">
        <f t="shared" si="152"/>
        <v>0</v>
      </c>
      <c r="EB23" s="533">
        <v>13.516409302325542</v>
      </c>
      <c r="EC23" s="534">
        <f t="shared" si="42"/>
        <v>0.28941821126130662</v>
      </c>
      <c r="ED23" s="535">
        <f t="shared" si="153"/>
        <v>0</v>
      </c>
      <c r="EE23" s="533">
        <v>1</v>
      </c>
      <c r="EF23" s="534">
        <f t="shared" si="43"/>
        <v>2.1412359213738172E-2</v>
      </c>
      <c r="EG23" s="535">
        <f t="shared" si="154"/>
        <v>0</v>
      </c>
      <c r="EH23" s="533"/>
      <c r="EI23" s="534">
        <f t="shared" si="44"/>
        <v>0</v>
      </c>
      <c r="EJ23" s="535">
        <f t="shared" si="155"/>
        <v>0</v>
      </c>
      <c r="EK23" s="533"/>
      <c r="EL23" s="534">
        <f t="shared" si="45"/>
        <v>0</v>
      </c>
      <c r="EM23" s="535">
        <f t="shared" si="156"/>
        <v>0</v>
      </c>
      <c r="EN23" s="533"/>
      <c r="EO23" s="534">
        <f t="shared" si="46"/>
        <v>0</v>
      </c>
      <c r="EP23" s="535">
        <f t="shared" si="157"/>
        <v>0</v>
      </c>
      <c r="EQ23" s="533"/>
      <c r="ER23" s="534">
        <f t="shared" si="47"/>
        <v>0</v>
      </c>
      <c r="ES23" s="535">
        <f t="shared" si="158"/>
        <v>0</v>
      </c>
      <c r="ET23" s="533"/>
      <c r="EU23" s="534">
        <f t="shared" si="48"/>
        <v>0</v>
      </c>
      <c r="EV23" s="535">
        <f t="shared" si="159"/>
        <v>0</v>
      </c>
      <c r="EW23" s="533"/>
      <c r="EX23" s="534">
        <f t="shared" si="49"/>
        <v>0</v>
      </c>
      <c r="EY23" s="535">
        <f t="shared" si="160"/>
        <v>0</v>
      </c>
      <c r="EZ23" s="533"/>
      <c r="FA23" s="534">
        <f t="shared" si="50"/>
        <v>0</v>
      </c>
      <c r="FB23" s="535">
        <f t="shared" si="161"/>
        <v>0</v>
      </c>
      <c r="FC23" s="533"/>
      <c r="FD23" s="534">
        <f t="shared" si="51"/>
        <v>0</v>
      </c>
      <c r="FE23" s="535">
        <f t="shared" si="162"/>
        <v>0</v>
      </c>
      <c r="FF23" s="533"/>
      <c r="FG23" s="534">
        <f t="shared" si="52"/>
        <v>0</v>
      </c>
      <c r="FH23" s="535">
        <f t="shared" si="163"/>
        <v>0</v>
      </c>
      <c r="FI23" s="533"/>
      <c r="FJ23" s="534">
        <f t="shared" si="53"/>
        <v>0</v>
      </c>
      <c r="FK23" s="535">
        <f t="shared" si="164"/>
        <v>0</v>
      </c>
      <c r="FL23" s="533"/>
      <c r="FM23" s="534">
        <f t="shared" si="54"/>
        <v>0</v>
      </c>
      <c r="FN23" s="535">
        <f t="shared" si="165"/>
        <v>0</v>
      </c>
      <c r="FO23" s="533"/>
      <c r="FP23" s="534">
        <f t="shared" si="55"/>
        <v>0</v>
      </c>
      <c r="FQ23" s="535">
        <f t="shared" si="166"/>
        <v>0</v>
      </c>
      <c r="FR23" s="533"/>
      <c r="FS23" s="534">
        <f t="shared" si="56"/>
        <v>0</v>
      </c>
      <c r="FT23" s="535">
        <f t="shared" si="167"/>
        <v>0</v>
      </c>
      <c r="FU23" s="533"/>
      <c r="FV23" s="534">
        <f t="shared" si="57"/>
        <v>0</v>
      </c>
      <c r="FW23" s="535">
        <f t="shared" si="168"/>
        <v>0</v>
      </c>
      <c r="FX23" s="533"/>
      <c r="FY23" s="534">
        <f t="shared" si="58"/>
        <v>0</v>
      </c>
      <c r="FZ23" s="535">
        <f t="shared" si="169"/>
        <v>0</v>
      </c>
      <c r="GA23" s="533"/>
      <c r="GB23" s="534">
        <f t="shared" si="59"/>
        <v>0</v>
      </c>
      <c r="GC23" s="535">
        <f t="shared" si="170"/>
        <v>0</v>
      </c>
      <c r="GD23" s="533"/>
      <c r="GE23" s="534">
        <f t="shared" si="60"/>
        <v>0</v>
      </c>
      <c r="GF23" s="535">
        <f t="shared" si="171"/>
        <v>0</v>
      </c>
      <c r="GG23" s="533"/>
      <c r="GH23" s="534">
        <f t="shared" si="61"/>
        <v>0</v>
      </c>
      <c r="GI23" s="535">
        <f t="shared" si="172"/>
        <v>0</v>
      </c>
      <c r="GJ23" s="533"/>
      <c r="GK23" s="534">
        <f t="shared" si="62"/>
        <v>0</v>
      </c>
      <c r="GL23" s="535">
        <f t="shared" si="173"/>
        <v>0</v>
      </c>
      <c r="GM23" s="533"/>
      <c r="GN23" s="534">
        <f t="shared" si="63"/>
        <v>0</v>
      </c>
      <c r="GO23" s="535">
        <f t="shared" si="174"/>
        <v>0</v>
      </c>
      <c r="GP23" s="533"/>
      <c r="GQ23" s="534">
        <f t="shared" si="64"/>
        <v>0</v>
      </c>
      <c r="GR23" s="535">
        <f t="shared" si="175"/>
        <v>0</v>
      </c>
      <c r="GS23" s="533"/>
      <c r="GT23" s="534">
        <f t="shared" si="65"/>
        <v>0</v>
      </c>
      <c r="GU23" s="535">
        <f t="shared" si="176"/>
        <v>0</v>
      </c>
      <c r="GV23" s="533"/>
      <c r="GW23" s="534">
        <f t="shared" si="66"/>
        <v>0</v>
      </c>
      <c r="GX23" s="535">
        <f t="shared" si="177"/>
        <v>0</v>
      </c>
      <c r="GY23" s="533"/>
      <c r="GZ23" s="534">
        <f t="shared" si="67"/>
        <v>0</v>
      </c>
      <c r="HA23" s="535">
        <f t="shared" si="178"/>
        <v>0</v>
      </c>
      <c r="HB23" s="533"/>
      <c r="HC23" s="534">
        <f t="shared" si="68"/>
        <v>0</v>
      </c>
      <c r="HD23" s="535">
        <f t="shared" si="179"/>
        <v>0</v>
      </c>
      <c r="HE23" s="533"/>
      <c r="HF23" s="534">
        <f t="shared" si="69"/>
        <v>0</v>
      </c>
      <c r="HG23" s="535">
        <f t="shared" si="180"/>
        <v>0</v>
      </c>
      <c r="HH23" s="533"/>
      <c r="HI23" s="534">
        <f t="shared" si="70"/>
        <v>0</v>
      </c>
      <c r="HJ23" s="535">
        <f t="shared" si="181"/>
        <v>0</v>
      </c>
      <c r="HK23" s="533"/>
      <c r="HL23" s="534">
        <f t="shared" si="71"/>
        <v>0</v>
      </c>
      <c r="HM23" s="535">
        <f t="shared" si="182"/>
        <v>0</v>
      </c>
      <c r="HN23" s="533"/>
      <c r="HO23" s="534">
        <f t="shared" si="72"/>
        <v>0</v>
      </c>
      <c r="HP23" s="535">
        <f t="shared" si="183"/>
        <v>0</v>
      </c>
      <c r="HQ23" s="533"/>
      <c r="HR23" s="534">
        <f t="shared" si="73"/>
        <v>0</v>
      </c>
      <c r="HS23" s="535">
        <f t="shared" si="184"/>
        <v>0</v>
      </c>
      <c r="HT23" s="533"/>
      <c r="HU23" s="534">
        <f t="shared" si="74"/>
        <v>0</v>
      </c>
      <c r="HV23" s="535">
        <f t="shared" si="185"/>
        <v>0</v>
      </c>
      <c r="HW23" s="533"/>
      <c r="HX23" s="534">
        <f t="shared" si="75"/>
        <v>0</v>
      </c>
      <c r="HY23" s="535">
        <f t="shared" si="186"/>
        <v>0</v>
      </c>
      <c r="HZ23" s="533"/>
      <c r="IA23" s="534">
        <f t="shared" si="76"/>
        <v>0</v>
      </c>
      <c r="IB23" s="535">
        <f t="shared" si="187"/>
        <v>0</v>
      </c>
      <c r="IC23" s="533"/>
      <c r="ID23" s="534">
        <f t="shared" si="77"/>
        <v>0</v>
      </c>
      <c r="IE23" s="535">
        <f t="shared" si="188"/>
        <v>0</v>
      </c>
      <c r="IF23" s="533"/>
      <c r="IG23" s="534">
        <f t="shared" si="78"/>
        <v>0</v>
      </c>
      <c r="IH23" s="535">
        <f t="shared" si="189"/>
        <v>0</v>
      </c>
      <c r="II23" s="533"/>
      <c r="IJ23" s="534">
        <f t="shared" si="79"/>
        <v>0</v>
      </c>
      <c r="IK23" s="535">
        <f t="shared" si="190"/>
        <v>0</v>
      </c>
      <c r="IL23" s="533"/>
      <c r="IM23" s="534">
        <f t="shared" si="80"/>
        <v>0</v>
      </c>
      <c r="IN23" s="535">
        <f t="shared" si="191"/>
        <v>0</v>
      </c>
      <c r="IO23" s="533"/>
      <c r="IP23" s="534">
        <f t="shared" si="81"/>
        <v>0</v>
      </c>
      <c r="IQ23" s="535">
        <f t="shared" si="192"/>
        <v>0</v>
      </c>
      <c r="IR23" s="533"/>
      <c r="IS23" s="534">
        <f t="shared" si="82"/>
        <v>0</v>
      </c>
      <c r="IT23" s="535">
        <f t="shared" si="193"/>
        <v>0</v>
      </c>
      <c r="IU23" s="533"/>
      <c r="IV23" s="534">
        <f t="shared" si="83"/>
        <v>0</v>
      </c>
      <c r="IW23" s="535">
        <f t="shared" si="194"/>
        <v>0</v>
      </c>
      <c r="IX23" s="533"/>
      <c r="IY23" s="534">
        <f t="shared" si="84"/>
        <v>0</v>
      </c>
      <c r="IZ23" s="535">
        <f t="shared" si="195"/>
        <v>0</v>
      </c>
      <c r="JA23" s="533"/>
      <c r="JB23" s="534">
        <f t="shared" si="85"/>
        <v>0</v>
      </c>
      <c r="JC23" s="535">
        <f t="shared" si="196"/>
        <v>0</v>
      </c>
      <c r="JD23" s="533"/>
      <c r="JE23" s="534">
        <f t="shared" si="86"/>
        <v>0</v>
      </c>
      <c r="JF23" s="535">
        <f t="shared" si="197"/>
        <v>0</v>
      </c>
      <c r="JG23" s="533"/>
      <c r="JH23" s="534">
        <f t="shared" si="87"/>
        <v>0</v>
      </c>
      <c r="JI23" s="535">
        <f t="shared" si="198"/>
        <v>0</v>
      </c>
      <c r="JJ23" s="533"/>
      <c r="JK23" s="535" t="str">
        <f t="shared" si="88"/>
        <v>0</v>
      </c>
      <c r="JL23" s="535" t="str">
        <f t="shared" si="89"/>
        <v>0</v>
      </c>
      <c r="JM23" s="533"/>
      <c r="JN23" s="535" t="str">
        <f t="shared" si="90"/>
        <v>0</v>
      </c>
      <c r="JO23" s="535" t="str">
        <f t="shared" si="91"/>
        <v>0</v>
      </c>
      <c r="JP23" s="533"/>
      <c r="JQ23" s="535" t="str">
        <f t="shared" si="92"/>
        <v>0</v>
      </c>
      <c r="JR23" s="535" t="str">
        <f t="shared" si="93"/>
        <v>0</v>
      </c>
      <c r="JS23" s="533"/>
      <c r="JT23" s="535" t="str">
        <f t="shared" si="94"/>
        <v>0</v>
      </c>
      <c r="JU23" s="535" t="str">
        <f t="shared" si="95"/>
        <v>0</v>
      </c>
      <c r="JV23" s="533"/>
      <c r="JW23" s="535" t="str">
        <f t="shared" si="96"/>
        <v>0</v>
      </c>
      <c r="JX23" s="535" t="str">
        <f t="shared" si="97"/>
        <v>0</v>
      </c>
      <c r="JY23" s="533"/>
      <c r="JZ23" s="535" t="str">
        <f t="shared" si="98"/>
        <v>0</v>
      </c>
      <c r="KA23" s="535" t="str">
        <f t="shared" si="99"/>
        <v>0</v>
      </c>
      <c r="KB23" s="533"/>
      <c r="KC23" s="535" t="str">
        <f t="shared" si="100"/>
        <v>0</v>
      </c>
      <c r="KD23" s="535" t="str">
        <f t="shared" si="101"/>
        <v>0</v>
      </c>
      <c r="KE23" s="533"/>
      <c r="KF23" s="535" t="str">
        <f t="shared" si="102"/>
        <v>0</v>
      </c>
      <c r="KG23" s="535" t="str">
        <f t="shared" si="103"/>
        <v>0</v>
      </c>
      <c r="KH23" s="533"/>
      <c r="KI23" s="535" t="str">
        <f t="shared" si="104"/>
        <v>0</v>
      </c>
      <c r="KJ23" s="535" t="str">
        <f t="shared" si="105"/>
        <v>0</v>
      </c>
      <c r="KK23" s="533"/>
      <c r="KL23" s="535" t="str">
        <f t="shared" si="106"/>
        <v>0</v>
      </c>
      <c r="KM23" s="535" t="str">
        <f t="shared" si="107"/>
        <v>0</v>
      </c>
      <c r="KN23" s="533"/>
      <c r="KO23" s="535" t="str">
        <f t="shared" si="108"/>
        <v>0</v>
      </c>
      <c r="KP23" s="535" t="str">
        <f t="shared" si="109"/>
        <v>0</v>
      </c>
      <c r="KQ23" s="533"/>
      <c r="KR23" s="535" t="str">
        <f t="shared" si="110"/>
        <v>0</v>
      </c>
      <c r="KS23" s="535" t="str">
        <f t="shared" si="111"/>
        <v>0</v>
      </c>
      <c r="KT23" s="535">
        <f t="shared" si="201"/>
        <v>0</v>
      </c>
      <c r="KU23" s="535">
        <f t="shared" si="202"/>
        <v>0</v>
      </c>
      <c r="KV23" s="272">
        <f t="shared" si="199"/>
        <v>350.99658235825655</v>
      </c>
      <c r="KW23" s="272"/>
    </row>
    <row r="24" spans="1:309" ht="15" customHeight="1">
      <c r="A24" s="274">
        <f t="shared" si="200"/>
        <v>45977</v>
      </c>
      <c r="B24" s="275" t="str">
        <f>+Report1!B24</f>
        <v>Facial</v>
      </c>
      <c r="C24" s="415" t="str">
        <f>+Report1!C24</f>
        <v>12/13</v>
      </c>
      <c r="D24" s="276">
        <f>+Report1!P24</f>
        <v>58.29</v>
      </c>
      <c r="E24" s="277">
        <f>+Report1!R24</f>
        <v>55.676000000000002</v>
      </c>
      <c r="F24" s="533">
        <v>0</v>
      </c>
      <c r="G24" s="534">
        <f t="shared" si="0"/>
        <v>0</v>
      </c>
      <c r="H24" s="535">
        <f t="shared" si="112"/>
        <v>0</v>
      </c>
      <c r="I24" s="533">
        <v>230.10180000000003</v>
      </c>
      <c r="J24" s="534">
        <f t="shared" si="1"/>
        <v>4.1328723327825276</v>
      </c>
      <c r="K24" s="535">
        <f t="shared" si="113"/>
        <v>0</v>
      </c>
      <c r="L24" s="533"/>
      <c r="M24" s="534">
        <f t="shared" si="2"/>
        <v>0</v>
      </c>
      <c r="N24" s="535">
        <f t="shared" si="114"/>
        <v>0</v>
      </c>
      <c r="O24" s="533">
        <v>4.8140000000000214</v>
      </c>
      <c r="P24" s="534">
        <f t="shared" si="3"/>
        <v>8.6464544866729318E-2</v>
      </c>
      <c r="Q24" s="535">
        <f t="shared" si="115"/>
        <v>0</v>
      </c>
      <c r="R24" s="533"/>
      <c r="S24" s="534">
        <f t="shared" si="4"/>
        <v>0</v>
      </c>
      <c r="T24" s="535">
        <f t="shared" si="116"/>
        <v>0</v>
      </c>
      <c r="U24" s="533">
        <v>2.7397999999999882</v>
      </c>
      <c r="V24" s="534">
        <f t="shared" si="5"/>
        <v>4.9209713341475468E-2</v>
      </c>
      <c r="W24" s="535">
        <f t="shared" si="117"/>
        <v>0</v>
      </c>
      <c r="X24" s="533"/>
      <c r="Y24" s="534">
        <f t="shared" si="6"/>
        <v>0</v>
      </c>
      <c r="Z24" s="535">
        <f t="shared" si="118"/>
        <v>0</v>
      </c>
      <c r="AA24" s="533"/>
      <c r="AB24" s="534">
        <f t="shared" si="7"/>
        <v>0</v>
      </c>
      <c r="AC24" s="535">
        <f t="shared" si="119"/>
        <v>0</v>
      </c>
      <c r="AD24" s="533"/>
      <c r="AE24" s="534">
        <f t="shared" si="8"/>
        <v>0</v>
      </c>
      <c r="AF24" s="535">
        <f t="shared" si="120"/>
        <v>0</v>
      </c>
      <c r="AG24" s="533"/>
      <c r="AH24" s="534">
        <f t="shared" si="9"/>
        <v>0</v>
      </c>
      <c r="AI24" s="535">
        <f t="shared" si="121"/>
        <v>0</v>
      </c>
      <c r="AJ24" s="533">
        <v>0</v>
      </c>
      <c r="AK24" s="534">
        <f t="shared" si="10"/>
        <v>0</v>
      </c>
      <c r="AL24" s="535">
        <f t="shared" si="122"/>
        <v>0</v>
      </c>
      <c r="AM24" s="533">
        <v>0</v>
      </c>
      <c r="AN24" s="534">
        <f t="shared" si="11"/>
        <v>0</v>
      </c>
      <c r="AO24" s="535">
        <f t="shared" si="123"/>
        <v>0</v>
      </c>
      <c r="AP24" s="533">
        <v>51.788000000000011</v>
      </c>
      <c r="AQ24" s="534">
        <f t="shared" si="12"/>
        <v>0.9301673970831239</v>
      </c>
      <c r="AR24" s="535">
        <f t="shared" si="124"/>
        <v>0</v>
      </c>
      <c r="AS24" s="533"/>
      <c r="AT24" s="534">
        <f t="shared" si="13"/>
        <v>0</v>
      </c>
      <c r="AU24" s="535">
        <f t="shared" si="125"/>
        <v>0</v>
      </c>
      <c r="AV24" s="533">
        <v>2.967000000000013</v>
      </c>
      <c r="AW24" s="534">
        <f t="shared" si="14"/>
        <v>5.3290466269128763E-2</v>
      </c>
      <c r="AX24" s="535">
        <f t="shared" si="126"/>
        <v>0</v>
      </c>
      <c r="AY24" s="533">
        <v>71.134399999999999</v>
      </c>
      <c r="AZ24" s="534">
        <f t="shared" si="15"/>
        <v>1.2776492564120985</v>
      </c>
      <c r="BA24" s="535">
        <f t="shared" si="127"/>
        <v>0</v>
      </c>
      <c r="BB24" s="533">
        <v>0</v>
      </c>
      <c r="BC24" s="534">
        <f t="shared" si="16"/>
        <v>0</v>
      </c>
      <c r="BD24" s="535">
        <f t="shared" si="128"/>
        <v>0</v>
      </c>
      <c r="BE24" s="533"/>
      <c r="BF24" s="534">
        <f t="shared" si="17"/>
        <v>0</v>
      </c>
      <c r="BG24" s="535">
        <f t="shared" si="129"/>
        <v>0</v>
      </c>
      <c r="BH24" s="533"/>
      <c r="BI24" s="534">
        <f t="shared" si="18"/>
        <v>0</v>
      </c>
      <c r="BJ24" s="535">
        <f t="shared" si="130"/>
        <v>0</v>
      </c>
      <c r="BK24" s="533"/>
      <c r="BL24" s="534">
        <f t="shared" si="19"/>
        <v>0</v>
      </c>
      <c r="BM24" s="535">
        <f t="shared" si="131"/>
        <v>0</v>
      </c>
      <c r="BN24" s="533">
        <v>13.533999999999999</v>
      </c>
      <c r="BO24" s="534">
        <f t="shared" si="20"/>
        <v>0.24308499173791218</v>
      </c>
      <c r="BP24" s="535">
        <f t="shared" si="132"/>
        <v>0</v>
      </c>
      <c r="BQ24" s="533">
        <v>9.5921800000000133</v>
      </c>
      <c r="BR24" s="534">
        <f t="shared" si="21"/>
        <v>0.17228572454917762</v>
      </c>
      <c r="BS24" s="535">
        <f t="shared" si="133"/>
        <v>0</v>
      </c>
      <c r="BT24" s="533"/>
      <c r="BU24" s="534">
        <f t="shared" si="22"/>
        <v>0</v>
      </c>
      <c r="BV24" s="535">
        <f t="shared" si="134"/>
        <v>0</v>
      </c>
      <c r="BW24" s="533">
        <v>0</v>
      </c>
      <c r="BX24" s="534">
        <f t="shared" si="23"/>
        <v>0</v>
      </c>
      <c r="BY24" s="535">
        <f t="shared" si="135"/>
        <v>0</v>
      </c>
      <c r="BZ24" s="533"/>
      <c r="CA24" s="534">
        <f t="shared" si="24"/>
        <v>0</v>
      </c>
      <c r="CB24" s="535">
        <f t="shared" si="136"/>
        <v>0</v>
      </c>
      <c r="CC24" s="533">
        <v>0</v>
      </c>
      <c r="CD24" s="534">
        <f t="shared" si="25"/>
        <v>0</v>
      </c>
      <c r="CE24" s="535">
        <f t="shared" si="137"/>
        <v>0</v>
      </c>
      <c r="CF24" s="533">
        <v>0.1</v>
      </c>
      <c r="CG24" s="534">
        <f t="shared" si="26"/>
        <v>1.7961060421007257E-3</v>
      </c>
      <c r="CH24" s="535">
        <f t="shared" si="138"/>
        <v>0</v>
      </c>
      <c r="CI24" s="533"/>
      <c r="CJ24" s="534">
        <f t="shared" si="27"/>
        <v>0</v>
      </c>
      <c r="CK24" s="535">
        <f t="shared" si="139"/>
        <v>0</v>
      </c>
      <c r="CL24" s="533"/>
      <c r="CM24" s="534">
        <f t="shared" si="28"/>
        <v>0</v>
      </c>
      <c r="CN24" s="535">
        <f t="shared" si="140"/>
        <v>0</v>
      </c>
      <c r="CO24" s="533"/>
      <c r="CP24" s="534">
        <f t="shared" si="29"/>
        <v>0</v>
      </c>
      <c r="CQ24" s="535">
        <f t="shared" si="141"/>
        <v>0</v>
      </c>
      <c r="CR24" s="533"/>
      <c r="CS24" s="534">
        <f t="shared" si="30"/>
        <v>0</v>
      </c>
      <c r="CT24" s="535">
        <f t="shared" si="142"/>
        <v>0</v>
      </c>
      <c r="CU24" s="533"/>
      <c r="CV24" s="534">
        <f t="shared" si="31"/>
        <v>0</v>
      </c>
      <c r="CW24" s="535">
        <f t="shared" si="143"/>
        <v>0</v>
      </c>
      <c r="CX24" s="533"/>
      <c r="CY24" s="534">
        <f t="shared" si="32"/>
        <v>0</v>
      </c>
      <c r="CZ24" s="535">
        <f t="shared" si="144"/>
        <v>0</v>
      </c>
      <c r="DA24" s="533"/>
      <c r="DB24" s="534">
        <f t="shared" si="33"/>
        <v>0</v>
      </c>
      <c r="DC24" s="535">
        <f t="shared" si="145"/>
        <v>0</v>
      </c>
      <c r="DD24" s="533"/>
      <c r="DE24" s="534">
        <f t="shared" si="34"/>
        <v>0</v>
      </c>
      <c r="DF24" s="535">
        <f t="shared" si="146"/>
        <v>0</v>
      </c>
      <c r="DG24" s="533">
        <v>0</v>
      </c>
      <c r="DH24" s="534">
        <f t="shared" si="35"/>
        <v>0</v>
      </c>
      <c r="DI24" s="535">
        <f t="shared" si="203"/>
        <v>0</v>
      </c>
      <c r="DJ24" s="533"/>
      <c r="DK24" s="534">
        <f t="shared" si="36"/>
        <v>0</v>
      </c>
      <c r="DL24" s="535">
        <f t="shared" si="147"/>
        <v>0</v>
      </c>
      <c r="DM24" s="533"/>
      <c r="DN24" s="534">
        <f t="shared" si="37"/>
        <v>0</v>
      </c>
      <c r="DO24" s="535">
        <f t="shared" si="148"/>
        <v>0</v>
      </c>
      <c r="DP24" s="533"/>
      <c r="DQ24" s="534">
        <f t="shared" si="38"/>
        <v>0</v>
      </c>
      <c r="DR24" s="535">
        <f t="shared" si="149"/>
        <v>0</v>
      </c>
      <c r="DS24" s="533"/>
      <c r="DT24" s="534">
        <f t="shared" si="39"/>
        <v>0</v>
      </c>
      <c r="DU24" s="535">
        <f t="shared" si="150"/>
        <v>0</v>
      </c>
      <c r="DV24" s="533"/>
      <c r="DW24" s="534">
        <f t="shared" si="40"/>
        <v>0</v>
      </c>
      <c r="DX24" s="535">
        <f t="shared" si="151"/>
        <v>0</v>
      </c>
      <c r="DY24" s="533"/>
      <c r="DZ24" s="534">
        <f t="shared" si="41"/>
        <v>0</v>
      </c>
      <c r="EA24" s="535">
        <f t="shared" si="152"/>
        <v>0</v>
      </c>
      <c r="EB24" s="533">
        <v>15.549600000000055</v>
      </c>
      <c r="EC24" s="534">
        <f t="shared" si="42"/>
        <v>0.27928730512249539</v>
      </c>
      <c r="ED24" s="535">
        <f t="shared" si="153"/>
        <v>0</v>
      </c>
      <c r="EE24" s="533">
        <v>1</v>
      </c>
      <c r="EF24" s="534">
        <f t="shared" si="43"/>
        <v>1.7961060421007254E-2</v>
      </c>
      <c r="EG24" s="535">
        <f t="shared" si="154"/>
        <v>0</v>
      </c>
      <c r="EH24" s="533"/>
      <c r="EI24" s="534">
        <f t="shared" si="44"/>
        <v>0</v>
      </c>
      <c r="EJ24" s="535">
        <f t="shared" si="155"/>
        <v>0</v>
      </c>
      <c r="EK24" s="533"/>
      <c r="EL24" s="534">
        <f t="shared" si="45"/>
        <v>0</v>
      </c>
      <c r="EM24" s="535">
        <f t="shared" si="156"/>
        <v>0</v>
      </c>
      <c r="EN24" s="533"/>
      <c r="EO24" s="534">
        <f t="shared" si="46"/>
        <v>0</v>
      </c>
      <c r="EP24" s="535">
        <f t="shared" si="157"/>
        <v>0</v>
      </c>
      <c r="EQ24" s="533"/>
      <c r="ER24" s="534">
        <f t="shared" si="47"/>
        <v>0</v>
      </c>
      <c r="ES24" s="535">
        <f t="shared" si="158"/>
        <v>0</v>
      </c>
      <c r="ET24" s="533"/>
      <c r="EU24" s="534">
        <f t="shared" si="48"/>
        <v>0</v>
      </c>
      <c r="EV24" s="535">
        <f t="shared" si="159"/>
        <v>0</v>
      </c>
      <c r="EW24" s="533"/>
      <c r="EX24" s="534">
        <f t="shared" si="49"/>
        <v>0</v>
      </c>
      <c r="EY24" s="535">
        <f t="shared" si="160"/>
        <v>0</v>
      </c>
      <c r="EZ24" s="533"/>
      <c r="FA24" s="534">
        <f t="shared" si="50"/>
        <v>0</v>
      </c>
      <c r="FB24" s="535">
        <f t="shared" si="161"/>
        <v>0</v>
      </c>
      <c r="FC24" s="533"/>
      <c r="FD24" s="534">
        <f t="shared" si="51"/>
        <v>0</v>
      </c>
      <c r="FE24" s="535">
        <f t="shared" si="162"/>
        <v>0</v>
      </c>
      <c r="FF24" s="533"/>
      <c r="FG24" s="534">
        <f t="shared" si="52"/>
        <v>0</v>
      </c>
      <c r="FH24" s="535">
        <f t="shared" si="163"/>
        <v>0</v>
      </c>
      <c r="FI24" s="533"/>
      <c r="FJ24" s="534">
        <f t="shared" si="53"/>
        <v>0</v>
      </c>
      <c r="FK24" s="535">
        <f t="shared" si="164"/>
        <v>0</v>
      </c>
      <c r="FL24" s="533"/>
      <c r="FM24" s="534">
        <f t="shared" si="54"/>
        <v>0</v>
      </c>
      <c r="FN24" s="535">
        <f t="shared" si="165"/>
        <v>0</v>
      </c>
      <c r="FO24" s="533"/>
      <c r="FP24" s="534">
        <f t="shared" si="55"/>
        <v>0</v>
      </c>
      <c r="FQ24" s="535">
        <f t="shared" si="166"/>
        <v>0</v>
      </c>
      <c r="FR24" s="533"/>
      <c r="FS24" s="534">
        <f t="shared" si="56"/>
        <v>0</v>
      </c>
      <c r="FT24" s="535">
        <f t="shared" si="167"/>
        <v>0</v>
      </c>
      <c r="FU24" s="533"/>
      <c r="FV24" s="534">
        <f t="shared" si="57"/>
        <v>0</v>
      </c>
      <c r="FW24" s="535">
        <f t="shared" si="168"/>
        <v>0</v>
      </c>
      <c r="FX24" s="533"/>
      <c r="FY24" s="534">
        <f t="shared" si="58"/>
        <v>0</v>
      </c>
      <c r="FZ24" s="535">
        <f t="shared" si="169"/>
        <v>0</v>
      </c>
      <c r="GA24" s="533"/>
      <c r="GB24" s="534">
        <f t="shared" si="59"/>
        <v>0</v>
      </c>
      <c r="GC24" s="535">
        <f t="shared" si="170"/>
        <v>0</v>
      </c>
      <c r="GD24" s="533"/>
      <c r="GE24" s="534">
        <f t="shared" si="60"/>
        <v>0</v>
      </c>
      <c r="GF24" s="535">
        <f t="shared" si="171"/>
        <v>0</v>
      </c>
      <c r="GG24" s="533"/>
      <c r="GH24" s="534">
        <f t="shared" si="61"/>
        <v>0</v>
      </c>
      <c r="GI24" s="535">
        <f t="shared" si="172"/>
        <v>0</v>
      </c>
      <c r="GJ24" s="533"/>
      <c r="GK24" s="534">
        <f t="shared" si="62"/>
        <v>0</v>
      </c>
      <c r="GL24" s="535">
        <f t="shared" si="173"/>
        <v>0</v>
      </c>
      <c r="GM24" s="533"/>
      <c r="GN24" s="534">
        <f t="shared" si="63"/>
        <v>0</v>
      </c>
      <c r="GO24" s="535">
        <f t="shared" si="174"/>
        <v>0</v>
      </c>
      <c r="GP24" s="533"/>
      <c r="GQ24" s="534">
        <f t="shared" si="64"/>
        <v>0</v>
      </c>
      <c r="GR24" s="535">
        <f t="shared" si="175"/>
        <v>0</v>
      </c>
      <c r="GS24" s="533"/>
      <c r="GT24" s="534">
        <f t="shared" si="65"/>
        <v>0</v>
      </c>
      <c r="GU24" s="535">
        <f t="shared" si="176"/>
        <v>0</v>
      </c>
      <c r="GV24" s="533"/>
      <c r="GW24" s="534">
        <f t="shared" si="66"/>
        <v>0</v>
      </c>
      <c r="GX24" s="535">
        <f t="shared" si="177"/>
        <v>0</v>
      </c>
      <c r="GY24" s="533"/>
      <c r="GZ24" s="534">
        <f t="shared" si="67"/>
        <v>0</v>
      </c>
      <c r="HA24" s="535">
        <f t="shared" si="178"/>
        <v>0</v>
      </c>
      <c r="HB24" s="533"/>
      <c r="HC24" s="534">
        <f t="shared" si="68"/>
        <v>0</v>
      </c>
      <c r="HD24" s="535">
        <f t="shared" si="179"/>
        <v>0</v>
      </c>
      <c r="HE24" s="533"/>
      <c r="HF24" s="534">
        <f t="shared" si="69"/>
        <v>0</v>
      </c>
      <c r="HG24" s="535">
        <f t="shared" si="180"/>
        <v>0</v>
      </c>
      <c r="HH24" s="533"/>
      <c r="HI24" s="534">
        <f t="shared" si="70"/>
        <v>0</v>
      </c>
      <c r="HJ24" s="535">
        <f t="shared" si="181"/>
        <v>0</v>
      </c>
      <c r="HK24" s="533"/>
      <c r="HL24" s="534">
        <f t="shared" si="71"/>
        <v>0</v>
      </c>
      <c r="HM24" s="535">
        <f t="shared" si="182"/>
        <v>0</v>
      </c>
      <c r="HN24" s="533"/>
      <c r="HO24" s="534">
        <f t="shared" si="72"/>
        <v>0</v>
      </c>
      <c r="HP24" s="535">
        <f t="shared" si="183"/>
        <v>0</v>
      </c>
      <c r="HQ24" s="533"/>
      <c r="HR24" s="534">
        <f t="shared" si="73"/>
        <v>0</v>
      </c>
      <c r="HS24" s="535">
        <f t="shared" si="184"/>
        <v>0</v>
      </c>
      <c r="HT24" s="533"/>
      <c r="HU24" s="534">
        <f t="shared" si="74"/>
        <v>0</v>
      </c>
      <c r="HV24" s="535">
        <f t="shared" si="185"/>
        <v>0</v>
      </c>
      <c r="HW24" s="533"/>
      <c r="HX24" s="534">
        <f t="shared" si="75"/>
        <v>0</v>
      </c>
      <c r="HY24" s="535">
        <f t="shared" si="186"/>
        <v>0</v>
      </c>
      <c r="HZ24" s="533"/>
      <c r="IA24" s="534">
        <f t="shared" si="76"/>
        <v>0</v>
      </c>
      <c r="IB24" s="535">
        <f t="shared" si="187"/>
        <v>0</v>
      </c>
      <c r="IC24" s="533"/>
      <c r="ID24" s="534">
        <f t="shared" si="77"/>
        <v>0</v>
      </c>
      <c r="IE24" s="535">
        <f t="shared" si="188"/>
        <v>0</v>
      </c>
      <c r="IF24" s="533"/>
      <c r="IG24" s="534">
        <f t="shared" si="78"/>
        <v>0</v>
      </c>
      <c r="IH24" s="535">
        <f t="shared" si="189"/>
        <v>0</v>
      </c>
      <c r="II24" s="533"/>
      <c r="IJ24" s="534">
        <f t="shared" si="79"/>
        <v>0</v>
      </c>
      <c r="IK24" s="535">
        <f t="shared" si="190"/>
        <v>0</v>
      </c>
      <c r="IL24" s="533"/>
      <c r="IM24" s="534">
        <f t="shared" si="80"/>
        <v>0</v>
      </c>
      <c r="IN24" s="535">
        <f t="shared" si="191"/>
        <v>0</v>
      </c>
      <c r="IO24" s="533"/>
      <c r="IP24" s="534">
        <f t="shared" si="81"/>
        <v>0</v>
      </c>
      <c r="IQ24" s="535">
        <f t="shared" si="192"/>
        <v>0</v>
      </c>
      <c r="IR24" s="533"/>
      <c r="IS24" s="534">
        <f t="shared" si="82"/>
        <v>0</v>
      </c>
      <c r="IT24" s="535">
        <f t="shared" si="193"/>
        <v>0</v>
      </c>
      <c r="IU24" s="533"/>
      <c r="IV24" s="534">
        <f t="shared" si="83"/>
        <v>0</v>
      </c>
      <c r="IW24" s="535">
        <f t="shared" si="194"/>
        <v>0</v>
      </c>
      <c r="IX24" s="533"/>
      <c r="IY24" s="534">
        <f t="shared" si="84"/>
        <v>0</v>
      </c>
      <c r="IZ24" s="535">
        <f t="shared" si="195"/>
        <v>0</v>
      </c>
      <c r="JA24" s="533"/>
      <c r="JB24" s="534">
        <f t="shared" si="85"/>
        <v>0</v>
      </c>
      <c r="JC24" s="535">
        <f t="shared" si="196"/>
        <v>0</v>
      </c>
      <c r="JD24" s="533"/>
      <c r="JE24" s="534">
        <f t="shared" si="86"/>
        <v>0</v>
      </c>
      <c r="JF24" s="535">
        <f t="shared" si="197"/>
        <v>0</v>
      </c>
      <c r="JG24" s="533"/>
      <c r="JH24" s="534">
        <f t="shared" si="87"/>
        <v>0</v>
      </c>
      <c r="JI24" s="535">
        <f t="shared" si="198"/>
        <v>0</v>
      </c>
      <c r="JJ24" s="533"/>
      <c r="JK24" s="535" t="str">
        <f t="shared" si="88"/>
        <v>0</v>
      </c>
      <c r="JL24" s="535" t="str">
        <f t="shared" si="89"/>
        <v>0</v>
      </c>
      <c r="JM24" s="533"/>
      <c r="JN24" s="535" t="str">
        <f t="shared" si="90"/>
        <v>0</v>
      </c>
      <c r="JO24" s="535" t="str">
        <f t="shared" si="91"/>
        <v>0</v>
      </c>
      <c r="JP24" s="533"/>
      <c r="JQ24" s="535" t="str">
        <f t="shared" si="92"/>
        <v>0</v>
      </c>
      <c r="JR24" s="535" t="str">
        <f t="shared" si="93"/>
        <v>0</v>
      </c>
      <c r="JS24" s="533"/>
      <c r="JT24" s="535" t="str">
        <f t="shared" si="94"/>
        <v>0</v>
      </c>
      <c r="JU24" s="535" t="str">
        <f t="shared" si="95"/>
        <v>0</v>
      </c>
      <c r="JV24" s="533"/>
      <c r="JW24" s="535" t="str">
        <f t="shared" si="96"/>
        <v>0</v>
      </c>
      <c r="JX24" s="535" t="str">
        <f t="shared" si="97"/>
        <v>0</v>
      </c>
      <c r="JY24" s="533"/>
      <c r="JZ24" s="535" t="str">
        <f t="shared" si="98"/>
        <v>0</v>
      </c>
      <c r="KA24" s="535" t="str">
        <f t="shared" si="99"/>
        <v>0</v>
      </c>
      <c r="KB24" s="533"/>
      <c r="KC24" s="535" t="str">
        <f t="shared" si="100"/>
        <v>0</v>
      </c>
      <c r="KD24" s="535" t="str">
        <f t="shared" si="101"/>
        <v>0</v>
      </c>
      <c r="KE24" s="533"/>
      <c r="KF24" s="535" t="str">
        <f t="shared" si="102"/>
        <v>0</v>
      </c>
      <c r="KG24" s="535" t="str">
        <f t="shared" si="103"/>
        <v>0</v>
      </c>
      <c r="KH24" s="533"/>
      <c r="KI24" s="535" t="str">
        <f t="shared" si="104"/>
        <v>0</v>
      </c>
      <c r="KJ24" s="535" t="str">
        <f t="shared" si="105"/>
        <v>0</v>
      </c>
      <c r="KK24" s="533"/>
      <c r="KL24" s="535" t="str">
        <f t="shared" si="106"/>
        <v>0</v>
      </c>
      <c r="KM24" s="535" t="str">
        <f t="shared" si="107"/>
        <v>0</v>
      </c>
      <c r="KN24" s="533"/>
      <c r="KO24" s="535" t="str">
        <f t="shared" si="108"/>
        <v>0</v>
      </c>
      <c r="KP24" s="535" t="str">
        <f t="shared" si="109"/>
        <v>0</v>
      </c>
      <c r="KQ24" s="533"/>
      <c r="KR24" s="535" t="str">
        <f t="shared" si="110"/>
        <v>0</v>
      </c>
      <c r="KS24" s="535" t="str">
        <f t="shared" si="111"/>
        <v>0</v>
      </c>
      <c r="KT24" s="535">
        <f t="shared" si="201"/>
        <v>0</v>
      </c>
      <c r="KU24" s="535">
        <f t="shared" si="202"/>
        <v>0</v>
      </c>
      <c r="KV24" s="272">
        <f t="shared" si="199"/>
        <v>403.32078000000013</v>
      </c>
    </row>
    <row r="25" spans="1:309" ht="15" customHeight="1">
      <c r="A25" s="274">
        <f t="shared" si="200"/>
        <v>45978</v>
      </c>
      <c r="B25" s="275" t="str">
        <f>+Report1!B25</f>
        <v>Facial</v>
      </c>
      <c r="C25" s="415" t="str">
        <f>+Report1!C25</f>
        <v>13/12</v>
      </c>
      <c r="D25" s="276">
        <f>+Report1!P25</f>
        <v>47.358000000000004</v>
      </c>
      <c r="E25" s="277">
        <f>+Report1!R25</f>
        <v>45.265999999999998</v>
      </c>
      <c r="F25" s="533">
        <v>0</v>
      </c>
      <c r="G25" s="534">
        <f t="shared" si="0"/>
        <v>0</v>
      </c>
      <c r="H25" s="535">
        <f t="shared" si="112"/>
        <v>0</v>
      </c>
      <c r="I25" s="533">
        <v>267.43882325581387</v>
      </c>
      <c r="J25" s="534">
        <f t="shared" si="1"/>
        <v>5.9081611641367449</v>
      </c>
      <c r="K25" s="535">
        <f t="shared" si="113"/>
        <v>0</v>
      </c>
      <c r="L25" s="533"/>
      <c r="M25" s="534">
        <f t="shared" si="2"/>
        <v>0</v>
      </c>
      <c r="N25" s="535">
        <f t="shared" si="114"/>
        <v>0</v>
      </c>
      <c r="O25" s="533">
        <v>9.0031999999999925</v>
      </c>
      <c r="P25" s="534">
        <f t="shared" si="3"/>
        <v>0.19889541819467135</v>
      </c>
      <c r="Q25" s="535">
        <f t="shared" si="115"/>
        <v>0</v>
      </c>
      <c r="R25" s="533"/>
      <c r="S25" s="534">
        <f t="shared" si="4"/>
        <v>0</v>
      </c>
      <c r="T25" s="535">
        <f t="shared" si="116"/>
        <v>0</v>
      </c>
      <c r="U25" s="533">
        <v>5.1270000000000095</v>
      </c>
      <c r="V25" s="534">
        <f t="shared" si="5"/>
        <v>0.11326381831838488</v>
      </c>
      <c r="W25" s="535">
        <f t="shared" si="117"/>
        <v>0</v>
      </c>
      <c r="X25" s="533"/>
      <c r="Y25" s="534">
        <f t="shared" si="6"/>
        <v>0</v>
      </c>
      <c r="Z25" s="535">
        <f t="shared" si="118"/>
        <v>0</v>
      </c>
      <c r="AA25" s="533"/>
      <c r="AB25" s="534">
        <f t="shared" si="7"/>
        <v>0</v>
      </c>
      <c r="AC25" s="535">
        <f t="shared" si="119"/>
        <v>0</v>
      </c>
      <c r="AD25" s="533"/>
      <c r="AE25" s="534">
        <f t="shared" si="8"/>
        <v>0</v>
      </c>
      <c r="AF25" s="535">
        <f t="shared" si="120"/>
        <v>0</v>
      </c>
      <c r="AG25" s="533"/>
      <c r="AH25" s="534">
        <f t="shared" si="9"/>
        <v>0</v>
      </c>
      <c r="AI25" s="535">
        <f t="shared" si="121"/>
        <v>0</v>
      </c>
      <c r="AJ25" s="533">
        <v>0</v>
      </c>
      <c r="AK25" s="534">
        <f t="shared" si="10"/>
        <v>0</v>
      </c>
      <c r="AL25" s="535">
        <f t="shared" si="122"/>
        <v>0</v>
      </c>
      <c r="AM25" s="533">
        <v>0</v>
      </c>
      <c r="AN25" s="534">
        <f t="shared" si="11"/>
        <v>0</v>
      </c>
      <c r="AO25" s="535">
        <f t="shared" si="123"/>
        <v>0</v>
      </c>
      <c r="AP25" s="533">
        <v>48.419001265822772</v>
      </c>
      <c r="AQ25" s="534">
        <f t="shared" si="12"/>
        <v>1.0696549566081115</v>
      </c>
      <c r="AR25" s="535">
        <f t="shared" si="124"/>
        <v>0</v>
      </c>
      <c r="AS25" s="533"/>
      <c r="AT25" s="534">
        <f t="shared" si="13"/>
        <v>0</v>
      </c>
      <c r="AU25" s="535">
        <f t="shared" si="125"/>
        <v>0</v>
      </c>
      <c r="AV25" s="533">
        <v>2.7704999999999416</v>
      </c>
      <c r="AW25" s="534">
        <f t="shared" si="14"/>
        <v>6.1204877833251042E-2</v>
      </c>
      <c r="AX25" s="535">
        <f t="shared" si="126"/>
        <v>0</v>
      </c>
      <c r="AY25" s="533">
        <v>48.99933333333334</v>
      </c>
      <c r="AZ25" s="534">
        <f t="shared" si="15"/>
        <v>1.0824754414645283</v>
      </c>
      <c r="BA25" s="535">
        <f t="shared" si="127"/>
        <v>0</v>
      </c>
      <c r="BB25" s="533">
        <v>0</v>
      </c>
      <c r="BC25" s="534">
        <f t="shared" si="16"/>
        <v>0</v>
      </c>
      <c r="BD25" s="535">
        <f t="shared" si="128"/>
        <v>0</v>
      </c>
      <c r="BE25" s="533"/>
      <c r="BF25" s="534">
        <f t="shared" si="17"/>
        <v>0</v>
      </c>
      <c r="BG25" s="535">
        <f t="shared" si="129"/>
        <v>0</v>
      </c>
      <c r="BH25" s="533"/>
      <c r="BI25" s="534">
        <f t="shared" si="18"/>
        <v>0</v>
      </c>
      <c r="BJ25" s="535">
        <f t="shared" si="130"/>
        <v>0</v>
      </c>
      <c r="BK25" s="533"/>
      <c r="BL25" s="534">
        <f t="shared" si="19"/>
        <v>0</v>
      </c>
      <c r="BM25" s="535">
        <f t="shared" si="131"/>
        <v>0</v>
      </c>
      <c r="BN25" s="533">
        <v>2.5272876543209932</v>
      </c>
      <c r="BO25" s="534">
        <f t="shared" si="20"/>
        <v>5.5831919195886391E-2</v>
      </c>
      <c r="BP25" s="535">
        <f t="shared" si="132"/>
        <v>0</v>
      </c>
      <c r="BQ25" s="533">
        <v>0</v>
      </c>
      <c r="BR25" s="534">
        <f t="shared" si="21"/>
        <v>0</v>
      </c>
      <c r="BS25" s="535">
        <f t="shared" si="133"/>
        <v>0</v>
      </c>
      <c r="BT25" s="533"/>
      <c r="BU25" s="534">
        <f t="shared" si="22"/>
        <v>0</v>
      </c>
      <c r="BV25" s="535">
        <f t="shared" si="134"/>
        <v>0</v>
      </c>
      <c r="BW25" s="533">
        <v>0</v>
      </c>
      <c r="BX25" s="534">
        <f t="shared" si="23"/>
        <v>0</v>
      </c>
      <c r="BY25" s="535">
        <f t="shared" si="135"/>
        <v>0</v>
      </c>
      <c r="BZ25" s="533"/>
      <c r="CA25" s="534">
        <f t="shared" si="24"/>
        <v>0</v>
      </c>
      <c r="CB25" s="535">
        <f t="shared" si="136"/>
        <v>0</v>
      </c>
      <c r="CC25" s="533">
        <v>0</v>
      </c>
      <c r="CD25" s="534">
        <f t="shared" si="25"/>
        <v>0</v>
      </c>
      <c r="CE25" s="535">
        <f t="shared" si="137"/>
        <v>0</v>
      </c>
      <c r="CF25" s="533">
        <v>9.9999999999999978E-2</v>
      </c>
      <c r="CG25" s="534">
        <f t="shared" si="26"/>
        <v>2.2091636106570047E-3</v>
      </c>
      <c r="CH25" s="535">
        <f t="shared" si="138"/>
        <v>0</v>
      </c>
      <c r="CI25" s="533"/>
      <c r="CJ25" s="534">
        <f t="shared" si="27"/>
        <v>0</v>
      </c>
      <c r="CK25" s="535">
        <f t="shared" si="139"/>
        <v>0</v>
      </c>
      <c r="CL25" s="533"/>
      <c r="CM25" s="534">
        <f t="shared" si="28"/>
        <v>0</v>
      </c>
      <c r="CN25" s="535">
        <f t="shared" si="140"/>
        <v>0</v>
      </c>
      <c r="CO25" s="533"/>
      <c r="CP25" s="534">
        <f t="shared" si="29"/>
        <v>0</v>
      </c>
      <c r="CQ25" s="535">
        <f t="shared" si="141"/>
        <v>0</v>
      </c>
      <c r="CR25" s="533"/>
      <c r="CS25" s="534">
        <f t="shared" si="30"/>
        <v>0</v>
      </c>
      <c r="CT25" s="535">
        <f t="shared" si="142"/>
        <v>0</v>
      </c>
      <c r="CU25" s="533"/>
      <c r="CV25" s="534">
        <f t="shared" si="31"/>
        <v>0</v>
      </c>
      <c r="CW25" s="535">
        <f t="shared" si="143"/>
        <v>0</v>
      </c>
      <c r="CX25" s="533"/>
      <c r="CY25" s="534">
        <f t="shared" si="32"/>
        <v>0</v>
      </c>
      <c r="CZ25" s="535">
        <f t="shared" si="144"/>
        <v>0</v>
      </c>
      <c r="DA25" s="533"/>
      <c r="DB25" s="534">
        <f t="shared" si="33"/>
        <v>0</v>
      </c>
      <c r="DC25" s="535">
        <f t="shared" si="145"/>
        <v>0</v>
      </c>
      <c r="DD25" s="533"/>
      <c r="DE25" s="534">
        <f t="shared" si="34"/>
        <v>0</v>
      </c>
      <c r="DF25" s="535">
        <f t="shared" si="146"/>
        <v>0</v>
      </c>
      <c r="DG25" s="533">
        <v>0</v>
      </c>
      <c r="DH25" s="534">
        <f t="shared" si="35"/>
        <v>0</v>
      </c>
      <c r="DI25" s="535">
        <f t="shared" si="203"/>
        <v>0</v>
      </c>
      <c r="DJ25" s="533"/>
      <c r="DK25" s="534">
        <f t="shared" si="36"/>
        <v>0</v>
      </c>
      <c r="DL25" s="535">
        <f t="shared" si="147"/>
        <v>0</v>
      </c>
      <c r="DM25" s="533"/>
      <c r="DN25" s="534">
        <f t="shared" si="37"/>
        <v>0</v>
      </c>
      <c r="DO25" s="535">
        <f t="shared" si="148"/>
        <v>0</v>
      </c>
      <c r="DP25" s="533"/>
      <c r="DQ25" s="534">
        <f t="shared" si="38"/>
        <v>0</v>
      </c>
      <c r="DR25" s="535">
        <f t="shared" si="149"/>
        <v>0</v>
      </c>
      <c r="DS25" s="533"/>
      <c r="DT25" s="534">
        <f t="shared" si="39"/>
        <v>0</v>
      </c>
      <c r="DU25" s="535">
        <f t="shared" si="150"/>
        <v>0</v>
      </c>
      <c r="DV25" s="533"/>
      <c r="DW25" s="534">
        <f t="shared" si="40"/>
        <v>0</v>
      </c>
      <c r="DX25" s="535">
        <f t="shared" si="151"/>
        <v>0</v>
      </c>
      <c r="DY25" s="533"/>
      <c r="DZ25" s="534">
        <f t="shared" si="41"/>
        <v>0</v>
      </c>
      <c r="EA25" s="535">
        <f t="shared" si="152"/>
        <v>0</v>
      </c>
      <c r="EB25" s="533">
        <v>14.538641860465077</v>
      </c>
      <c r="EC25" s="534">
        <f t="shared" si="42"/>
        <v>0.32118238546514111</v>
      </c>
      <c r="ED25" s="535">
        <f t="shared" si="153"/>
        <v>0</v>
      </c>
      <c r="EE25" s="533">
        <v>0</v>
      </c>
      <c r="EF25" s="534">
        <f t="shared" si="43"/>
        <v>0</v>
      </c>
      <c r="EG25" s="535">
        <f t="shared" si="154"/>
        <v>0</v>
      </c>
      <c r="EH25" s="533"/>
      <c r="EI25" s="534">
        <f t="shared" si="44"/>
        <v>0</v>
      </c>
      <c r="EJ25" s="535">
        <f t="shared" si="155"/>
        <v>0</v>
      </c>
      <c r="EK25" s="533"/>
      <c r="EL25" s="534">
        <f t="shared" si="45"/>
        <v>0</v>
      </c>
      <c r="EM25" s="535">
        <f t="shared" si="156"/>
        <v>0</v>
      </c>
      <c r="EN25" s="533"/>
      <c r="EO25" s="534">
        <f t="shared" si="46"/>
        <v>0</v>
      </c>
      <c r="EP25" s="535">
        <f t="shared" si="157"/>
        <v>0</v>
      </c>
      <c r="EQ25" s="533"/>
      <c r="ER25" s="534">
        <f t="shared" si="47"/>
        <v>0</v>
      </c>
      <c r="ES25" s="535">
        <f t="shared" si="158"/>
        <v>0</v>
      </c>
      <c r="ET25" s="533"/>
      <c r="EU25" s="534">
        <f t="shared" si="48"/>
        <v>0</v>
      </c>
      <c r="EV25" s="535">
        <f t="shared" si="159"/>
        <v>0</v>
      </c>
      <c r="EW25" s="533"/>
      <c r="EX25" s="534">
        <f t="shared" si="49"/>
        <v>0</v>
      </c>
      <c r="EY25" s="535">
        <f t="shared" si="160"/>
        <v>0</v>
      </c>
      <c r="EZ25" s="533"/>
      <c r="FA25" s="534">
        <f t="shared" si="50"/>
        <v>0</v>
      </c>
      <c r="FB25" s="535">
        <f t="shared" si="161"/>
        <v>0</v>
      </c>
      <c r="FC25" s="533"/>
      <c r="FD25" s="534">
        <f t="shared" si="51"/>
        <v>0</v>
      </c>
      <c r="FE25" s="535">
        <f t="shared" si="162"/>
        <v>0</v>
      </c>
      <c r="FF25" s="533"/>
      <c r="FG25" s="534">
        <f t="shared" si="52"/>
        <v>0</v>
      </c>
      <c r="FH25" s="535">
        <f t="shared" si="163"/>
        <v>0</v>
      </c>
      <c r="FI25" s="533"/>
      <c r="FJ25" s="534">
        <f t="shared" si="53"/>
        <v>0</v>
      </c>
      <c r="FK25" s="535">
        <f t="shared" si="164"/>
        <v>0</v>
      </c>
      <c r="FL25" s="533"/>
      <c r="FM25" s="534">
        <f t="shared" si="54"/>
        <v>0</v>
      </c>
      <c r="FN25" s="535">
        <f t="shared" si="165"/>
        <v>0</v>
      </c>
      <c r="FO25" s="533"/>
      <c r="FP25" s="534">
        <f t="shared" si="55"/>
        <v>0</v>
      </c>
      <c r="FQ25" s="535">
        <f t="shared" si="166"/>
        <v>0</v>
      </c>
      <c r="FR25" s="533"/>
      <c r="FS25" s="534">
        <f t="shared" si="56"/>
        <v>0</v>
      </c>
      <c r="FT25" s="535">
        <f t="shared" si="167"/>
        <v>0</v>
      </c>
      <c r="FU25" s="533"/>
      <c r="FV25" s="534">
        <f t="shared" si="57"/>
        <v>0</v>
      </c>
      <c r="FW25" s="535">
        <f t="shared" si="168"/>
        <v>0</v>
      </c>
      <c r="FX25" s="533"/>
      <c r="FY25" s="534">
        <f t="shared" si="58"/>
        <v>0</v>
      </c>
      <c r="FZ25" s="535">
        <f t="shared" si="169"/>
        <v>0</v>
      </c>
      <c r="GA25" s="533"/>
      <c r="GB25" s="534">
        <f t="shared" si="59"/>
        <v>0</v>
      </c>
      <c r="GC25" s="535">
        <f t="shared" si="170"/>
        <v>0</v>
      </c>
      <c r="GD25" s="533"/>
      <c r="GE25" s="534">
        <f t="shared" si="60"/>
        <v>0</v>
      </c>
      <c r="GF25" s="535">
        <f t="shared" si="171"/>
        <v>0</v>
      </c>
      <c r="GG25" s="533"/>
      <c r="GH25" s="534">
        <f t="shared" si="61"/>
        <v>0</v>
      </c>
      <c r="GI25" s="535">
        <f t="shared" si="172"/>
        <v>0</v>
      </c>
      <c r="GJ25" s="533"/>
      <c r="GK25" s="534">
        <f t="shared" si="62"/>
        <v>0</v>
      </c>
      <c r="GL25" s="535">
        <f t="shared" si="173"/>
        <v>0</v>
      </c>
      <c r="GM25" s="533"/>
      <c r="GN25" s="534">
        <f t="shared" si="63"/>
        <v>0</v>
      </c>
      <c r="GO25" s="535">
        <f t="shared" si="174"/>
        <v>0</v>
      </c>
      <c r="GP25" s="533"/>
      <c r="GQ25" s="534">
        <f t="shared" si="64"/>
        <v>0</v>
      </c>
      <c r="GR25" s="535">
        <f t="shared" si="175"/>
        <v>0</v>
      </c>
      <c r="GS25" s="533"/>
      <c r="GT25" s="534">
        <f t="shared" si="65"/>
        <v>0</v>
      </c>
      <c r="GU25" s="535">
        <f t="shared" si="176"/>
        <v>0</v>
      </c>
      <c r="GV25" s="533"/>
      <c r="GW25" s="534">
        <f t="shared" si="66"/>
        <v>0</v>
      </c>
      <c r="GX25" s="535">
        <f t="shared" si="177"/>
        <v>0</v>
      </c>
      <c r="GY25" s="533"/>
      <c r="GZ25" s="534">
        <f t="shared" si="67"/>
        <v>0</v>
      </c>
      <c r="HA25" s="535">
        <f t="shared" si="178"/>
        <v>0</v>
      </c>
      <c r="HB25" s="533"/>
      <c r="HC25" s="534">
        <f t="shared" si="68"/>
        <v>0</v>
      </c>
      <c r="HD25" s="535">
        <f t="shared" si="179"/>
        <v>0</v>
      </c>
      <c r="HE25" s="533"/>
      <c r="HF25" s="534">
        <f t="shared" si="69"/>
        <v>0</v>
      </c>
      <c r="HG25" s="535">
        <f t="shared" si="180"/>
        <v>0</v>
      </c>
      <c r="HH25" s="533"/>
      <c r="HI25" s="534">
        <f t="shared" si="70"/>
        <v>0</v>
      </c>
      <c r="HJ25" s="535">
        <f t="shared" si="181"/>
        <v>0</v>
      </c>
      <c r="HK25" s="533"/>
      <c r="HL25" s="534">
        <f t="shared" si="71"/>
        <v>0</v>
      </c>
      <c r="HM25" s="535">
        <f t="shared" si="182"/>
        <v>0</v>
      </c>
      <c r="HN25" s="533"/>
      <c r="HO25" s="534">
        <f t="shared" si="72"/>
        <v>0</v>
      </c>
      <c r="HP25" s="535">
        <f t="shared" si="183"/>
        <v>0</v>
      </c>
      <c r="HQ25" s="533"/>
      <c r="HR25" s="534">
        <f t="shared" si="73"/>
        <v>0</v>
      </c>
      <c r="HS25" s="535">
        <f t="shared" si="184"/>
        <v>0</v>
      </c>
      <c r="HT25" s="533"/>
      <c r="HU25" s="534">
        <f t="shared" si="74"/>
        <v>0</v>
      </c>
      <c r="HV25" s="535">
        <f t="shared" si="185"/>
        <v>0</v>
      </c>
      <c r="HW25" s="533"/>
      <c r="HX25" s="534">
        <f t="shared" si="75"/>
        <v>0</v>
      </c>
      <c r="HY25" s="535">
        <f t="shared" si="186"/>
        <v>0</v>
      </c>
      <c r="HZ25" s="533"/>
      <c r="IA25" s="534">
        <f t="shared" si="76"/>
        <v>0</v>
      </c>
      <c r="IB25" s="535">
        <f t="shared" si="187"/>
        <v>0</v>
      </c>
      <c r="IC25" s="533"/>
      <c r="ID25" s="534">
        <f t="shared" si="77"/>
        <v>0</v>
      </c>
      <c r="IE25" s="535">
        <f t="shared" si="188"/>
        <v>0</v>
      </c>
      <c r="IF25" s="533"/>
      <c r="IG25" s="534">
        <f t="shared" si="78"/>
        <v>0</v>
      </c>
      <c r="IH25" s="535">
        <f t="shared" si="189"/>
        <v>0</v>
      </c>
      <c r="II25" s="533"/>
      <c r="IJ25" s="534">
        <f t="shared" si="79"/>
        <v>0</v>
      </c>
      <c r="IK25" s="535">
        <f t="shared" si="190"/>
        <v>0</v>
      </c>
      <c r="IL25" s="533"/>
      <c r="IM25" s="534">
        <f t="shared" si="80"/>
        <v>0</v>
      </c>
      <c r="IN25" s="535">
        <f t="shared" si="191"/>
        <v>0</v>
      </c>
      <c r="IO25" s="533"/>
      <c r="IP25" s="534">
        <f t="shared" si="81"/>
        <v>0</v>
      </c>
      <c r="IQ25" s="535">
        <f t="shared" si="192"/>
        <v>0</v>
      </c>
      <c r="IR25" s="533"/>
      <c r="IS25" s="534">
        <f t="shared" si="82"/>
        <v>0</v>
      </c>
      <c r="IT25" s="535">
        <f t="shared" si="193"/>
        <v>0</v>
      </c>
      <c r="IU25" s="533"/>
      <c r="IV25" s="534">
        <f t="shared" si="83"/>
        <v>0</v>
      </c>
      <c r="IW25" s="535">
        <f t="shared" si="194"/>
        <v>0</v>
      </c>
      <c r="IX25" s="533"/>
      <c r="IY25" s="534">
        <f t="shared" si="84"/>
        <v>0</v>
      </c>
      <c r="IZ25" s="535">
        <f t="shared" si="195"/>
        <v>0</v>
      </c>
      <c r="JA25" s="533"/>
      <c r="JB25" s="534">
        <f t="shared" si="85"/>
        <v>0</v>
      </c>
      <c r="JC25" s="535">
        <f t="shared" si="196"/>
        <v>0</v>
      </c>
      <c r="JD25" s="533"/>
      <c r="JE25" s="534">
        <f t="shared" si="86"/>
        <v>0</v>
      </c>
      <c r="JF25" s="535">
        <f t="shared" si="197"/>
        <v>0</v>
      </c>
      <c r="JG25" s="533"/>
      <c r="JH25" s="534">
        <f t="shared" si="87"/>
        <v>0</v>
      </c>
      <c r="JI25" s="535">
        <f t="shared" si="198"/>
        <v>0</v>
      </c>
      <c r="JJ25" s="533"/>
      <c r="JK25" s="535" t="str">
        <f t="shared" si="88"/>
        <v>0</v>
      </c>
      <c r="JL25" s="535" t="str">
        <f t="shared" si="89"/>
        <v>0</v>
      </c>
      <c r="JM25" s="533"/>
      <c r="JN25" s="535" t="str">
        <f t="shared" si="90"/>
        <v>0</v>
      </c>
      <c r="JO25" s="535" t="str">
        <f t="shared" si="91"/>
        <v>0</v>
      </c>
      <c r="JP25" s="533"/>
      <c r="JQ25" s="535" t="str">
        <f t="shared" si="92"/>
        <v>0</v>
      </c>
      <c r="JR25" s="535" t="str">
        <f t="shared" si="93"/>
        <v>0</v>
      </c>
      <c r="JS25" s="533"/>
      <c r="JT25" s="535" t="str">
        <f t="shared" si="94"/>
        <v>0</v>
      </c>
      <c r="JU25" s="535" t="str">
        <f t="shared" si="95"/>
        <v>0</v>
      </c>
      <c r="JV25" s="533"/>
      <c r="JW25" s="535" t="str">
        <f t="shared" si="96"/>
        <v>0</v>
      </c>
      <c r="JX25" s="535" t="str">
        <f t="shared" si="97"/>
        <v>0</v>
      </c>
      <c r="JY25" s="533"/>
      <c r="JZ25" s="535" t="str">
        <f t="shared" si="98"/>
        <v>0</v>
      </c>
      <c r="KA25" s="535" t="str">
        <f t="shared" si="99"/>
        <v>0</v>
      </c>
      <c r="KB25" s="533"/>
      <c r="KC25" s="535" t="str">
        <f t="shared" si="100"/>
        <v>0</v>
      </c>
      <c r="KD25" s="535" t="str">
        <f t="shared" si="101"/>
        <v>0</v>
      </c>
      <c r="KE25" s="533"/>
      <c r="KF25" s="535" t="str">
        <f t="shared" si="102"/>
        <v>0</v>
      </c>
      <c r="KG25" s="535" t="str">
        <f t="shared" si="103"/>
        <v>0</v>
      </c>
      <c r="KH25" s="533"/>
      <c r="KI25" s="535" t="str">
        <f t="shared" si="104"/>
        <v>0</v>
      </c>
      <c r="KJ25" s="535" t="str">
        <f t="shared" si="105"/>
        <v>0</v>
      </c>
      <c r="KK25" s="533"/>
      <c r="KL25" s="535" t="str">
        <f t="shared" si="106"/>
        <v>0</v>
      </c>
      <c r="KM25" s="535" t="str">
        <f t="shared" si="107"/>
        <v>0</v>
      </c>
      <c r="KN25" s="533"/>
      <c r="KO25" s="535" t="str">
        <f t="shared" si="108"/>
        <v>0</v>
      </c>
      <c r="KP25" s="535" t="str">
        <f t="shared" si="109"/>
        <v>0</v>
      </c>
      <c r="KQ25" s="533"/>
      <c r="KR25" s="535" t="str">
        <f t="shared" si="110"/>
        <v>0</v>
      </c>
      <c r="KS25" s="535" t="str">
        <f t="shared" si="111"/>
        <v>0</v>
      </c>
      <c r="KT25" s="535">
        <f t="shared" si="201"/>
        <v>0</v>
      </c>
      <c r="KU25" s="535">
        <f t="shared" si="202"/>
        <v>0</v>
      </c>
      <c r="KV25" s="272">
        <f t="shared" si="199"/>
        <v>398.92378736975598</v>
      </c>
    </row>
    <row r="26" spans="1:309" ht="15" customHeight="1">
      <c r="A26" s="274">
        <f t="shared" si="200"/>
        <v>45979</v>
      </c>
      <c r="B26" s="275" t="str">
        <f>+Report1!B26</f>
        <v>Facial</v>
      </c>
      <c r="C26" s="415" t="str">
        <f>+Report1!C26</f>
        <v>12/13</v>
      </c>
      <c r="D26" s="276">
        <f>+Report1!P26</f>
        <v>51.094999999999999</v>
      </c>
      <c r="E26" s="277">
        <f>+Report1!R26</f>
        <v>45.436</v>
      </c>
      <c r="F26" s="533">
        <v>0</v>
      </c>
      <c r="G26" s="534">
        <f t="shared" si="0"/>
        <v>0</v>
      </c>
      <c r="H26" s="535">
        <f t="shared" si="112"/>
        <v>0</v>
      </c>
      <c r="I26" s="533">
        <v>174.4186046511627</v>
      </c>
      <c r="J26" s="534">
        <f t="shared" si="1"/>
        <v>3.8387755227388567</v>
      </c>
      <c r="K26" s="535">
        <f t="shared" si="113"/>
        <v>0</v>
      </c>
      <c r="L26" s="533"/>
      <c r="M26" s="534">
        <f t="shared" si="2"/>
        <v>0</v>
      </c>
      <c r="N26" s="535">
        <f t="shared" si="114"/>
        <v>0</v>
      </c>
      <c r="O26" s="533">
        <v>9</v>
      </c>
      <c r="P26" s="534">
        <f t="shared" si="3"/>
        <v>0.19808081697332511</v>
      </c>
      <c r="Q26" s="535">
        <f t="shared" si="115"/>
        <v>0</v>
      </c>
      <c r="R26" s="533"/>
      <c r="S26" s="534">
        <f t="shared" si="4"/>
        <v>0</v>
      </c>
      <c r="T26" s="535">
        <f t="shared" si="116"/>
        <v>0</v>
      </c>
      <c r="U26" s="533">
        <v>5.125</v>
      </c>
      <c r="V26" s="534">
        <f t="shared" si="5"/>
        <v>0.1127960207764768</v>
      </c>
      <c r="W26" s="535">
        <f t="shared" si="117"/>
        <v>0</v>
      </c>
      <c r="X26" s="533"/>
      <c r="Y26" s="534">
        <f t="shared" si="6"/>
        <v>0</v>
      </c>
      <c r="Z26" s="535">
        <f t="shared" si="118"/>
        <v>0</v>
      </c>
      <c r="AA26" s="533"/>
      <c r="AB26" s="534">
        <f t="shared" si="7"/>
        <v>0</v>
      </c>
      <c r="AC26" s="535">
        <f t="shared" si="119"/>
        <v>0</v>
      </c>
      <c r="AD26" s="533"/>
      <c r="AE26" s="534">
        <f t="shared" si="8"/>
        <v>0</v>
      </c>
      <c r="AF26" s="535">
        <f t="shared" si="120"/>
        <v>0</v>
      </c>
      <c r="AG26" s="533"/>
      <c r="AH26" s="534">
        <f t="shared" si="9"/>
        <v>0</v>
      </c>
      <c r="AI26" s="535">
        <f t="shared" si="121"/>
        <v>0</v>
      </c>
      <c r="AJ26" s="533">
        <v>0</v>
      </c>
      <c r="AK26" s="534">
        <f t="shared" si="10"/>
        <v>0</v>
      </c>
      <c r="AL26" s="535">
        <f t="shared" si="122"/>
        <v>0</v>
      </c>
      <c r="AM26" s="533">
        <v>0</v>
      </c>
      <c r="AN26" s="534">
        <f t="shared" si="11"/>
        <v>0</v>
      </c>
      <c r="AO26" s="535">
        <f t="shared" si="123"/>
        <v>0</v>
      </c>
      <c r="AP26" s="533">
        <v>59.810126582278485</v>
      </c>
      <c r="AQ26" s="534">
        <f t="shared" si="12"/>
        <v>1.316359859632857</v>
      </c>
      <c r="AR26" s="535">
        <f t="shared" si="124"/>
        <v>0</v>
      </c>
      <c r="AS26" s="533"/>
      <c r="AT26" s="534">
        <f t="shared" si="13"/>
        <v>0</v>
      </c>
      <c r="AU26" s="535">
        <f t="shared" si="125"/>
        <v>0</v>
      </c>
      <c r="AV26" s="533">
        <v>2.7750000000000057</v>
      </c>
      <c r="AW26" s="534">
        <f t="shared" si="14"/>
        <v>6.1074918566775369E-2</v>
      </c>
      <c r="AX26" s="535">
        <f t="shared" si="126"/>
        <v>0</v>
      </c>
      <c r="AY26" s="533">
        <v>37.333333333333343</v>
      </c>
      <c r="AZ26" s="534">
        <f t="shared" si="15"/>
        <v>0.82166857411157102</v>
      </c>
      <c r="BA26" s="535">
        <f t="shared" si="127"/>
        <v>0</v>
      </c>
      <c r="BB26" s="533">
        <v>0</v>
      </c>
      <c r="BC26" s="534">
        <f t="shared" si="16"/>
        <v>0</v>
      </c>
      <c r="BD26" s="535">
        <f t="shared" si="128"/>
        <v>0</v>
      </c>
      <c r="BE26" s="533"/>
      <c r="BF26" s="534">
        <f t="shared" si="17"/>
        <v>0</v>
      </c>
      <c r="BG26" s="535">
        <f t="shared" si="129"/>
        <v>0</v>
      </c>
      <c r="BH26" s="533"/>
      <c r="BI26" s="534">
        <f t="shared" si="18"/>
        <v>0</v>
      </c>
      <c r="BJ26" s="535">
        <f t="shared" si="130"/>
        <v>0</v>
      </c>
      <c r="BK26" s="533"/>
      <c r="BL26" s="534">
        <f t="shared" si="19"/>
        <v>0</v>
      </c>
      <c r="BM26" s="535">
        <f t="shared" si="131"/>
        <v>0</v>
      </c>
      <c r="BN26" s="533">
        <v>2.5308641975308603</v>
      </c>
      <c r="BO26" s="534">
        <f t="shared" si="20"/>
        <v>5.5701738655050188E-2</v>
      </c>
      <c r="BP26" s="535">
        <f t="shared" si="132"/>
        <v>0</v>
      </c>
      <c r="BQ26" s="533">
        <v>0</v>
      </c>
      <c r="BR26" s="534">
        <f t="shared" si="21"/>
        <v>0</v>
      </c>
      <c r="BS26" s="535">
        <f t="shared" si="133"/>
        <v>0</v>
      </c>
      <c r="BT26" s="533"/>
      <c r="BU26" s="534">
        <f t="shared" si="22"/>
        <v>0</v>
      </c>
      <c r="BV26" s="535">
        <f t="shared" si="134"/>
        <v>0</v>
      </c>
      <c r="BW26" s="533">
        <v>0</v>
      </c>
      <c r="BX26" s="534">
        <f t="shared" si="23"/>
        <v>0</v>
      </c>
      <c r="BY26" s="535">
        <f t="shared" si="135"/>
        <v>0</v>
      </c>
      <c r="BZ26" s="533"/>
      <c r="CA26" s="534">
        <f t="shared" si="24"/>
        <v>0</v>
      </c>
      <c r="CB26" s="535">
        <f t="shared" si="136"/>
        <v>0</v>
      </c>
      <c r="CC26" s="533">
        <v>0</v>
      </c>
      <c r="CD26" s="534">
        <f t="shared" si="25"/>
        <v>0</v>
      </c>
      <c r="CE26" s="535">
        <f t="shared" si="137"/>
        <v>0</v>
      </c>
      <c r="CF26" s="533">
        <v>9.9999999999999978E-2</v>
      </c>
      <c r="CG26" s="534">
        <f t="shared" si="26"/>
        <v>2.2008979663702788E-3</v>
      </c>
      <c r="CH26" s="535">
        <f t="shared" si="138"/>
        <v>0</v>
      </c>
      <c r="CI26" s="533"/>
      <c r="CJ26" s="534">
        <f t="shared" si="27"/>
        <v>0</v>
      </c>
      <c r="CK26" s="535">
        <f t="shared" si="139"/>
        <v>0</v>
      </c>
      <c r="CL26" s="533"/>
      <c r="CM26" s="534">
        <f t="shared" si="28"/>
        <v>0</v>
      </c>
      <c r="CN26" s="535">
        <f t="shared" si="140"/>
        <v>0</v>
      </c>
      <c r="CO26" s="533"/>
      <c r="CP26" s="534">
        <f t="shared" si="29"/>
        <v>0</v>
      </c>
      <c r="CQ26" s="535">
        <f t="shared" si="141"/>
        <v>0</v>
      </c>
      <c r="CR26" s="533"/>
      <c r="CS26" s="534">
        <f t="shared" si="30"/>
        <v>0</v>
      </c>
      <c r="CT26" s="535">
        <f t="shared" si="142"/>
        <v>0</v>
      </c>
      <c r="CU26" s="533"/>
      <c r="CV26" s="534">
        <f t="shared" si="31"/>
        <v>0</v>
      </c>
      <c r="CW26" s="535">
        <f t="shared" si="143"/>
        <v>0</v>
      </c>
      <c r="CX26" s="533"/>
      <c r="CY26" s="534">
        <f t="shared" si="32"/>
        <v>0</v>
      </c>
      <c r="CZ26" s="535">
        <f t="shared" si="144"/>
        <v>0</v>
      </c>
      <c r="DA26" s="533"/>
      <c r="DB26" s="534">
        <f t="shared" si="33"/>
        <v>0</v>
      </c>
      <c r="DC26" s="535">
        <f t="shared" si="145"/>
        <v>0</v>
      </c>
      <c r="DD26" s="533"/>
      <c r="DE26" s="534">
        <f t="shared" si="34"/>
        <v>0</v>
      </c>
      <c r="DF26" s="535">
        <f t="shared" si="146"/>
        <v>0</v>
      </c>
      <c r="DG26" s="533">
        <v>0</v>
      </c>
      <c r="DH26" s="534">
        <f t="shared" si="35"/>
        <v>0</v>
      </c>
      <c r="DI26" s="535">
        <f t="shared" si="203"/>
        <v>0</v>
      </c>
      <c r="DJ26" s="533"/>
      <c r="DK26" s="534">
        <f t="shared" si="36"/>
        <v>0</v>
      </c>
      <c r="DL26" s="535">
        <f t="shared" si="147"/>
        <v>0</v>
      </c>
      <c r="DM26" s="533"/>
      <c r="DN26" s="534">
        <f t="shared" si="37"/>
        <v>0</v>
      </c>
      <c r="DO26" s="535">
        <f t="shared" si="148"/>
        <v>0</v>
      </c>
      <c r="DP26" s="533"/>
      <c r="DQ26" s="534">
        <f t="shared" si="38"/>
        <v>0</v>
      </c>
      <c r="DR26" s="535">
        <f t="shared" si="149"/>
        <v>0</v>
      </c>
      <c r="DS26" s="533"/>
      <c r="DT26" s="534">
        <f t="shared" si="39"/>
        <v>0</v>
      </c>
      <c r="DU26" s="535">
        <f t="shared" si="150"/>
        <v>0</v>
      </c>
      <c r="DV26" s="533"/>
      <c r="DW26" s="534">
        <f t="shared" si="40"/>
        <v>0</v>
      </c>
      <c r="DX26" s="535">
        <f t="shared" si="151"/>
        <v>0</v>
      </c>
      <c r="DY26" s="533"/>
      <c r="DZ26" s="534">
        <f t="shared" si="41"/>
        <v>0</v>
      </c>
      <c r="EA26" s="535">
        <f t="shared" si="152"/>
        <v>0</v>
      </c>
      <c r="EB26" s="533">
        <v>14.534883720930168</v>
      </c>
      <c r="EC26" s="534">
        <f t="shared" si="42"/>
        <v>0.3198979602282368</v>
      </c>
      <c r="ED26" s="535">
        <f t="shared" si="153"/>
        <v>0</v>
      </c>
      <c r="EE26" s="533">
        <v>0</v>
      </c>
      <c r="EF26" s="534">
        <f t="shared" si="43"/>
        <v>0</v>
      </c>
      <c r="EG26" s="535">
        <f t="shared" si="154"/>
        <v>0</v>
      </c>
      <c r="EH26" s="533"/>
      <c r="EI26" s="534">
        <f t="shared" si="44"/>
        <v>0</v>
      </c>
      <c r="EJ26" s="535">
        <f t="shared" si="155"/>
        <v>0</v>
      </c>
      <c r="EK26" s="533"/>
      <c r="EL26" s="534">
        <f t="shared" si="45"/>
        <v>0</v>
      </c>
      <c r="EM26" s="535">
        <f t="shared" si="156"/>
        <v>0</v>
      </c>
      <c r="EN26" s="533"/>
      <c r="EO26" s="534">
        <f t="shared" si="46"/>
        <v>0</v>
      </c>
      <c r="EP26" s="535">
        <f t="shared" si="157"/>
        <v>0</v>
      </c>
      <c r="EQ26" s="533"/>
      <c r="ER26" s="534">
        <f t="shared" si="47"/>
        <v>0</v>
      </c>
      <c r="ES26" s="535">
        <f t="shared" si="158"/>
        <v>0</v>
      </c>
      <c r="ET26" s="533"/>
      <c r="EU26" s="534">
        <f t="shared" si="48"/>
        <v>0</v>
      </c>
      <c r="EV26" s="535">
        <f t="shared" si="159"/>
        <v>0</v>
      </c>
      <c r="EW26" s="533"/>
      <c r="EX26" s="534">
        <f t="shared" si="49"/>
        <v>0</v>
      </c>
      <c r="EY26" s="535">
        <f t="shared" si="160"/>
        <v>0</v>
      </c>
      <c r="EZ26" s="533"/>
      <c r="FA26" s="534">
        <f t="shared" si="50"/>
        <v>0</v>
      </c>
      <c r="FB26" s="535">
        <f t="shared" si="161"/>
        <v>0</v>
      </c>
      <c r="FC26" s="533"/>
      <c r="FD26" s="534">
        <f t="shared" si="51"/>
        <v>0</v>
      </c>
      <c r="FE26" s="535">
        <f t="shared" si="162"/>
        <v>0</v>
      </c>
      <c r="FF26" s="533"/>
      <c r="FG26" s="534">
        <f t="shared" si="52"/>
        <v>0</v>
      </c>
      <c r="FH26" s="535">
        <f t="shared" si="163"/>
        <v>0</v>
      </c>
      <c r="FI26" s="533"/>
      <c r="FJ26" s="534">
        <f t="shared" si="53"/>
        <v>0</v>
      </c>
      <c r="FK26" s="535">
        <f t="shared" si="164"/>
        <v>0</v>
      </c>
      <c r="FL26" s="533"/>
      <c r="FM26" s="534">
        <f t="shared" si="54"/>
        <v>0</v>
      </c>
      <c r="FN26" s="535">
        <f t="shared" si="165"/>
        <v>0</v>
      </c>
      <c r="FO26" s="533"/>
      <c r="FP26" s="534">
        <f t="shared" si="55"/>
        <v>0</v>
      </c>
      <c r="FQ26" s="535">
        <f t="shared" si="166"/>
        <v>0</v>
      </c>
      <c r="FR26" s="533"/>
      <c r="FS26" s="534">
        <f t="shared" si="56"/>
        <v>0</v>
      </c>
      <c r="FT26" s="535">
        <f t="shared" si="167"/>
        <v>0</v>
      </c>
      <c r="FU26" s="533"/>
      <c r="FV26" s="534">
        <f t="shared" si="57"/>
        <v>0</v>
      </c>
      <c r="FW26" s="535">
        <f t="shared" si="168"/>
        <v>0</v>
      </c>
      <c r="FX26" s="533"/>
      <c r="FY26" s="534">
        <f t="shared" si="58"/>
        <v>0</v>
      </c>
      <c r="FZ26" s="535">
        <f t="shared" si="169"/>
        <v>0</v>
      </c>
      <c r="GA26" s="533"/>
      <c r="GB26" s="534">
        <f t="shared" si="59"/>
        <v>0</v>
      </c>
      <c r="GC26" s="535">
        <f t="shared" si="170"/>
        <v>0</v>
      </c>
      <c r="GD26" s="533"/>
      <c r="GE26" s="534">
        <f t="shared" si="60"/>
        <v>0</v>
      </c>
      <c r="GF26" s="535">
        <f t="shared" si="171"/>
        <v>0</v>
      </c>
      <c r="GG26" s="533"/>
      <c r="GH26" s="534">
        <f t="shared" si="61"/>
        <v>0</v>
      </c>
      <c r="GI26" s="535">
        <f t="shared" si="172"/>
        <v>0</v>
      </c>
      <c r="GJ26" s="533"/>
      <c r="GK26" s="534">
        <f t="shared" si="62"/>
        <v>0</v>
      </c>
      <c r="GL26" s="535">
        <f t="shared" si="173"/>
        <v>0</v>
      </c>
      <c r="GM26" s="533"/>
      <c r="GN26" s="534">
        <f t="shared" si="63"/>
        <v>0</v>
      </c>
      <c r="GO26" s="535">
        <f t="shared" si="174"/>
        <v>0</v>
      </c>
      <c r="GP26" s="533"/>
      <c r="GQ26" s="534">
        <f t="shared" si="64"/>
        <v>0</v>
      </c>
      <c r="GR26" s="535">
        <f t="shared" si="175"/>
        <v>0</v>
      </c>
      <c r="GS26" s="533"/>
      <c r="GT26" s="534">
        <f t="shared" si="65"/>
        <v>0</v>
      </c>
      <c r="GU26" s="535">
        <f t="shared" si="176"/>
        <v>0</v>
      </c>
      <c r="GV26" s="533"/>
      <c r="GW26" s="534">
        <f t="shared" si="66"/>
        <v>0</v>
      </c>
      <c r="GX26" s="535">
        <f t="shared" si="177"/>
        <v>0</v>
      </c>
      <c r="GY26" s="533"/>
      <c r="GZ26" s="534">
        <f t="shared" si="67"/>
        <v>0</v>
      </c>
      <c r="HA26" s="535">
        <f t="shared" si="178"/>
        <v>0</v>
      </c>
      <c r="HB26" s="533"/>
      <c r="HC26" s="534">
        <f t="shared" si="68"/>
        <v>0</v>
      </c>
      <c r="HD26" s="535">
        <f t="shared" si="179"/>
        <v>0</v>
      </c>
      <c r="HE26" s="533"/>
      <c r="HF26" s="534">
        <f t="shared" si="69"/>
        <v>0</v>
      </c>
      <c r="HG26" s="535">
        <f t="shared" si="180"/>
        <v>0</v>
      </c>
      <c r="HH26" s="533"/>
      <c r="HI26" s="534">
        <f t="shared" si="70"/>
        <v>0</v>
      </c>
      <c r="HJ26" s="535">
        <f t="shared" si="181"/>
        <v>0</v>
      </c>
      <c r="HK26" s="533"/>
      <c r="HL26" s="534">
        <f t="shared" si="71"/>
        <v>0</v>
      </c>
      <c r="HM26" s="535">
        <f t="shared" si="182"/>
        <v>0</v>
      </c>
      <c r="HN26" s="533"/>
      <c r="HO26" s="534">
        <f t="shared" si="72"/>
        <v>0</v>
      </c>
      <c r="HP26" s="535">
        <f t="shared" si="183"/>
        <v>0</v>
      </c>
      <c r="HQ26" s="533"/>
      <c r="HR26" s="534">
        <f t="shared" si="73"/>
        <v>0</v>
      </c>
      <c r="HS26" s="535">
        <f t="shared" si="184"/>
        <v>0</v>
      </c>
      <c r="HT26" s="533"/>
      <c r="HU26" s="534">
        <f t="shared" si="74"/>
        <v>0</v>
      </c>
      <c r="HV26" s="535">
        <f t="shared" si="185"/>
        <v>0</v>
      </c>
      <c r="HW26" s="533"/>
      <c r="HX26" s="534">
        <f t="shared" si="75"/>
        <v>0</v>
      </c>
      <c r="HY26" s="535">
        <f t="shared" si="186"/>
        <v>0</v>
      </c>
      <c r="HZ26" s="533"/>
      <c r="IA26" s="534">
        <f t="shared" si="76"/>
        <v>0</v>
      </c>
      <c r="IB26" s="535">
        <f t="shared" si="187"/>
        <v>0</v>
      </c>
      <c r="IC26" s="533"/>
      <c r="ID26" s="534">
        <f t="shared" si="77"/>
        <v>0</v>
      </c>
      <c r="IE26" s="535">
        <f t="shared" si="188"/>
        <v>0</v>
      </c>
      <c r="IF26" s="533"/>
      <c r="IG26" s="534">
        <f t="shared" si="78"/>
        <v>0</v>
      </c>
      <c r="IH26" s="535">
        <f t="shared" si="189"/>
        <v>0</v>
      </c>
      <c r="II26" s="533"/>
      <c r="IJ26" s="534">
        <f t="shared" si="79"/>
        <v>0</v>
      </c>
      <c r="IK26" s="535">
        <f t="shared" si="190"/>
        <v>0</v>
      </c>
      <c r="IL26" s="533"/>
      <c r="IM26" s="534">
        <f t="shared" si="80"/>
        <v>0</v>
      </c>
      <c r="IN26" s="535">
        <f t="shared" si="191"/>
        <v>0</v>
      </c>
      <c r="IO26" s="533"/>
      <c r="IP26" s="534">
        <f t="shared" si="81"/>
        <v>0</v>
      </c>
      <c r="IQ26" s="535">
        <f t="shared" si="192"/>
        <v>0</v>
      </c>
      <c r="IR26" s="533"/>
      <c r="IS26" s="534">
        <f t="shared" si="82"/>
        <v>0</v>
      </c>
      <c r="IT26" s="535">
        <f t="shared" si="193"/>
        <v>0</v>
      </c>
      <c r="IU26" s="533"/>
      <c r="IV26" s="534">
        <f t="shared" si="83"/>
        <v>0</v>
      </c>
      <c r="IW26" s="535">
        <f t="shared" si="194"/>
        <v>0</v>
      </c>
      <c r="IX26" s="533"/>
      <c r="IY26" s="534">
        <f t="shared" si="84"/>
        <v>0</v>
      </c>
      <c r="IZ26" s="535">
        <f t="shared" si="195"/>
        <v>0</v>
      </c>
      <c r="JA26" s="533"/>
      <c r="JB26" s="534">
        <f t="shared" si="85"/>
        <v>0</v>
      </c>
      <c r="JC26" s="535">
        <f t="shared" si="196"/>
        <v>0</v>
      </c>
      <c r="JD26" s="533"/>
      <c r="JE26" s="534">
        <f t="shared" si="86"/>
        <v>0</v>
      </c>
      <c r="JF26" s="535">
        <f t="shared" si="197"/>
        <v>0</v>
      </c>
      <c r="JG26" s="533"/>
      <c r="JH26" s="534">
        <f t="shared" si="87"/>
        <v>0</v>
      </c>
      <c r="JI26" s="535">
        <f t="shared" si="198"/>
        <v>0</v>
      </c>
      <c r="JJ26" s="533"/>
      <c r="JK26" s="535" t="str">
        <f t="shared" si="88"/>
        <v>0</v>
      </c>
      <c r="JL26" s="535" t="str">
        <f t="shared" si="89"/>
        <v>0</v>
      </c>
      <c r="JM26" s="533"/>
      <c r="JN26" s="535" t="str">
        <f t="shared" si="90"/>
        <v>0</v>
      </c>
      <c r="JO26" s="535" t="str">
        <f t="shared" si="91"/>
        <v>0</v>
      </c>
      <c r="JP26" s="533"/>
      <c r="JQ26" s="535" t="str">
        <f t="shared" si="92"/>
        <v>0</v>
      </c>
      <c r="JR26" s="535" t="str">
        <f t="shared" si="93"/>
        <v>0</v>
      </c>
      <c r="JS26" s="533"/>
      <c r="JT26" s="535" t="str">
        <f t="shared" si="94"/>
        <v>0</v>
      </c>
      <c r="JU26" s="535" t="str">
        <f t="shared" si="95"/>
        <v>0</v>
      </c>
      <c r="JV26" s="533"/>
      <c r="JW26" s="535" t="str">
        <f t="shared" si="96"/>
        <v>0</v>
      </c>
      <c r="JX26" s="535" t="str">
        <f t="shared" si="97"/>
        <v>0</v>
      </c>
      <c r="JY26" s="533"/>
      <c r="JZ26" s="535" t="str">
        <f t="shared" si="98"/>
        <v>0</v>
      </c>
      <c r="KA26" s="535" t="str">
        <f t="shared" si="99"/>
        <v>0</v>
      </c>
      <c r="KB26" s="533"/>
      <c r="KC26" s="535" t="str">
        <f t="shared" si="100"/>
        <v>0</v>
      </c>
      <c r="KD26" s="535" t="str">
        <f t="shared" si="101"/>
        <v>0</v>
      </c>
      <c r="KE26" s="533"/>
      <c r="KF26" s="535" t="str">
        <f t="shared" si="102"/>
        <v>0</v>
      </c>
      <c r="KG26" s="535" t="str">
        <f t="shared" si="103"/>
        <v>0</v>
      </c>
      <c r="KH26" s="533"/>
      <c r="KI26" s="535" t="str">
        <f t="shared" si="104"/>
        <v>0</v>
      </c>
      <c r="KJ26" s="535" t="str">
        <f t="shared" si="105"/>
        <v>0</v>
      </c>
      <c r="KK26" s="533"/>
      <c r="KL26" s="535" t="str">
        <f t="shared" si="106"/>
        <v>0</v>
      </c>
      <c r="KM26" s="535" t="str">
        <f t="shared" si="107"/>
        <v>0</v>
      </c>
      <c r="KN26" s="533"/>
      <c r="KO26" s="535" t="str">
        <f t="shared" si="108"/>
        <v>0</v>
      </c>
      <c r="KP26" s="535" t="str">
        <f t="shared" si="109"/>
        <v>0</v>
      </c>
      <c r="KQ26" s="533"/>
      <c r="KR26" s="535" t="str">
        <f t="shared" si="110"/>
        <v>0</v>
      </c>
      <c r="KS26" s="535" t="str">
        <f t="shared" si="111"/>
        <v>0</v>
      </c>
      <c r="KT26" s="535">
        <f t="shared" si="201"/>
        <v>0</v>
      </c>
      <c r="KU26" s="535">
        <f t="shared" si="202"/>
        <v>0</v>
      </c>
      <c r="KV26" s="272">
        <f t="shared" si="199"/>
        <v>305.62781248523555</v>
      </c>
    </row>
    <row r="27" spans="1:309" ht="15" customHeight="1">
      <c r="A27" s="274">
        <f t="shared" si="200"/>
        <v>45980</v>
      </c>
      <c r="B27" s="275" t="str">
        <f>+Report1!B27</f>
        <v>Facial</v>
      </c>
      <c r="C27" s="415" t="str">
        <f>+Report1!C27</f>
        <v>13</v>
      </c>
      <c r="D27" s="276">
        <f>+Report1!P27</f>
        <v>64</v>
      </c>
      <c r="E27" s="277">
        <f>+Report1!R27</f>
        <v>62.713000000000001</v>
      </c>
      <c r="F27" s="533">
        <v>0</v>
      </c>
      <c r="G27" s="534">
        <f t="shared" si="0"/>
        <v>0</v>
      </c>
      <c r="H27" s="535">
        <f t="shared" si="112"/>
        <v>0</v>
      </c>
      <c r="I27" s="533">
        <v>383.7209302325582</v>
      </c>
      <c r="J27" s="534">
        <f t="shared" si="1"/>
        <v>6.1186824140538354</v>
      </c>
      <c r="K27" s="535">
        <f t="shared" si="113"/>
        <v>0</v>
      </c>
      <c r="L27" s="533"/>
      <c r="M27" s="534">
        <f t="shared" si="2"/>
        <v>0</v>
      </c>
      <c r="N27" s="535">
        <f t="shared" si="114"/>
        <v>0</v>
      </c>
      <c r="O27" s="533">
        <v>9</v>
      </c>
      <c r="P27" s="534">
        <f t="shared" si="3"/>
        <v>0.14351091480235359</v>
      </c>
      <c r="Q27" s="535">
        <f t="shared" si="115"/>
        <v>0</v>
      </c>
      <c r="R27" s="533"/>
      <c r="S27" s="534">
        <f t="shared" si="4"/>
        <v>0</v>
      </c>
      <c r="T27" s="535">
        <f t="shared" si="116"/>
        <v>0</v>
      </c>
      <c r="U27" s="533">
        <v>5.1249999999999929</v>
      </c>
      <c r="V27" s="534">
        <f t="shared" si="5"/>
        <v>8.1721493151340113E-2</v>
      </c>
      <c r="W27" s="535">
        <f t="shared" si="117"/>
        <v>0</v>
      </c>
      <c r="X27" s="533"/>
      <c r="Y27" s="534">
        <f t="shared" si="6"/>
        <v>0</v>
      </c>
      <c r="Z27" s="535">
        <f t="shared" si="118"/>
        <v>0</v>
      </c>
      <c r="AA27" s="533"/>
      <c r="AB27" s="534">
        <f t="shared" si="7"/>
        <v>0</v>
      </c>
      <c r="AC27" s="535">
        <f t="shared" si="119"/>
        <v>0</v>
      </c>
      <c r="AD27" s="533"/>
      <c r="AE27" s="534">
        <f t="shared" si="8"/>
        <v>0</v>
      </c>
      <c r="AF27" s="535">
        <f t="shared" si="120"/>
        <v>0</v>
      </c>
      <c r="AG27" s="533"/>
      <c r="AH27" s="534">
        <f t="shared" si="9"/>
        <v>0</v>
      </c>
      <c r="AI27" s="535">
        <f t="shared" si="121"/>
        <v>0</v>
      </c>
      <c r="AJ27" s="533">
        <v>0</v>
      </c>
      <c r="AK27" s="534">
        <f t="shared" si="10"/>
        <v>0</v>
      </c>
      <c r="AL27" s="535">
        <f t="shared" si="122"/>
        <v>0</v>
      </c>
      <c r="AM27" s="533">
        <v>0</v>
      </c>
      <c r="AN27" s="534">
        <f t="shared" si="11"/>
        <v>0</v>
      </c>
      <c r="AO27" s="535">
        <f t="shared" si="123"/>
        <v>0</v>
      </c>
      <c r="AP27" s="533">
        <v>71.202531645569621</v>
      </c>
      <c r="AQ27" s="534">
        <f t="shared" si="12"/>
        <v>1.1353711614110251</v>
      </c>
      <c r="AR27" s="535">
        <f t="shared" si="124"/>
        <v>0</v>
      </c>
      <c r="AS27" s="533"/>
      <c r="AT27" s="534">
        <f t="shared" si="13"/>
        <v>0</v>
      </c>
      <c r="AU27" s="535">
        <f t="shared" si="125"/>
        <v>0</v>
      </c>
      <c r="AV27" s="533">
        <v>2.7750000000000057</v>
      </c>
      <c r="AW27" s="534">
        <f t="shared" si="14"/>
        <v>4.4249198730725775E-2</v>
      </c>
      <c r="AX27" s="535">
        <f t="shared" si="126"/>
        <v>0</v>
      </c>
      <c r="AY27" s="533">
        <v>39.666666666666671</v>
      </c>
      <c r="AZ27" s="534">
        <f t="shared" si="15"/>
        <v>0.63251106894370657</v>
      </c>
      <c r="BA27" s="535">
        <f t="shared" si="127"/>
        <v>0</v>
      </c>
      <c r="BB27" s="533">
        <v>0</v>
      </c>
      <c r="BC27" s="534">
        <f t="shared" si="16"/>
        <v>0</v>
      </c>
      <c r="BD27" s="535">
        <f t="shared" si="128"/>
        <v>0</v>
      </c>
      <c r="BE27" s="533"/>
      <c r="BF27" s="534">
        <f t="shared" si="17"/>
        <v>0</v>
      </c>
      <c r="BG27" s="535">
        <f t="shared" si="129"/>
        <v>0</v>
      </c>
      <c r="BH27" s="533"/>
      <c r="BI27" s="534">
        <f t="shared" si="18"/>
        <v>0</v>
      </c>
      <c r="BJ27" s="535">
        <f t="shared" si="130"/>
        <v>0</v>
      </c>
      <c r="BK27" s="533"/>
      <c r="BL27" s="534">
        <f t="shared" si="19"/>
        <v>0</v>
      </c>
      <c r="BM27" s="535">
        <f t="shared" si="131"/>
        <v>0</v>
      </c>
      <c r="BN27" s="533">
        <v>2.5308641975308603</v>
      </c>
      <c r="BO27" s="534">
        <f t="shared" si="20"/>
        <v>4.0356292914242031E-2</v>
      </c>
      <c r="BP27" s="535">
        <f t="shared" si="132"/>
        <v>0</v>
      </c>
      <c r="BQ27" s="533">
        <v>0</v>
      </c>
      <c r="BR27" s="534">
        <f t="shared" si="21"/>
        <v>0</v>
      </c>
      <c r="BS27" s="535">
        <f t="shared" si="133"/>
        <v>0</v>
      </c>
      <c r="BT27" s="533"/>
      <c r="BU27" s="534">
        <f t="shared" si="22"/>
        <v>0</v>
      </c>
      <c r="BV27" s="535">
        <f t="shared" si="134"/>
        <v>0</v>
      </c>
      <c r="BW27" s="533">
        <v>0</v>
      </c>
      <c r="BX27" s="534">
        <f t="shared" si="23"/>
        <v>0</v>
      </c>
      <c r="BY27" s="535">
        <f t="shared" si="135"/>
        <v>0</v>
      </c>
      <c r="BZ27" s="533"/>
      <c r="CA27" s="534">
        <f t="shared" si="24"/>
        <v>0</v>
      </c>
      <c r="CB27" s="535">
        <f t="shared" si="136"/>
        <v>0</v>
      </c>
      <c r="CC27" s="533">
        <v>0</v>
      </c>
      <c r="CD27" s="534">
        <f t="shared" si="25"/>
        <v>0</v>
      </c>
      <c r="CE27" s="535">
        <f t="shared" si="137"/>
        <v>0</v>
      </c>
      <c r="CF27" s="533">
        <v>9.9999999999999978E-2</v>
      </c>
      <c r="CG27" s="534">
        <f t="shared" si="26"/>
        <v>1.5945657200261505E-3</v>
      </c>
      <c r="CH27" s="535">
        <f t="shared" si="138"/>
        <v>0</v>
      </c>
      <c r="CI27" s="533"/>
      <c r="CJ27" s="534">
        <f t="shared" si="27"/>
        <v>0</v>
      </c>
      <c r="CK27" s="535">
        <f t="shared" si="139"/>
        <v>0</v>
      </c>
      <c r="CL27" s="533"/>
      <c r="CM27" s="534">
        <f t="shared" si="28"/>
        <v>0</v>
      </c>
      <c r="CN27" s="535">
        <f t="shared" si="140"/>
        <v>0</v>
      </c>
      <c r="CO27" s="533"/>
      <c r="CP27" s="534">
        <f t="shared" si="29"/>
        <v>0</v>
      </c>
      <c r="CQ27" s="535">
        <f t="shared" si="141"/>
        <v>0</v>
      </c>
      <c r="CR27" s="533"/>
      <c r="CS27" s="534">
        <f t="shared" si="30"/>
        <v>0</v>
      </c>
      <c r="CT27" s="535">
        <f t="shared" si="142"/>
        <v>0</v>
      </c>
      <c r="CU27" s="533"/>
      <c r="CV27" s="534">
        <f t="shared" si="31"/>
        <v>0</v>
      </c>
      <c r="CW27" s="535">
        <f t="shared" si="143"/>
        <v>0</v>
      </c>
      <c r="CX27" s="533"/>
      <c r="CY27" s="534">
        <f t="shared" si="32"/>
        <v>0</v>
      </c>
      <c r="CZ27" s="535">
        <f t="shared" si="144"/>
        <v>0</v>
      </c>
      <c r="DA27" s="533"/>
      <c r="DB27" s="534">
        <f t="shared" si="33"/>
        <v>0</v>
      </c>
      <c r="DC27" s="535">
        <f t="shared" si="145"/>
        <v>0</v>
      </c>
      <c r="DD27" s="533"/>
      <c r="DE27" s="534">
        <f t="shared" si="34"/>
        <v>0</v>
      </c>
      <c r="DF27" s="535">
        <f t="shared" si="146"/>
        <v>0</v>
      </c>
      <c r="DG27" s="533">
        <v>0</v>
      </c>
      <c r="DH27" s="534">
        <f t="shared" si="35"/>
        <v>0</v>
      </c>
      <c r="DI27" s="535">
        <f t="shared" si="203"/>
        <v>0</v>
      </c>
      <c r="DJ27" s="533"/>
      <c r="DK27" s="534">
        <f t="shared" si="36"/>
        <v>0</v>
      </c>
      <c r="DL27" s="535">
        <f t="shared" si="147"/>
        <v>0</v>
      </c>
      <c r="DM27" s="533"/>
      <c r="DN27" s="534">
        <f t="shared" si="37"/>
        <v>0</v>
      </c>
      <c r="DO27" s="535">
        <f t="shared" si="148"/>
        <v>0</v>
      </c>
      <c r="DP27" s="533"/>
      <c r="DQ27" s="534">
        <f t="shared" si="38"/>
        <v>0</v>
      </c>
      <c r="DR27" s="535">
        <f t="shared" si="149"/>
        <v>0</v>
      </c>
      <c r="DS27" s="533"/>
      <c r="DT27" s="534">
        <f t="shared" si="39"/>
        <v>0</v>
      </c>
      <c r="DU27" s="535">
        <f t="shared" si="150"/>
        <v>0</v>
      </c>
      <c r="DV27" s="533"/>
      <c r="DW27" s="534">
        <f t="shared" si="40"/>
        <v>0</v>
      </c>
      <c r="DX27" s="535">
        <f t="shared" si="151"/>
        <v>0</v>
      </c>
      <c r="DY27" s="533"/>
      <c r="DZ27" s="534">
        <f t="shared" si="41"/>
        <v>0</v>
      </c>
      <c r="EA27" s="535">
        <f t="shared" si="152"/>
        <v>0</v>
      </c>
      <c r="EB27" s="533">
        <v>14.534883720930281</v>
      </c>
      <c r="EC27" s="534">
        <f t="shared" si="42"/>
        <v>0.23176827325961574</v>
      </c>
      <c r="ED27" s="535">
        <f t="shared" si="153"/>
        <v>0</v>
      </c>
      <c r="EE27" s="533">
        <v>0</v>
      </c>
      <c r="EF27" s="534">
        <f t="shared" si="43"/>
        <v>0</v>
      </c>
      <c r="EG27" s="535">
        <f t="shared" si="154"/>
        <v>0</v>
      </c>
      <c r="EH27" s="533"/>
      <c r="EI27" s="534">
        <f t="shared" si="44"/>
        <v>0</v>
      </c>
      <c r="EJ27" s="535">
        <f t="shared" si="155"/>
        <v>0</v>
      </c>
      <c r="EK27" s="533"/>
      <c r="EL27" s="534">
        <f t="shared" si="45"/>
        <v>0</v>
      </c>
      <c r="EM27" s="535">
        <f t="shared" si="156"/>
        <v>0</v>
      </c>
      <c r="EN27" s="533"/>
      <c r="EO27" s="534">
        <f t="shared" si="46"/>
        <v>0</v>
      </c>
      <c r="EP27" s="535">
        <f t="shared" si="157"/>
        <v>0</v>
      </c>
      <c r="EQ27" s="533"/>
      <c r="ER27" s="534">
        <f t="shared" si="47"/>
        <v>0</v>
      </c>
      <c r="ES27" s="535">
        <f t="shared" si="158"/>
        <v>0</v>
      </c>
      <c r="ET27" s="533"/>
      <c r="EU27" s="534">
        <f t="shared" si="48"/>
        <v>0</v>
      </c>
      <c r="EV27" s="535">
        <f t="shared" si="159"/>
        <v>0</v>
      </c>
      <c r="EW27" s="533"/>
      <c r="EX27" s="534">
        <f t="shared" si="49"/>
        <v>0</v>
      </c>
      <c r="EY27" s="535">
        <f t="shared" si="160"/>
        <v>0</v>
      </c>
      <c r="EZ27" s="533"/>
      <c r="FA27" s="534">
        <f t="shared" si="50"/>
        <v>0</v>
      </c>
      <c r="FB27" s="535">
        <f t="shared" si="161"/>
        <v>0</v>
      </c>
      <c r="FC27" s="533"/>
      <c r="FD27" s="534">
        <f t="shared" si="51"/>
        <v>0</v>
      </c>
      <c r="FE27" s="535">
        <f t="shared" si="162"/>
        <v>0</v>
      </c>
      <c r="FF27" s="533"/>
      <c r="FG27" s="534">
        <f t="shared" si="52"/>
        <v>0</v>
      </c>
      <c r="FH27" s="535">
        <f t="shared" si="163"/>
        <v>0</v>
      </c>
      <c r="FI27" s="533"/>
      <c r="FJ27" s="534">
        <f t="shared" si="53"/>
        <v>0</v>
      </c>
      <c r="FK27" s="535">
        <f t="shared" si="164"/>
        <v>0</v>
      </c>
      <c r="FL27" s="533"/>
      <c r="FM27" s="534">
        <f t="shared" si="54"/>
        <v>0</v>
      </c>
      <c r="FN27" s="535">
        <f t="shared" si="165"/>
        <v>0</v>
      </c>
      <c r="FO27" s="533"/>
      <c r="FP27" s="534">
        <f t="shared" si="55"/>
        <v>0</v>
      </c>
      <c r="FQ27" s="535">
        <f t="shared" si="166"/>
        <v>0</v>
      </c>
      <c r="FR27" s="533"/>
      <c r="FS27" s="534">
        <f t="shared" si="56"/>
        <v>0</v>
      </c>
      <c r="FT27" s="535">
        <f t="shared" si="167"/>
        <v>0</v>
      </c>
      <c r="FU27" s="533"/>
      <c r="FV27" s="534">
        <f t="shared" si="57"/>
        <v>0</v>
      </c>
      <c r="FW27" s="535">
        <f t="shared" si="168"/>
        <v>0</v>
      </c>
      <c r="FX27" s="533"/>
      <c r="FY27" s="534">
        <f t="shared" si="58"/>
        <v>0</v>
      </c>
      <c r="FZ27" s="535">
        <f t="shared" si="169"/>
        <v>0</v>
      </c>
      <c r="GA27" s="533"/>
      <c r="GB27" s="534">
        <f t="shared" si="59"/>
        <v>0</v>
      </c>
      <c r="GC27" s="535">
        <f t="shared" si="170"/>
        <v>0</v>
      </c>
      <c r="GD27" s="533"/>
      <c r="GE27" s="534">
        <f t="shared" si="60"/>
        <v>0</v>
      </c>
      <c r="GF27" s="535">
        <f t="shared" si="171"/>
        <v>0</v>
      </c>
      <c r="GG27" s="533"/>
      <c r="GH27" s="534">
        <f t="shared" si="61"/>
        <v>0</v>
      </c>
      <c r="GI27" s="535">
        <f t="shared" si="172"/>
        <v>0</v>
      </c>
      <c r="GJ27" s="533"/>
      <c r="GK27" s="534">
        <f t="shared" si="62"/>
        <v>0</v>
      </c>
      <c r="GL27" s="535">
        <f t="shared" si="173"/>
        <v>0</v>
      </c>
      <c r="GM27" s="533"/>
      <c r="GN27" s="534">
        <f t="shared" si="63"/>
        <v>0</v>
      </c>
      <c r="GO27" s="535">
        <f t="shared" si="174"/>
        <v>0</v>
      </c>
      <c r="GP27" s="533"/>
      <c r="GQ27" s="534">
        <f t="shared" si="64"/>
        <v>0</v>
      </c>
      <c r="GR27" s="535">
        <f t="shared" si="175"/>
        <v>0</v>
      </c>
      <c r="GS27" s="533"/>
      <c r="GT27" s="534">
        <f t="shared" si="65"/>
        <v>0</v>
      </c>
      <c r="GU27" s="535">
        <f t="shared" si="176"/>
        <v>0</v>
      </c>
      <c r="GV27" s="533"/>
      <c r="GW27" s="534">
        <f t="shared" si="66"/>
        <v>0</v>
      </c>
      <c r="GX27" s="535">
        <f t="shared" si="177"/>
        <v>0</v>
      </c>
      <c r="GY27" s="533"/>
      <c r="GZ27" s="534">
        <f t="shared" si="67"/>
        <v>0</v>
      </c>
      <c r="HA27" s="535">
        <f t="shared" si="178"/>
        <v>0</v>
      </c>
      <c r="HB27" s="533"/>
      <c r="HC27" s="534">
        <f t="shared" si="68"/>
        <v>0</v>
      </c>
      <c r="HD27" s="535">
        <f t="shared" si="179"/>
        <v>0</v>
      </c>
      <c r="HE27" s="533"/>
      <c r="HF27" s="534">
        <f t="shared" si="69"/>
        <v>0</v>
      </c>
      <c r="HG27" s="535">
        <f t="shared" si="180"/>
        <v>0</v>
      </c>
      <c r="HH27" s="533"/>
      <c r="HI27" s="534">
        <f t="shared" si="70"/>
        <v>0</v>
      </c>
      <c r="HJ27" s="535">
        <f t="shared" si="181"/>
        <v>0</v>
      </c>
      <c r="HK27" s="533"/>
      <c r="HL27" s="534">
        <f t="shared" si="71"/>
        <v>0</v>
      </c>
      <c r="HM27" s="535">
        <f t="shared" si="182"/>
        <v>0</v>
      </c>
      <c r="HN27" s="533"/>
      <c r="HO27" s="534">
        <f t="shared" si="72"/>
        <v>0</v>
      </c>
      <c r="HP27" s="535">
        <f t="shared" si="183"/>
        <v>0</v>
      </c>
      <c r="HQ27" s="533"/>
      <c r="HR27" s="534">
        <f t="shared" si="73"/>
        <v>0</v>
      </c>
      <c r="HS27" s="535">
        <f t="shared" si="184"/>
        <v>0</v>
      </c>
      <c r="HT27" s="533"/>
      <c r="HU27" s="534">
        <f t="shared" si="74"/>
        <v>0</v>
      </c>
      <c r="HV27" s="535">
        <f t="shared" si="185"/>
        <v>0</v>
      </c>
      <c r="HW27" s="533"/>
      <c r="HX27" s="534">
        <f t="shared" si="75"/>
        <v>0</v>
      </c>
      <c r="HY27" s="535">
        <f t="shared" si="186"/>
        <v>0</v>
      </c>
      <c r="HZ27" s="533"/>
      <c r="IA27" s="534">
        <f t="shared" si="76"/>
        <v>0</v>
      </c>
      <c r="IB27" s="535">
        <f t="shared" si="187"/>
        <v>0</v>
      </c>
      <c r="IC27" s="533"/>
      <c r="ID27" s="534">
        <f t="shared" si="77"/>
        <v>0</v>
      </c>
      <c r="IE27" s="535">
        <f t="shared" si="188"/>
        <v>0</v>
      </c>
      <c r="IF27" s="533"/>
      <c r="IG27" s="534">
        <f t="shared" si="78"/>
        <v>0</v>
      </c>
      <c r="IH27" s="535">
        <f t="shared" si="189"/>
        <v>0</v>
      </c>
      <c r="II27" s="533"/>
      <c r="IJ27" s="534">
        <f t="shared" si="79"/>
        <v>0</v>
      </c>
      <c r="IK27" s="535">
        <f t="shared" si="190"/>
        <v>0</v>
      </c>
      <c r="IL27" s="533"/>
      <c r="IM27" s="534">
        <f t="shared" si="80"/>
        <v>0</v>
      </c>
      <c r="IN27" s="535">
        <f t="shared" si="191"/>
        <v>0</v>
      </c>
      <c r="IO27" s="533"/>
      <c r="IP27" s="534">
        <f t="shared" si="81"/>
        <v>0</v>
      </c>
      <c r="IQ27" s="535">
        <f t="shared" si="192"/>
        <v>0</v>
      </c>
      <c r="IR27" s="533"/>
      <c r="IS27" s="534">
        <f t="shared" si="82"/>
        <v>0</v>
      </c>
      <c r="IT27" s="535">
        <f t="shared" si="193"/>
        <v>0</v>
      </c>
      <c r="IU27" s="533"/>
      <c r="IV27" s="534">
        <f t="shared" si="83"/>
        <v>0</v>
      </c>
      <c r="IW27" s="535">
        <f t="shared" si="194"/>
        <v>0</v>
      </c>
      <c r="IX27" s="533"/>
      <c r="IY27" s="534">
        <f t="shared" si="84"/>
        <v>0</v>
      </c>
      <c r="IZ27" s="535">
        <f t="shared" si="195"/>
        <v>0</v>
      </c>
      <c r="JA27" s="533"/>
      <c r="JB27" s="534">
        <f t="shared" si="85"/>
        <v>0</v>
      </c>
      <c r="JC27" s="535">
        <f t="shared" si="196"/>
        <v>0</v>
      </c>
      <c r="JD27" s="533"/>
      <c r="JE27" s="534">
        <f t="shared" si="86"/>
        <v>0</v>
      </c>
      <c r="JF27" s="535">
        <f t="shared" si="197"/>
        <v>0</v>
      </c>
      <c r="JG27" s="533"/>
      <c r="JH27" s="534">
        <f t="shared" si="87"/>
        <v>0</v>
      </c>
      <c r="JI27" s="535">
        <f t="shared" si="198"/>
        <v>0</v>
      </c>
      <c r="JJ27" s="533"/>
      <c r="JK27" s="535" t="str">
        <f t="shared" si="88"/>
        <v>0</v>
      </c>
      <c r="JL27" s="535" t="str">
        <f t="shared" si="89"/>
        <v>0</v>
      </c>
      <c r="JM27" s="533"/>
      <c r="JN27" s="535" t="str">
        <f t="shared" si="90"/>
        <v>0</v>
      </c>
      <c r="JO27" s="535" t="str">
        <f t="shared" si="91"/>
        <v>0</v>
      </c>
      <c r="JP27" s="533"/>
      <c r="JQ27" s="535" t="str">
        <f t="shared" si="92"/>
        <v>0</v>
      </c>
      <c r="JR27" s="535" t="str">
        <f t="shared" si="93"/>
        <v>0</v>
      </c>
      <c r="JS27" s="533"/>
      <c r="JT27" s="535" t="str">
        <f t="shared" si="94"/>
        <v>0</v>
      </c>
      <c r="JU27" s="535" t="str">
        <f t="shared" si="95"/>
        <v>0</v>
      </c>
      <c r="JV27" s="533"/>
      <c r="JW27" s="535" t="str">
        <f t="shared" si="96"/>
        <v>0</v>
      </c>
      <c r="JX27" s="535" t="str">
        <f t="shared" si="97"/>
        <v>0</v>
      </c>
      <c r="JY27" s="533"/>
      <c r="JZ27" s="535" t="str">
        <f t="shared" si="98"/>
        <v>0</v>
      </c>
      <c r="KA27" s="535" t="str">
        <f t="shared" si="99"/>
        <v>0</v>
      </c>
      <c r="KB27" s="533"/>
      <c r="KC27" s="535" t="str">
        <f t="shared" si="100"/>
        <v>0</v>
      </c>
      <c r="KD27" s="535" t="str">
        <f t="shared" si="101"/>
        <v>0</v>
      </c>
      <c r="KE27" s="533"/>
      <c r="KF27" s="535" t="str">
        <f t="shared" si="102"/>
        <v>0</v>
      </c>
      <c r="KG27" s="535" t="str">
        <f t="shared" si="103"/>
        <v>0</v>
      </c>
      <c r="KH27" s="533"/>
      <c r="KI27" s="535" t="str">
        <f t="shared" si="104"/>
        <v>0</v>
      </c>
      <c r="KJ27" s="535" t="str">
        <f t="shared" si="105"/>
        <v>0</v>
      </c>
      <c r="KK27" s="533"/>
      <c r="KL27" s="535" t="str">
        <f t="shared" si="106"/>
        <v>0</v>
      </c>
      <c r="KM27" s="535" t="str">
        <f t="shared" si="107"/>
        <v>0</v>
      </c>
      <c r="KN27" s="533"/>
      <c r="KO27" s="535" t="str">
        <f t="shared" si="108"/>
        <v>0</v>
      </c>
      <c r="KP27" s="535" t="str">
        <f t="shared" si="109"/>
        <v>0</v>
      </c>
      <c r="KQ27" s="533"/>
      <c r="KR27" s="535" t="str">
        <f t="shared" si="110"/>
        <v>0</v>
      </c>
      <c r="KS27" s="535" t="str">
        <f t="shared" si="111"/>
        <v>0</v>
      </c>
      <c r="KT27" s="535">
        <f t="shared" si="201"/>
        <v>0</v>
      </c>
      <c r="KU27" s="535">
        <f t="shared" si="202"/>
        <v>0</v>
      </c>
      <c r="KV27" s="272">
        <f t="shared" si="199"/>
        <v>528.65587646325571</v>
      </c>
    </row>
    <row r="28" spans="1:309" ht="15" customHeight="1">
      <c r="A28" s="274">
        <f t="shared" si="200"/>
        <v>45981</v>
      </c>
      <c r="B28" s="275" t="str">
        <f>+Report1!B28</f>
        <v>Facial</v>
      </c>
      <c r="C28" s="415" t="str">
        <f>+Report1!C28</f>
        <v>13</v>
      </c>
      <c r="D28" s="276">
        <f>+Report1!P28</f>
        <v>58.091000000000001</v>
      </c>
      <c r="E28" s="277">
        <f>+Report1!R28</f>
        <v>57.715000000000003</v>
      </c>
      <c r="F28" s="533">
        <v>0</v>
      </c>
      <c r="G28" s="534">
        <f t="shared" si="0"/>
        <v>0</v>
      </c>
      <c r="H28" s="535">
        <f t="shared" si="112"/>
        <v>0</v>
      </c>
      <c r="I28" s="533">
        <v>290.69767441860472</v>
      </c>
      <c r="J28" s="534">
        <f t="shared" si="1"/>
        <v>5.0367785570233856</v>
      </c>
      <c r="K28" s="535">
        <f t="shared" si="113"/>
        <v>0</v>
      </c>
      <c r="L28" s="533"/>
      <c r="M28" s="534">
        <f t="shared" si="2"/>
        <v>0</v>
      </c>
      <c r="N28" s="535">
        <f t="shared" si="114"/>
        <v>0</v>
      </c>
      <c r="O28" s="533">
        <v>9.0000000000000284</v>
      </c>
      <c r="P28" s="534">
        <f t="shared" si="3"/>
        <v>0.15593866412544446</v>
      </c>
      <c r="Q28" s="535">
        <f t="shared" si="115"/>
        <v>0</v>
      </c>
      <c r="R28" s="533"/>
      <c r="S28" s="534">
        <f t="shared" si="4"/>
        <v>0</v>
      </c>
      <c r="T28" s="535">
        <f t="shared" si="116"/>
        <v>0</v>
      </c>
      <c r="U28" s="533">
        <v>5.125</v>
      </c>
      <c r="V28" s="534">
        <f t="shared" si="5"/>
        <v>8.8798405960322263E-2</v>
      </c>
      <c r="W28" s="535">
        <f t="shared" si="117"/>
        <v>0</v>
      </c>
      <c r="X28" s="533"/>
      <c r="Y28" s="534">
        <f t="shared" si="6"/>
        <v>0</v>
      </c>
      <c r="Z28" s="535">
        <f t="shared" si="118"/>
        <v>0</v>
      </c>
      <c r="AA28" s="533"/>
      <c r="AB28" s="534">
        <f t="shared" si="7"/>
        <v>0</v>
      </c>
      <c r="AC28" s="535">
        <f t="shared" si="119"/>
        <v>0</v>
      </c>
      <c r="AD28" s="533"/>
      <c r="AE28" s="534">
        <f t="shared" si="8"/>
        <v>0</v>
      </c>
      <c r="AF28" s="535">
        <f t="shared" si="120"/>
        <v>0</v>
      </c>
      <c r="AG28" s="533"/>
      <c r="AH28" s="534">
        <f t="shared" si="9"/>
        <v>0</v>
      </c>
      <c r="AI28" s="535">
        <f t="shared" si="121"/>
        <v>0</v>
      </c>
      <c r="AJ28" s="533">
        <v>0</v>
      </c>
      <c r="AK28" s="534">
        <f t="shared" si="10"/>
        <v>0</v>
      </c>
      <c r="AL28" s="535">
        <f t="shared" si="122"/>
        <v>0</v>
      </c>
      <c r="AM28" s="533">
        <v>0</v>
      </c>
      <c r="AN28" s="534">
        <f t="shared" si="11"/>
        <v>0</v>
      </c>
      <c r="AO28" s="535">
        <f t="shared" si="123"/>
        <v>0</v>
      </c>
      <c r="AP28" s="533">
        <v>71.202531645569593</v>
      </c>
      <c r="AQ28" s="534">
        <f t="shared" si="12"/>
        <v>1.2336919630177525</v>
      </c>
      <c r="AR28" s="535">
        <f t="shared" si="124"/>
        <v>0</v>
      </c>
      <c r="AS28" s="533"/>
      <c r="AT28" s="534">
        <f t="shared" si="13"/>
        <v>0</v>
      </c>
      <c r="AU28" s="535">
        <f t="shared" si="125"/>
        <v>0</v>
      </c>
      <c r="AV28" s="533">
        <v>2.7750000000000057</v>
      </c>
      <c r="AW28" s="534">
        <f t="shared" si="14"/>
        <v>4.8081088105345324E-2</v>
      </c>
      <c r="AX28" s="535">
        <f t="shared" si="126"/>
        <v>0</v>
      </c>
      <c r="AY28" s="533">
        <v>37.333333333333314</v>
      </c>
      <c r="AZ28" s="534">
        <f t="shared" si="15"/>
        <v>0.64685668081665615</v>
      </c>
      <c r="BA28" s="535">
        <f t="shared" si="127"/>
        <v>0</v>
      </c>
      <c r="BB28" s="533">
        <v>0</v>
      </c>
      <c r="BC28" s="534">
        <f t="shared" si="16"/>
        <v>0</v>
      </c>
      <c r="BD28" s="535">
        <f t="shared" si="128"/>
        <v>0</v>
      </c>
      <c r="BE28" s="533"/>
      <c r="BF28" s="534">
        <f t="shared" si="17"/>
        <v>0</v>
      </c>
      <c r="BG28" s="535">
        <f t="shared" si="129"/>
        <v>0</v>
      </c>
      <c r="BH28" s="533"/>
      <c r="BI28" s="534">
        <f t="shared" si="18"/>
        <v>0</v>
      </c>
      <c r="BJ28" s="535">
        <f t="shared" si="130"/>
        <v>0</v>
      </c>
      <c r="BK28" s="533"/>
      <c r="BL28" s="534">
        <f t="shared" si="19"/>
        <v>0</v>
      </c>
      <c r="BM28" s="535">
        <f t="shared" si="131"/>
        <v>0</v>
      </c>
      <c r="BN28" s="533">
        <v>5.0617283950617349</v>
      </c>
      <c r="BO28" s="534">
        <f t="shared" si="20"/>
        <v>8.7702129343528279E-2</v>
      </c>
      <c r="BP28" s="535">
        <f t="shared" si="132"/>
        <v>0</v>
      </c>
      <c r="BQ28" s="533">
        <v>0</v>
      </c>
      <c r="BR28" s="534">
        <f t="shared" si="21"/>
        <v>0</v>
      </c>
      <c r="BS28" s="535">
        <f t="shared" si="133"/>
        <v>0</v>
      </c>
      <c r="BT28" s="533"/>
      <c r="BU28" s="534">
        <f t="shared" si="22"/>
        <v>0</v>
      </c>
      <c r="BV28" s="535">
        <f t="shared" si="134"/>
        <v>0</v>
      </c>
      <c r="BW28" s="533">
        <v>0</v>
      </c>
      <c r="BX28" s="534">
        <f t="shared" si="23"/>
        <v>0</v>
      </c>
      <c r="BY28" s="535">
        <f t="shared" si="135"/>
        <v>0</v>
      </c>
      <c r="BZ28" s="533"/>
      <c r="CA28" s="534">
        <f t="shared" si="24"/>
        <v>0</v>
      </c>
      <c r="CB28" s="535">
        <f t="shared" si="136"/>
        <v>0</v>
      </c>
      <c r="CC28" s="533">
        <v>0</v>
      </c>
      <c r="CD28" s="534">
        <f t="shared" si="25"/>
        <v>0</v>
      </c>
      <c r="CE28" s="535">
        <f t="shared" si="137"/>
        <v>0</v>
      </c>
      <c r="CF28" s="533">
        <v>0.10000000000000003</v>
      </c>
      <c r="CG28" s="534">
        <f t="shared" si="26"/>
        <v>1.7326518236160449E-3</v>
      </c>
      <c r="CH28" s="535">
        <f t="shared" si="138"/>
        <v>0</v>
      </c>
      <c r="CI28" s="533"/>
      <c r="CJ28" s="534">
        <f t="shared" si="27"/>
        <v>0</v>
      </c>
      <c r="CK28" s="535">
        <f t="shared" si="139"/>
        <v>0</v>
      </c>
      <c r="CL28" s="533"/>
      <c r="CM28" s="534">
        <f t="shared" si="28"/>
        <v>0</v>
      </c>
      <c r="CN28" s="535">
        <f t="shared" si="140"/>
        <v>0</v>
      </c>
      <c r="CO28" s="533"/>
      <c r="CP28" s="534">
        <f t="shared" si="29"/>
        <v>0</v>
      </c>
      <c r="CQ28" s="535">
        <f t="shared" si="141"/>
        <v>0</v>
      </c>
      <c r="CR28" s="533"/>
      <c r="CS28" s="534">
        <f t="shared" si="30"/>
        <v>0</v>
      </c>
      <c r="CT28" s="535">
        <f t="shared" si="142"/>
        <v>0</v>
      </c>
      <c r="CU28" s="533"/>
      <c r="CV28" s="534">
        <f t="shared" si="31"/>
        <v>0</v>
      </c>
      <c r="CW28" s="535">
        <f t="shared" si="143"/>
        <v>0</v>
      </c>
      <c r="CX28" s="533"/>
      <c r="CY28" s="534">
        <f t="shared" si="32"/>
        <v>0</v>
      </c>
      <c r="CZ28" s="535">
        <f t="shared" si="144"/>
        <v>0</v>
      </c>
      <c r="DA28" s="533"/>
      <c r="DB28" s="534">
        <f t="shared" si="33"/>
        <v>0</v>
      </c>
      <c r="DC28" s="535">
        <f t="shared" si="145"/>
        <v>0</v>
      </c>
      <c r="DD28" s="533"/>
      <c r="DE28" s="534">
        <f t="shared" si="34"/>
        <v>0</v>
      </c>
      <c r="DF28" s="535">
        <f t="shared" si="146"/>
        <v>0</v>
      </c>
      <c r="DG28" s="533">
        <v>0</v>
      </c>
      <c r="DH28" s="534">
        <f t="shared" si="35"/>
        <v>0</v>
      </c>
      <c r="DI28" s="535">
        <f t="shared" si="203"/>
        <v>0</v>
      </c>
      <c r="DJ28" s="533"/>
      <c r="DK28" s="534">
        <f t="shared" si="36"/>
        <v>0</v>
      </c>
      <c r="DL28" s="535">
        <f t="shared" si="147"/>
        <v>0</v>
      </c>
      <c r="DM28" s="533"/>
      <c r="DN28" s="534">
        <f t="shared" si="37"/>
        <v>0</v>
      </c>
      <c r="DO28" s="535">
        <f t="shared" si="148"/>
        <v>0</v>
      </c>
      <c r="DP28" s="533"/>
      <c r="DQ28" s="534">
        <f t="shared" si="38"/>
        <v>0</v>
      </c>
      <c r="DR28" s="535">
        <f t="shared" si="149"/>
        <v>0</v>
      </c>
      <c r="DS28" s="533"/>
      <c r="DT28" s="534">
        <f t="shared" si="39"/>
        <v>0</v>
      </c>
      <c r="DU28" s="535">
        <f t="shared" si="150"/>
        <v>0</v>
      </c>
      <c r="DV28" s="533"/>
      <c r="DW28" s="534">
        <f t="shared" si="40"/>
        <v>0</v>
      </c>
      <c r="DX28" s="535">
        <f t="shared" si="151"/>
        <v>0</v>
      </c>
      <c r="DY28" s="533"/>
      <c r="DZ28" s="534">
        <f t="shared" si="41"/>
        <v>0</v>
      </c>
      <c r="EA28" s="535">
        <f t="shared" si="152"/>
        <v>0</v>
      </c>
      <c r="EB28" s="533">
        <v>29.441860465116179</v>
      </c>
      <c r="EC28" s="534">
        <f t="shared" si="42"/>
        <v>0.51012493225532662</v>
      </c>
      <c r="ED28" s="535">
        <f t="shared" si="153"/>
        <v>0</v>
      </c>
      <c r="EE28" s="533">
        <v>0</v>
      </c>
      <c r="EF28" s="534">
        <f t="shared" si="43"/>
        <v>0</v>
      </c>
      <c r="EG28" s="535">
        <f t="shared" si="154"/>
        <v>0</v>
      </c>
      <c r="EH28" s="533"/>
      <c r="EI28" s="534">
        <f t="shared" si="44"/>
        <v>0</v>
      </c>
      <c r="EJ28" s="535">
        <f t="shared" si="155"/>
        <v>0</v>
      </c>
      <c r="EK28" s="533"/>
      <c r="EL28" s="534">
        <f t="shared" si="45"/>
        <v>0</v>
      </c>
      <c r="EM28" s="535">
        <f t="shared" si="156"/>
        <v>0</v>
      </c>
      <c r="EN28" s="533"/>
      <c r="EO28" s="534">
        <f t="shared" si="46"/>
        <v>0</v>
      </c>
      <c r="EP28" s="535">
        <f t="shared" si="157"/>
        <v>0</v>
      </c>
      <c r="EQ28" s="533"/>
      <c r="ER28" s="534">
        <f t="shared" si="47"/>
        <v>0</v>
      </c>
      <c r="ES28" s="535">
        <f t="shared" si="158"/>
        <v>0</v>
      </c>
      <c r="ET28" s="533"/>
      <c r="EU28" s="534">
        <f t="shared" si="48"/>
        <v>0</v>
      </c>
      <c r="EV28" s="535">
        <f t="shared" si="159"/>
        <v>0</v>
      </c>
      <c r="EW28" s="533"/>
      <c r="EX28" s="534">
        <f t="shared" si="49"/>
        <v>0</v>
      </c>
      <c r="EY28" s="535">
        <f t="shared" si="160"/>
        <v>0</v>
      </c>
      <c r="EZ28" s="533"/>
      <c r="FA28" s="534">
        <f t="shared" si="50"/>
        <v>0</v>
      </c>
      <c r="FB28" s="535">
        <f t="shared" si="161"/>
        <v>0</v>
      </c>
      <c r="FC28" s="533"/>
      <c r="FD28" s="534">
        <f t="shared" si="51"/>
        <v>0</v>
      </c>
      <c r="FE28" s="535">
        <f t="shared" si="162"/>
        <v>0</v>
      </c>
      <c r="FF28" s="533"/>
      <c r="FG28" s="534">
        <f t="shared" si="52"/>
        <v>0</v>
      </c>
      <c r="FH28" s="535">
        <f t="shared" si="163"/>
        <v>0</v>
      </c>
      <c r="FI28" s="533"/>
      <c r="FJ28" s="534">
        <f t="shared" si="53"/>
        <v>0</v>
      </c>
      <c r="FK28" s="535">
        <f t="shared" si="164"/>
        <v>0</v>
      </c>
      <c r="FL28" s="533"/>
      <c r="FM28" s="534">
        <f t="shared" si="54"/>
        <v>0</v>
      </c>
      <c r="FN28" s="535">
        <f t="shared" si="165"/>
        <v>0</v>
      </c>
      <c r="FO28" s="533"/>
      <c r="FP28" s="534">
        <f t="shared" si="55"/>
        <v>0</v>
      </c>
      <c r="FQ28" s="535">
        <f t="shared" si="166"/>
        <v>0</v>
      </c>
      <c r="FR28" s="533"/>
      <c r="FS28" s="534">
        <f t="shared" si="56"/>
        <v>0</v>
      </c>
      <c r="FT28" s="535">
        <f t="shared" si="167"/>
        <v>0</v>
      </c>
      <c r="FU28" s="533"/>
      <c r="FV28" s="534">
        <f t="shared" si="57"/>
        <v>0</v>
      </c>
      <c r="FW28" s="535">
        <f t="shared" si="168"/>
        <v>0</v>
      </c>
      <c r="FX28" s="533"/>
      <c r="FY28" s="534">
        <f t="shared" si="58"/>
        <v>0</v>
      </c>
      <c r="FZ28" s="535">
        <f t="shared" si="169"/>
        <v>0</v>
      </c>
      <c r="GA28" s="533"/>
      <c r="GB28" s="534">
        <f t="shared" si="59"/>
        <v>0</v>
      </c>
      <c r="GC28" s="535">
        <f t="shared" si="170"/>
        <v>0</v>
      </c>
      <c r="GD28" s="533"/>
      <c r="GE28" s="534">
        <f t="shared" si="60"/>
        <v>0</v>
      </c>
      <c r="GF28" s="535">
        <f t="shared" si="171"/>
        <v>0</v>
      </c>
      <c r="GG28" s="533"/>
      <c r="GH28" s="534">
        <f t="shared" si="61"/>
        <v>0</v>
      </c>
      <c r="GI28" s="535">
        <f t="shared" si="172"/>
        <v>0</v>
      </c>
      <c r="GJ28" s="533"/>
      <c r="GK28" s="534">
        <f t="shared" si="62"/>
        <v>0</v>
      </c>
      <c r="GL28" s="535">
        <f t="shared" si="173"/>
        <v>0</v>
      </c>
      <c r="GM28" s="533"/>
      <c r="GN28" s="534">
        <f t="shared" si="63"/>
        <v>0</v>
      </c>
      <c r="GO28" s="535">
        <f t="shared" si="174"/>
        <v>0</v>
      </c>
      <c r="GP28" s="533"/>
      <c r="GQ28" s="534">
        <f t="shared" si="64"/>
        <v>0</v>
      </c>
      <c r="GR28" s="535">
        <f t="shared" si="175"/>
        <v>0</v>
      </c>
      <c r="GS28" s="533"/>
      <c r="GT28" s="534">
        <f t="shared" si="65"/>
        <v>0</v>
      </c>
      <c r="GU28" s="535">
        <f t="shared" si="176"/>
        <v>0</v>
      </c>
      <c r="GV28" s="533"/>
      <c r="GW28" s="534">
        <f t="shared" si="66"/>
        <v>0</v>
      </c>
      <c r="GX28" s="535">
        <f t="shared" si="177"/>
        <v>0</v>
      </c>
      <c r="GY28" s="533"/>
      <c r="GZ28" s="534">
        <f t="shared" si="67"/>
        <v>0</v>
      </c>
      <c r="HA28" s="535">
        <f t="shared" si="178"/>
        <v>0</v>
      </c>
      <c r="HB28" s="533"/>
      <c r="HC28" s="534">
        <f t="shared" si="68"/>
        <v>0</v>
      </c>
      <c r="HD28" s="535">
        <f t="shared" si="179"/>
        <v>0</v>
      </c>
      <c r="HE28" s="533"/>
      <c r="HF28" s="534">
        <f t="shared" si="69"/>
        <v>0</v>
      </c>
      <c r="HG28" s="535">
        <f t="shared" si="180"/>
        <v>0</v>
      </c>
      <c r="HH28" s="533"/>
      <c r="HI28" s="534">
        <f t="shared" si="70"/>
        <v>0</v>
      </c>
      <c r="HJ28" s="535">
        <f t="shared" si="181"/>
        <v>0</v>
      </c>
      <c r="HK28" s="533"/>
      <c r="HL28" s="534">
        <f t="shared" si="71"/>
        <v>0</v>
      </c>
      <c r="HM28" s="535">
        <f t="shared" si="182"/>
        <v>0</v>
      </c>
      <c r="HN28" s="533"/>
      <c r="HO28" s="534">
        <f t="shared" si="72"/>
        <v>0</v>
      </c>
      <c r="HP28" s="535">
        <f t="shared" si="183"/>
        <v>0</v>
      </c>
      <c r="HQ28" s="533"/>
      <c r="HR28" s="534">
        <f t="shared" si="73"/>
        <v>0</v>
      </c>
      <c r="HS28" s="535">
        <f t="shared" si="184"/>
        <v>0</v>
      </c>
      <c r="HT28" s="533"/>
      <c r="HU28" s="534">
        <f t="shared" si="74"/>
        <v>0</v>
      </c>
      <c r="HV28" s="535">
        <f t="shared" si="185"/>
        <v>0</v>
      </c>
      <c r="HW28" s="533"/>
      <c r="HX28" s="534">
        <f t="shared" si="75"/>
        <v>0</v>
      </c>
      <c r="HY28" s="535">
        <f t="shared" si="186"/>
        <v>0</v>
      </c>
      <c r="HZ28" s="533"/>
      <c r="IA28" s="534">
        <f t="shared" si="76"/>
        <v>0</v>
      </c>
      <c r="IB28" s="535">
        <f t="shared" si="187"/>
        <v>0</v>
      </c>
      <c r="IC28" s="533"/>
      <c r="ID28" s="534">
        <f t="shared" si="77"/>
        <v>0</v>
      </c>
      <c r="IE28" s="535">
        <f t="shared" si="188"/>
        <v>0</v>
      </c>
      <c r="IF28" s="533"/>
      <c r="IG28" s="534">
        <f t="shared" si="78"/>
        <v>0</v>
      </c>
      <c r="IH28" s="535">
        <f t="shared" si="189"/>
        <v>0</v>
      </c>
      <c r="II28" s="533"/>
      <c r="IJ28" s="534">
        <f t="shared" si="79"/>
        <v>0</v>
      </c>
      <c r="IK28" s="535">
        <f t="shared" si="190"/>
        <v>0</v>
      </c>
      <c r="IL28" s="533"/>
      <c r="IM28" s="534">
        <f t="shared" si="80"/>
        <v>0</v>
      </c>
      <c r="IN28" s="535">
        <f t="shared" si="191"/>
        <v>0</v>
      </c>
      <c r="IO28" s="533"/>
      <c r="IP28" s="534">
        <f t="shared" si="81"/>
        <v>0</v>
      </c>
      <c r="IQ28" s="535">
        <f t="shared" si="192"/>
        <v>0</v>
      </c>
      <c r="IR28" s="533"/>
      <c r="IS28" s="534">
        <f t="shared" si="82"/>
        <v>0</v>
      </c>
      <c r="IT28" s="535">
        <f t="shared" si="193"/>
        <v>0</v>
      </c>
      <c r="IU28" s="533"/>
      <c r="IV28" s="534">
        <f t="shared" si="83"/>
        <v>0</v>
      </c>
      <c r="IW28" s="535">
        <f t="shared" si="194"/>
        <v>0</v>
      </c>
      <c r="IX28" s="533"/>
      <c r="IY28" s="534">
        <f t="shared" si="84"/>
        <v>0</v>
      </c>
      <c r="IZ28" s="535">
        <f t="shared" si="195"/>
        <v>0</v>
      </c>
      <c r="JA28" s="533"/>
      <c r="JB28" s="534">
        <f t="shared" si="85"/>
        <v>0</v>
      </c>
      <c r="JC28" s="535">
        <f t="shared" si="196"/>
        <v>0</v>
      </c>
      <c r="JD28" s="533"/>
      <c r="JE28" s="534">
        <f t="shared" si="86"/>
        <v>0</v>
      </c>
      <c r="JF28" s="535">
        <f t="shared" si="197"/>
        <v>0</v>
      </c>
      <c r="JG28" s="533"/>
      <c r="JH28" s="534">
        <f t="shared" si="87"/>
        <v>0</v>
      </c>
      <c r="JI28" s="535">
        <f t="shared" si="198"/>
        <v>0</v>
      </c>
      <c r="JJ28" s="533"/>
      <c r="JK28" s="535" t="str">
        <f t="shared" si="88"/>
        <v>0</v>
      </c>
      <c r="JL28" s="535" t="str">
        <f t="shared" si="89"/>
        <v>0</v>
      </c>
      <c r="JM28" s="533"/>
      <c r="JN28" s="535" t="str">
        <f t="shared" si="90"/>
        <v>0</v>
      </c>
      <c r="JO28" s="535" t="str">
        <f t="shared" si="91"/>
        <v>0</v>
      </c>
      <c r="JP28" s="533"/>
      <c r="JQ28" s="535" t="str">
        <f t="shared" si="92"/>
        <v>0</v>
      </c>
      <c r="JR28" s="535" t="str">
        <f t="shared" si="93"/>
        <v>0</v>
      </c>
      <c r="JS28" s="533"/>
      <c r="JT28" s="535" t="str">
        <f t="shared" si="94"/>
        <v>0</v>
      </c>
      <c r="JU28" s="535" t="str">
        <f t="shared" si="95"/>
        <v>0</v>
      </c>
      <c r="JV28" s="533"/>
      <c r="JW28" s="535" t="str">
        <f t="shared" si="96"/>
        <v>0</v>
      </c>
      <c r="JX28" s="535" t="str">
        <f t="shared" si="97"/>
        <v>0</v>
      </c>
      <c r="JY28" s="533"/>
      <c r="JZ28" s="535" t="str">
        <f t="shared" si="98"/>
        <v>0</v>
      </c>
      <c r="KA28" s="535" t="str">
        <f t="shared" si="99"/>
        <v>0</v>
      </c>
      <c r="KB28" s="533"/>
      <c r="KC28" s="535" t="str">
        <f t="shared" si="100"/>
        <v>0</v>
      </c>
      <c r="KD28" s="535" t="str">
        <f t="shared" si="101"/>
        <v>0</v>
      </c>
      <c r="KE28" s="533"/>
      <c r="KF28" s="535" t="str">
        <f t="shared" si="102"/>
        <v>0</v>
      </c>
      <c r="KG28" s="535" t="str">
        <f t="shared" si="103"/>
        <v>0</v>
      </c>
      <c r="KH28" s="533"/>
      <c r="KI28" s="535" t="str">
        <f t="shared" si="104"/>
        <v>0</v>
      </c>
      <c r="KJ28" s="535" t="str">
        <f t="shared" si="105"/>
        <v>0</v>
      </c>
      <c r="KK28" s="533"/>
      <c r="KL28" s="535" t="str">
        <f t="shared" si="106"/>
        <v>0</v>
      </c>
      <c r="KM28" s="535" t="str">
        <f t="shared" si="107"/>
        <v>0</v>
      </c>
      <c r="KN28" s="533"/>
      <c r="KO28" s="535" t="str">
        <f t="shared" si="108"/>
        <v>0</v>
      </c>
      <c r="KP28" s="535" t="str">
        <f t="shared" si="109"/>
        <v>0</v>
      </c>
      <c r="KQ28" s="533"/>
      <c r="KR28" s="535" t="str">
        <f t="shared" si="110"/>
        <v>0</v>
      </c>
      <c r="KS28" s="535" t="str">
        <f t="shared" si="111"/>
        <v>0</v>
      </c>
      <c r="KT28" s="535">
        <f t="shared" si="201"/>
        <v>0</v>
      </c>
      <c r="KU28" s="535">
        <f t="shared" si="202"/>
        <v>0</v>
      </c>
      <c r="KV28" s="272">
        <f t="shared" si="199"/>
        <v>450.73712825768553</v>
      </c>
    </row>
    <row r="29" spans="1:309" ht="15" customHeight="1">
      <c r="A29" s="274">
        <f t="shared" si="200"/>
        <v>45982</v>
      </c>
      <c r="B29" s="275" t="str">
        <f>+Report1!B29</f>
        <v>Facial</v>
      </c>
      <c r="C29" s="415" t="str">
        <f>+Report1!C29</f>
        <v>13</v>
      </c>
      <c r="D29" s="276">
        <f>+Report1!P29</f>
        <v>60.528999999999996</v>
      </c>
      <c r="E29" s="277">
        <f>+Report1!R29</f>
        <v>56.137999999999998</v>
      </c>
      <c r="F29" s="533">
        <v>0</v>
      </c>
      <c r="G29" s="534">
        <f t="shared" si="0"/>
        <v>0</v>
      </c>
      <c r="H29" s="535">
        <f t="shared" si="112"/>
        <v>0</v>
      </c>
      <c r="I29" s="533">
        <v>325.58139534883708</v>
      </c>
      <c r="J29" s="534">
        <f t="shared" si="1"/>
        <v>5.7996614654750278</v>
      </c>
      <c r="K29" s="535">
        <f t="shared" si="113"/>
        <v>0</v>
      </c>
      <c r="L29" s="533"/>
      <c r="M29" s="534">
        <f t="shared" si="2"/>
        <v>0</v>
      </c>
      <c r="N29" s="535">
        <f t="shared" si="114"/>
        <v>0</v>
      </c>
      <c r="O29" s="533">
        <v>8.9999999999999716</v>
      </c>
      <c r="P29" s="534">
        <f t="shared" si="3"/>
        <v>0.16031921336705923</v>
      </c>
      <c r="Q29" s="535">
        <f t="shared" si="115"/>
        <v>0</v>
      </c>
      <c r="R29" s="533"/>
      <c r="S29" s="534">
        <f t="shared" si="4"/>
        <v>0</v>
      </c>
      <c r="T29" s="535">
        <f t="shared" si="116"/>
        <v>0</v>
      </c>
      <c r="U29" s="533">
        <v>5.1249999999999716</v>
      </c>
      <c r="V29" s="534">
        <f t="shared" si="5"/>
        <v>9.1292885389575182E-2</v>
      </c>
      <c r="W29" s="535">
        <f t="shared" si="117"/>
        <v>0</v>
      </c>
      <c r="X29" s="533"/>
      <c r="Y29" s="534">
        <f t="shared" si="6"/>
        <v>0</v>
      </c>
      <c r="Z29" s="535">
        <f t="shared" si="118"/>
        <v>0</v>
      </c>
      <c r="AA29" s="533"/>
      <c r="AB29" s="534">
        <f t="shared" si="7"/>
        <v>0</v>
      </c>
      <c r="AC29" s="535">
        <f t="shared" si="119"/>
        <v>0</v>
      </c>
      <c r="AD29" s="533"/>
      <c r="AE29" s="534">
        <f t="shared" si="8"/>
        <v>0</v>
      </c>
      <c r="AF29" s="535">
        <f t="shared" si="120"/>
        <v>0</v>
      </c>
      <c r="AG29" s="533"/>
      <c r="AH29" s="534">
        <f t="shared" si="9"/>
        <v>0</v>
      </c>
      <c r="AI29" s="535">
        <f t="shared" si="121"/>
        <v>0</v>
      </c>
      <c r="AJ29" s="533">
        <v>0</v>
      </c>
      <c r="AK29" s="534">
        <f t="shared" si="10"/>
        <v>0</v>
      </c>
      <c r="AL29" s="535">
        <f t="shared" si="122"/>
        <v>0</v>
      </c>
      <c r="AM29" s="533">
        <v>0</v>
      </c>
      <c r="AN29" s="534">
        <f t="shared" si="11"/>
        <v>0</v>
      </c>
      <c r="AO29" s="535">
        <f t="shared" si="123"/>
        <v>0</v>
      </c>
      <c r="AP29" s="533">
        <v>74.050632911392427</v>
      </c>
      <c r="AQ29" s="534">
        <f t="shared" si="12"/>
        <v>1.3190821352985933</v>
      </c>
      <c r="AR29" s="535">
        <f t="shared" si="124"/>
        <v>0</v>
      </c>
      <c r="AS29" s="533"/>
      <c r="AT29" s="534">
        <f t="shared" si="13"/>
        <v>0</v>
      </c>
      <c r="AU29" s="535">
        <f t="shared" si="125"/>
        <v>0</v>
      </c>
      <c r="AV29" s="533">
        <v>2.7750000000000057</v>
      </c>
      <c r="AW29" s="534">
        <f t="shared" si="14"/>
        <v>4.9431757454843524E-2</v>
      </c>
      <c r="AX29" s="535">
        <f t="shared" si="126"/>
        <v>0</v>
      </c>
      <c r="AY29" s="533">
        <v>53.666666666666657</v>
      </c>
      <c r="AZ29" s="534">
        <f t="shared" si="15"/>
        <v>0.9559775315591339</v>
      </c>
      <c r="BA29" s="535">
        <f t="shared" si="127"/>
        <v>0</v>
      </c>
      <c r="BB29" s="533">
        <v>0</v>
      </c>
      <c r="BC29" s="534">
        <f t="shared" si="16"/>
        <v>0</v>
      </c>
      <c r="BD29" s="535">
        <f t="shared" si="128"/>
        <v>0</v>
      </c>
      <c r="BE29" s="533"/>
      <c r="BF29" s="534">
        <f t="shared" si="17"/>
        <v>0</v>
      </c>
      <c r="BG29" s="535">
        <f t="shared" si="129"/>
        <v>0</v>
      </c>
      <c r="BH29" s="533"/>
      <c r="BI29" s="534">
        <f t="shared" si="18"/>
        <v>0</v>
      </c>
      <c r="BJ29" s="535">
        <f t="shared" si="130"/>
        <v>0</v>
      </c>
      <c r="BK29" s="533"/>
      <c r="BL29" s="534">
        <f t="shared" si="19"/>
        <v>0</v>
      </c>
      <c r="BM29" s="535">
        <f t="shared" si="131"/>
        <v>0</v>
      </c>
      <c r="BN29" s="533">
        <v>12.654320987654323</v>
      </c>
      <c r="BO29" s="534">
        <f t="shared" si="20"/>
        <v>0.22541453182611285</v>
      </c>
      <c r="BP29" s="535">
        <f t="shared" si="132"/>
        <v>0</v>
      </c>
      <c r="BQ29" s="533">
        <v>0</v>
      </c>
      <c r="BR29" s="534">
        <f t="shared" si="21"/>
        <v>0</v>
      </c>
      <c r="BS29" s="535">
        <f t="shared" si="133"/>
        <v>0</v>
      </c>
      <c r="BT29" s="533"/>
      <c r="BU29" s="534">
        <f t="shared" si="22"/>
        <v>0</v>
      </c>
      <c r="BV29" s="535">
        <f t="shared" si="134"/>
        <v>0</v>
      </c>
      <c r="BW29" s="533">
        <v>0</v>
      </c>
      <c r="BX29" s="534">
        <f t="shared" si="23"/>
        <v>0</v>
      </c>
      <c r="BY29" s="535">
        <f t="shared" si="135"/>
        <v>0</v>
      </c>
      <c r="BZ29" s="533"/>
      <c r="CA29" s="534">
        <f t="shared" si="24"/>
        <v>0</v>
      </c>
      <c r="CB29" s="535">
        <f t="shared" si="136"/>
        <v>0</v>
      </c>
      <c r="CC29" s="533">
        <v>0</v>
      </c>
      <c r="CD29" s="534">
        <f t="shared" si="25"/>
        <v>0</v>
      </c>
      <c r="CE29" s="535">
        <f t="shared" si="137"/>
        <v>0</v>
      </c>
      <c r="CF29" s="533">
        <v>9.9999999999999978E-2</v>
      </c>
      <c r="CG29" s="534">
        <f t="shared" si="26"/>
        <v>1.7813245929673301E-3</v>
      </c>
      <c r="CH29" s="535">
        <f t="shared" si="138"/>
        <v>0</v>
      </c>
      <c r="CI29" s="533"/>
      <c r="CJ29" s="534">
        <f t="shared" si="27"/>
        <v>0</v>
      </c>
      <c r="CK29" s="535">
        <f t="shared" si="139"/>
        <v>0</v>
      </c>
      <c r="CL29" s="533"/>
      <c r="CM29" s="534">
        <f t="shared" si="28"/>
        <v>0</v>
      </c>
      <c r="CN29" s="535">
        <f t="shared" si="140"/>
        <v>0</v>
      </c>
      <c r="CO29" s="533"/>
      <c r="CP29" s="534">
        <f t="shared" si="29"/>
        <v>0</v>
      </c>
      <c r="CQ29" s="535">
        <f t="shared" si="141"/>
        <v>0</v>
      </c>
      <c r="CR29" s="533"/>
      <c r="CS29" s="534">
        <f t="shared" si="30"/>
        <v>0</v>
      </c>
      <c r="CT29" s="535">
        <f t="shared" si="142"/>
        <v>0</v>
      </c>
      <c r="CU29" s="533"/>
      <c r="CV29" s="534">
        <f t="shared" si="31"/>
        <v>0</v>
      </c>
      <c r="CW29" s="535">
        <f t="shared" si="143"/>
        <v>0</v>
      </c>
      <c r="CX29" s="533"/>
      <c r="CY29" s="534">
        <f t="shared" si="32"/>
        <v>0</v>
      </c>
      <c r="CZ29" s="535">
        <f t="shared" si="144"/>
        <v>0</v>
      </c>
      <c r="DA29" s="533"/>
      <c r="DB29" s="534">
        <f t="shared" si="33"/>
        <v>0</v>
      </c>
      <c r="DC29" s="535">
        <f t="shared" si="145"/>
        <v>0</v>
      </c>
      <c r="DD29" s="533"/>
      <c r="DE29" s="534">
        <f t="shared" si="34"/>
        <v>0</v>
      </c>
      <c r="DF29" s="535">
        <f t="shared" si="146"/>
        <v>0</v>
      </c>
      <c r="DG29" s="533">
        <v>0</v>
      </c>
      <c r="DH29" s="534">
        <f t="shared" si="35"/>
        <v>0</v>
      </c>
      <c r="DI29" s="535">
        <f t="shared" si="203"/>
        <v>0</v>
      </c>
      <c r="DJ29" s="533"/>
      <c r="DK29" s="534">
        <f t="shared" si="36"/>
        <v>0</v>
      </c>
      <c r="DL29" s="535">
        <f t="shared" si="147"/>
        <v>0</v>
      </c>
      <c r="DM29" s="533"/>
      <c r="DN29" s="534">
        <f t="shared" si="37"/>
        <v>0</v>
      </c>
      <c r="DO29" s="535">
        <f t="shared" si="148"/>
        <v>0</v>
      </c>
      <c r="DP29" s="533"/>
      <c r="DQ29" s="534">
        <f t="shared" si="38"/>
        <v>0</v>
      </c>
      <c r="DR29" s="535">
        <f t="shared" si="149"/>
        <v>0</v>
      </c>
      <c r="DS29" s="533"/>
      <c r="DT29" s="534">
        <f t="shared" si="39"/>
        <v>0</v>
      </c>
      <c r="DU29" s="535">
        <f t="shared" si="150"/>
        <v>0</v>
      </c>
      <c r="DV29" s="533"/>
      <c r="DW29" s="534">
        <f t="shared" si="40"/>
        <v>0</v>
      </c>
      <c r="DX29" s="535">
        <f t="shared" si="151"/>
        <v>0</v>
      </c>
      <c r="DY29" s="533"/>
      <c r="DZ29" s="534">
        <f t="shared" si="41"/>
        <v>0</v>
      </c>
      <c r="EA29" s="535">
        <f t="shared" si="152"/>
        <v>0</v>
      </c>
      <c r="EB29" s="533">
        <v>29.069767441860449</v>
      </c>
      <c r="EC29" s="534">
        <f t="shared" si="42"/>
        <v>0.51782691656027025</v>
      </c>
      <c r="ED29" s="535">
        <f t="shared" si="153"/>
        <v>0</v>
      </c>
      <c r="EE29" s="533">
        <v>0</v>
      </c>
      <c r="EF29" s="534">
        <f t="shared" si="43"/>
        <v>0</v>
      </c>
      <c r="EG29" s="535">
        <f t="shared" si="154"/>
        <v>0</v>
      </c>
      <c r="EH29" s="533"/>
      <c r="EI29" s="534">
        <f t="shared" si="44"/>
        <v>0</v>
      </c>
      <c r="EJ29" s="535">
        <f t="shared" si="155"/>
        <v>0</v>
      </c>
      <c r="EK29" s="533"/>
      <c r="EL29" s="534">
        <f t="shared" si="45"/>
        <v>0</v>
      </c>
      <c r="EM29" s="535">
        <f t="shared" si="156"/>
        <v>0</v>
      </c>
      <c r="EN29" s="533"/>
      <c r="EO29" s="534">
        <f t="shared" si="46"/>
        <v>0</v>
      </c>
      <c r="EP29" s="535">
        <f t="shared" si="157"/>
        <v>0</v>
      </c>
      <c r="EQ29" s="533"/>
      <c r="ER29" s="534">
        <f t="shared" si="47"/>
        <v>0</v>
      </c>
      <c r="ES29" s="535">
        <f t="shared" si="158"/>
        <v>0</v>
      </c>
      <c r="ET29" s="533"/>
      <c r="EU29" s="534">
        <f t="shared" si="48"/>
        <v>0</v>
      </c>
      <c r="EV29" s="535">
        <f t="shared" si="159"/>
        <v>0</v>
      </c>
      <c r="EW29" s="533"/>
      <c r="EX29" s="534">
        <f t="shared" si="49"/>
        <v>0</v>
      </c>
      <c r="EY29" s="535">
        <f t="shared" si="160"/>
        <v>0</v>
      </c>
      <c r="EZ29" s="533"/>
      <c r="FA29" s="534">
        <f t="shared" si="50"/>
        <v>0</v>
      </c>
      <c r="FB29" s="535">
        <f t="shared" si="161"/>
        <v>0</v>
      </c>
      <c r="FC29" s="533"/>
      <c r="FD29" s="534">
        <f t="shared" si="51"/>
        <v>0</v>
      </c>
      <c r="FE29" s="535">
        <f t="shared" si="162"/>
        <v>0</v>
      </c>
      <c r="FF29" s="533"/>
      <c r="FG29" s="534">
        <f t="shared" si="52"/>
        <v>0</v>
      </c>
      <c r="FH29" s="535">
        <f t="shared" si="163"/>
        <v>0</v>
      </c>
      <c r="FI29" s="533"/>
      <c r="FJ29" s="534">
        <f t="shared" si="53"/>
        <v>0</v>
      </c>
      <c r="FK29" s="535">
        <f t="shared" si="164"/>
        <v>0</v>
      </c>
      <c r="FL29" s="533"/>
      <c r="FM29" s="534">
        <f t="shared" si="54"/>
        <v>0</v>
      </c>
      <c r="FN29" s="535">
        <f t="shared" si="165"/>
        <v>0</v>
      </c>
      <c r="FO29" s="533"/>
      <c r="FP29" s="534">
        <f t="shared" si="55"/>
        <v>0</v>
      </c>
      <c r="FQ29" s="535">
        <f t="shared" si="166"/>
        <v>0</v>
      </c>
      <c r="FR29" s="533"/>
      <c r="FS29" s="534">
        <f t="shared" si="56"/>
        <v>0</v>
      </c>
      <c r="FT29" s="535">
        <f t="shared" si="167"/>
        <v>0</v>
      </c>
      <c r="FU29" s="533"/>
      <c r="FV29" s="534">
        <f t="shared" si="57"/>
        <v>0</v>
      </c>
      <c r="FW29" s="535">
        <f t="shared" si="168"/>
        <v>0</v>
      </c>
      <c r="FX29" s="533"/>
      <c r="FY29" s="534">
        <f t="shared" si="58"/>
        <v>0</v>
      </c>
      <c r="FZ29" s="535">
        <f t="shared" si="169"/>
        <v>0</v>
      </c>
      <c r="GA29" s="533"/>
      <c r="GB29" s="534">
        <f t="shared" si="59"/>
        <v>0</v>
      </c>
      <c r="GC29" s="535">
        <f t="shared" si="170"/>
        <v>0</v>
      </c>
      <c r="GD29" s="533"/>
      <c r="GE29" s="534">
        <f t="shared" si="60"/>
        <v>0</v>
      </c>
      <c r="GF29" s="535">
        <f t="shared" si="171"/>
        <v>0</v>
      </c>
      <c r="GG29" s="533"/>
      <c r="GH29" s="534">
        <f t="shared" si="61"/>
        <v>0</v>
      </c>
      <c r="GI29" s="535">
        <f t="shared" si="172"/>
        <v>0</v>
      </c>
      <c r="GJ29" s="533"/>
      <c r="GK29" s="534">
        <f t="shared" si="62"/>
        <v>0</v>
      </c>
      <c r="GL29" s="535">
        <f t="shared" si="173"/>
        <v>0</v>
      </c>
      <c r="GM29" s="533"/>
      <c r="GN29" s="534">
        <f t="shared" si="63"/>
        <v>0</v>
      </c>
      <c r="GO29" s="535">
        <f t="shared" si="174"/>
        <v>0</v>
      </c>
      <c r="GP29" s="533"/>
      <c r="GQ29" s="534">
        <f t="shared" si="64"/>
        <v>0</v>
      </c>
      <c r="GR29" s="535">
        <f t="shared" si="175"/>
        <v>0</v>
      </c>
      <c r="GS29" s="533"/>
      <c r="GT29" s="534">
        <f t="shared" si="65"/>
        <v>0</v>
      </c>
      <c r="GU29" s="535">
        <f t="shared" si="176"/>
        <v>0</v>
      </c>
      <c r="GV29" s="533"/>
      <c r="GW29" s="534">
        <f t="shared" si="66"/>
        <v>0</v>
      </c>
      <c r="GX29" s="535">
        <f t="shared" si="177"/>
        <v>0</v>
      </c>
      <c r="GY29" s="533"/>
      <c r="GZ29" s="534">
        <f t="shared" si="67"/>
        <v>0</v>
      </c>
      <c r="HA29" s="535">
        <f t="shared" si="178"/>
        <v>0</v>
      </c>
      <c r="HB29" s="533"/>
      <c r="HC29" s="534">
        <f t="shared" si="68"/>
        <v>0</v>
      </c>
      <c r="HD29" s="535">
        <f t="shared" si="179"/>
        <v>0</v>
      </c>
      <c r="HE29" s="533"/>
      <c r="HF29" s="534">
        <f t="shared" si="69"/>
        <v>0</v>
      </c>
      <c r="HG29" s="535">
        <f t="shared" si="180"/>
        <v>0</v>
      </c>
      <c r="HH29" s="533"/>
      <c r="HI29" s="534">
        <f t="shared" si="70"/>
        <v>0</v>
      </c>
      <c r="HJ29" s="535">
        <f t="shared" si="181"/>
        <v>0</v>
      </c>
      <c r="HK29" s="533"/>
      <c r="HL29" s="534">
        <f t="shared" si="71"/>
        <v>0</v>
      </c>
      <c r="HM29" s="535">
        <f t="shared" si="182"/>
        <v>0</v>
      </c>
      <c r="HN29" s="533"/>
      <c r="HO29" s="534">
        <f t="shared" si="72"/>
        <v>0</v>
      </c>
      <c r="HP29" s="535">
        <f t="shared" si="183"/>
        <v>0</v>
      </c>
      <c r="HQ29" s="533"/>
      <c r="HR29" s="534">
        <f t="shared" si="73"/>
        <v>0</v>
      </c>
      <c r="HS29" s="535">
        <f t="shared" si="184"/>
        <v>0</v>
      </c>
      <c r="HT29" s="533"/>
      <c r="HU29" s="534">
        <f t="shared" si="74"/>
        <v>0</v>
      </c>
      <c r="HV29" s="535">
        <f t="shared" si="185"/>
        <v>0</v>
      </c>
      <c r="HW29" s="533"/>
      <c r="HX29" s="534">
        <f t="shared" si="75"/>
        <v>0</v>
      </c>
      <c r="HY29" s="535">
        <f t="shared" si="186"/>
        <v>0</v>
      </c>
      <c r="HZ29" s="533"/>
      <c r="IA29" s="534">
        <f t="shared" si="76"/>
        <v>0</v>
      </c>
      <c r="IB29" s="535">
        <f t="shared" si="187"/>
        <v>0</v>
      </c>
      <c r="IC29" s="533"/>
      <c r="ID29" s="534">
        <f t="shared" si="77"/>
        <v>0</v>
      </c>
      <c r="IE29" s="535">
        <f t="shared" si="188"/>
        <v>0</v>
      </c>
      <c r="IF29" s="533"/>
      <c r="IG29" s="534">
        <f t="shared" si="78"/>
        <v>0</v>
      </c>
      <c r="IH29" s="535">
        <f t="shared" si="189"/>
        <v>0</v>
      </c>
      <c r="II29" s="533"/>
      <c r="IJ29" s="534">
        <f t="shared" si="79"/>
        <v>0</v>
      </c>
      <c r="IK29" s="535">
        <f t="shared" si="190"/>
        <v>0</v>
      </c>
      <c r="IL29" s="533"/>
      <c r="IM29" s="534">
        <f t="shared" si="80"/>
        <v>0</v>
      </c>
      <c r="IN29" s="535">
        <f t="shared" si="191"/>
        <v>0</v>
      </c>
      <c r="IO29" s="533"/>
      <c r="IP29" s="534">
        <f t="shared" si="81"/>
        <v>0</v>
      </c>
      <c r="IQ29" s="535">
        <f t="shared" si="192"/>
        <v>0</v>
      </c>
      <c r="IR29" s="533"/>
      <c r="IS29" s="534">
        <f t="shared" si="82"/>
        <v>0</v>
      </c>
      <c r="IT29" s="535">
        <f t="shared" si="193"/>
        <v>0</v>
      </c>
      <c r="IU29" s="533"/>
      <c r="IV29" s="534">
        <f t="shared" si="83"/>
        <v>0</v>
      </c>
      <c r="IW29" s="535">
        <f t="shared" si="194"/>
        <v>0</v>
      </c>
      <c r="IX29" s="533"/>
      <c r="IY29" s="534">
        <f t="shared" si="84"/>
        <v>0</v>
      </c>
      <c r="IZ29" s="535">
        <f t="shared" si="195"/>
        <v>0</v>
      </c>
      <c r="JA29" s="533"/>
      <c r="JB29" s="534">
        <f t="shared" si="85"/>
        <v>0</v>
      </c>
      <c r="JC29" s="535">
        <f t="shared" si="196"/>
        <v>0</v>
      </c>
      <c r="JD29" s="533"/>
      <c r="JE29" s="534">
        <f t="shared" si="86"/>
        <v>0</v>
      </c>
      <c r="JF29" s="535">
        <f t="shared" si="197"/>
        <v>0</v>
      </c>
      <c r="JG29" s="533"/>
      <c r="JH29" s="534">
        <f t="shared" si="87"/>
        <v>0</v>
      </c>
      <c r="JI29" s="535">
        <f t="shared" si="198"/>
        <v>0</v>
      </c>
      <c r="JJ29" s="533"/>
      <c r="JK29" s="535" t="str">
        <f t="shared" si="88"/>
        <v>0</v>
      </c>
      <c r="JL29" s="535" t="str">
        <f t="shared" si="89"/>
        <v>0</v>
      </c>
      <c r="JM29" s="533"/>
      <c r="JN29" s="535" t="str">
        <f t="shared" si="90"/>
        <v>0</v>
      </c>
      <c r="JO29" s="535" t="str">
        <f t="shared" si="91"/>
        <v>0</v>
      </c>
      <c r="JP29" s="533"/>
      <c r="JQ29" s="535" t="str">
        <f t="shared" si="92"/>
        <v>0</v>
      </c>
      <c r="JR29" s="535" t="str">
        <f t="shared" si="93"/>
        <v>0</v>
      </c>
      <c r="JS29" s="533"/>
      <c r="JT29" s="535" t="str">
        <f t="shared" si="94"/>
        <v>0</v>
      </c>
      <c r="JU29" s="535" t="str">
        <f t="shared" si="95"/>
        <v>0</v>
      </c>
      <c r="JV29" s="533"/>
      <c r="JW29" s="535" t="str">
        <f t="shared" si="96"/>
        <v>0</v>
      </c>
      <c r="JX29" s="535" t="str">
        <f t="shared" si="97"/>
        <v>0</v>
      </c>
      <c r="JY29" s="533"/>
      <c r="JZ29" s="535" t="str">
        <f t="shared" si="98"/>
        <v>0</v>
      </c>
      <c r="KA29" s="535" t="str">
        <f t="shared" si="99"/>
        <v>0</v>
      </c>
      <c r="KB29" s="533"/>
      <c r="KC29" s="535" t="str">
        <f t="shared" si="100"/>
        <v>0</v>
      </c>
      <c r="KD29" s="535" t="str">
        <f t="shared" si="101"/>
        <v>0</v>
      </c>
      <c r="KE29" s="533"/>
      <c r="KF29" s="535" t="str">
        <f t="shared" si="102"/>
        <v>0</v>
      </c>
      <c r="KG29" s="535" t="str">
        <f t="shared" si="103"/>
        <v>0</v>
      </c>
      <c r="KH29" s="533"/>
      <c r="KI29" s="535" t="str">
        <f t="shared" si="104"/>
        <v>0</v>
      </c>
      <c r="KJ29" s="535" t="str">
        <f t="shared" si="105"/>
        <v>0</v>
      </c>
      <c r="KK29" s="533"/>
      <c r="KL29" s="535" t="str">
        <f t="shared" si="106"/>
        <v>0</v>
      </c>
      <c r="KM29" s="535" t="str">
        <f t="shared" si="107"/>
        <v>0</v>
      </c>
      <c r="KN29" s="533"/>
      <c r="KO29" s="535" t="str">
        <f t="shared" si="108"/>
        <v>0</v>
      </c>
      <c r="KP29" s="535" t="str">
        <f t="shared" si="109"/>
        <v>0</v>
      </c>
      <c r="KQ29" s="533"/>
      <c r="KR29" s="535" t="str">
        <f t="shared" si="110"/>
        <v>0</v>
      </c>
      <c r="KS29" s="535" t="str">
        <f t="shared" si="111"/>
        <v>0</v>
      </c>
      <c r="KT29" s="535">
        <f t="shared" si="201"/>
        <v>0</v>
      </c>
      <c r="KU29" s="535">
        <f t="shared" si="202"/>
        <v>0</v>
      </c>
      <c r="KV29" s="272">
        <f t="shared" si="199"/>
        <v>512.02278335641086</v>
      </c>
    </row>
    <row r="30" spans="1:309" ht="15" customHeight="1">
      <c r="A30" s="274">
        <f t="shared" si="200"/>
        <v>45983</v>
      </c>
      <c r="B30" s="275" t="str">
        <f>+Report1!B30</f>
        <v>Facial</v>
      </c>
      <c r="C30" s="415" t="str">
        <f>+Report1!C30</f>
        <v>13</v>
      </c>
      <c r="D30" s="276">
        <f>+Report1!P30</f>
        <v>52.583999999999996</v>
      </c>
      <c r="E30" s="277">
        <f>+Report1!R30</f>
        <v>54.898000000000003</v>
      </c>
      <c r="F30" s="533">
        <v>0</v>
      </c>
      <c r="G30" s="534">
        <f t="shared" si="0"/>
        <v>0</v>
      </c>
      <c r="H30" s="535">
        <f t="shared" si="112"/>
        <v>0</v>
      </c>
      <c r="I30" s="533">
        <v>251.77537209302318</v>
      </c>
      <c r="J30" s="534">
        <f t="shared" si="1"/>
        <v>4.5862394275387661</v>
      </c>
      <c r="K30" s="535">
        <f t="shared" si="113"/>
        <v>0</v>
      </c>
      <c r="L30" s="533"/>
      <c r="M30" s="534">
        <f t="shared" si="2"/>
        <v>0</v>
      </c>
      <c r="N30" s="535">
        <f t="shared" si="114"/>
        <v>0</v>
      </c>
      <c r="O30" s="533">
        <v>8.472800000000035</v>
      </c>
      <c r="P30" s="534">
        <f t="shared" si="3"/>
        <v>0.15433713432183385</v>
      </c>
      <c r="Q30" s="535">
        <f t="shared" si="115"/>
        <v>0</v>
      </c>
      <c r="R30" s="533"/>
      <c r="S30" s="534">
        <f t="shared" si="4"/>
        <v>0</v>
      </c>
      <c r="T30" s="535">
        <f t="shared" si="116"/>
        <v>0</v>
      </c>
      <c r="U30" s="533">
        <v>4.8189000000000135</v>
      </c>
      <c r="V30" s="534">
        <f t="shared" si="5"/>
        <v>8.7779154067543691E-2</v>
      </c>
      <c r="W30" s="535">
        <f t="shared" si="117"/>
        <v>0</v>
      </c>
      <c r="X30" s="533"/>
      <c r="Y30" s="534">
        <f t="shared" si="6"/>
        <v>0</v>
      </c>
      <c r="Z30" s="535">
        <f t="shared" si="118"/>
        <v>0</v>
      </c>
      <c r="AA30" s="533"/>
      <c r="AB30" s="534">
        <f t="shared" si="7"/>
        <v>0</v>
      </c>
      <c r="AC30" s="535">
        <f t="shared" si="119"/>
        <v>0</v>
      </c>
      <c r="AD30" s="533"/>
      <c r="AE30" s="534">
        <f t="shared" si="8"/>
        <v>0</v>
      </c>
      <c r="AF30" s="535">
        <f t="shared" si="120"/>
        <v>0</v>
      </c>
      <c r="AG30" s="533"/>
      <c r="AH30" s="534">
        <f t="shared" si="9"/>
        <v>0</v>
      </c>
      <c r="AI30" s="535">
        <f t="shared" si="121"/>
        <v>0</v>
      </c>
      <c r="AJ30" s="533">
        <v>0</v>
      </c>
      <c r="AK30" s="534">
        <f t="shared" si="10"/>
        <v>0</v>
      </c>
      <c r="AL30" s="535">
        <f t="shared" si="122"/>
        <v>0</v>
      </c>
      <c r="AM30" s="533">
        <v>0</v>
      </c>
      <c r="AN30" s="534">
        <f t="shared" si="11"/>
        <v>0</v>
      </c>
      <c r="AO30" s="535">
        <f t="shared" si="123"/>
        <v>0</v>
      </c>
      <c r="AP30" s="533">
        <v>64.346975949366993</v>
      </c>
      <c r="AQ30" s="534">
        <f t="shared" si="12"/>
        <v>1.1721187647886442</v>
      </c>
      <c r="AR30" s="535">
        <f t="shared" si="124"/>
        <v>0</v>
      </c>
      <c r="AS30" s="533"/>
      <c r="AT30" s="534">
        <f t="shared" si="13"/>
        <v>0</v>
      </c>
      <c r="AU30" s="535">
        <f t="shared" si="125"/>
        <v>0</v>
      </c>
      <c r="AV30" s="533">
        <v>2.6090000000000089</v>
      </c>
      <c r="AW30" s="534">
        <f t="shared" si="14"/>
        <v>4.7524499981784561E-2</v>
      </c>
      <c r="AX30" s="535">
        <f t="shared" si="126"/>
        <v>0</v>
      </c>
      <c r="AY30" s="533">
        <v>39.53546666666665</v>
      </c>
      <c r="AZ30" s="534">
        <f t="shared" si="15"/>
        <v>0.72016224027590525</v>
      </c>
      <c r="BA30" s="535">
        <f t="shared" si="127"/>
        <v>0</v>
      </c>
      <c r="BB30" s="533">
        <v>0</v>
      </c>
      <c r="BC30" s="534">
        <f t="shared" si="16"/>
        <v>0</v>
      </c>
      <c r="BD30" s="535">
        <f t="shared" si="128"/>
        <v>0</v>
      </c>
      <c r="BE30" s="533"/>
      <c r="BF30" s="534">
        <f t="shared" si="17"/>
        <v>0</v>
      </c>
      <c r="BG30" s="535">
        <f t="shared" si="129"/>
        <v>0</v>
      </c>
      <c r="BH30" s="533"/>
      <c r="BI30" s="534">
        <f t="shared" si="18"/>
        <v>0</v>
      </c>
      <c r="BJ30" s="535">
        <f t="shared" si="130"/>
        <v>0</v>
      </c>
      <c r="BK30" s="533"/>
      <c r="BL30" s="534">
        <f t="shared" si="19"/>
        <v>0</v>
      </c>
      <c r="BM30" s="535">
        <f t="shared" si="131"/>
        <v>0</v>
      </c>
      <c r="BN30" s="533">
        <v>5.9544345679012345</v>
      </c>
      <c r="BO30" s="534">
        <f t="shared" si="20"/>
        <v>0.10846359736058206</v>
      </c>
      <c r="BP30" s="535">
        <f t="shared" si="132"/>
        <v>0</v>
      </c>
      <c r="BQ30" s="533">
        <v>0</v>
      </c>
      <c r="BR30" s="534">
        <f t="shared" si="21"/>
        <v>0</v>
      </c>
      <c r="BS30" s="535">
        <f t="shared" si="133"/>
        <v>0</v>
      </c>
      <c r="BT30" s="533"/>
      <c r="BU30" s="534">
        <f t="shared" si="22"/>
        <v>0</v>
      </c>
      <c r="BV30" s="535">
        <f t="shared" si="134"/>
        <v>0</v>
      </c>
      <c r="BW30" s="533">
        <v>0</v>
      </c>
      <c r="BX30" s="534">
        <f t="shared" si="23"/>
        <v>0</v>
      </c>
      <c r="BY30" s="535">
        <f t="shared" si="135"/>
        <v>0</v>
      </c>
      <c r="BZ30" s="533"/>
      <c r="CA30" s="534">
        <f t="shared" si="24"/>
        <v>0</v>
      </c>
      <c r="CB30" s="535">
        <f t="shared" si="136"/>
        <v>0</v>
      </c>
      <c r="CC30" s="533">
        <v>0</v>
      </c>
      <c r="CD30" s="534">
        <f t="shared" si="25"/>
        <v>0</v>
      </c>
      <c r="CE30" s="535">
        <f t="shared" si="137"/>
        <v>0</v>
      </c>
      <c r="CF30" s="533">
        <v>0.14999999999999997</v>
      </c>
      <c r="CG30" s="534">
        <f t="shared" si="26"/>
        <v>2.7323399759554075E-3</v>
      </c>
      <c r="CH30" s="535">
        <f t="shared" si="138"/>
        <v>0</v>
      </c>
      <c r="CI30" s="533"/>
      <c r="CJ30" s="534">
        <f t="shared" si="27"/>
        <v>0</v>
      </c>
      <c r="CK30" s="535">
        <f t="shared" si="139"/>
        <v>0</v>
      </c>
      <c r="CL30" s="533"/>
      <c r="CM30" s="534">
        <f t="shared" si="28"/>
        <v>0</v>
      </c>
      <c r="CN30" s="535">
        <f t="shared" si="140"/>
        <v>0</v>
      </c>
      <c r="CO30" s="533"/>
      <c r="CP30" s="534">
        <f t="shared" si="29"/>
        <v>0</v>
      </c>
      <c r="CQ30" s="535">
        <f t="shared" si="141"/>
        <v>0</v>
      </c>
      <c r="CR30" s="533"/>
      <c r="CS30" s="534">
        <f t="shared" si="30"/>
        <v>0</v>
      </c>
      <c r="CT30" s="535">
        <f t="shared" si="142"/>
        <v>0</v>
      </c>
      <c r="CU30" s="533"/>
      <c r="CV30" s="534">
        <f t="shared" si="31"/>
        <v>0</v>
      </c>
      <c r="CW30" s="535">
        <f t="shared" si="143"/>
        <v>0</v>
      </c>
      <c r="CX30" s="533"/>
      <c r="CY30" s="534">
        <f t="shared" si="32"/>
        <v>0</v>
      </c>
      <c r="CZ30" s="535">
        <f t="shared" si="144"/>
        <v>0</v>
      </c>
      <c r="DA30" s="533"/>
      <c r="DB30" s="534">
        <f t="shared" si="33"/>
        <v>0</v>
      </c>
      <c r="DC30" s="535">
        <f t="shared" si="145"/>
        <v>0</v>
      </c>
      <c r="DD30" s="533"/>
      <c r="DE30" s="534">
        <f t="shared" si="34"/>
        <v>0</v>
      </c>
      <c r="DF30" s="535">
        <f t="shared" si="146"/>
        <v>0</v>
      </c>
      <c r="DG30" s="533">
        <v>0</v>
      </c>
      <c r="DH30" s="534">
        <f t="shared" si="35"/>
        <v>0</v>
      </c>
      <c r="DI30" s="535">
        <f t="shared" si="203"/>
        <v>0</v>
      </c>
      <c r="DJ30" s="533"/>
      <c r="DK30" s="534">
        <f t="shared" si="36"/>
        <v>0</v>
      </c>
      <c r="DL30" s="535">
        <f t="shared" si="147"/>
        <v>0</v>
      </c>
      <c r="DM30" s="533"/>
      <c r="DN30" s="534">
        <f t="shared" si="37"/>
        <v>0</v>
      </c>
      <c r="DO30" s="535">
        <f t="shared" si="148"/>
        <v>0</v>
      </c>
      <c r="DP30" s="533"/>
      <c r="DQ30" s="534">
        <f t="shared" si="38"/>
        <v>0</v>
      </c>
      <c r="DR30" s="535">
        <f t="shared" si="149"/>
        <v>0</v>
      </c>
      <c r="DS30" s="533"/>
      <c r="DT30" s="534">
        <f t="shared" si="39"/>
        <v>0</v>
      </c>
      <c r="DU30" s="535">
        <f t="shared" si="150"/>
        <v>0</v>
      </c>
      <c r="DV30" s="533"/>
      <c r="DW30" s="534">
        <f t="shared" si="40"/>
        <v>0</v>
      </c>
      <c r="DX30" s="535">
        <f t="shared" si="151"/>
        <v>0</v>
      </c>
      <c r="DY30" s="533"/>
      <c r="DZ30" s="534">
        <f t="shared" si="41"/>
        <v>0</v>
      </c>
      <c r="EA30" s="535">
        <f t="shared" si="152"/>
        <v>0</v>
      </c>
      <c r="EB30" s="533">
        <v>27.363962790697542</v>
      </c>
      <c r="EC30" s="534">
        <f t="shared" si="42"/>
        <v>0.49845099622386135</v>
      </c>
      <c r="ED30" s="535">
        <f t="shared" si="153"/>
        <v>0</v>
      </c>
      <c r="EE30" s="533">
        <v>0</v>
      </c>
      <c r="EF30" s="534">
        <f t="shared" si="43"/>
        <v>0</v>
      </c>
      <c r="EG30" s="535">
        <f t="shared" si="154"/>
        <v>0</v>
      </c>
      <c r="EH30" s="533"/>
      <c r="EI30" s="534">
        <f t="shared" si="44"/>
        <v>0</v>
      </c>
      <c r="EJ30" s="535">
        <f t="shared" si="155"/>
        <v>0</v>
      </c>
      <c r="EK30" s="533"/>
      <c r="EL30" s="534">
        <f t="shared" si="45"/>
        <v>0</v>
      </c>
      <c r="EM30" s="535">
        <f t="shared" si="156"/>
        <v>0</v>
      </c>
      <c r="EN30" s="533"/>
      <c r="EO30" s="534">
        <f t="shared" si="46"/>
        <v>0</v>
      </c>
      <c r="EP30" s="535">
        <f t="shared" si="157"/>
        <v>0</v>
      </c>
      <c r="EQ30" s="533"/>
      <c r="ER30" s="534">
        <f t="shared" si="47"/>
        <v>0</v>
      </c>
      <c r="ES30" s="535">
        <f t="shared" si="158"/>
        <v>0</v>
      </c>
      <c r="ET30" s="533"/>
      <c r="EU30" s="534">
        <f t="shared" si="48"/>
        <v>0</v>
      </c>
      <c r="EV30" s="535">
        <f t="shared" si="159"/>
        <v>0</v>
      </c>
      <c r="EW30" s="533"/>
      <c r="EX30" s="534">
        <f t="shared" si="49"/>
        <v>0</v>
      </c>
      <c r="EY30" s="535">
        <f t="shared" si="160"/>
        <v>0</v>
      </c>
      <c r="EZ30" s="533"/>
      <c r="FA30" s="534">
        <f t="shared" si="50"/>
        <v>0</v>
      </c>
      <c r="FB30" s="535">
        <f t="shared" si="161"/>
        <v>0</v>
      </c>
      <c r="FC30" s="533"/>
      <c r="FD30" s="534">
        <f t="shared" si="51"/>
        <v>0</v>
      </c>
      <c r="FE30" s="535">
        <f t="shared" si="162"/>
        <v>0</v>
      </c>
      <c r="FF30" s="533"/>
      <c r="FG30" s="534">
        <f t="shared" si="52"/>
        <v>0</v>
      </c>
      <c r="FH30" s="535">
        <f t="shared" si="163"/>
        <v>0</v>
      </c>
      <c r="FI30" s="533"/>
      <c r="FJ30" s="534">
        <f t="shared" si="53"/>
        <v>0</v>
      </c>
      <c r="FK30" s="535">
        <f t="shared" si="164"/>
        <v>0</v>
      </c>
      <c r="FL30" s="533"/>
      <c r="FM30" s="534">
        <f t="shared" si="54"/>
        <v>0</v>
      </c>
      <c r="FN30" s="535">
        <f t="shared" si="165"/>
        <v>0</v>
      </c>
      <c r="FO30" s="533"/>
      <c r="FP30" s="534">
        <f t="shared" si="55"/>
        <v>0</v>
      </c>
      <c r="FQ30" s="535">
        <f t="shared" si="166"/>
        <v>0</v>
      </c>
      <c r="FR30" s="533"/>
      <c r="FS30" s="534">
        <f t="shared" si="56"/>
        <v>0</v>
      </c>
      <c r="FT30" s="535">
        <f t="shared" si="167"/>
        <v>0</v>
      </c>
      <c r="FU30" s="533"/>
      <c r="FV30" s="534">
        <f t="shared" si="57"/>
        <v>0</v>
      </c>
      <c r="FW30" s="535">
        <f t="shared" si="168"/>
        <v>0</v>
      </c>
      <c r="FX30" s="533"/>
      <c r="FY30" s="534">
        <f t="shared" si="58"/>
        <v>0</v>
      </c>
      <c r="FZ30" s="535">
        <f t="shared" si="169"/>
        <v>0</v>
      </c>
      <c r="GA30" s="533"/>
      <c r="GB30" s="534">
        <f t="shared" si="59"/>
        <v>0</v>
      </c>
      <c r="GC30" s="535">
        <f t="shared" si="170"/>
        <v>0</v>
      </c>
      <c r="GD30" s="533"/>
      <c r="GE30" s="534">
        <f t="shared" si="60"/>
        <v>0</v>
      </c>
      <c r="GF30" s="535">
        <f t="shared" si="171"/>
        <v>0</v>
      </c>
      <c r="GG30" s="533"/>
      <c r="GH30" s="534">
        <f t="shared" si="61"/>
        <v>0</v>
      </c>
      <c r="GI30" s="535">
        <f t="shared" si="172"/>
        <v>0</v>
      </c>
      <c r="GJ30" s="533"/>
      <c r="GK30" s="534">
        <f t="shared" si="62"/>
        <v>0</v>
      </c>
      <c r="GL30" s="535">
        <f t="shared" si="173"/>
        <v>0</v>
      </c>
      <c r="GM30" s="533"/>
      <c r="GN30" s="534">
        <f t="shared" si="63"/>
        <v>0</v>
      </c>
      <c r="GO30" s="535">
        <f t="shared" si="174"/>
        <v>0</v>
      </c>
      <c r="GP30" s="533"/>
      <c r="GQ30" s="534">
        <f t="shared" si="64"/>
        <v>0</v>
      </c>
      <c r="GR30" s="535">
        <f t="shared" si="175"/>
        <v>0</v>
      </c>
      <c r="GS30" s="533"/>
      <c r="GT30" s="534">
        <f t="shared" si="65"/>
        <v>0</v>
      </c>
      <c r="GU30" s="535">
        <f t="shared" si="176"/>
        <v>0</v>
      </c>
      <c r="GV30" s="533"/>
      <c r="GW30" s="534">
        <f t="shared" si="66"/>
        <v>0</v>
      </c>
      <c r="GX30" s="535">
        <f t="shared" si="177"/>
        <v>0</v>
      </c>
      <c r="GY30" s="533"/>
      <c r="GZ30" s="534">
        <f t="shared" si="67"/>
        <v>0</v>
      </c>
      <c r="HA30" s="535">
        <f t="shared" si="178"/>
        <v>0</v>
      </c>
      <c r="HB30" s="533"/>
      <c r="HC30" s="534">
        <f t="shared" si="68"/>
        <v>0</v>
      </c>
      <c r="HD30" s="535">
        <f t="shared" si="179"/>
        <v>0</v>
      </c>
      <c r="HE30" s="533"/>
      <c r="HF30" s="534">
        <f t="shared" si="69"/>
        <v>0</v>
      </c>
      <c r="HG30" s="535">
        <f t="shared" si="180"/>
        <v>0</v>
      </c>
      <c r="HH30" s="533"/>
      <c r="HI30" s="534">
        <f t="shared" si="70"/>
        <v>0</v>
      </c>
      <c r="HJ30" s="535">
        <f t="shared" si="181"/>
        <v>0</v>
      </c>
      <c r="HK30" s="533"/>
      <c r="HL30" s="534">
        <f t="shared" si="71"/>
        <v>0</v>
      </c>
      <c r="HM30" s="535">
        <f t="shared" si="182"/>
        <v>0</v>
      </c>
      <c r="HN30" s="533"/>
      <c r="HO30" s="534">
        <f t="shared" si="72"/>
        <v>0</v>
      </c>
      <c r="HP30" s="535">
        <f t="shared" si="183"/>
        <v>0</v>
      </c>
      <c r="HQ30" s="533"/>
      <c r="HR30" s="534">
        <f t="shared" si="73"/>
        <v>0</v>
      </c>
      <c r="HS30" s="535">
        <f t="shared" si="184"/>
        <v>0</v>
      </c>
      <c r="HT30" s="533"/>
      <c r="HU30" s="534">
        <f t="shared" si="74"/>
        <v>0</v>
      </c>
      <c r="HV30" s="535">
        <f t="shared" si="185"/>
        <v>0</v>
      </c>
      <c r="HW30" s="533"/>
      <c r="HX30" s="534">
        <f t="shared" si="75"/>
        <v>0</v>
      </c>
      <c r="HY30" s="535">
        <f t="shared" si="186"/>
        <v>0</v>
      </c>
      <c r="HZ30" s="533"/>
      <c r="IA30" s="534">
        <f t="shared" si="76"/>
        <v>0</v>
      </c>
      <c r="IB30" s="535">
        <f t="shared" si="187"/>
        <v>0</v>
      </c>
      <c r="IC30" s="533"/>
      <c r="ID30" s="534">
        <f t="shared" si="77"/>
        <v>0</v>
      </c>
      <c r="IE30" s="535">
        <f t="shared" si="188"/>
        <v>0</v>
      </c>
      <c r="IF30" s="533"/>
      <c r="IG30" s="534">
        <f t="shared" si="78"/>
        <v>0</v>
      </c>
      <c r="IH30" s="535">
        <f t="shared" si="189"/>
        <v>0</v>
      </c>
      <c r="II30" s="533"/>
      <c r="IJ30" s="534">
        <f t="shared" si="79"/>
        <v>0</v>
      </c>
      <c r="IK30" s="535">
        <f t="shared" si="190"/>
        <v>0</v>
      </c>
      <c r="IL30" s="533"/>
      <c r="IM30" s="534">
        <f t="shared" si="80"/>
        <v>0</v>
      </c>
      <c r="IN30" s="535">
        <f t="shared" si="191"/>
        <v>0</v>
      </c>
      <c r="IO30" s="533"/>
      <c r="IP30" s="534">
        <f t="shared" si="81"/>
        <v>0</v>
      </c>
      <c r="IQ30" s="535">
        <f t="shared" si="192"/>
        <v>0</v>
      </c>
      <c r="IR30" s="533"/>
      <c r="IS30" s="534">
        <f t="shared" si="82"/>
        <v>0</v>
      </c>
      <c r="IT30" s="535">
        <f t="shared" si="193"/>
        <v>0</v>
      </c>
      <c r="IU30" s="533"/>
      <c r="IV30" s="534">
        <f t="shared" si="83"/>
        <v>0</v>
      </c>
      <c r="IW30" s="535">
        <f t="shared" si="194"/>
        <v>0</v>
      </c>
      <c r="IX30" s="533"/>
      <c r="IY30" s="534">
        <f t="shared" si="84"/>
        <v>0</v>
      </c>
      <c r="IZ30" s="535">
        <f t="shared" si="195"/>
        <v>0</v>
      </c>
      <c r="JA30" s="533"/>
      <c r="JB30" s="534">
        <f t="shared" si="85"/>
        <v>0</v>
      </c>
      <c r="JC30" s="535">
        <f t="shared" si="196"/>
        <v>0</v>
      </c>
      <c r="JD30" s="533"/>
      <c r="JE30" s="534">
        <f t="shared" si="86"/>
        <v>0</v>
      </c>
      <c r="JF30" s="535">
        <f t="shared" si="197"/>
        <v>0</v>
      </c>
      <c r="JG30" s="533"/>
      <c r="JH30" s="534">
        <f t="shared" si="87"/>
        <v>0</v>
      </c>
      <c r="JI30" s="535">
        <f t="shared" si="198"/>
        <v>0</v>
      </c>
      <c r="JJ30" s="533"/>
      <c r="JK30" s="535" t="str">
        <f t="shared" si="88"/>
        <v>0</v>
      </c>
      <c r="JL30" s="535" t="str">
        <f t="shared" si="89"/>
        <v>0</v>
      </c>
      <c r="JM30" s="533"/>
      <c r="JN30" s="535" t="str">
        <f t="shared" si="90"/>
        <v>0</v>
      </c>
      <c r="JO30" s="535" t="str">
        <f t="shared" si="91"/>
        <v>0</v>
      </c>
      <c r="JP30" s="533"/>
      <c r="JQ30" s="535" t="str">
        <f t="shared" si="92"/>
        <v>0</v>
      </c>
      <c r="JR30" s="535" t="str">
        <f t="shared" si="93"/>
        <v>0</v>
      </c>
      <c r="JS30" s="533"/>
      <c r="JT30" s="535" t="str">
        <f t="shared" si="94"/>
        <v>0</v>
      </c>
      <c r="JU30" s="535" t="str">
        <f t="shared" si="95"/>
        <v>0</v>
      </c>
      <c r="JV30" s="533"/>
      <c r="JW30" s="535" t="str">
        <f t="shared" si="96"/>
        <v>0</v>
      </c>
      <c r="JX30" s="535" t="str">
        <f t="shared" si="97"/>
        <v>0</v>
      </c>
      <c r="JY30" s="533"/>
      <c r="JZ30" s="535" t="str">
        <f t="shared" si="98"/>
        <v>0</v>
      </c>
      <c r="KA30" s="535" t="str">
        <f t="shared" si="99"/>
        <v>0</v>
      </c>
      <c r="KB30" s="533"/>
      <c r="KC30" s="535" t="str">
        <f t="shared" si="100"/>
        <v>0</v>
      </c>
      <c r="KD30" s="535" t="str">
        <f t="shared" si="101"/>
        <v>0</v>
      </c>
      <c r="KE30" s="533"/>
      <c r="KF30" s="535" t="str">
        <f t="shared" si="102"/>
        <v>0</v>
      </c>
      <c r="KG30" s="535" t="str">
        <f t="shared" si="103"/>
        <v>0</v>
      </c>
      <c r="KH30" s="533"/>
      <c r="KI30" s="535" t="str">
        <f t="shared" si="104"/>
        <v>0</v>
      </c>
      <c r="KJ30" s="535" t="str">
        <f t="shared" si="105"/>
        <v>0</v>
      </c>
      <c r="KK30" s="533"/>
      <c r="KL30" s="535" t="str">
        <f t="shared" si="106"/>
        <v>0</v>
      </c>
      <c r="KM30" s="535" t="str">
        <f t="shared" si="107"/>
        <v>0</v>
      </c>
      <c r="KN30" s="533"/>
      <c r="KO30" s="535" t="str">
        <f t="shared" si="108"/>
        <v>0</v>
      </c>
      <c r="KP30" s="535" t="str">
        <f t="shared" si="109"/>
        <v>0</v>
      </c>
      <c r="KQ30" s="533"/>
      <c r="KR30" s="535" t="str">
        <f t="shared" si="110"/>
        <v>0</v>
      </c>
      <c r="KS30" s="535" t="str">
        <f t="shared" si="111"/>
        <v>0</v>
      </c>
      <c r="KT30" s="535">
        <f t="shared" si="201"/>
        <v>0</v>
      </c>
      <c r="KU30" s="535">
        <f t="shared" si="202"/>
        <v>0</v>
      </c>
      <c r="KV30" s="272">
        <f t="shared" si="199"/>
        <v>405.02691206765559</v>
      </c>
    </row>
    <row r="31" spans="1:309" ht="15" customHeight="1">
      <c r="A31" s="274">
        <f t="shared" si="200"/>
        <v>45984</v>
      </c>
      <c r="B31" s="275" t="str">
        <f>+Report1!B31</f>
        <v>Facial</v>
      </c>
      <c r="C31" s="415" t="str">
        <f>+Report1!C31</f>
        <v>13</v>
      </c>
      <c r="D31" s="276">
        <f>+Report1!P31</f>
        <v>59.129999999999995</v>
      </c>
      <c r="E31" s="277">
        <f>+Report1!R31</f>
        <v>51.46</v>
      </c>
      <c r="F31" s="533">
        <v>0</v>
      </c>
      <c r="G31" s="534">
        <f t="shared" si="0"/>
        <v>0</v>
      </c>
      <c r="H31" s="535">
        <f t="shared" si="112"/>
        <v>0</v>
      </c>
      <c r="I31" s="533">
        <v>283.11120000000017</v>
      </c>
      <c r="J31" s="534">
        <f t="shared" si="1"/>
        <v>5.5015779246016354</v>
      </c>
      <c r="K31" s="535">
        <f t="shared" si="113"/>
        <v>0</v>
      </c>
      <c r="L31" s="533"/>
      <c r="M31" s="534">
        <f t="shared" si="2"/>
        <v>0</v>
      </c>
      <c r="N31" s="535">
        <f t="shared" si="114"/>
        <v>0</v>
      </c>
      <c r="O31" s="533">
        <v>9.5235999999999876</v>
      </c>
      <c r="P31" s="534">
        <f t="shared" si="3"/>
        <v>0.18506801399144943</v>
      </c>
      <c r="Q31" s="535">
        <f t="shared" si="115"/>
        <v>0</v>
      </c>
      <c r="R31" s="533"/>
      <c r="S31" s="534">
        <f t="shared" si="4"/>
        <v>0</v>
      </c>
      <c r="T31" s="535">
        <f t="shared" si="116"/>
        <v>0</v>
      </c>
      <c r="U31" s="533">
        <v>5.4281000000000006</v>
      </c>
      <c r="V31" s="534">
        <f t="shared" si="5"/>
        <v>0.10548192771084339</v>
      </c>
      <c r="W31" s="535">
        <f t="shared" si="117"/>
        <v>0</v>
      </c>
      <c r="X31" s="533"/>
      <c r="Y31" s="534">
        <f t="shared" si="6"/>
        <v>0</v>
      </c>
      <c r="Z31" s="535">
        <f t="shared" si="118"/>
        <v>0</v>
      </c>
      <c r="AA31" s="533"/>
      <c r="AB31" s="534">
        <f t="shared" si="7"/>
        <v>0</v>
      </c>
      <c r="AC31" s="535">
        <f t="shared" si="119"/>
        <v>0</v>
      </c>
      <c r="AD31" s="533"/>
      <c r="AE31" s="534">
        <f t="shared" si="8"/>
        <v>0</v>
      </c>
      <c r="AF31" s="535">
        <f t="shared" si="120"/>
        <v>0</v>
      </c>
      <c r="AG31" s="533"/>
      <c r="AH31" s="534">
        <f t="shared" si="9"/>
        <v>0</v>
      </c>
      <c r="AI31" s="535">
        <f t="shared" si="121"/>
        <v>0</v>
      </c>
      <c r="AJ31" s="533">
        <v>0</v>
      </c>
      <c r="AK31" s="534">
        <f t="shared" si="10"/>
        <v>0</v>
      </c>
      <c r="AL31" s="535">
        <f t="shared" si="122"/>
        <v>0</v>
      </c>
      <c r="AM31" s="533">
        <v>0</v>
      </c>
      <c r="AN31" s="534">
        <f t="shared" si="11"/>
        <v>0</v>
      </c>
      <c r="AO31" s="535">
        <f t="shared" si="123"/>
        <v>0</v>
      </c>
      <c r="AP31" s="533">
        <v>72.364100000000064</v>
      </c>
      <c r="AQ31" s="534">
        <f t="shared" si="12"/>
        <v>1.4062203653322982</v>
      </c>
      <c r="AR31" s="535">
        <f t="shared" si="124"/>
        <v>0</v>
      </c>
      <c r="AS31" s="533"/>
      <c r="AT31" s="534">
        <f t="shared" si="13"/>
        <v>0</v>
      </c>
      <c r="AU31" s="535">
        <f t="shared" si="125"/>
        <v>0</v>
      </c>
      <c r="AV31" s="533">
        <v>2.9440000000000168</v>
      </c>
      <c r="AW31" s="534">
        <f t="shared" si="14"/>
        <v>5.720948309366531E-2</v>
      </c>
      <c r="AX31" s="535">
        <f t="shared" si="126"/>
        <v>0</v>
      </c>
      <c r="AY31" s="533">
        <v>44.463600000000014</v>
      </c>
      <c r="AZ31" s="534">
        <f t="shared" si="15"/>
        <v>0.8640419743490092</v>
      </c>
      <c r="BA31" s="535">
        <f t="shared" si="127"/>
        <v>0</v>
      </c>
      <c r="BB31" s="533">
        <v>0</v>
      </c>
      <c r="BC31" s="534">
        <f t="shared" si="16"/>
        <v>0</v>
      </c>
      <c r="BD31" s="535">
        <f t="shared" si="128"/>
        <v>0</v>
      </c>
      <c r="BE31" s="533"/>
      <c r="BF31" s="534">
        <f t="shared" si="17"/>
        <v>0</v>
      </c>
      <c r="BG31" s="535">
        <f t="shared" si="129"/>
        <v>0</v>
      </c>
      <c r="BH31" s="533"/>
      <c r="BI31" s="534">
        <f t="shared" si="18"/>
        <v>0</v>
      </c>
      <c r="BJ31" s="535">
        <f t="shared" si="130"/>
        <v>0</v>
      </c>
      <c r="BK31" s="533"/>
      <c r="BL31" s="534">
        <f t="shared" si="19"/>
        <v>0</v>
      </c>
      <c r="BM31" s="535">
        <f t="shared" si="131"/>
        <v>0</v>
      </c>
      <c r="BN31" s="533">
        <v>6.6962999999999973</v>
      </c>
      <c r="BO31" s="534">
        <f t="shared" si="20"/>
        <v>0.13012631169840647</v>
      </c>
      <c r="BP31" s="535">
        <f t="shared" si="132"/>
        <v>0</v>
      </c>
      <c r="BQ31" s="533">
        <v>0</v>
      </c>
      <c r="BR31" s="534">
        <f t="shared" si="21"/>
        <v>0</v>
      </c>
      <c r="BS31" s="535">
        <f t="shared" si="133"/>
        <v>0</v>
      </c>
      <c r="BT31" s="533"/>
      <c r="BU31" s="534">
        <f t="shared" si="22"/>
        <v>0</v>
      </c>
      <c r="BV31" s="535">
        <f t="shared" si="134"/>
        <v>0</v>
      </c>
      <c r="BW31" s="533">
        <v>0</v>
      </c>
      <c r="BX31" s="534">
        <f t="shared" si="23"/>
        <v>0</v>
      </c>
      <c r="BY31" s="535">
        <f t="shared" si="135"/>
        <v>0</v>
      </c>
      <c r="BZ31" s="533"/>
      <c r="CA31" s="534">
        <f t="shared" si="24"/>
        <v>0</v>
      </c>
      <c r="CB31" s="535">
        <f t="shared" si="136"/>
        <v>0</v>
      </c>
      <c r="CC31" s="533">
        <v>0</v>
      </c>
      <c r="CD31" s="534">
        <f t="shared" si="25"/>
        <v>0</v>
      </c>
      <c r="CE31" s="535">
        <f t="shared" si="137"/>
        <v>0</v>
      </c>
      <c r="CF31" s="533">
        <v>0.14999999999999997</v>
      </c>
      <c r="CG31" s="534">
        <f t="shared" si="26"/>
        <v>2.9148853478429843E-3</v>
      </c>
      <c r="CH31" s="535">
        <f t="shared" si="138"/>
        <v>0</v>
      </c>
      <c r="CI31" s="533"/>
      <c r="CJ31" s="534">
        <f t="shared" si="27"/>
        <v>0</v>
      </c>
      <c r="CK31" s="535">
        <f t="shared" si="139"/>
        <v>0</v>
      </c>
      <c r="CL31" s="533"/>
      <c r="CM31" s="534">
        <f t="shared" si="28"/>
        <v>0</v>
      </c>
      <c r="CN31" s="535">
        <f t="shared" si="140"/>
        <v>0</v>
      </c>
      <c r="CO31" s="533"/>
      <c r="CP31" s="534">
        <f t="shared" si="29"/>
        <v>0</v>
      </c>
      <c r="CQ31" s="535">
        <f t="shared" si="141"/>
        <v>0</v>
      </c>
      <c r="CR31" s="533"/>
      <c r="CS31" s="534">
        <f t="shared" si="30"/>
        <v>0</v>
      </c>
      <c r="CT31" s="535">
        <f t="shared" si="142"/>
        <v>0</v>
      </c>
      <c r="CU31" s="533"/>
      <c r="CV31" s="534">
        <f t="shared" si="31"/>
        <v>0</v>
      </c>
      <c r="CW31" s="535">
        <f t="shared" si="143"/>
        <v>0</v>
      </c>
      <c r="CX31" s="533"/>
      <c r="CY31" s="534">
        <f t="shared" si="32"/>
        <v>0</v>
      </c>
      <c r="CZ31" s="535">
        <f t="shared" si="144"/>
        <v>0</v>
      </c>
      <c r="DA31" s="533"/>
      <c r="DB31" s="534">
        <f t="shared" si="33"/>
        <v>0</v>
      </c>
      <c r="DC31" s="535">
        <f t="shared" si="145"/>
        <v>0</v>
      </c>
      <c r="DD31" s="533"/>
      <c r="DE31" s="534">
        <f t="shared" si="34"/>
        <v>0</v>
      </c>
      <c r="DF31" s="535">
        <f t="shared" si="146"/>
        <v>0</v>
      </c>
      <c r="DG31" s="533">
        <v>0</v>
      </c>
      <c r="DH31" s="534">
        <f t="shared" si="35"/>
        <v>0</v>
      </c>
      <c r="DI31" s="535">
        <f t="shared" si="203"/>
        <v>0</v>
      </c>
      <c r="DJ31" s="533"/>
      <c r="DK31" s="534">
        <f t="shared" si="36"/>
        <v>0</v>
      </c>
      <c r="DL31" s="535">
        <f t="shared" si="147"/>
        <v>0</v>
      </c>
      <c r="DM31" s="533"/>
      <c r="DN31" s="534">
        <f t="shared" si="37"/>
        <v>0</v>
      </c>
      <c r="DO31" s="535">
        <f t="shared" si="148"/>
        <v>0</v>
      </c>
      <c r="DP31" s="533"/>
      <c r="DQ31" s="534">
        <f t="shared" si="38"/>
        <v>0</v>
      </c>
      <c r="DR31" s="535">
        <f t="shared" si="149"/>
        <v>0</v>
      </c>
      <c r="DS31" s="533"/>
      <c r="DT31" s="534">
        <f t="shared" si="39"/>
        <v>0</v>
      </c>
      <c r="DU31" s="535">
        <f t="shared" si="150"/>
        <v>0</v>
      </c>
      <c r="DV31" s="533"/>
      <c r="DW31" s="534">
        <f t="shared" si="40"/>
        <v>0</v>
      </c>
      <c r="DX31" s="535">
        <f t="shared" si="151"/>
        <v>0</v>
      </c>
      <c r="DY31" s="533"/>
      <c r="DZ31" s="534">
        <f t="shared" si="41"/>
        <v>0</v>
      </c>
      <c r="EA31" s="535">
        <f t="shared" si="152"/>
        <v>0</v>
      </c>
      <c r="EB31" s="533">
        <v>30.776800000000094</v>
      </c>
      <c r="EC31" s="534">
        <f t="shared" si="42"/>
        <v>0.59807228915662836</v>
      </c>
      <c r="ED31" s="535">
        <f t="shared" si="153"/>
        <v>0</v>
      </c>
      <c r="EE31" s="533">
        <v>0</v>
      </c>
      <c r="EF31" s="534">
        <f t="shared" si="43"/>
        <v>0</v>
      </c>
      <c r="EG31" s="535">
        <f t="shared" si="154"/>
        <v>0</v>
      </c>
      <c r="EH31" s="533"/>
      <c r="EI31" s="534">
        <f t="shared" si="44"/>
        <v>0</v>
      </c>
      <c r="EJ31" s="535">
        <f t="shared" si="155"/>
        <v>0</v>
      </c>
      <c r="EK31" s="533"/>
      <c r="EL31" s="534">
        <f t="shared" si="45"/>
        <v>0</v>
      </c>
      <c r="EM31" s="535">
        <f t="shared" si="156"/>
        <v>0</v>
      </c>
      <c r="EN31" s="533"/>
      <c r="EO31" s="534">
        <f t="shared" si="46"/>
        <v>0</v>
      </c>
      <c r="EP31" s="535">
        <f t="shared" si="157"/>
        <v>0</v>
      </c>
      <c r="EQ31" s="533"/>
      <c r="ER31" s="534">
        <f t="shared" si="47"/>
        <v>0</v>
      </c>
      <c r="ES31" s="535">
        <f t="shared" si="158"/>
        <v>0</v>
      </c>
      <c r="ET31" s="533"/>
      <c r="EU31" s="534">
        <f t="shared" si="48"/>
        <v>0</v>
      </c>
      <c r="EV31" s="535">
        <f t="shared" si="159"/>
        <v>0</v>
      </c>
      <c r="EW31" s="533"/>
      <c r="EX31" s="534">
        <f t="shared" si="49"/>
        <v>0</v>
      </c>
      <c r="EY31" s="535">
        <f t="shared" si="160"/>
        <v>0</v>
      </c>
      <c r="EZ31" s="533"/>
      <c r="FA31" s="534">
        <f t="shared" si="50"/>
        <v>0</v>
      </c>
      <c r="FB31" s="535">
        <f t="shared" si="161"/>
        <v>0</v>
      </c>
      <c r="FC31" s="533"/>
      <c r="FD31" s="534">
        <f t="shared" si="51"/>
        <v>0</v>
      </c>
      <c r="FE31" s="535">
        <f t="shared" si="162"/>
        <v>0</v>
      </c>
      <c r="FF31" s="533"/>
      <c r="FG31" s="534">
        <f t="shared" si="52"/>
        <v>0</v>
      </c>
      <c r="FH31" s="535">
        <f t="shared" si="163"/>
        <v>0</v>
      </c>
      <c r="FI31" s="533"/>
      <c r="FJ31" s="534">
        <f t="shared" si="53"/>
        <v>0</v>
      </c>
      <c r="FK31" s="535">
        <f t="shared" si="164"/>
        <v>0</v>
      </c>
      <c r="FL31" s="533"/>
      <c r="FM31" s="534">
        <f t="shared" si="54"/>
        <v>0</v>
      </c>
      <c r="FN31" s="535">
        <f t="shared" si="165"/>
        <v>0</v>
      </c>
      <c r="FO31" s="533"/>
      <c r="FP31" s="534">
        <f t="shared" si="55"/>
        <v>0</v>
      </c>
      <c r="FQ31" s="535">
        <f t="shared" si="166"/>
        <v>0</v>
      </c>
      <c r="FR31" s="533"/>
      <c r="FS31" s="534">
        <f t="shared" si="56"/>
        <v>0</v>
      </c>
      <c r="FT31" s="535">
        <f t="shared" si="167"/>
        <v>0</v>
      </c>
      <c r="FU31" s="533"/>
      <c r="FV31" s="534">
        <f t="shared" si="57"/>
        <v>0</v>
      </c>
      <c r="FW31" s="535">
        <f t="shared" si="168"/>
        <v>0</v>
      </c>
      <c r="FX31" s="533"/>
      <c r="FY31" s="534">
        <f t="shared" si="58"/>
        <v>0</v>
      </c>
      <c r="FZ31" s="535">
        <f t="shared" si="169"/>
        <v>0</v>
      </c>
      <c r="GA31" s="533"/>
      <c r="GB31" s="534">
        <f t="shared" si="59"/>
        <v>0</v>
      </c>
      <c r="GC31" s="535">
        <f t="shared" si="170"/>
        <v>0</v>
      </c>
      <c r="GD31" s="533"/>
      <c r="GE31" s="534">
        <f t="shared" si="60"/>
        <v>0</v>
      </c>
      <c r="GF31" s="535">
        <f t="shared" si="171"/>
        <v>0</v>
      </c>
      <c r="GG31" s="533"/>
      <c r="GH31" s="534">
        <f t="shared" si="61"/>
        <v>0</v>
      </c>
      <c r="GI31" s="535">
        <f t="shared" si="172"/>
        <v>0</v>
      </c>
      <c r="GJ31" s="533"/>
      <c r="GK31" s="534">
        <f t="shared" si="62"/>
        <v>0</v>
      </c>
      <c r="GL31" s="535">
        <f t="shared" si="173"/>
        <v>0</v>
      </c>
      <c r="GM31" s="533"/>
      <c r="GN31" s="534">
        <f t="shared" si="63"/>
        <v>0</v>
      </c>
      <c r="GO31" s="535">
        <f t="shared" si="174"/>
        <v>0</v>
      </c>
      <c r="GP31" s="533"/>
      <c r="GQ31" s="534">
        <f t="shared" si="64"/>
        <v>0</v>
      </c>
      <c r="GR31" s="535">
        <f t="shared" si="175"/>
        <v>0</v>
      </c>
      <c r="GS31" s="533"/>
      <c r="GT31" s="534">
        <f t="shared" si="65"/>
        <v>0</v>
      </c>
      <c r="GU31" s="535">
        <f t="shared" si="176"/>
        <v>0</v>
      </c>
      <c r="GV31" s="533"/>
      <c r="GW31" s="534">
        <f t="shared" si="66"/>
        <v>0</v>
      </c>
      <c r="GX31" s="535">
        <f t="shared" si="177"/>
        <v>0</v>
      </c>
      <c r="GY31" s="533"/>
      <c r="GZ31" s="534">
        <f t="shared" si="67"/>
        <v>0</v>
      </c>
      <c r="HA31" s="535">
        <f t="shared" si="178"/>
        <v>0</v>
      </c>
      <c r="HB31" s="533"/>
      <c r="HC31" s="534">
        <f t="shared" si="68"/>
        <v>0</v>
      </c>
      <c r="HD31" s="535">
        <f t="shared" si="179"/>
        <v>0</v>
      </c>
      <c r="HE31" s="533"/>
      <c r="HF31" s="534">
        <f t="shared" si="69"/>
        <v>0</v>
      </c>
      <c r="HG31" s="535">
        <f t="shared" si="180"/>
        <v>0</v>
      </c>
      <c r="HH31" s="533"/>
      <c r="HI31" s="534">
        <f t="shared" si="70"/>
        <v>0</v>
      </c>
      <c r="HJ31" s="535">
        <f t="shared" si="181"/>
        <v>0</v>
      </c>
      <c r="HK31" s="533"/>
      <c r="HL31" s="534">
        <f t="shared" si="71"/>
        <v>0</v>
      </c>
      <c r="HM31" s="535">
        <f t="shared" si="182"/>
        <v>0</v>
      </c>
      <c r="HN31" s="533"/>
      <c r="HO31" s="534">
        <f t="shared" si="72"/>
        <v>0</v>
      </c>
      <c r="HP31" s="535">
        <f t="shared" si="183"/>
        <v>0</v>
      </c>
      <c r="HQ31" s="533"/>
      <c r="HR31" s="534">
        <f t="shared" si="73"/>
        <v>0</v>
      </c>
      <c r="HS31" s="535">
        <f t="shared" si="184"/>
        <v>0</v>
      </c>
      <c r="HT31" s="533"/>
      <c r="HU31" s="534">
        <f t="shared" si="74"/>
        <v>0</v>
      </c>
      <c r="HV31" s="535">
        <f t="shared" si="185"/>
        <v>0</v>
      </c>
      <c r="HW31" s="533"/>
      <c r="HX31" s="534">
        <f t="shared" si="75"/>
        <v>0</v>
      </c>
      <c r="HY31" s="535">
        <f t="shared" si="186"/>
        <v>0</v>
      </c>
      <c r="HZ31" s="533"/>
      <c r="IA31" s="534">
        <f t="shared" si="76"/>
        <v>0</v>
      </c>
      <c r="IB31" s="535">
        <f t="shared" si="187"/>
        <v>0</v>
      </c>
      <c r="IC31" s="533"/>
      <c r="ID31" s="534">
        <f t="shared" si="77"/>
        <v>0</v>
      </c>
      <c r="IE31" s="535">
        <f t="shared" si="188"/>
        <v>0</v>
      </c>
      <c r="IF31" s="533"/>
      <c r="IG31" s="534">
        <f t="shared" si="78"/>
        <v>0</v>
      </c>
      <c r="IH31" s="535">
        <f t="shared" si="189"/>
        <v>0</v>
      </c>
      <c r="II31" s="533"/>
      <c r="IJ31" s="534">
        <f t="shared" si="79"/>
        <v>0</v>
      </c>
      <c r="IK31" s="535">
        <f t="shared" si="190"/>
        <v>0</v>
      </c>
      <c r="IL31" s="533"/>
      <c r="IM31" s="534">
        <f t="shared" si="80"/>
        <v>0</v>
      </c>
      <c r="IN31" s="535">
        <f t="shared" si="191"/>
        <v>0</v>
      </c>
      <c r="IO31" s="533"/>
      <c r="IP31" s="534">
        <f t="shared" si="81"/>
        <v>0</v>
      </c>
      <c r="IQ31" s="535">
        <f t="shared" si="192"/>
        <v>0</v>
      </c>
      <c r="IR31" s="533"/>
      <c r="IS31" s="534">
        <f t="shared" si="82"/>
        <v>0</v>
      </c>
      <c r="IT31" s="535">
        <f t="shared" si="193"/>
        <v>0</v>
      </c>
      <c r="IU31" s="533"/>
      <c r="IV31" s="534">
        <f t="shared" si="83"/>
        <v>0</v>
      </c>
      <c r="IW31" s="535">
        <f t="shared" si="194"/>
        <v>0</v>
      </c>
      <c r="IX31" s="533"/>
      <c r="IY31" s="534">
        <f t="shared" si="84"/>
        <v>0</v>
      </c>
      <c r="IZ31" s="535">
        <f t="shared" si="195"/>
        <v>0</v>
      </c>
      <c r="JA31" s="533"/>
      <c r="JB31" s="534">
        <f t="shared" si="85"/>
        <v>0</v>
      </c>
      <c r="JC31" s="535">
        <f t="shared" si="196"/>
        <v>0</v>
      </c>
      <c r="JD31" s="533"/>
      <c r="JE31" s="534">
        <f t="shared" si="86"/>
        <v>0</v>
      </c>
      <c r="JF31" s="535">
        <f t="shared" si="197"/>
        <v>0</v>
      </c>
      <c r="JG31" s="533"/>
      <c r="JH31" s="534">
        <f t="shared" si="87"/>
        <v>0</v>
      </c>
      <c r="JI31" s="535">
        <f t="shared" si="198"/>
        <v>0</v>
      </c>
      <c r="JJ31" s="533"/>
      <c r="JK31" s="535" t="str">
        <f t="shared" si="88"/>
        <v>0</v>
      </c>
      <c r="JL31" s="535" t="str">
        <f t="shared" si="89"/>
        <v>0</v>
      </c>
      <c r="JM31" s="533"/>
      <c r="JN31" s="535" t="str">
        <f t="shared" si="90"/>
        <v>0</v>
      </c>
      <c r="JO31" s="535" t="str">
        <f t="shared" si="91"/>
        <v>0</v>
      </c>
      <c r="JP31" s="533"/>
      <c r="JQ31" s="535" t="str">
        <f t="shared" si="92"/>
        <v>0</v>
      </c>
      <c r="JR31" s="535" t="str">
        <f t="shared" si="93"/>
        <v>0</v>
      </c>
      <c r="JS31" s="533"/>
      <c r="JT31" s="535" t="str">
        <f t="shared" si="94"/>
        <v>0</v>
      </c>
      <c r="JU31" s="535" t="str">
        <f t="shared" si="95"/>
        <v>0</v>
      </c>
      <c r="JV31" s="533"/>
      <c r="JW31" s="535" t="str">
        <f t="shared" si="96"/>
        <v>0</v>
      </c>
      <c r="JX31" s="535" t="str">
        <f t="shared" si="97"/>
        <v>0</v>
      </c>
      <c r="JY31" s="533"/>
      <c r="JZ31" s="535" t="str">
        <f t="shared" si="98"/>
        <v>0</v>
      </c>
      <c r="KA31" s="535" t="str">
        <f t="shared" si="99"/>
        <v>0</v>
      </c>
      <c r="KB31" s="533"/>
      <c r="KC31" s="535" t="str">
        <f t="shared" si="100"/>
        <v>0</v>
      </c>
      <c r="KD31" s="535" t="str">
        <f t="shared" si="101"/>
        <v>0</v>
      </c>
      <c r="KE31" s="533"/>
      <c r="KF31" s="535" t="str">
        <f t="shared" si="102"/>
        <v>0</v>
      </c>
      <c r="KG31" s="535" t="str">
        <f t="shared" si="103"/>
        <v>0</v>
      </c>
      <c r="KH31" s="533"/>
      <c r="KI31" s="535" t="str">
        <f t="shared" si="104"/>
        <v>0</v>
      </c>
      <c r="KJ31" s="535" t="str">
        <f t="shared" si="105"/>
        <v>0</v>
      </c>
      <c r="KK31" s="533"/>
      <c r="KL31" s="535" t="str">
        <f t="shared" si="106"/>
        <v>0</v>
      </c>
      <c r="KM31" s="535" t="str">
        <f t="shared" si="107"/>
        <v>0</v>
      </c>
      <c r="KN31" s="533"/>
      <c r="KO31" s="535" t="str">
        <f t="shared" si="108"/>
        <v>0</v>
      </c>
      <c r="KP31" s="535" t="str">
        <f t="shared" si="109"/>
        <v>0</v>
      </c>
      <c r="KQ31" s="533"/>
      <c r="KR31" s="535" t="str">
        <f t="shared" si="110"/>
        <v>0</v>
      </c>
      <c r="KS31" s="535" t="str">
        <f t="shared" si="111"/>
        <v>0</v>
      </c>
      <c r="KT31" s="535">
        <f t="shared" si="201"/>
        <v>0</v>
      </c>
      <c r="KU31" s="535">
        <f t="shared" si="202"/>
        <v>0</v>
      </c>
      <c r="KV31" s="272">
        <f t="shared" si="199"/>
        <v>455.45770000000033</v>
      </c>
    </row>
    <row r="32" spans="1:309" ht="15" customHeight="1">
      <c r="A32" s="274">
        <f t="shared" si="200"/>
        <v>45985</v>
      </c>
      <c r="B32" s="275" t="str">
        <f>+Report1!B32</f>
        <v>Facial</v>
      </c>
      <c r="C32" s="415" t="str">
        <f>+Report1!C32</f>
        <v>13/10,3</v>
      </c>
      <c r="D32" s="276">
        <f>+Report1!P32</f>
        <v>56.805999999999997</v>
      </c>
      <c r="E32" s="277">
        <f>+Report1!R32</f>
        <v>55.963999999999999</v>
      </c>
      <c r="F32" s="533">
        <v>0</v>
      </c>
      <c r="G32" s="534">
        <f t="shared" si="0"/>
        <v>0</v>
      </c>
      <c r="H32" s="535">
        <f t="shared" si="112"/>
        <v>0</v>
      </c>
      <c r="I32" s="533">
        <v>348.83435813953474</v>
      </c>
      <c r="J32" s="534">
        <f t="shared" si="1"/>
        <v>6.2331920187894854</v>
      </c>
      <c r="K32" s="535">
        <f t="shared" si="113"/>
        <v>0</v>
      </c>
      <c r="L32" s="533"/>
      <c r="M32" s="534">
        <f t="shared" si="2"/>
        <v>0</v>
      </c>
      <c r="N32" s="535">
        <f t="shared" si="114"/>
        <v>0</v>
      </c>
      <c r="O32" s="533">
        <v>9.0035999999999774</v>
      </c>
      <c r="P32" s="534">
        <f t="shared" si="3"/>
        <v>0.16088199556857941</v>
      </c>
      <c r="Q32" s="535">
        <f t="shared" si="115"/>
        <v>0</v>
      </c>
      <c r="R32" s="533"/>
      <c r="S32" s="534">
        <f t="shared" si="4"/>
        <v>0</v>
      </c>
      <c r="T32" s="535">
        <f t="shared" si="116"/>
        <v>0</v>
      </c>
      <c r="U32" s="533">
        <v>5.1280000000000143</v>
      </c>
      <c r="V32" s="534">
        <f t="shared" si="5"/>
        <v>9.1630333786005547E-2</v>
      </c>
      <c r="W32" s="535">
        <f t="shared" si="117"/>
        <v>0</v>
      </c>
      <c r="X32" s="533"/>
      <c r="Y32" s="534">
        <f t="shared" si="6"/>
        <v>0</v>
      </c>
      <c r="Z32" s="535">
        <f t="shared" si="118"/>
        <v>0</v>
      </c>
      <c r="AA32" s="533"/>
      <c r="AB32" s="534">
        <f t="shared" si="7"/>
        <v>0</v>
      </c>
      <c r="AC32" s="535">
        <f t="shared" si="119"/>
        <v>0</v>
      </c>
      <c r="AD32" s="533"/>
      <c r="AE32" s="534">
        <f t="shared" si="8"/>
        <v>0</v>
      </c>
      <c r="AF32" s="535">
        <f t="shared" si="120"/>
        <v>0</v>
      </c>
      <c r="AG32" s="533"/>
      <c r="AH32" s="534">
        <f t="shared" si="9"/>
        <v>0</v>
      </c>
      <c r="AI32" s="535">
        <f t="shared" si="121"/>
        <v>0</v>
      </c>
      <c r="AJ32" s="533">
        <v>0</v>
      </c>
      <c r="AK32" s="534">
        <f t="shared" si="10"/>
        <v>0</v>
      </c>
      <c r="AL32" s="535">
        <f t="shared" si="122"/>
        <v>0</v>
      </c>
      <c r="AM32" s="533">
        <v>0</v>
      </c>
      <c r="AN32" s="534">
        <f t="shared" si="11"/>
        <v>0</v>
      </c>
      <c r="AO32" s="535">
        <f t="shared" si="123"/>
        <v>0</v>
      </c>
      <c r="AP32" s="533">
        <v>74.048417721519002</v>
      </c>
      <c r="AQ32" s="534">
        <f t="shared" si="12"/>
        <v>1.3231437660195662</v>
      </c>
      <c r="AR32" s="535">
        <f t="shared" si="124"/>
        <v>0</v>
      </c>
      <c r="AS32" s="533"/>
      <c r="AT32" s="534">
        <f t="shared" si="13"/>
        <v>0</v>
      </c>
      <c r="AU32" s="535">
        <f t="shared" si="125"/>
        <v>0</v>
      </c>
      <c r="AV32" s="533">
        <v>2.7719999999999629</v>
      </c>
      <c r="AW32" s="534">
        <f t="shared" si="14"/>
        <v>4.9531841898362572E-2</v>
      </c>
      <c r="AX32" s="535">
        <f t="shared" si="126"/>
        <v>0</v>
      </c>
      <c r="AY32" s="533">
        <v>53.667599999999993</v>
      </c>
      <c r="AZ32" s="534">
        <f t="shared" si="15"/>
        <v>0.95896647845043237</v>
      </c>
      <c r="BA32" s="535">
        <f t="shared" si="127"/>
        <v>0</v>
      </c>
      <c r="BB32" s="533">
        <v>0</v>
      </c>
      <c r="BC32" s="534">
        <f t="shared" si="16"/>
        <v>0</v>
      </c>
      <c r="BD32" s="535">
        <f t="shared" si="128"/>
        <v>0</v>
      </c>
      <c r="BE32" s="533"/>
      <c r="BF32" s="534">
        <f t="shared" si="17"/>
        <v>0</v>
      </c>
      <c r="BG32" s="535">
        <f t="shared" si="129"/>
        <v>0</v>
      </c>
      <c r="BH32" s="533"/>
      <c r="BI32" s="534">
        <f t="shared" si="18"/>
        <v>0</v>
      </c>
      <c r="BJ32" s="535">
        <f t="shared" si="130"/>
        <v>0</v>
      </c>
      <c r="BK32" s="533"/>
      <c r="BL32" s="534">
        <f t="shared" si="19"/>
        <v>0</v>
      </c>
      <c r="BM32" s="535">
        <f t="shared" si="131"/>
        <v>0</v>
      </c>
      <c r="BN32" s="533">
        <v>5.0653148148148173</v>
      </c>
      <c r="BO32" s="534">
        <f t="shared" si="20"/>
        <v>9.0510235415889095E-2</v>
      </c>
      <c r="BP32" s="535">
        <f t="shared" si="132"/>
        <v>0</v>
      </c>
      <c r="BQ32" s="533">
        <v>0</v>
      </c>
      <c r="BR32" s="534">
        <f t="shared" si="21"/>
        <v>0</v>
      </c>
      <c r="BS32" s="535">
        <f t="shared" si="133"/>
        <v>0</v>
      </c>
      <c r="BT32" s="533"/>
      <c r="BU32" s="534">
        <f t="shared" si="22"/>
        <v>0</v>
      </c>
      <c r="BV32" s="535">
        <f t="shared" si="134"/>
        <v>0</v>
      </c>
      <c r="BW32" s="533">
        <v>0</v>
      </c>
      <c r="BX32" s="534">
        <f t="shared" si="23"/>
        <v>0</v>
      </c>
      <c r="BY32" s="535">
        <f t="shared" si="135"/>
        <v>0</v>
      </c>
      <c r="BZ32" s="533"/>
      <c r="CA32" s="534">
        <f t="shared" si="24"/>
        <v>0</v>
      </c>
      <c r="CB32" s="535">
        <f t="shared" si="136"/>
        <v>0</v>
      </c>
      <c r="CC32" s="533">
        <v>0</v>
      </c>
      <c r="CD32" s="534">
        <f t="shared" si="25"/>
        <v>0</v>
      </c>
      <c r="CE32" s="535">
        <f t="shared" si="137"/>
        <v>0</v>
      </c>
      <c r="CF32" s="533">
        <v>9.9999999999999978E-2</v>
      </c>
      <c r="CG32" s="534">
        <f t="shared" si="26"/>
        <v>1.7868629833464366E-3</v>
      </c>
      <c r="CH32" s="535">
        <f t="shared" si="138"/>
        <v>0</v>
      </c>
      <c r="CI32" s="533"/>
      <c r="CJ32" s="534">
        <f t="shared" si="27"/>
        <v>0</v>
      </c>
      <c r="CK32" s="535">
        <f t="shared" si="139"/>
        <v>0</v>
      </c>
      <c r="CL32" s="533"/>
      <c r="CM32" s="534">
        <f t="shared" si="28"/>
        <v>0</v>
      </c>
      <c r="CN32" s="535">
        <f t="shared" si="140"/>
        <v>0</v>
      </c>
      <c r="CO32" s="533"/>
      <c r="CP32" s="534">
        <f t="shared" si="29"/>
        <v>0</v>
      </c>
      <c r="CQ32" s="535">
        <f t="shared" si="141"/>
        <v>0</v>
      </c>
      <c r="CR32" s="533"/>
      <c r="CS32" s="534">
        <f t="shared" si="30"/>
        <v>0</v>
      </c>
      <c r="CT32" s="535">
        <f t="shared" si="142"/>
        <v>0</v>
      </c>
      <c r="CU32" s="533"/>
      <c r="CV32" s="534">
        <f t="shared" si="31"/>
        <v>0</v>
      </c>
      <c r="CW32" s="535">
        <f t="shared" si="143"/>
        <v>0</v>
      </c>
      <c r="CX32" s="533"/>
      <c r="CY32" s="534">
        <f t="shared" si="32"/>
        <v>0</v>
      </c>
      <c r="CZ32" s="535">
        <f t="shared" si="144"/>
        <v>0</v>
      </c>
      <c r="DA32" s="533"/>
      <c r="DB32" s="534">
        <f t="shared" si="33"/>
        <v>0</v>
      </c>
      <c r="DC32" s="535">
        <f t="shared" si="145"/>
        <v>0</v>
      </c>
      <c r="DD32" s="533"/>
      <c r="DE32" s="534">
        <f t="shared" si="34"/>
        <v>0</v>
      </c>
      <c r="DF32" s="535">
        <f t="shared" si="146"/>
        <v>0</v>
      </c>
      <c r="DG32" s="533">
        <v>0</v>
      </c>
      <c r="DH32" s="534">
        <f t="shared" si="35"/>
        <v>0</v>
      </c>
      <c r="DI32" s="535">
        <f t="shared" si="203"/>
        <v>0</v>
      </c>
      <c r="DJ32" s="533"/>
      <c r="DK32" s="534">
        <f t="shared" si="36"/>
        <v>0</v>
      </c>
      <c r="DL32" s="535">
        <f t="shared" si="147"/>
        <v>0</v>
      </c>
      <c r="DM32" s="533"/>
      <c r="DN32" s="534">
        <f t="shared" si="37"/>
        <v>0</v>
      </c>
      <c r="DO32" s="535">
        <f t="shared" si="148"/>
        <v>0</v>
      </c>
      <c r="DP32" s="533"/>
      <c r="DQ32" s="534">
        <f t="shared" si="38"/>
        <v>0</v>
      </c>
      <c r="DR32" s="535">
        <f t="shared" si="149"/>
        <v>0</v>
      </c>
      <c r="DS32" s="533"/>
      <c r="DT32" s="534">
        <f t="shared" si="39"/>
        <v>0</v>
      </c>
      <c r="DU32" s="535">
        <f t="shared" si="150"/>
        <v>0</v>
      </c>
      <c r="DV32" s="533"/>
      <c r="DW32" s="534">
        <f t="shared" si="40"/>
        <v>0</v>
      </c>
      <c r="DX32" s="535">
        <f t="shared" si="151"/>
        <v>0</v>
      </c>
      <c r="DY32" s="533"/>
      <c r="DZ32" s="534">
        <f t="shared" si="41"/>
        <v>0</v>
      </c>
      <c r="EA32" s="535">
        <f t="shared" si="152"/>
        <v>0</v>
      </c>
      <c r="EB32" s="533">
        <v>29.068539534883712</v>
      </c>
      <c r="EC32" s="534">
        <f t="shared" si="42"/>
        <v>0.51941497274826165</v>
      </c>
      <c r="ED32" s="535">
        <f t="shared" si="153"/>
        <v>0</v>
      </c>
      <c r="EE32" s="533">
        <v>0</v>
      </c>
      <c r="EF32" s="534">
        <f t="shared" si="43"/>
        <v>0</v>
      </c>
      <c r="EG32" s="535">
        <f t="shared" si="154"/>
        <v>0</v>
      </c>
      <c r="EH32" s="533"/>
      <c r="EI32" s="534">
        <f t="shared" si="44"/>
        <v>0</v>
      </c>
      <c r="EJ32" s="535">
        <f t="shared" si="155"/>
        <v>0</v>
      </c>
      <c r="EK32" s="533"/>
      <c r="EL32" s="534">
        <f t="shared" si="45"/>
        <v>0</v>
      </c>
      <c r="EM32" s="535">
        <f t="shared" si="156"/>
        <v>0</v>
      </c>
      <c r="EN32" s="533"/>
      <c r="EO32" s="534">
        <f t="shared" si="46"/>
        <v>0</v>
      </c>
      <c r="EP32" s="535">
        <f t="shared" si="157"/>
        <v>0</v>
      </c>
      <c r="EQ32" s="533"/>
      <c r="ER32" s="534">
        <f t="shared" si="47"/>
        <v>0</v>
      </c>
      <c r="ES32" s="535">
        <f t="shared" si="158"/>
        <v>0</v>
      </c>
      <c r="ET32" s="533"/>
      <c r="EU32" s="534">
        <f t="shared" si="48"/>
        <v>0</v>
      </c>
      <c r="EV32" s="535">
        <f t="shared" si="159"/>
        <v>0</v>
      </c>
      <c r="EW32" s="533"/>
      <c r="EX32" s="534">
        <f t="shared" si="49"/>
        <v>0</v>
      </c>
      <c r="EY32" s="535">
        <f t="shared" si="160"/>
        <v>0</v>
      </c>
      <c r="EZ32" s="533"/>
      <c r="FA32" s="534">
        <f t="shared" si="50"/>
        <v>0</v>
      </c>
      <c r="FB32" s="535">
        <f t="shared" si="161"/>
        <v>0</v>
      </c>
      <c r="FC32" s="533"/>
      <c r="FD32" s="534">
        <f t="shared" si="51"/>
        <v>0</v>
      </c>
      <c r="FE32" s="535">
        <f t="shared" si="162"/>
        <v>0</v>
      </c>
      <c r="FF32" s="533"/>
      <c r="FG32" s="534">
        <f t="shared" si="52"/>
        <v>0</v>
      </c>
      <c r="FH32" s="535">
        <f t="shared" si="163"/>
        <v>0</v>
      </c>
      <c r="FI32" s="533"/>
      <c r="FJ32" s="534">
        <f t="shared" si="53"/>
        <v>0</v>
      </c>
      <c r="FK32" s="535">
        <f t="shared" si="164"/>
        <v>0</v>
      </c>
      <c r="FL32" s="533"/>
      <c r="FM32" s="534">
        <f t="shared" si="54"/>
        <v>0</v>
      </c>
      <c r="FN32" s="535">
        <f t="shared" si="165"/>
        <v>0</v>
      </c>
      <c r="FO32" s="533"/>
      <c r="FP32" s="534">
        <f t="shared" si="55"/>
        <v>0</v>
      </c>
      <c r="FQ32" s="535">
        <f t="shared" si="166"/>
        <v>0</v>
      </c>
      <c r="FR32" s="533"/>
      <c r="FS32" s="534">
        <f t="shared" si="56"/>
        <v>0</v>
      </c>
      <c r="FT32" s="535">
        <f t="shared" si="167"/>
        <v>0</v>
      </c>
      <c r="FU32" s="533"/>
      <c r="FV32" s="534">
        <f t="shared" si="57"/>
        <v>0</v>
      </c>
      <c r="FW32" s="535">
        <f t="shared" si="168"/>
        <v>0</v>
      </c>
      <c r="FX32" s="533"/>
      <c r="FY32" s="534">
        <f t="shared" si="58"/>
        <v>0</v>
      </c>
      <c r="FZ32" s="535">
        <f t="shared" si="169"/>
        <v>0</v>
      </c>
      <c r="GA32" s="533"/>
      <c r="GB32" s="534">
        <f t="shared" si="59"/>
        <v>0</v>
      </c>
      <c r="GC32" s="535">
        <f t="shared" si="170"/>
        <v>0</v>
      </c>
      <c r="GD32" s="533"/>
      <c r="GE32" s="534">
        <f t="shared" si="60"/>
        <v>0</v>
      </c>
      <c r="GF32" s="535">
        <f t="shared" si="171"/>
        <v>0</v>
      </c>
      <c r="GG32" s="533"/>
      <c r="GH32" s="534">
        <f t="shared" si="61"/>
        <v>0</v>
      </c>
      <c r="GI32" s="535">
        <f t="shared" si="172"/>
        <v>0</v>
      </c>
      <c r="GJ32" s="533"/>
      <c r="GK32" s="534">
        <f t="shared" si="62"/>
        <v>0</v>
      </c>
      <c r="GL32" s="535">
        <f t="shared" si="173"/>
        <v>0</v>
      </c>
      <c r="GM32" s="533"/>
      <c r="GN32" s="534">
        <f t="shared" si="63"/>
        <v>0</v>
      </c>
      <c r="GO32" s="535">
        <f t="shared" si="174"/>
        <v>0</v>
      </c>
      <c r="GP32" s="533"/>
      <c r="GQ32" s="534">
        <f t="shared" si="64"/>
        <v>0</v>
      </c>
      <c r="GR32" s="535">
        <f t="shared" si="175"/>
        <v>0</v>
      </c>
      <c r="GS32" s="533"/>
      <c r="GT32" s="534">
        <f t="shared" si="65"/>
        <v>0</v>
      </c>
      <c r="GU32" s="535">
        <f t="shared" si="176"/>
        <v>0</v>
      </c>
      <c r="GV32" s="533"/>
      <c r="GW32" s="534">
        <f t="shared" si="66"/>
        <v>0</v>
      </c>
      <c r="GX32" s="535">
        <f t="shared" si="177"/>
        <v>0</v>
      </c>
      <c r="GY32" s="533"/>
      <c r="GZ32" s="534">
        <f t="shared" si="67"/>
        <v>0</v>
      </c>
      <c r="HA32" s="535">
        <f t="shared" si="178"/>
        <v>0</v>
      </c>
      <c r="HB32" s="533"/>
      <c r="HC32" s="534">
        <f t="shared" si="68"/>
        <v>0</v>
      </c>
      <c r="HD32" s="535">
        <f t="shared" si="179"/>
        <v>0</v>
      </c>
      <c r="HE32" s="533"/>
      <c r="HF32" s="534">
        <f t="shared" si="69"/>
        <v>0</v>
      </c>
      <c r="HG32" s="535">
        <f t="shared" si="180"/>
        <v>0</v>
      </c>
      <c r="HH32" s="533"/>
      <c r="HI32" s="534">
        <f t="shared" si="70"/>
        <v>0</v>
      </c>
      <c r="HJ32" s="535">
        <f t="shared" si="181"/>
        <v>0</v>
      </c>
      <c r="HK32" s="533"/>
      <c r="HL32" s="534">
        <f t="shared" si="71"/>
        <v>0</v>
      </c>
      <c r="HM32" s="535">
        <f t="shared" si="182"/>
        <v>0</v>
      </c>
      <c r="HN32" s="533"/>
      <c r="HO32" s="534">
        <f t="shared" si="72"/>
        <v>0</v>
      </c>
      <c r="HP32" s="535">
        <f t="shared" si="183"/>
        <v>0</v>
      </c>
      <c r="HQ32" s="533"/>
      <c r="HR32" s="534">
        <f t="shared" si="73"/>
        <v>0</v>
      </c>
      <c r="HS32" s="535">
        <f t="shared" si="184"/>
        <v>0</v>
      </c>
      <c r="HT32" s="533"/>
      <c r="HU32" s="534">
        <f t="shared" si="74"/>
        <v>0</v>
      </c>
      <c r="HV32" s="535">
        <f t="shared" si="185"/>
        <v>0</v>
      </c>
      <c r="HW32" s="533"/>
      <c r="HX32" s="534">
        <f t="shared" si="75"/>
        <v>0</v>
      </c>
      <c r="HY32" s="535">
        <f t="shared" si="186"/>
        <v>0</v>
      </c>
      <c r="HZ32" s="533"/>
      <c r="IA32" s="534">
        <f t="shared" si="76"/>
        <v>0</v>
      </c>
      <c r="IB32" s="535">
        <f t="shared" si="187"/>
        <v>0</v>
      </c>
      <c r="IC32" s="533"/>
      <c r="ID32" s="534">
        <f t="shared" si="77"/>
        <v>0</v>
      </c>
      <c r="IE32" s="535">
        <f t="shared" si="188"/>
        <v>0</v>
      </c>
      <c r="IF32" s="533"/>
      <c r="IG32" s="534">
        <f t="shared" si="78"/>
        <v>0</v>
      </c>
      <c r="IH32" s="535">
        <f t="shared" si="189"/>
        <v>0</v>
      </c>
      <c r="II32" s="533"/>
      <c r="IJ32" s="534">
        <f t="shared" si="79"/>
        <v>0</v>
      </c>
      <c r="IK32" s="535">
        <f t="shared" si="190"/>
        <v>0</v>
      </c>
      <c r="IL32" s="533"/>
      <c r="IM32" s="534">
        <f t="shared" si="80"/>
        <v>0</v>
      </c>
      <c r="IN32" s="535">
        <f t="shared" si="191"/>
        <v>0</v>
      </c>
      <c r="IO32" s="533"/>
      <c r="IP32" s="534">
        <f t="shared" si="81"/>
        <v>0</v>
      </c>
      <c r="IQ32" s="535">
        <f t="shared" si="192"/>
        <v>0</v>
      </c>
      <c r="IR32" s="533"/>
      <c r="IS32" s="534">
        <f t="shared" si="82"/>
        <v>0</v>
      </c>
      <c r="IT32" s="535">
        <f t="shared" si="193"/>
        <v>0</v>
      </c>
      <c r="IU32" s="533"/>
      <c r="IV32" s="534">
        <f t="shared" si="83"/>
        <v>0</v>
      </c>
      <c r="IW32" s="535">
        <f t="shared" si="194"/>
        <v>0</v>
      </c>
      <c r="IX32" s="533"/>
      <c r="IY32" s="534">
        <f t="shared" si="84"/>
        <v>0</v>
      </c>
      <c r="IZ32" s="535">
        <f t="shared" si="195"/>
        <v>0</v>
      </c>
      <c r="JA32" s="533"/>
      <c r="JB32" s="534">
        <f t="shared" si="85"/>
        <v>0</v>
      </c>
      <c r="JC32" s="535">
        <f t="shared" si="196"/>
        <v>0</v>
      </c>
      <c r="JD32" s="533"/>
      <c r="JE32" s="534">
        <f t="shared" si="86"/>
        <v>0</v>
      </c>
      <c r="JF32" s="535">
        <f t="shared" si="197"/>
        <v>0</v>
      </c>
      <c r="JG32" s="533"/>
      <c r="JH32" s="534">
        <f t="shared" si="87"/>
        <v>0</v>
      </c>
      <c r="JI32" s="535">
        <f t="shared" si="198"/>
        <v>0</v>
      </c>
      <c r="JJ32" s="533"/>
      <c r="JK32" s="535" t="str">
        <f t="shared" si="88"/>
        <v>0</v>
      </c>
      <c r="JL32" s="535" t="str">
        <f t="shared" si="89"/>
        <v>0</v>
      </c>
      <c r="JM32" s="533"/>
      <c r="JN32" s="535" t="str">
        <f t="shared" si="90"/>
        <v>0</v>
      </c>
      <c r="JO32" s="535" t="str">
        <f t="shared" si="91"/>
        <v>0</v>
      </c>
      <c r="JP32" s="533"/>
      <c r="JQ32" s="535" t="str">
        <f t="shared" si="92"/>
        <v>0</v>
      </c>
      <c r="JR32" s="535" t="str">
        <f t="shared" si="93"/>
        <v>0</v>
      </c>
      <c r="JS32" s="533"/>
      <c r="JT32" s="535" t="str">
        <f t="shared" si="94"/>
        <v>0</v>
      </c>
      <c r="JU32" s="535" t="str">
        <f t="shared" si="95"/>
        <v>0</v>
      </c>
      <c r="JV32" s="533"/>
      <c r="JW32" s="535" t="str">
        <f t="shared" si="96"/>
        <v>0</v>
      </c>
      <c r="JX32" s="535" t="str">
        <f t="shared" si="97"/>
        <v>0</v>
      </c>
      <c r="JY32" s="533"/>
      <c r="JZ32" s="535" t="str">
        <f t="shared" si="98"/>
        <v>0</v>
      </c>
      <c r="KA32" s="535" t="str">
        <f t="shared" si="99"/>
        <v>0</v>
      </c>
      <c r="KB32" s="533"/>
      <c r="KC32" s="535" t="str">
        <f t="shared" si="100"/>
        <v>0</v>
      </c>
      <c r="KD32" s="535" t="str">
        <f t="shared" si="101"/>
        <v>0</v>
      </c>
      <c r="KE32" s="533"/>
      <c r="KF32" s="535" t="str">
        <f t="shared" si="102"/>
        <v>0</v>
      </c>
      <c r="KG32" s="535" t="str">
        <f t="shared" si="103"/>
        <v>0</v>
      </c>
      <c r="KH32" s="533"/>
      <c r="KI32" s="535" t="str">
        <f t="shared" si="104"/>
        <v>0</v>
      </c>
      <c r="KJ32" s="535" t="str">
        <f t="shared" si="105"/>
        <v>0</v>
      </c>
      <c r="KK32" s="533"/>
      <c r="KL32" s="535" t="str">
        <f t="shared" si="106"/>
        <v>0</v>
      </c>
      <c r="KM32" s="535" t="str">
        <f t="shared" si="107"/>
        <v>0</v>
      </c>
      <c r="KN32" s="533"/>
      <c r="KO32" s="535" t="str">
        <f t="shared" si="108"/>
        <v>0</v>
      </c>
      <c r="KP32" s="535" t="str">
        <f t="shared" si="109"/>
        <v>0</v>
      </c>
      <c r="KQ32" s="533"/>
      <c r="KR32" s="535" t="str">
        <f t="shared" si="110"/>
        <v>0</v>
      </c>
      <c r="KS32" s="535" t="str">
        <f t="shared" si="111"/>
        <v>0</v>
      </c>
      <c r="KT32" s="535">
        <f t="shared" si="201"/>
        <v>0</v>
      </c>
      <c r="KU32" s="535">
        <f t="shared" si="202"/>
        <v>0</v>
      </c>
      <c r="KV32" s="272">
        <f t="shared" si="199"/>
        <v>527.68783021075228</v>
      </c>
    </row>
    <row r="33" spans="1:308" ht="15" customHeight="1">
      <c r="A33" s="274">
        <f t="shared" si="200"/>
        <v>45986</v>
      </c>
      <c r="B33" s="275" t="str">
        <f>+Report1!B33</f>
        <v>Facial</v>
      </c>
      <c r="C33" s="415" t="str">
        <f>+Report1!C33</f>
        <v>10,3</v>
      </c>
      <c r="D33" s="276">
        <f>+Report1!P33</f>
        <v>51.827000000000005</v>
      </c>
      <c r="E33" s="277">
        <f>+Report1!R33</f>
        <v>53.747</v>
      </c>
      <c r="F33" s="533">
        <v>0</v>
      </c>
      <c r="G33" s="534">
        <f t="shared" si="0"/>
        <v>0</v>
      </c>
      <c r="H33" s="535">
        <f t="shared" si="112"/>
        <v>0</v>
      </c>
      <c r="I33" s="533">
        <v>244.18604651162786</v>
      </c>
      <c r="J33" s="534">
        <f t="shared" si="1"/>
        <v>4.5432497909023359</v>
      </c>
      <c r="K33" s="535">
        <f t="shared" si="113"/>
        <v>0</v>
      </c>
      <c r="L33" s="533"/>
      <c r="M33" s="534">
        <f t="shared" si="2"/>
        <v>0</v>
      </c>
      <c r="N33" s="535">
        <f t="shared" si="114"/>
        <v>0</v>
      </c>
      <c r="O33" s="533">
        <v>9</v>
      </c>
      <c r="P33" s="534">
        <f t="shared" si="3"/>
        <v>0.16745120657897186</v>
      </c>
      <c r="Q33" s="535">
        <f t="shared" si="115"/>
        <v>0</v>
      </c>
      <c r="R33" s="533"/>
      <c r="S33" s="534">
        <f t="shared" si="4"/>
        <v>0</v>
      </c>
      <c r="T33" s="535">
        <f t="shared" si="116"/>
        <v>0</v>
      </c>
      <c r="U33" s="533">
        <v>5.1249999999999716</v>
      </c>
      <c r="V33" s="534">
        <f t="shared" si="5"/>
        <v>9.5354159301914002E-2</v>
      </c>
      <c r="W33" s="535">
        <f t="shared" si="117"/>
        <v>0</v>
      </c>
      <c r="X33" s="533"/>
      <c r="Y33" s="534">
        <f t="shared" si="6"/>
        <v>0</v>
      </c>
      <c r="Z33" s="535">
        <f t="shared" si="118"/>
        <v>0</v>
      </c>
      <c r="AA33" s="533"/>
      <c r="AB33" s="534">
        <f t="shared" si="7"/>
        <v>0</v>
      </c>
      <c r="AC33" s="535">
        <f t="shared" si="119"/>
        <v>0</v>
      </c>
      <c r="AD33" s="533"/>
      <c r="AE33" s="534">
        <f t="shared" si="8"/>
        <v>0</v>
      </c>
      <c r="AF33" s="535">
        <f t="shared" si="120"/>
        <v>0</v>
      </c>
      <c r="AG33" s="533"/>
      <c r="AH33" s="534">
        <f t="shared" si="9"/>
        <v>0</v>
      </c>
      <c r="AI33" s="535">
        <f t="shared" si="121"/>
        <v>0</v>
      </c>
      <c r="AJ33" s="533">
        <v>0</v>
      </c>
      <c r="AK33" s="534">
        <f t="shared" si="10"/>
        <v>0</v>
      </c>
      <c r="AL33" s="535">
        <f t="shared" si="122"/>
        <v>0</v>
      </c>
      <c r="AM33" s="533">
        <v>0</v>
      </c>
      <c r="AN33" s="534">
        <f t="shared" si="11"/>
        <v>0</v>
      </c>
      <c r="AO33" s="535">
        <f t="shared" si="123"/>
        <v>0</v>
      </c>
      <c r="AP33" s="533">
        <v>59.810126582278485</v>
      </c>
      <c r="AQ33" s="534">
        <f t="shared" si="12"/>
        <v>1.1128086513159523</v>
      </c>
      <c r="AR33" s="535">
        <f t="shared" si="124"/>
        <v>0</v>
      </c>
      <c r="AS33" s="533"/>
      <c r="AT33" s="534">
        <f t="shared" si="13"/>
        <v>0</v>
      </c>
      <c r="AU33" s="535">
        <f t="shared" si="125"/>
        <v>0</v>
      </c>
      <c r="AV33" s="533">
        <v>2.7750000000000057</v>
      </c>
      <c r="AW33" s="534">
        <f t="shared" si="14"/>
        <v>5.1630788695183095E-2</v>
      </c>
      <c r="AX33" s="535">
        <f t="shared" si="126"/>
        <v>0</v>
      </c>
      <c r="AY33" s="533">
        <v>56.000000000000028</v>
      </c>
      <c r="AZ33" s="534">
        <f t="shared" si="15"/>
        <v>1.0419186187136031</v>
      </c>
      <c r="BA33" s="535">
        <f t="shared" si="127"/>
        <v>0</v>
      </c>
      <c r="BB33" s="533">
        <v>0</v>
      </c>
      <c r="BC33" s="534">
        <f t="shared" si="16"/>
        <v>0</v>
      </c>
      <c r="BD33" s="535">
        <f t="shared" si="128"/>
        <v>0</v>
      </c>
      <c r="BE33" s="533"/>
      <c r="BF33" s="534">
        <f t="shared" si="17"/>
        <v>0</v>
      </c>
      <c r="BG33" s="535">
        <f t="shared" si="129"/>
        <v>0</v>
      </c>
      <c r="BH33" s="533"/>
      <c r="BI33" s="534">
        <f t="shared" si="18"/>
        <v>0</v>
      </c>
      <c r="BJ33" s="535">
        <f t="shared" si="130"/>
        <v>0</v>
      </c>
      <c r="BK33" s="533"/>
      <c r="BL33" s="534">
        <f t="shared" si="19"/>
        <v>0</v>
      </c>
      <c r="BM33" s="535">
        <f t="shared" si="131"/>
        <v>0</v>
      </c>
      <c r="BN33" s="533">
        <v>5.0617283950617278</v>
      </c>
      <c r="BO33" s="534">
        <f t="shared" si="20"/>
        <v>9.4176947458681007E-2</v>
      </c>
      <c r="BP33" s="535">
        <f t="shared" si="132"/>
        <v>0</v>
      </c>
      <c r="BQ33" s="533">
        <v>0</v>
      </c>
      <c r="BR33" s="534">
        <f t="shared" si="21"/>
        <v>0</v>
      </c>
      <c r="BS33" s="535">
        <f t="shared" si="133"/>
        <v>0</v>
      </c>
      <c r="BT33" s="533"/>
      <c r="BU33" s="534">
        <f t="shared" si="22"/>
        <v>0</v>
      </c>
      <c r="BV33" s="535">
        <f t="shared" si="134"/>
        <v>0</v>
      </c>
      <c r="BW33" s="533">
        <v>0</v>
      </c>
      <c r="BX33" s="534">
        <f t="shared" si="23"/>
        <v>0</v>
      </c>
      <c r="BY33" s="535">
        <f t="shared" si="135"/>
        <v>0</v>
      </c>
      <c r="BZ33" s="533"/>
      <c r="CA33" s="534">
        <f t="shared" si="24"/>
        <v>0</v>
      </c>
      <c r="CB33" s="535">
        <f t="shared" si="136"/>
        <v>0</v>
      </c>
      <c r="CC33" s="533">
        <v>0</v>
      </c>
      <c r="CD33" s="534">
        <f t="shared" si="25"/>
        <v>0</v>
      </c>
      <c r="CE33" s="535">
        <f t="shared" si="137"/>
        <v>0</v>
      </c>
      <c r="CF33" s="533">
        <v>9.9999999999999978E-2</v>
      </c>
      <c r="CG33" s="534">
        <f t="shared" si="26"/>
        <v>1.8605689619885758E-3</v>
      </c>
      <c r="CH33" s="535">
        <f t="shared" si="138"/>
        <v>0</v>
      </c>
      <c r="CI33" s="533"/>
      <c r="CJ33" s="534">
        <f t="shared" si="27"/>
        <v>0</v>
      </c>
      <c r="CK33" s="535">
        <f t="shared" si="139"/>
        <v>0</v>
      </c>
      <c r="CL33" s="533"/>
      <c r="CM33" s="534">
        <f t="shared" si="28"/>
        <v>0</v>
      </c>
      <c r="CN33" s="535">
        <f t="shared" si="140"/>
        <v>0</v>
      </c>
      <c r="CO33" s="533"/>
      <c r="CP33" s="534">
        <f t="shared" si="29"/>
        <v>0</v>
      </c>
      <c r="CQ33" s="535">
        <f t="shared" si="141"/>
        <v>0</v>
      </c>
      <c r="CR33" s="533"/>
      <c r="CS33" s="534">
        <f t="shared" si="30"/>
        <v>0</v>
      </c>
      <c r="CT33" s="535">
        <f t="shared" si="142"/>
        <v>0</v>
      </c>
      <c r="CU33" s="533"/>
      <c r="CV33" s="534">
        <f t="shared" si="31"/>
        <v>0</v>
      </c>
      <c r="CW33" s="535">
        <f t="shared" si="143"/>
        <v>0</v>
      </c>
      <c r="CX33" s="533"/>
      <c r="CY33" s="534">
        <f t="shared" si="32"/>
        <v>0</v>
      </c>
      <c r="CZ33" s="535">
        <f t="shared" si="144"/>
        <v>0</v>
      </c>
      <c r="DA33" s="533"/>
      <c r="DB33" s="534">
        <f t="shared" si="33"/>
        <v>0</v>
      </c>
      <c r="DC33" s="535">
        <f t="shared" si="145"/>
        <v>0</v>
      </c>
      <c r="DD33" s="533"/>
      <c r="DE33" s="534">
        <f t="shared" si="34"/>
        <v>0</v>
      </c>
      <c r="DF33" s="535">
        <f t="shared" si="146"/>
        <v>0</v>
      </c>
      <c r="DG33" s="533">
        <v>0</v>
      </c>
      <c r="DH33" s="534">
        <f t="shared" si="35"/>
        <v>0</v>
      </c>
      <c r="DI33" s="535">
        <f t="shared" si="203"/>
        <v>0</v>
      </c>
      <c r="DJ33" s="533"/>
      <c r="DK33" s="534">
        <f t="shared" si="36"/>
        <v>0</v>
      </c>
      <c r="DL33" s="535">
        <f t="shared" si="147"/>
        <v>0</v>
      </c>
      <c r="DM33" s="533"/>
      <c r="DN33" s="534">
        <f t="shared" si="37"/>
        <v>0</v>
      </c>
      <c r="DO33" s="535">
        <f t="shared" si="148"/>
        <v>0</v>
      </c>
      <c r="DP33" s="533"/>
      <c r="DQ33" s="534">
        <f t="shared" si="38"/>
        <v>0</v>
      </c>
      <c r="DR33" s="535">
        <f t="shared" si="149"/>
        <v>0</v>
      </c>
      <c r="DS33" s="533"/>
      <c r="DT33" s="534">
        <f t="shared" si="39"/>
        <v>0</v>
      </c>
      <c r="DU33" s="535">
        <f t="shared" si="150"/>
        <v>0</v>
      </c>
      <c r="DV33" s="533"/>
      <c r="DW33" s="534">
        <f t="shared" si="40"/>
        <v>0</v>
      </c>
      <c r="DX33" s="535">
        <f t="shared" si="151"/>
        <v>0</v>
      </c>
      <c r="DY33" s="533"/>
      <c r="DZ33" s="534">
        <f t="shared" si="41"/>
        <v>0</v>
      </c>
      <c r="EA33" s="535">
        <f t="shared" si="152"/>
        <v>0</v>
      </c>
      <c r="EB33" s="533">
        <v>29.069767441860449</v>
      </c>
      <c r="EC33" s="534">
        <f t="shared" si="42"/>
        <v>0.54086307034551606</v>
      </c>
      <c r="ED33" s="535">
        <f t="shared" si="153"/>
        <v>0</v>
      </c>
      <c r="EE33" s="533">
        <v>0</v>
      </c>
      <c r="EF33" s="534">
        <f t="shared" si="43"/>
        <v>0</v>
      </c>
      <c r="EG33" s="535">
        <f t="shared" si="154"/>
        <v>0</v>
      </c>
      <c r="EH33" s="533"/>
      <c r="EI33" s="534">
        <f t="shared" si="44"/>
        <v>0</v>
      </c>
      <c r="EJ33" s="535">
        <f t="shared" si="155"/>
        <v>0</v>
      </c>
      <c r="EK33" s="533"/>
      <c r="EL33" s="534">
        <f t="shared" si="45"/>
        <v>0</v>
      </c>
      <c r="EM33" s="535">
        <f t="shared" si="156"/>
        <v>0</v>
      </c>
      <c r="EN33" s="533"/>
      <c r="EO33" s="534">
        <f t="shared" si="46"/>
        <v>0</v>
      </c>
      <c r="EP33" s="535">
        <f t="shared" si="157"/>
        <v>0</v>
      </c>
      <c r="EQ33" s="533"/>
      <c r="ER33" s="534">
        <f t="shared" si="47"/>
        <v>0</v>
      </c>
      <c r="ES33" s="535">
        <f t="shared" si="158"/>
        <v>0</v>
      </c>
      <c r="ET33" s="533"/>
      <c r="EU33" s="534">
        <f t="shared" si="48"/>
        <v>0</v>
      </c>
      <c r="EV33" s="535">
        <f t="shared" si="159"/>
        <v>0</v>
      </c>
      <c r="EW33" s="533"/>
      <c r="EX33" s="534">
        <f t="shared" si="49"/>
        <v>0</v>
      </c>
      <c r="EY33" s="535">
        <f t="shared" si="160"/>
        <v>0</v>
      </c>
      <c r="EZ33" s="533"/>
      <c r="FA33" s="534">
        <f t="shared" si="50"/>
        <v>0</v>
      </c>
      <c r="FB33" s="535">
        <f t="shared" si="161"/>
        <v>0</v>
      </c>
      <c r="FC33" s="533"/>
      <c r="FD33" s="534">
        <f t="shared" si="51"/>
        <v>0</v>
      </c>
      <c r="FE33" s="535">
        <f t="shared" si="162"/>
        <v>0</v>
      </c>
      <c r="FF33" s="533"/>
      <c r="FG33" s="534">
        <f t="shared" si="52"/>
        <v>0</v>
      </c>
      <c r="FH33" s="535">
        <f t="shared" si="163"/>
        <v>0</v>
      </c>
      <c r="FI33" s="533"/>
      <c r="FJ33" s="534">
        <f t="shared" si="53"/>
        <v>0</v>
      </c>
      <c r="FK33" s="535">
        <f t="shared" si="164"/>
        <v>0</v>
      </c>
      <c r="FL33" s="533"/>
      <c r="FM33" s="534">
        <f t="shared" si="54"/>
        <v>0</v>
      </c>
      <c r="FN33" s="535">
        <f t="shared" si="165"/>
        <v>0</v>
      </c>
      <c r="FO33" s="533"/>
      <c r="FP33" s="534">
        <f t="shared" si="55"/>
        <v>0</v>
      </c>
      <c r="FQ33" s="535">
        <f t="shared" si="166"/>
        <v>0</v>
      </c>
      <c r="FR33" s="533"/>
      <c r="FS33" s="534">
        <f t="shared" si="56"/>
        <v>0</v>
      </c>
      <c r="FT33" s="535">
        <f t="shared" si="167"/>
        <v>0</v>
      </c>
      <c r="FU33" s="533"/>
      <c r="FV33" s="534">
        <f t="shared" si="57"/>
        <v>0</v>
      </c>
      <c r="FW33" s="535">
        <f t="shared" si="168"/>
        <v>0</v>
      </c>
      <c r="FX33" s="533"/>
      <c r="FY33" s="534">
        <f t="shared" si="58"/>
        <v>0</v>
      </c>
      <c r="FZ33" s="535">
        <f t="shared" si="169"/>
        <v>0</v>
      </c>
      <c r="GA33" s="533"/>
      <c r="GB33" s="534">
        <f t="shared" si="59"/>
        <v>0</v>
      </c>
      <c r="GC33" s="535">
        <f t="shared" si="170"/>
        <v>0</v>
      </c>
      <c r="GD33" s="533"/>
      <c r="GE33" s="534">
        <f t="shared" si="60"/>
        <v>0</v>
      </c>
      <c r="GF33" s="535">
        <f t="shared" si="171"/>
        <v>0</v>
      </c>
      <c r="GG33" s="533"/>
      <c r="GH33" s="534">
        <f t="shared" si="61"/>
        <v>0</v>
      </c>
      <c r="GI33" s="535">
        <f t="shared" si="172"/>
        <v>0</v>
      </c>
      <c r="GJ33" s="533"/>
      <c r="GK33" s="534">
        <f t="shared" si="62"/>
        <v>0</v>
      </c>
      <c r="GL33" s="535">
        <f t="shared" si="173"/>
        <v>0</v>
      </c>
      <c r="GM33" s="533"/>
      <c r="GN33" s="534">
        <f t="shared" si="63"/>
        <v>0</v>
      </c>
      <c r="GO33" s="535">
        <f t="shared" si="174"/>
        <v>0</v>
      </c>
      <c r="GP33" s="533"/>
      <c r="GQ33" s="534">
        <f t="shared" si="64"/>
        <v>0</v>
      </c>
      <c r="GR33" s="535">
        <f t="shared" si="175"/>
        <v>0</v>
      </c>
      <c r="GS33" s="533"/>
      <c r="GT33" s="534">
        <f t="shared" si="65"/>
        <v>0</v>
      </c>
      <c r="GU33" s="535">
        <f t="shared" si="176"/>
        <v>0</v>
      </c>
      <c r="GV33" s="533"/>
      <c r="GW33" s="534">
        <f t="shared" si="66"/>
        <v>0</v>
      </c>
      <c r="GX33" s="535">
        <f t="shared" si="177"/>
        <v>0</v>
      </c>
      <c r="GY33" s="533"/>
      <c r="GZ33" s="534">
        <f t="shared" si="67"/>
        <v>0</v>
      </c>
      <c r="HA33" s="535">
        <f t="shared" si="178"/>
        <v>0</v>
      </c>
      <c r="HB33" s="533"/>
      <c r="HC33" s="534">
        <f t="shared" si="68"/>
        <v>0</v>
      </c>
      <c r="HD33" s="535">
        <f t="shared" si="179"/>
        <v>0</v>
      </c>
      <c r="HE33" s="533"/>
      <c r="HF33" s="534">
        <f t="shared" si="69"/>
        <v>0</v>
      </c>
      <c r="HG33" s="535">
        <f t="shared" si="180"/>
        <v>0</v>
      </c>
      <c r="HH33" s="533"/>
      <c r="HI33" s="534">
        <f t="shared" si="70"/>
        <v>0</v>
      </c>
      <c r="HJ33" s="535">
        <f t="shared" si="181"/>
        <v>0</v>
      </c>
      <c r="HK33" s="533"/>
      <c r="HL33" s="534">
        <f t="shared" si="71"/>
        <v>0</v>
      </c>
      <c r="HM33" s="535">
        <f t="shared" si="182"/>
        <v>0</v>
      </c>
      <c r="HN33" s="533"/>
      <c r="HO33" s="534">
        <f t="shared" si="72"/>
        <v>0</v>
      </c>
      <c r="HP33" s="535">
        <f t="shared" si="183"/>
        <v>0</v>
      </c>
      <c r="HQ33" s="533"/>
      <c r="HR33" s="534">
        <f t="shared" si="73"/>
        <v>0</v>
      </c>
      <c r="HS33" s="535">
        <f t="shared" si="184"/>
        <v>0</v>
      </c>
      <c r="HT33" s="533"/>
      <c r="HU33" s="534">
        <f t="shared" si="74"/>
        <v>0</v>
      </c>
      <c r="HV33" s="535">
        <f t="shared" si="185"/>
        <v>0</v>
      </c>
      <c r="HW33" s="533"/>
      <c r="HX33" s="534">
        <f t="shared" si="75"/>
        <v>0</v>
      </c>
      <c r="HY33" s="535">
        <f t="shared" si="186"/>
        <v>0</v>
      </c>
      <c r="HZ33" s="533"/>
      <c r="IA33" s="534">
        <f t="shared" si="76"/>
        <v>0</v>
      </c>
      <c r="IB33" s="535">
        <f t="shared" si="187"/>
        <v>0</v>
      </c>
      <c r="IC33" s="533"/>
      <c r="ID33" s="534">
        <f t="shared" si="77"/>
        <v>0</v>
      </c>
      <c r="IE33" s="535">
        <f t="shared" si="188"/>
        <v>0</v>
      </c>
      <c r="IF33" s="533"/>
      <c r="IG33" s="534">
        <f t="shared" si="78"/>
        <v>0</v>
      </c>
      <c r="IH33" s="535">
        <f t="shared" si="189"/>
        <v>0</v>
      </c>
      <c r="II33" s="533"/>
      <c r="IJ33" s="534">
        <f t="shared" si="79"/>
        <v>0</v>
      </c>
      <c r="IK33" s="535">
        <f t="shared" si="190"/>
        <v>0</v>
      </c>
      <c r="IL33" s="533"/>
      <c r="IM33" s="534">
        <f t="shared" si="80"/>
        <v>0</v>
      </c>
      <c r="IN33" s="535">
        <f t="shared" si="191"/>
        <v>0</v>
      </c>
      <c r="IO33" s="533"/>
      <c r="IP33" s="534">
        <f t="shared" si="81"/>
        <v>0</v>
      </c>
      <c r="IQ33" s="535">
        <f t="shared" si="192"/>
        <v>0</v>
      </c>
      <c r="IR33" s="533"/>
      <c r="IS33" s="534">
        <f t="shared" si="82"/>
        <v>0</v>
      </c>
      <c r="IT33" s="535">
        <f t="shared" si="193"/>
        <v>0</v>
      </c>
      <c r="IU33" s="533"/>
      <c r="IV33" s="534">
        <f t="shared" si="83"/>
        <v>0</v>
      </c>
      <c r="IW33" s="535">
        <f t="shared" si="194"/>
        <v>0</v>
      </c>
      <c r="IX33" s="533"/>
      <c r="IY33" s="534">
        <f t="shared" si="84"/>
        <v>0</v>
      </c>
      <c r="IZ33" s="535">
        <f t="shared" si="195"/>
        <v>0</v>
      </c>
      <c r="JA33" s="533"/>
      <c r="JB33" s="534">
        <f t="shared" si="85"/>
        <v>0</v>
      </c>
      <c r="JC33" s="535">
        <f t="shared" si="196"/>
        <v>0</v>
      </c>
      <c r="JD33" s="533"/>
      <c r="JE33" s="534">
        <f t="shared" si="86"/>
        <v>0</v>
      </c>
      <c r="JF33" s="535">
        <f t="shared" si="197"/>
        <v>0</v>
      </c>
      <c r="JG33" s="533"/>
      <c r="JH33" s="534">
        <f t="shared" si="87"/>
        <v>0</v>
      </c>
      <c r="JI33" s="535">
        <f t="shared" si="198"/>
        <v>0</v>
      </c>
      <c r="JJ33" s="533"/>
      <c r="JK33" s="535" t="str">
        <f t="shared" si="88"/>
        <v>0</v>
      </c>
      <c r="JL33" s="535" t="str">
        <f t="shared" si="89"/>
        <v>0</v>
      </c>
      <c r="JM33" s="533"/>
      <c r="JN33" s="535" t="str">
        <f t="shared" si="90"/>
        <v>0</v>
      </c>
      <c r="JO33" s="535" t="str">
        <f t="shared" si="91"/>
        <v>0</v>
      </c>
      <c r="JP33" s="533"/>
      <c r="JQ33" s="535" t="str">
        <f t="shared" si="92"/>
        <v>0</v>
      </c>
      <c r="JR33" s="535" t="str">
        <f t="shared" si="93"/>
        <v>0</v>
      </c>
      <c r="JS33" s="533"/>
      <c r="JT33" s="535" t="str">
        <f t="shared" si="94"/>
        <v>0</v>
      </c>
      <c r="JU33" s="535" t="str">
        <f t="shared" si="95"/>
        <v>0</v>
      </c>
      <c r="JV33" s="533"/>
      <c r="JW33" s="535" t="str">
        <f t="shared" si="96"/>
        <v>0</v>
      </c>
      <c r="JX33" s="535" t="str">
        <f t="shared" si="97"/>
        <v>0</v>
      </c>
      <c r="JY33" s="533"/>
      <c r="JZ33" s="535" t="str">
        <f t="shared" si="98"/>
        <v>0</v>
      </c>
      <c r="KA33" s="535" t="str">
        <f t="shared" si="99"/>
        <v>0</v>
      </c>
      <c r="KB33" s="533"/>
      <c r="KC33" s="535" t="str">
        <f t="shared" si="100"/>
        <v>0</v>
      </c>
      <c r="KD33" s="535" t="str">
        <f t="shared" si="101"/>
        <v>0</v>
      </c>
      <c r="KE33" s="533"/>
      <c r="KF33" s="535" t="str">
        <f t="shared" si="102"/>
        <v>0</v>
      </c>
      <c r="KG33" s="535" t="str">
        <f t="shared" si="103"/>
        <v>0</v>
      </c>
      <c r="KH33" s="533"/>
      <c r="KI33" s="535" t="str">
        <f t="shared" si="104"/>
        <v>0</v>
      </c>
      <c r="KJ33" s="535" t="str">
        <f t="shared" si="105"/>
        <v>0</v>
      </c>
      <c r="KK33" s="533"/>
      <c r="KL33" s="535" t="str">
        <f t="shared" si="106"/>
        <v>0</v>
      </c>
      <c r="KM33" s="535" t="str">
        <f t="shared" si="107"/>
        <v>0</v>
      </c>
      <c r="KN33" s="533"/>
      <c r="KO33" s="535" t="str">
        <f t="shared" si="108"/>
        <v>0</v>
      </c>
      <c r="KP33" s="535" t="str">
        <f t="shared" si="109"/>
        <v>0</v>
      </c>
      <c r="KQ33" s="533"/>
      <c r="KR33" s="535" t="str">
        <f t="shared" si="110"/>
        <v>0</v>
      </c>
      <c r="KS33" s="535" t="str">
        <f t="shared" si="111"/>
        <v>0</v>
      </c>
      <c r="KT33" s="535">
        <f t="shared" si="201"/>
        <v>0</v>
      </c>
      <c r="KU33" s="535">
        <f t="shared" si="202"/>
        <v>0</v>
      </c>
      <c r="KV33" s="272">
        <f t="shared" si="199"/>
        <v>411.12766893082852</v>
      </c>
    </row>
    <row r="34" spans="1:308" ht="15" customHeight="1">
      <c r="A34" s="274">
        <f t="shared" si="200"/>
        <v>45987</v>
      </c>
      <c r="B34" s="275" t="str">
        <f>+Report1!B34</f>
        <v>Facial</v>
      </c>
      <c r="C34" s="415" t="str">
        <f>+Report1!C34</f>
        <v>10,3</v>
      </c>
      <c r="D34" s="276">
        <f>+Report1!P34</f>
        <v>56.914000000000001</v>
      </c>
      <c r="E34" s="277">
        <f>+Report1!R34</f>
        <v>51.795999999999999</v>
      </c>
      <c r="F34" s="533">
        <v>0</v>
      </c>
      <c r="G34" s="534">
        <f t="shared" si="0"/>
        <v>0</v>
      </c>
      <c r="H34" s="535">
        <f t="shared" si="112"/>
        <v>0</v>
      </c>
      <c r="I34" s="533">
        <v>186.04651162790697</v>
      </c>
      <c r="J34" s="534">
        <f t="shared" si="1"/>
        <v>3.5919088660882497</v>
      </c>
      <c r="K34" s="535">
        <f t="shared" si="113"/>
        <v>0</v>
      </c>
      <c r="L34" s="533"/>
      <c r="M34" s="534">
        <f t="shared" si="2"/>
        <v>0</v>
      </c>
      <c r="N34" s="535">
        <f t="shared" si="114"/>
        <v>0</v>
      </c>
      <c r="O34" s="533">
        <v>9</v>
      </c>
      <c r="P34" s="534">
        <f t="shared" si="3"/>
        <v>0.17375859139701907</v>
      </c>
      <c r="Q34" s="535">
        <f t="shared" si="115"/>
        <v>0</v>
      </c>
      <c r="R34" s="533"/>
      <c r="S34" s="534">
        <f t="shared" si="4"/>
        <v>0</v>
      </c>
      <c r="T34" s="535">
        <f t="shared" si="116"/>
        <v>0</v>
      </c>
      <c r="U34" s="533">
        <v>5.125</v>
      </c>
      <c r="V34" s="534">
        <f t="shared" si="5"/>
        <v>9.8945864545524759E-2</v>
      </c>
      <c r="W34" s="535">
        <f t="shared" si="117"/>
        <v>0</v>
      </c>
      <c r="X34" s="533"/>
      <c r="Y34" s="534">
        <f t="shared" si="6"/>
        <v>0</v>
      </c>
      <c r="Z34" s="535">
        <f t="shared" si="118"/>
        <v>0</v>
      </c>
      <c r="AA34" s="533"/>
      <c r="AB34" s="534">
        <f t="shared" si="7"/>
        <v>0</v>
      </c>
      <c r="AC34" s="535">
        <f t="shared" si="119"/>
        <v>0</v>
      </c>
      <c r="AD34" s="533"/>
      <c r="AE34" s="534">
        <f t="shared" si="8"/>
        <v>0</v>
      </c>
      <c r="AF34" s="535">
        <f t="shared" si="120"/>
        <v>0</v>
      </c>
      <c r="AG34" s="533"/>
      <c r="AH34" s="534">
        <f t="shared" si="9"/>
        <v>0</v>
      </c>
      <c r="AI34" s="535">
        <f t="shared" si="121"/>
        <v>0</v>
      </c>
      <c r="AJ34" s="533">
        <v>0</v>
      </c>
      <c r="AK34" s="534">
        <f t="shared" si="10"/>
        <v>0</v>
      </c>
      <c r="AL34" s="535">
        <f t="shared" si="122"/>
        <v>0</v>
      </c>
      <c r="AM34" s="533">
        <v>0</v>
      </c>
      <c r="AN34" s="534">
        <f t="shared" si="11"/>
        <v>0</v>
      </c>
      <c r="AO34" s="535">
        <f t="shared" si="123"/>
        <v>0</v>
      </c>
      <c r="AP34" s="533">
        <v>65.506329113924039</v>
      </c>
      <c r="AQ34" s="534">
        <f t="shared" si="12"/>
        <v>1.2646986082694425</v>
      </c>
      <c r="AR34" s="535">
        <f t="shared" si="124"/>
        <v>0</v>
      </c>
      <c r="AS34" s="533"/>
      <c r="AT34" s="534">
        <f t="shared" si="13"/>
        <v>0</v>
      </c>
      <c r="AU34" s="535">
        <f t="shared" si="125"/>
        <v>0</v>
      </c>
      <c r="AV34" s="533">
        <v>2.7750000000000057</v>
      </c>
      <c r="AW34" s="534">
        <f t="shared" si="14"/>
        <v>5.3575565680747658E-2</v>
      </c>
      <c r="AX34" s="535">
        <f t="shared" si="126"/>
        <v>0</v>
      </c>
      <c r="AY34" s="533">
        <v>53.666666666666657</v>
      </c>
      <c r="AZ34" s="534">
        <f t="shared" si="15"/>
        <v>1.0361160449970395</v>
      </c>
      <c r="BA34" s="535">
        <f t="shared" si="127"/>
        <v>0</v>
      </c>
      <c r="BB34" s="533">
        <v>0</v>
      </c>
      <c r="BC34" s="534">
        <f t="shared" si="16"/>
        <v>0</v>
      </c>
      <c r="BD34" s="535">
        <f t="shared" si="128"/>
        <v>0</v>
      </c>
      <c r="BE34" s="533"/>
      <c r="BF34" s="534">
        <f t="shared" si="17"/>
        <v>0</v>
      </c>
      <c r="BG34" s="535">
        <f t="shared" si="129"/>
        <v>0</v>
      </c>
      <c r="BH34" s="533"/>
      <c r="BI34" s="534">
        <f t="shared" si="18"/>
        <v>0</v>
      </c>
      <c r="BJ34" s="535">
        <f t="shared" si="130"/>
        <v>0</v>
      </c>
      <c r="BK34" s="533"/>
      <c r="BL34" s="534">
        <f t="shared" si="19"/>
        <v>0</v>
      </c>
      <c r="BM34" s="535">
        <f t="shared" si="131"/>
        <v>0</v>
      </c>
      <c r="BN34" s="533">
        <v>2.5308641975308603</v>
      </c>
      <c r="BO34" s="534">
        <f t="shared" si="20"/>
        <v>4.8862155331123258E-2</v>
      </c>
      <c r="BP34" s="535">
        <f t="shared" si="132"/>
        <v>0</v>
      </c>
      <c r="BQ34" s="533">
        <v>0</v>
      </c>
      <c r="BR34" s="534">
        <f t="shared" si="21"/>
        <v>0</v>
      </c>
      <c r="BS34" s="535">
        <f t="shared" si="133"/>
        <v>0</v>
      </c>
      <c r="BT34" s="533"/>
      <c r="BU34" s="534">
        <f t="shared" si="22"/>
        <v>0</v>
      </c>
      <c r="BV34" s="535">
        <f t="shared" si="134"/>
        <v>0</v>
      </c>
      <c r="BW34" s="533">
        <v>0</v>
      </c>
      <c r="BX34" s="534">
        <f t="shared" si="23"/>
        <v>0</v>
      </c>
      <c r="BY34" s="535">
        <f t="shared" si="135"/>
        <v>0</v>
      </c>
      <c r="BZ34" s="533"/>
      <c r="CA34" s="534">
        <f t="shared" si="24"/>
        <v>0</v>
      </c>
      <c r="CB34" s="535">
        <f t="shared" si="136"/>
        <v>0</v>
      </c>
      <c r="CC34" s="533">
        <v>0</v>
      </c>
      <c r="CD34" s="534">
        <f t="shared" si="25"/>
        <v>0</v>
      </c>
      <c r="CE34" s="535">
        <f t="shared" si="137"/>
        <v>0</v>
      </c>
      <c r="CF34" s="533">
        <v>9.9999999999999978E-2</v>
      </c>
      <c r="CG34" s="534">
        <f t="shared" si="26"/>
        <v>1.9306510155224338E-3</v>
      </c>
      <c r="CH34" s="535">
        <f t="shared" si="138"/>
        <v>0</v>
      </c>
      <c r="CI34" s="533"/>
      <c r="CJ34" s="534">
        <f t="shared" si="27"/>
        <v>0</v>
      </c>
      <c r="CK34" s="535">
        <f t="shared" si="139"/>
        <v>0</v>
      </c>
      <c r="CL34" s="533"/>
      <c r="CM34" s="534">
        <f t="shared" si="28"/>
        <v>0</v>
      </c>
      <c r="CN34" s="535">
        <f t="shared" si="140"/>
        <v>0</v>
      </c>
      <c r="CO34" s="533"/>
      <c r="CP34" s="534">
        <f t="shared" si="29"/>
        <v>0</v>
      </c>
      <c r="CQ34" s="535">
        <f t="shared" si="141"/>
        <v>0</v>
      </c>
      <c r="CR34" s="533"/>
      <c r="CS34" s="534">
        <f t="shared" si="30"/>
        <v>0</v>
      </c>
      <c r="CT34" s="535">
        <f t="shared" si="142"/>
        <v>0</v>
      </c>
      <c r="CU34" s="533"/>
      <c r="CV34" s="534">
        <f t="shared" si="31"/>
        <v>0</v>
      </c>
      <c r="CW34" s="535">
        <f t="shared" si="143"/>
        <v>0</v>
      </c>
      <c r="CX34" s="533"/>
      <c r="CY34" s="534">
        <f t="shared" si="32"/>
        <v>0</v>
      </c>
      <c r="CZ34" s="535">
        <f t="shared" si="144"/>
        <v>0</v>
      </c>
      <c r="DA34" s="533"/>
      <c r="DB34" s="534">
        <f t="shared" si="33"/>
        <v>0</v>
      </c>
      <c r="DC34" s="535">
        <f t="shared" si="145"/>
        <v>0</v>
      </c>
      <c r="DD34" s="533"/>
      <c r="DE34" s="534">
        <f t="shared" si="34"/>
        <v>0</v>
      </c>
      <c r="DF34" s="535">
        <f t="shared" si="146"/>
        <v>0</v>
      </c>
      <c r="DG34" s="533">
        <v>0</v>
      </c>
      <c r="DH34" s="534">
        <f t="shared" si="35"/>
        <v>0</v>
      </c>
      <c r="DI34" s="535">
        <f t="shared" si="203"/>
        <v>0</v>
      </c>
      <c r="DJ34" s="533"/>
      <c r="DK34" s="534">
        <f t="shared" si="36"/>
        <v>0</v>
      </c>
      <c r="DL34" s="535">
        <f t="shared" si="147"/>
        <v>0</v>
      </c>
      <c r="DM34" s="533"/>
      <c r="DN34" s="534">
        <f t="shared" si="37"/>
        <v>0</v>
      </c>
      <c r="DO34" s="535">
        <f t="shared" si="148"/>
        <v>0</v>
      </c>
      <c r="DP34" s="533"/>
      <c r="DQ34" s="534">
        <f t="shared" si="38"/>
        <v>0</v>
      </c>
      <c r="DR34" s="535">
        <f t="shared" si="149"/>
        <v>0</v>
      </c>
      <c r="DS34" s="533"/>
      <c r="DT34" s="534">
        <f t="shared" si="39"/>
        <v>0</v>
      </c>
      <c r="DU34" s="535">
        <f t="shared" si="150"/>
        <v>0</v>
      </c>
      <c r="DV34" s="533"/>
      <c r="DW34" s="534">
        <f t="shared" si="40"/>
        <v>0</v>
      </c>
      <c r="DX34" s="535">
        <f t="shared" si="151"/>
        <v>0</v>
      </c>
      <c r="DY34" s="533"/>
      <c r="DZ34" s="534">
        <f t="shared" si="41"/>
        <v>0</v>
      </c>
      <c r="EA34" s="535">
        <f t="shared" si="152"/>
        <v>0</v>
      </c>
      <c r="EB34" s="533">
        <v>29.069767441860563</v>
      </c>
      <c r="EC34" s="534">
        <f t="shared" si="42"/>
        <v>0.56123576032629086</v>
      </c>
      <c r="ED34" s="535">
        <f t="shared" si="153"/>
        <v>0</v>
      </c>
      <c r="EE34" s="533">
        <v>0</v>
      </c>
      <c r="EF34" s="534">
        <f t="shared" si="43"/>
        <v>0</v>
      </c>
      <c r="EG34" s="535">
        <f t="shared" si="154"/>
        <v>0</v>
      </c>
      <c r="EH34" s="533"/>
      <c r="EI34" s="534">
        <f t="shared" si="44"/>
        <v>0</v>
      </c>
      <c r="EJ34" s="535">
        <f t="shared" si="155"/>
        <v>0</v>
      </c>
      <c r="EK34" s="533"/>
      <c r="EL34" s="534">
        <f t="shared" si="45"/>
        <v>0</v>
      </c>
      <c r="EM34" s="535">
        <f t="shared" si="156"/>
        <v>0</v>
      </c>
      <c r="EN34" s="533"/>
      <c r="EO34" s="534">
        <f t="shared" si="46"/>
        <v>0</v>
      </c>
      <c r="EP34" s="535">
        <f t="shared" si="157"/>
        <v>0</v>
      </c>
      <c r="EQ34" s="533"/>
      <c r="ER34" s="534">
        <f t="shared" si="47"/>
        <v>0</v>
      </c>
      <c r="ES34" s="535">
        <f t="shared" si="158"/>
        <v>0</v>
      </c>
      <c r="ET34" s="533"/>
      <c r="EU34" s="534">
        <f t="shared" si="48"/>
        <v>0</v>
      </c>
      <c r="EV34" s="535">
        <f t="shared" si="159"/>
        <v>0</v>
      </c>
      <c r="EW34" s="533"/>
      <c r="EX34" s="534">
        <f t="shared" si="49"/>
        <v>0</v>
      </c>
      <c r="EY34" s="535">
        <f t="shared" si="160"/>
        <v>0</v>
      </c>
      <c r="EZ34" s="533"/>
      <c r="FA34" s="534">
        <f t="shared" si="50"/>
        <v>0</v>
      </c>
      <c r="FB34" s="535">
        <f t="shared" si="161"/>
        <v>0</v>
      </c>
      <c r="FC34" s="533"/>
      <c r="FD34" s="534">
        <f t="shared" si="51"/>
        <v>0</v>
      </c>
      <c r="FE34" s="535">
        <f t="shared" si="162"/>
        <v>0</v>
      </c>
      <c r="FF34" s="533"/>
      <c r="FG34" s="534">
        <f t="shared" si="52"/>
        <v>0</v>
      </c>
      <c r="FH34" s="535">
        <f t="shared" si="163"/>
        <v>0</v>
      </c>
      <c r="FI34" s="533"/>
      <c r="FJ34" s="534">
        <f t="shared" si="53"/>
        <v>0</v>
      </c>
      <c r="FK34" s="535">
        <f t="shared" si="164"/>
        <v>0</v>
      </c>
      <c r="FL34" s="533"/>
      <c r="FM34" s="534">
        <f t="shared" si="54"/>
        <v>0</v>
      </c>
      <c r="FN34" s="535">
        <f t="shared" si="165"/>
        <v>0</v>
      </c>
      <c r="FO34" s="533"/>
      <c r="FP34" s="534">
        <f t="shared" si="55"/>
        <v>0</v>
      </c>
      <c r="FQ34" s="535">
        <f t="shared" si="166"/>
        <v>0</v>
      </c>
      <c r="FR34" s="533"/>
      <c r="FS34" s="534">
        <f t="shared" si="56"/>
        <v>0</v>
      </c>
      <c r="FT34" s="535">
        <f t="shared" si="167"/>
        <v>0</v>
      </c>
      <c r="FU34" s="533"/>
      <c r="FV34" s="534">
        <f t="shared" si="57"/>
        <v>0</v>
      </c>
      <c r="FW34" s="535">
        <f t="shared" si="168"/>
        <v>0</v>
      </c>
      <c r="FX34" s="533"/>
      <c r="FY34" s="534">
        <f t="shared" si="58"/>
        <v>0</v>
      </c>
      <c r="FZ34" s="535">
        <f t="shared" si="169"/>
        <v>0</v>
      </c>
      <c r="GA34" s="533"/>
      <c r="GB34" s="534">
        <f t="shared" si="59"/>
        <v>0</v>
      </c>
      <c r="GC34" s="535">
        <f t="shared" si="170"/>
        <v>0</v>
      </c>
      <c r="GD34" s="533"/>
      <c r="GE34" s="534">
        <f t="shared" si="60"/>
        <v>0</v>
      </c>
      <c r="GF34" s="535">
        <f t="shared" si="171"/>
        <v>0</v>
      </c>
      <c r="GG34" s="533"/>
      <c r="GH34" s="534">
        <f t="shared" si="61"/>
        <v>0</v>
      </c>
      <c r="GI34" s="535">
        <f t="shared" si="172"/>
        <v>0</v>
      </c>
      <c r="GJ34" s="533"/>
      <c r="GK34" s="534">
        <f t="shared" si="62"/>
        <v>0</v>
      </c>
      <c r="GL34" s="535">
        <f t="shared" si="173"/>
        <v>0</v>
      </c>
      <c r="GM34" s="533"/>
      <c r="GN34" s="534">
        <f t="shared" si="63"/>
        <v>0</v>
      </c>
      <c r="GO34" s="535">
        <f t="shared" si="174"/>
        <v>0</v>
      </c>
      <c r="GP34" s="533"/>
      <c r="GQ34" s="534">
        <f t="shared" si="64"/>
        <v>0</v>
      </c>
      <c r="GR34" s="535">
        <f t="shared" si="175"/>
        <v>0</v>
      </c>
      <c r="GS34" s="533"/>
      <c r="GT34" s="534">
        <f t="shared" si="65"/>
        <v>0</v>
      </c>
      <c r="GU34" s="535">
        <f t="shared" si="176"/>
        <v>0</v>
      </c>
      <c r="GV34" s="533"/>
      <c r="GW34" s="534">
        <f t="shared" si="66"/>
        <v>0</v>
      </c>
      <c r="GX34" s="535">
        <f t="shared" si="177"/>
        <v>0</v>
      </c>
      <c r="GY34" s="533"/>
      <c r="GZ34" s="534">
        <f t="shared" si="67"/>
        <v>0</v>
      </c>
      <c r="HA34" s="535">
        <f t="shared" si="178"/>
        <v>0</v>
      </c>
      <c r="HB34" s="533"/>
      <c r="HC34" s="534">
        <f t="shared" si="68"/>
        <v>0</v>
      </c>
      <c r="HD34" s="535">
        <f t="shared" si="179"/>
        <v>0</v>
      </c>
      <c r="HE34" s="533"/>
      <c r="HF34" s="534">
        <f t="shared" si="69"/>
        <v>0</v>
      </c>
      <c r="HG34" s="535">
        <f t="shared" si="180"/>
        <v>0</v>
      </c>
      <c r="HH34" s="533"/>
      <c r="HI34" s="534">
        <f t="shared" si="70"/>
        <v>0</v>
      </c>
      <c r="HJ34" s="535">
        <f t="shared" si="181"/>
        <v>0</v>
      </c>
      <c r="HK34" s="533"/>
      <c r="HL34" s="534">
        <f t="shared" si="71"/>
        <v>0</v>
      </c>
      <c r="HM34" s="535">
        <f t="shared" si="182"/>
        <v>0</v>
      </c>
      <c r="HN34" s="533"/>
      <c r="HO34" s="534">
        <f t="shared" si="72"/>
        <v>0</v>
      </c>
      <c r="HP34" s="535">
        <f t="shared" si="183"/>
        <v>0</v>
      </c>
      <c r="HQ34" s="533"/>
      <c r="HR34" s="534">
        <f t="shared" si="73"/>
        <v>0</v>
      </c>
      <c r="HS34" s="535">
        <f t="shared" si="184"/>
        <v>0</v>
      </c>
      <c r="HT34" s="533"/>
      <c r="HU34" s="534">
        <f t="shared" si="74"/>
        <v>0</v>
      </c>
      <c r="HV34" s="535">
        <f t="shared" si="185"/>
        <v>0</v>
      </c>
      <c r="HW34" s="533"/>
      <c r="HX34" s="534">
        <f t="shared" si="75"/>
        <v>0</v>
      </c>
      <c r="HY34" s="535">
        <f t="shared" si="186"/>
        <v>0</v>
      </c>
      <c r="HZ34" s="533"/>
      <c r="IA34" s="534">
        <f t="shared" si="76"/>
        <v>0</v>
      </c>
      <c r="IB34" s="535">
        <f t="shared" si="187"/>
        <v>0</v>
      </c>
      <c r="IC34" s="533"/>
      <c r="ID34" s="534">
        <f t="shared" si="77"/>
        <v>0</v>
      </c>
      <c r="IE34" s="535">
        <f t="shared" si="188"/>
        <v>0</v>
      </c>
      <c r="IF34" s="533"/>
      <c r="IG34" s="534">
        <f t="shared" si="78"/>
        <v>0</v>
      </c>
      <c r="IH34" s="535">
        <f t="shared" si="189"/>
        <v>0</v>
      </c>
      <c r="II34" s="533"/>
      <c r="IJ34" s="534">
        <f t="shared" si="79"/>
        <v>0</v>
      </c>
      <c r="IK34" s="535">
        <f t="shared" si="190"/>
        <v>0</v>
      </c>
      <c r="IL34" s="533"/>
      <c r="IM34" s="534">
        <f t="shared" si="80"/>
        <v>0</v>
      </c>
      <c r="IN34" s="535">
        <f t="shared" si="191"/>
        <v>0</v>
      </c>
      <c r="IO34" s="533"/>
      <c r="IP34" s="534">
        <f t="shared" si="81"/>
        <v>0</v>
      </c>
      <c r="IQ34" s="535">
        <f t="shared" si="192"/>
        <v>0</v>
      </c>
      <c r="IR34" s="533"/>
      <c r="IS34" s="534">
        <f t="shared" si="82"/>
        <v>0</v>
      </c>
      <c r="IT34" s="535">
        <f t="shared" si="193"/>
        <v>0</v>
      </c>
      <c r="IU34" s="533"/>
      <c r="IV34" s="534">
        <f t="shared" si="83"/>
        <v>0</v>
      </c>
      <c r="IW34" s="535">
        <f t="shared" si="194"/>
        <v>0</v>
      </c>
      <c r="IX34" s="533"/>
      <c r="IY34" s="534">
        <f t="shared" si="84"/>
        <v>0</v>
      </c>
      <c r="IZ34" s="535">
        <f t="shared" si="195"/>
        <v>0</v>
      </c>
      <c r="JA34" s="533"/>
      <c r="JB34" s="534">
        <f t="shared" si="85"/>
        <v>0</v>
      </c>
      <c r="JC34" s="535">
        <f t="shared" si="196"/>
        <v>0</v>
      </c>
      <c r="JD34" s="533"/>
      <c r="JE34" s="534">
        <f t="shared" si="86"/>
        <v>0</v>
      </c>
      <c r="JF34" s="535">
        <f t="shared" si="197"/>
        <v>0</v>
      </c>
      <c r="JG34" s="533"/>
      <c r="JH34" s="534">
        <f t="shared" si="87"/>
        <v>0</v>
      </c>
      <c r="JI34" s="535">
        <f t="shared" si="198"/>
        <v>0</v>
      </c>
      <c r="JJ34" s="533"/>
      <c r="JK34" s="535" t="str">
        <f t="shared" si="88"/>
        <v>0</v>
      </c>
      <c r="JL34" s="535" t="str">
        <f t="shared" si="89"/>
        <v>0</v>
      </c>
      <c r="JM34" s="533"/>
      <c r="JN34" s="535" t="str">
        <f t="shared" si="90"/>
        <v>0</v>
      </c>
      <c r="JO34" s="535" t="str">
        <f t="shared" si="91"/>
        <v>0</v>
      </c>
      <c r="JP34" s="533"/>
      <c r="JQ34" s="535" t="str">
        <f t="shared" si="92"/>
        <v>0</v>
      </c>
      <c r="JR34" s="535" t="str">
        <f t="shared" si="93"/>
        <v>0</v>
      </c>
      <c r="JS34" s="533"/>
      <c r="JT34" s="535" t="str">
        <f t="shared" si="94"/>
        <v>0</v>
      </c>
      <c r="JU34" s="535" t="str">
        <f t="shared" si="95"/>
        <v>0</v>
      </c>
      <c r="JV34" s="533"/>
      <c r="JW34" s="535" t="str">
        <f t="shared" si="96"/>
        <v>0</v>
      </c>
      <c r="JX34" s="535" t="str">
        <f t="shared" si="97"/>
        <v>0</v>
      </c>
      <c r="JY34" s="533"/>
      <c r="JZ34" s="535" t="str">
        <f t="shared" si="98"/>
        <v>0</v>
      </c>
      <c r="KA34" s="535" t="str">
        <f t="shared" si="99"/>
        <v>0</v>
      </c>
      <c r="KB34" s="533"/>
      <c r="KC34" s="535" t="str">
        <f t="shared" si="100"/>
        <v>0</v>
      </c>
      <c r="KD34" s="535" t="str">
        <f t="shared" si="101"/>
        <v>0</v>
      </c>
      <c r="KE34" s="533"/>
      <c r="KF34" s="535" t="str">
        <f t="shared" si="102"/>
        <v>0</v>
      </c>
      <c r="KG34" s="535" t="str">
        <f t="shared" si="103"/>
        <v>0</v>
      </c>
      <c r="KH34" s="533"/>
      <c r="KI34" s="535" t="str">
        <f t="shared" si="104"/>
        <v>0</v>
      </c>
      <c r="KJ34" s="535" t="str">
        <f t="shared" si="105"/>
        <v>0</v>
      </c>
      <c r="KK34" s="533"/>
      <c r="KL34" s="535" t="str">
        <f t="shared" si="106"/>
        <v>0</v>
      </c>
      <c r="KM34" s="535" t="str">
        <f t="shared" si="107"/>
        <v>0</v>
      </c>
      <c r="KN34" s="533"/>
      <c r="KO34" s="535" t="str">
        <f t="shared" si="108"/>
        <v>0</v>
      </c>
      <c r="KP34" s="535" t="str">
        <f t="shared" si="109"/>
        <v>0</v>
      </c>
      <c r="KQ34" s="533"/>
      <c r="KR34" s="535" t="str">
        <f t="shared" si="110"/>
        <v>0</v>
      </c>
      <c r="KS34" s="535" t="str">
        <f t="shared" si="111"/>
        <v>0</v>
      </c>
      <c r="KT34" s="535">
        <f t="shared" si="201"/>
        <v>0</v>
      </c>
      <c r="KU34" s="535">
        <f t="shared" si="202"/>
        <v>0</v>
      </c>
      <c r="KV34" s="272">
        <f t="shared" si="199"/>
        <v>353.82013904788903</v>
      </c>
    </row>
    <row r="35" spans="1:308" ht="15" customHeight="1">
      <c r="A35" s="274">
        <f t="shared" si="200"/>
        <v>45988</v>
      </c>
      <c r="B35" s="275" t="str">
        <f>+Report1!B35</f>
        <v>Facial</v>
      </c>
      <c r="C35" s="415" t="str">
        <f>+Report1!C35</f>
        <v>10,3/12</v>
      </c>
      <c r="D35" s="276">
        <f>+Report1!P35</f>
        <v>54.878999999999998</v>
      </c>
      <c r="E35" s="277">
        <f>+Report1!R35</f>
        <v>60.527000000000001</v>
      </c>
      <c r="F35" s="533">
        <v>0</v>
      </c>
      <c r="G35" s="534">
        <f t="shared" si="0"/>
        <v>0</v>
      </c>
      <c r="H35" s="535">
        <f t="shared" si="112"/>
        <v>0</v>
      </c>
      <c r="I35" s="533">
        <v>220.93023255813966</v>
      </c>
      <c r="J35" s="534">
        <f t="shared" si="1"/>
        <v>3.6501104062342371</v>
      </c>
      <c r="K35" s="535">
        <f t="shared" si="113"/>
        <v>0</v>
      </c>
      <c r="L35" s="533"/>
      <c r="M35" s="534">
        <f t="shared" si="2"/>
        <v>0</v>
      </c>
      <c r="N35" s="535">
        <f t="shared" si="114"/>
        <v>0</v>
      </c>
      <c r="O35" s="533">
        <v>9</v>
      </c>
      <c r="P35" s="534">
        <f t="shared" si="3"/>
        <v>0.14869397128554199</v>
      </c>
      <c r="Q35" s="535">
        <f t="shared" si="115"/>
        <v>0</v>
      </c>
      <c r="R35" s="533"/>
      <c r="S35" s="534">
        <f t="shared" si="4"/>
        <v>0</v>
      </c>
      <c r="T35" s="535">
        <f t="shared" si="116"/>
        <v>0</v>
      </c>
      <c r="U35" s="533">
        <v>5.1250000000000284</v>
      </c>
      <c r="V35" s="534">
        <f t="shared" si="5"/>
        <v>8.4672955870934097E-2</v>
      </c>
      <c r="W35" s="535">
        <f t="shared" si="117"/>
        <v>0</v>
      </c>
      <c r="X35" s="533"/>
      <c r="Y35" s="534">
        <f t="shared" si="6"/>
        <v>0</v>
      </c>
      <c r="Z35" s="535">
        <f t="shared" si="118"/>
        <v>0</v>
      </c>
      <c r="AA35" s="533"/>
      <c r="AB35" s="534">
        <f t="shared" si="7"/>
        <v>0</v>
      </c>
      <c r="AC35" s="535">
        <f t="shared" si="119"/>
        <v>0</v>
      </c>
      <c r="AD35" s="533"/>
      <c r="AE35" s="534">
        <f t="shared" si="8"/>
        <v>0</v>
      </c>
      <c r="AF35" s="535">
        <f t="shared" si="120"/>
        <v>0</v>
      </c>
      <c r="AG35" s="533"/>
      <c r="AH35" s="534">
        <f t="shared" si="9"/>
        <v>0</v>
      </c>
      <c r="AI35" s="535">
        <f t="shared" si="121"/>
        <v>0</v>
      </c>
      <c r="AJ35" s="533">
        <v>0</v>
      </c>
      <c r="AK35" s="534">
        <f t="shared" si="10"/>
        <v>0</v>
      </c>
      <c r="AL35" s="535">
        <f t="shared" si="122"/>
        <v>0</v>
      </c>
      <c r="AM35" s="533">
        <v>0</v>
      </c>
      <c r="AN35" s="534">
        <f t="shared" si="11"/>
        <v>0</v>
      </c>
      <c r="AO35" s="535">
        <f t="shared" si="123"/>
        <v>0</v>
      </c>
      <c r="AP35" s="533">
        <v>37.025316455696213</v>
      </c>
      <c r="AQ35" s="534">
        <f t="shared" si="12"/>
        <v>0.6117157046557109</v>
      </c>
      <c r="AR35" s="535">
        <f t="shared" si="124"/>
        <v>0</v>
      </c>
      <c r="AS35" s="533"/>
      <c r="AT35" s="534">
        <f t="shared" si="13"/>
        <v>0</v>
      </c>
      <c r="AU35" s="535">
        <f t="shared" si="125"/>
        <v>0</v>
      </c>
      <c r="AV35" s="533">
        <v>2.7750000000000057</v>
      </c>
      <c r="AW35" s="534">
        <f t="shared" si="14"/>
        <v>4.5847307813042207E-2</v>
      </c>
      <c r="AX35" s="535">
        <f t="shared" si="126"/>
        <v>0</v>
      </c>
      <c r="AY35" s="533">
        <v>53.666666666666686</v>
      </c>
      <c r="AZ35" s="534">
        <f t="shared" si="15"/>
        <v>0.88665664359156549</v>
      </c>
      <c r="BA35" s="535">
        <f t="shared" si="127"/>
        <v>0</v>
      </c>
      <c r="BB35" s="533">
        <v>0</v>
      </c>
      <c r="BC35" s="534">
        <f t="shared" si="16"/>
        <v>0</v>
      </c>
      <c r="BD35" s="535">
        <f t="shared" si="128"/>
        <v>0</v>
      </c>
      <c r="BE35" s="533"/>
      <c r="BF35" s="534">
        <f t="shared" si="17"/>
        <v>0</v>
      </c>
      <c r="BG35" s="535">
        <f t="shared" si="129"/>
        <v>0</v>
      </c>
      <c r="BH35" s="533"/>
      <c r="BI35" s="534">
        <f t="shared" si="18"/>
        <v>0</v>
      </c>
      <c r="BJ35" s="535">
        <f t="shared" si="130"/>
        <v>0</v>
      </c>
      <c r="BK35" s="533"/>
      <c r="BL35" s="534">
        <f t="shared" si="19"/>
        <v>0</v>
      </c>
      <c r="BM35" s="535">
        <f t="shared" si="131"/>
        <v>0</v>
      </c>
      <c r="BN35" s="533">
        <v>2.5308641975308888</v>
      </c>
      <c r="BO35" s="534">
        <f t="shared" si="20"/>
        <v>4.181380536836269E-2</v>
      </c>
      <c r="BP35" s="535">
        <f t="shared" si="132"/>
        <v>0</v>
      </c>
      <c r="BQ35" s="533">
        <v>0</v>
      </c>
      <c r="BR35" s="534">
        <f t="shared" si="21"/>
        <v>0</v>
      </c>
      <c r="BS35" s="535">
        <f t="shared" si="133"/>
        <v>0</v>
      </c>
      <c r="BT35" s="533"/>
      <c r="BU35" s="534">
        <f t="shared" si="22"/>
        <v>0</v>
      </c>
      <c r="BV35" s="535">
        <f t="shared" si="134"/>
        <v>0</v>
      </c>
      <c r="BW35" s="533">
        <v>0</v>
      </c>
      <c r="BX35" s="534">
        <f t="shared" si="23"/>
        <v>0</v>
      </c>
      <c r="BY35" s="535">
        <f t="shared" si="135"/>
        <v>0</v>
      </c>
      <c r="BZ35" s="533"/>
      <c r="CA35" s="534">
        <f t="shared" si="24"/>
        <v>0</v>
      </c>
      <c r="CB35" s="535">
        <f t="shared" si="136"/>
        <v>0</v>
      </c>
      <c r="CC35" s="533">
        <v>0</v>
      </c>
      <c r="CD35" s="534">
        <f t="shared" si="25"/>
        <v>0</v>
      </c>
      <c r="CE35" s="535">
        <f t="shared" si="137"/>
        <v>0</v>
      </c>
      <c r="CF35" s="533">
        <v>9.9999999999999978E-2</v>
      </c>
      <c r="CG35" s="534">
        <f t="shared" si="26"/>
        <v>1.6521552365060218E-3</v>
      </c>
      <c r="CH35" s="535">
        <f t="shared" si="138"/>
        <v>0</v>
      </c>
      <c r="CI35" s="533"/>
      <c r="CJ35" s="534">
        <f t="shared" si="27"/>
        <v>0</v>
      </c>
      <c r="CK35" s="535">
        <f t="shared" si="139"/>
        <v>0</v>
      </c>
      <c r="CL35" s="533"/>
      <c r="CM35" s="534">
        <f t="shared" si="28"/>
        <v>0</v>
      </c>
      <c r="CN35" s="535">
        <f t="shared" si="140"/>
        <v>0</v>
      </c>
      <c r="CO35" s="533"/>
      <c r="CP35" s="534">
        <f t="shared" si="29"/>
        <v>0</v>
      </c>
      <c r="CQ35" s="535">
        <f t="shared" si="141"/>
        <v>0</v>
      </c>
      <c r="CR35" s="533"/>
      <c r="CS35" s="534">
        <f t="shared" si="30"/>
        <v>0</v>
      </c>
      <c r="CT35" s="535">
        <f t="shared" si="142"/>
        <v>0</v>
      </c>
      <c r="CU35" s="533"/>
      <c r="CV35" s="534">
        <f t="shared" si="31"/>
        <v>0</v>
      </c>
      <c r="CW35" s="535">
        <f t="shared" si="143"/>
        <v>0</v>
      </c>
      <c r="CX35" s="533"/>
      <c r="CY35" s="534">
        <f t="shared" si="32"/>
        <v>0</v>
      </c>
      <c r="CZ35" s="535">
        <f t="shared" si="144"/>
        <v>0</v>
      </c>
      <c r="DA35" s="533"/>
      <c r="DB35" s="534">
        <f t="shared" si="33"/>
        <v>0</v>
      </c>
      <c r="DC35" s="535">
        <f t="shared" si="145"/>
        <v>0</v>
      </c>
      <c r="DD35" s="533"/>
      <c r="DE35" s="534">
        <f t="shared" si="34"/>
        <v>0</v>
      </c>
      <c r="DF35" s="535">
        <f t="shared" si="146"/>
        <v>0</v>
      </c>
      <c r="DG35" s="533">
        <v>0</v>
      </c>
      <c r="DH35" s="534">
        <f t="shared" si="35"/>
        <v>0</v>
      </c>
      <c r="DI35" s="535">
        <f t="shared" si="203"/>
        <v>0</v>
      </c>
      <c r="DJ35" s="533"/>
      <c r="DK35" s="534">
        <f t="shared" si="36"/>
        <v>0</v>
      </c>
      <c r="DL35" s="535">
        <f t="shared" si="147"/>
        <v>0</v>
      </c>
      <c r="DM35" s="533"/>
      <c r="DN35" s="534">
        <f t="shared" si="37"/>
        <v>0</v>
      </c>
      <c r="DO35" s="535">
        <f t="shared" si="148"/>
        <v>0</v>
      </c>
      <c r="DP35" s="533"/>
      <c r="DQ35" s="534">
        <f t="shared" si="38"/>
        <v>0</v>
      </c>
      <c r="DR35" s="535">
        <f t="shared" si="149"/>
        <v>0</v>
      </c>
      <c r="DS35" s="533"/>
      <c r="DT35" s="534">
        <f t="shared" si="39"/>
        <v>0</v>
      </c>
      <c r="DU35" s="535">
        <f t="shared" si="150"/>
        <v>0</v>
      </c>
      <c r="DV35" s="533"/>
      <c r="DW35" s="534">
        <f t="shared" si="40"/>
        <v>0</v>
      </c>
      <c r="DX35" s="535">
        <f t="shared" si="151"/>
        <v>0</v>
      </c>
      <c r="DY35" s="533"/>
      <c r="DZ35" s="534">
        <f t="shared" si="41"/>
        <v>0</v>
      </c>
      <c r="EA35" s="535">
        <f t="shared" si="152"/>
        <v>0</v>
      </c>
      <c r="EB35" s="533">
        <v>29.069767441860449</v>
      </c>
      <c r="EC35" s="534">
        <f t="shared" si="42"/>
        <v>0.48027768503082013</v>
      </c>
      <c r="ED35" s="535">
        <f t="shared" si="153"/>
        <v>0</v>
      </c>
      <c r="EE35" s="533">
        <v>0</v>
      </c>
      <c r="EF35" s="534">
        <f t="shared" si="43"/>
        <v>0</v>
      </c>
      <c r="EG35" s="535">
        <f t="shared" si="154"/>
        <v>0</v>
      </c>
      <c r="EH35" s="533"/>
      <c r="EI35" s="534">
        <f t="shared" si="44"/>
        <v>0</v>
      </c>
      <c r="EJ35" s="535">
        <f t="shared" si="155"/>
        <v>0</v>
      </c>
      <c r="EK35" s="533"/>
      <c r="EL35" s="534">
        <f t="shared" si="45"/>
        <v>0</v>
      </c>
      <c r="EM35" s="535">
        <f t="shared" si="156"/>
        <v>0</v>
      </c>
      <c r="EN35" s="533"/>
      <c r="EO35" s="534">
        <f t="shared" si="46"/>
        <v>0</v>
      </c>
      <c r="EP35" s="535">
        <f t="shared" si="157"/>
        <v>0</v>
      </c>
      <c r="EQ35" s="533"/>
      <c r="ER35" s="534">
        <f t="shared" si="47"/>
        <v>0</v>
      </c>
      <c r="ES35" s="535">
        <f t="shared" si="158"/>
        <v>0</v>
      </c>
      <c r="ET35" s="533"/>
      <c r="EU35" s="534">
        <f t="shared" si="48"/>
        <v>0</v>
      </c>
      <c r="EV35" s="535">
        <f t="shared" si="159"/>
        <v>0</v>
      </c>
      <c r="EW35" s="533"/>
      <c r="EX35" s="534">
        <f t="shared" si="49"/>
        <v>0</v>
      </c>
      <c r="EY35" s="535">
        <f t="shared" si="160"/>
        <v>0</v>
      </c>
      <c r="EZ35" s="533"/>
      <c r="FA35" s="534">
        <f t="shared" si="50"/>
        <v>0</v>
      </c>
      <c r="FB35" s="535">
        <f t="shared" si="161"/>
        <v>0</v>
      </c>
      <c r="FC35" s="533"/>
      <c r="FD35" s="534">
        <f t="shared" si="51"/>
        <v>0</v>
      </c>
      <c r="FE35" s="535">
        <f t="shared" si="162"/>
        <v>0</v>
      </c>
      <c r="FF35" s="533"/>
      <c r="FG35" s="534">
        <f t="shared" si="52"/>
        <v>0</v>
      </c>
      <c r="FH35" s="535">
        <f t="shared" si="163"/>
        <v>0</v>
      </c>
      <c r="FI35" s="533"/>
      <c r="FJ35" s="534">
        <f t="shared" si="53"/>
        <v>0</v>
      </c>
      <c r="FK35" s="535">
        <f t="shared" si="164"/>
        <v>0</v>
      </c>
      <c r="FL35" s="533"/>
      <c r="FM35" s="534">
        <f t="shared" si="54"/>
        <v>0</v>
      </c>
      <c r="FN35" s="535">
        <f t="shared" si="165"/>
        <v>0</v>
      </c>
      <c r="FO35" s="533"/>
      <c r="FP35" s="534">
        <f t="shared" si="55"/>
        <v>0</v>
      </c>
      <c r="FQ35" s="535">
        <f t="shared" si="166"/>
        <v>0</v>
      </c>
      <c r="FR35" s="533"/>
      <c r="FS35" s="534">
        <f t="shared" si="56"/>
        <v>0</v>
      </c>
      <c r="FT35" s="535">
        <f t="shared" si="167"/>
        <v>0</v>
      </c>
      <c r="FU35" s="533"/>
      <c r="FV35" s="534">
        <f t="shared" si="57"/>
        <v>0</v>
      </c>
      <c r="FW35" s="535">
        <f t="shared" si="168"/>
        <v>0</v>
      </c>
      <c r="FX35" s="533"/>
      <c r="FY35" s="534">
        <f t="shared" si="58"/>
        <v>0</v>
      </c>
      <c r="FZ35" s="535">
        <f t="shared" si="169"/>
        <v>0</v>
      </c>
      <c r="GA35" s="533"/>
      <c r="GB35" s="534">
        <f t="shared" si="59"/>
        <v>0</v>
      </c>
      <c r="GC35" s="535">
        <f t="shared" si="170"/>
        <v>0</v>
      </c>
      <c r="GD35" s="533"/>
      <c r="GE35" s="534">
        <f t="shared" si="60"/>
        <v>0</v>
      </c>
      <c r="GF35" s="535">
        <f t="shared" si="171"/>
        <v>0</v>
      </c>
      <c r="GG35" s="533"/>
      <c r="GH35" s="534">
        <f t="shared" si="61"/>
        <v>0</v>
      </c>
      <c r="GI35" s="535">
        <f t="shared" si="172"/>
        <v>0</v>
      </c>
      <c r="GJ35" s="533"/>
      <c r="GK35" s="534">
        <f t="shared" si="62"/>
        <v>0</v>
      </c>
      <c r="GL35" s="535">
        <f t="shared" si="173"/>
        <v>0</v>
      </c>
      <c r="GM35" s="533"/>
      <c r="GN35" s="534">
        <f t="shared" si="63"/>
        <v>0</v>
      </c>
      <c r="GO35" s="535">
        <f t="shared" si="174"/>
        <v>0</v>
      </c>
      <c r="GP35" s="533"/>
      <c r="GQ35" s="534">
        <f t="shared" si="64"/>
        <v>0</v>
      </c>
      <c r="GR35" s="535">
        <f t="shared" si="175"/>
        <v>0</v>
      </c>
      <c r="GS35" s="533"/>
      <c r="GT35" s="534">
        <f t="shared" si="65"/>
        <v>0</v>
      </c>
      <c r="GU35" s="535">
        <f t="shared" si="176"/>
        <v>0</v>
      </c>
      <c r="GV35" s="533"/>
      <c r="GW35" s="534">
        <f t="shared" si="66"/>
        <v>0</v>
      </c>
      <c r="GX35" s="535">
        <f t="shared" si="177"/>
        <v>0</v>
      </c>
      <c r="GY35" s="533"/>
      <c r="GZ35" s="534">
        <f t="shared" si="67"/>
        <v>0</v>
      </c>
      <c r="HA35" s="535">
        <f t="shared" si="178"/>
        <v>0</v>
      </c>
      <c r="HB35" s="533"/>
      <c r="HC35" s="534">
        <f t="shared" si="68"/>
        <v>0</v>
      </c>
      <c r="HD35" s="535">
        <f t="shared" si="179"/>
        <v>0</v>
      </c>
      <c r="HE35" s="533"/>
      <c r="HF35" s="534">
        <f t="shared" si="69"/>
        <v>0</v>
      </c>
      <c r="HG35" s="535">
        <f t="shared" si="180"/>
        <v>0</v>
      </c>
      <c r="HH35" s="533"/>
      <c r="HI35" s="534">
        <f t="shared" si="70"/>
        <v>0</v>
      </c>
      <c r="HJ35" s="535">
        <f t="shared" si="181"/>
        <v>0</v>
      </c>
      <c r="HK35" s="533"/>
      <c r="HL35" s="534">
        <f t="shared" si="71"/>
        <v>0</v>
      </c>
      <c r="HM35" s="535">
        <f t="shared" si="182"/>
        <v>0</v>
      </c>
      <c r="HN35" s="533"/>
      <c r="HO35" s="534">
        <f t="shared" si="72"/>
        <v>0</v>
      </c>
      <c r="HP35" s="535">
        <f t="shared" si="183"/>
        <v>0</v>
      </c>
      <c r="HQ35" s="533"/>
      <c r="HR35" s="534">
        <f t="shared" si="73"/>
        <v>0</v>
      </c>
      <c r="HS35" s="535">
        <f t="shared" si="184"/>
        <v>0</v>
      </c>
      <c r="HT35" s="533"/>
      <c r="HU35" s="534">
        <f t="shared" si="74"/>
        <v>0</v>
      </c>
      <c r="HV35" s="535">
        <f t="shared" si="185"/>
        <v>0</v>
      </c>
      <c r="HW35" s="533"/>
      <c r="HX35" s="534">
        <f t="shared" si="75"/>
        <v>0</v>
      </c>
      <c r="HY35" s="535">
        <f t="shared" si="186"/>
        <v>0</v>
      </c>
      <c r="HZ35" s="533"/>
      <c r="IA35" s="534">
        <f t="shared" si="76"/>
        <v>0</v>
      </c>
      <c r="IB35" s="535">
        <f t="shared" si="187"/>
        <v>0</v>
      </c>
      <c r="IC35" s="533"/>
      <c r="ID35" s="534">
        <f t="shared" si="77"/>
        <v>0</v>
      </c>
      <c r="IE35" s="535">
        <f t="shared" si="188"/>
        <v>0</v>
      </c>
      <c r="IF35" s="533"/>
      <c r="IG35" s="534">
        <f t="shared" si="78"/>
        <v>0</v>
      </c>
      <c r="IH35" s="535">
        <f t="shared" si="189"/>
        <v>0</v>
      </c>
      <c r="II35" s="533"/>
      <c r="IJ35" s="534">
        <f t="shared" si="79"/>
        <v>0</v>
      </c>
      <c r="IK35" s="535">
        <f t="shared" si="190"/>
        <v>0</v>
      </c>
      <c r="IL35" s="533"/>
      <c r="IM35" s="534">
        <f t="shared" si="80"/>
        <v>0</v>
      </c>
      <c r="IN35" s="535">
        <f t="shared" si="191"/>
        <v>0</v>
      </c>
      <c r="IO35" s="533"/>
      <c r="IP35" s="534">
        <f t="shared" si="81"/>
        <v>0</v>
      </c>
      <c r="IQ35" s="535">
        <f t="shared" si="192"/>
        <v>0</v>
      </c>
      <c r="IR35" s="533"/>
      <c r="IS35" s="534">
        <f t="shared" si="82"/>
        <v>0</v>
      </c>
      <c r="IT35" s="535">
        <f t="shared" si="193"/>
        <v>0</v>
      </c>
      <c r="IU35" s="533"/>
      <c r="IV35" s="534">
        <f t="shared" si="83"/>
        <v>0</v>
      </c>
      <c r="IW35" s="535">
        <f t="shared" si="194"/>
        <v>0</v>
      </c>
      <c r="IX35" s="533"/>
      <c r="IY35" s="534">
        <f t="shared" si="84"/>
        <v>0</v>
      </c>
      <c r="IZ35" s="535">
        <f t="shared" si="195"/>
        <v>0</v>
      </c>
      <c r="JA35" s="533"/>
      <c r="JB35" s="534">
        <f t="shared" si="85"/>
        <v>0</v>
      </c>
      <c r="JC35" s="535">
        <f t="shared" si="196"/>
        <v>0</v>
      </c>
      <c r="JD35" s="533"/>
      <c r="JE35" s="534">
        <f t="shared" si="86"/>
        <v>0</v>
      </c>
      <c r="JF35" s="535">
        <f t="shared" si="197"/>
        <v>0</v>
      </c>
      <c r="JG35" s="533"/>
      <c r="JH35" s="534">
        <f t="shared" si="87"/>
        <v>0</v>
      </c>
      <c r="JI35" s="535">
        <f t="shared" si="198"/>
        <v>0</v>
      </c>
      <c r="JJ35" s="533"/>
      <c r="JK35" s="535" t="str">
        <f t="shared" si="88"/>
        <v>0</v>
      </c>
      <c r="JL35" s="535" t="str">
        <f t="shared" si="89"/>
        <v>0</v>
      </c>
      <c r="JM35" s="533"/>
      <c r="JN35" s="535" t="str">
        <f t="shared" si="90"/>
        <v>0</v>
      </c>
      <c r="JO35" s="535" t="str">
        <f t="shared" si="91"/>
        <v>0</v>
      </c>
      <c r="JP35" s="533"/>
      <c r="JQ35" s="535" t="str">
        <f t="shared" si="92"/>
        <v>0</v>
      </c>
      <c r="JR35" s="535" t="str">
        <f t="shared" si="93"/>
        <v>0</v>
      </c>
      <c r="JS35" s="533"/>
      <c r="JT35" s="535" t="str">
        <f t="shared" si="94"/>
        <v>0</v>
      </c>
      <c r="JU35" s="535" t="str">
        <f t="shared" si="95"/>
        <v>0</v>
      </c>
      <c r="JV35" s="533"/>
      <c r="JW35" s="535" t="str">
        <f t="shared" si="96"/>
        <v>0</v>
      </c>
      <c r="JX35" s="535" t="str">
        <f t="shared" si="97"/>
        <v>0</v>
      </c>
      <c r="JY35" s="533"/>
      <c r="JZ35" s="535" t="str">
        <f t="shared" si="98"/>
        <v>0</v>
      </c>
      <c r="KA35" s="535" t="str">
        <f t="shared" si="99"/>
        <v>0</v>
      </c>
      <c r="KB35" s="533"/>
      <c r="KC35" s="535" t="str">
        <f t="shared" si="100"/>
        <v>0</v>
      </c>
      <c r="KD35" s="535" t="str">
        <f t="shared" si="101"/>
        <v>0</v>
      </c>
      <c r="KE35" s="533"/>
      <c r="KF35" s="535" t="str">
        <f t="shared" si="102"/>
        <v>0</v>
      </c>
      <c r="KG35" s="535" t="str">
        <f t="shared" si="103"/>
        <v>0</v>
      </c>
      <c r="KH35" s="533"/>
      <c r="KI35" s="535" t="str">
        <f t="shared" si="104"/>
        <v>0</v>
      </c>
      <c r="KJ35" s="535" t="str">
        <f t="shared" si="105"/>
        <v>0</v>
      </c>
      <c r="KK35" s="533"/>
      <c r="KL35" s="535" t="str">
        <f t="shared" si="106"/>
        <v>0</v>
      </c>
      <c r="KM35" s="535" t="str">
        <f t="shared" si="107"/>
        <v>0</v>
      </c>
      <c r="KN35" s="533"/>
      <c r="KO35" s="535" t="str">
        <f t="shared" si="108"/>
        <v>0</v>
      </c>
      <c r="KP35" s="535" t="str">
        <f t="shared" si="109"/>
        <v>0</v>
      </c>
      <c r="KQ35" s="533"/>
      <c r="KR35" s="535" t="str">
        <f t="shared" si="110"/>
        <v>0</v>
      </c>
      <c r="KS35" s="535" t="str">
        <f t="shared" si="111"/>
        <v>0</v>
      </c>
      <c r="KT35" s="535">
        <f t="shared" si="201"/>
        <v>0</v>
      </c>
      <c r="KU35" s="535">
        <f t="shared" si="202"/>
        <v>0</v>
      </c>
      <c r="KV35" s="272">
        <f t="shared" si="199"/>
        <v>360.22284731989396</v>
      </c>
    </row>
    <row r="36" spans="1:308" ht="15" customHeight="1">
      <c r="A36" s="274">
        <f t="shared" si="200"/>
        <v>45989</v>
      </c>
      <c r="B36" s="275" t="str">
        <f>+Report1!B36</f>
        <v>Facial</v>
      </c>
      <c r="C36" s="415" t="str">
        <f>+Report1!C36</f>
        <v>12</v>
      </c>
      <c r="D36" s="276">
        <f>+Report1!P36</f>
        <v>54.030999999999992</v>
      </c>
      <c r="E36" s="277">
        <f>+Report1!R36</f>
        <v>51.81</v>
      </c>
      <c r="F36" s="533">
        <v>0</v>
      </c>
      <c r="G36" s="534">
        <f t="shared" si="0"/>
        <v>0</v>
      </c>
      <c r="H36" s="535">
        <f t="shared" si="112"/>
        <v>0</v>
      </c>
      <c r="I36" s="533">
        <v>232.55813953488337</v>
      </c>
      <c r="J36" s="534">
        <f t="shared" si="1"/>
        <v>4.4886728341031334</v>
      </c>
      <c r="K36" s="535">
        <f t="shared" si="113"/>
        <v>0</v>
      </c>
      <c r="L36" s="533"/>
      <c r="M36" s="534">
        <f t="shared" si="2"/>
        <v>0</v>
      </c>
      <c r="N36" s="535">
        <f t="shared" si="114"/>
        <v>0</v>
      </c>
      <c r="O36" s="533">
        <v>9</v>
      </c>
      <c r="P36" s="534">
        <f t="shared" si="3"/>
        <v>0.17371163867979153</v>
      </c>
      <c r="Q36" s="535">
        <f t="shared" si="115"/>
        <v>0</v>
      </c>
      <c r="R36" s="533"/>
      <c r="S36" s="534">
        <f t="shared" si="4"/>
        <v>0</v>
      </c>
      <c r="T36" s="535">
        <f t="shared" si="116"/>
        <v>0</v>
      </c>
      <c r="U36" s="533">
        <v>5.1249999999999716</v>
      </c>
      <c r="V36" s="534">
        <f t="shared" si="5"/>
        <v>9.8919127581547417E-2</v>
      </c>
      <c r="W36" s="535">
        <f t="shared" si="117"/>
        <v>0</v>
      </c>
      <c r="X36" s="533"/>
      <c r="Y36" s="534">
        <f t="shared" si="6"/>
        <v>0</v>
      </c>
      <c r="Z36" s="535">
        <f t="shared" si="118"/>
        <v>0</v>
      </c>
      <c r="AA36" s="533"/>
      <c r="AB36" s="534">
        <f t="shared" si="7"/>
        <v>0</v>
      </c>
      <c r="AC36" s="535">
        <f t="shared" si="119"/>
        <v>0</v>
      </c>
      <c r="AD36" s="533"/>
      <c r="AE36" s="534">
        <f t="shared" si="8"/>
        <v>0</v>
      </c>
      <c r="AF36" s="535">
        <f t="shared" si="120"/>
        <v>0</v>
      </c>
      <c r="AG36" s="533"/>
      <c r="AH36" s="534">
        <f t="shared" si="9"/>
        <v>0</v>
      </c>
      <c r="AI36" s="535">
        <f t="shared" si="121"/>
        <v>0</v>
      </c>
      <c r="AJ36" s="533">
        <v>0</v>
      </c>
      <c r="AK36" s="534">
        <f t="shared" si="10"/>
        <v>0</v>
      </c>
      <c r="AL36" s="535">
        <f t="shared" si="122"/>
        <v>0</v>
      </c>
      <c r="AM36" s="533">
        <v>0</v>
      </c>
      <c r="AN36" s="534">
        <f t="shared" si="11"/>
        <v>0</v>
      </c>
      <c r="AO36" s="535">
        <f t="shared" si="123"/>
        <v>0</v>
      </c>
      <c r="AP36" s="533">
        <v>74.050632911392398</v>
      </c>
      <c r="AQ36" s="534">
        <f t="shared" si="12"/>
        <v>1.4292729764792973</v>
      </c>
      <c r="AR36" s="535">
        <f t="shared" si="124"/>
        <v>0</v>
      </c>
      <c r="AS36" s="533"/>
      <c r="AT36" s="534">
        <f t="shared" si="13"/>
        <v>0</v>
      </c>
      <c r="AU36" s="535">
        <f t="shared" si="125"/>
        <v>0</v>
      </c>
      <c r="AV36" s="533">
        <v>2.7750000000000057</v>
      </c>
      <c r="AW36" s="534">
        <f t="shared" si="14"/>
        <v>5.3561088592935832E-2</v>
      </c>
      <c r="AX36" s="535">
        <f t="shared" si="126"/>
        <v>0</v>
      </c>
      <c r="AY36" s="533">
        <v>53.666666666666657</v>
      </c>
      <c r="AZ36" s="534">
        <f t="shared" si="15"/>
        <v>1.0358360676832012</v>
      </c>
      <c r="BA36" s="535">
        <f t="shared" si="127"/>
        <v>0</v>
      </c>
      <c r="BB36" s="533">
        <v>0</v>
      </c>
      <c r="BC36" s="534">
        <f t="shared" si="16"/>
        <v>0</v>
      </c>
      <c r="BD36" s="535">
        <f t="shared" si="128"/>
        <v>0</v>
      </c>
      <c r="BE36" s="533"/>
      <c r="BF36" s="534">
        <f t="shared" si="17"/>
        <v>0</v>
      </c>
      <c r="BG36" s="535">
        <f t="shared" si="129"/>
        <v>0</v>
      </c>
      <c r="BH36" s="533"/>
      <c r="BI36" s="534">
        <f t="shared" si="18"/>
        <v>0</v>
      </c>
      <c r="BJ36" s="535">
        <f t="shared" si="130"/>
        <v>0</v>
      </c>
      <c r="BK36" s="533"/>
      <c r="BL36" s="534">
        <f t="shared" si="19"/>
        <v>0</v>
      </c>
      <c r="BM36" s="535">
        <f t="shared" si="131"/>
        <v>0</v>
      </c>
      <c r="BN36" s="533">
        <v>5.0617283950617207</v>
      </c>
      <c r="BO36" s="534">
        <f t="shared" si="20"/>
        <v>9.7697903784244755E-2</v>
      </c>
      <c r="BP36" s="535">
        <f t="shared" si="132"/>
        <v>0</v>
      </c>
      <c r="BQ36" s="533">
        <v>0</v>
      </c>
      <c r="BR36" s="534">
        <f t="shared" si="21"/>
        <v>0</v>
      </c>
      <c r="BS36" s="535">
        <f t="shared" si="133"/>
        <v>0</v>
      </c>
      <c r="BT36" s="533"/>
      <c r="BU36" s="534">
        <f t="shared" si="22"/>
        <v>0</v>
      </c>
      <c r="BV36" s="535">
        <f t="shared" si="134"/>
        <v>0</v>
      </c>
      <c r="BW36" s="533">
        <v>0</v>
      </c>
      <c r="BX36" s="534">
        <f t="shared" si="23"/>
        <v>0</v>
      </c>
      <c r="BY36" s="535">
        <f t="shared" si="135"/>
        <v>0</v>
      </c>
      <c r="BZ36" s="533"/>
      <c r="CA36" s="534">
        <f t="shared" si="24"/>
        <v>0</v>
      </c>
      <c r="CB36" s="535">
        <f t="shared" si="136"/>
        <v>0</v>
      </c>
      <c r="CC36" s="533">
        <v>0</v>
      </c>
      <c r="CD36" s="534">
        <f t="shared" si="25"/>
        <v>0</v>
      </c>
      <c r="CE36" s="535">
        <f t="shared" si="137"/>
        <v>0</v>
      </c>
      <c r="CF36" s="533">
        <v>9.9999999999999978E-2</v>
      </c>
      <c r="CG36" s="534">
        <f t="shared" si="26"/>
        <v>1.9301293186643499E-3</v>
      </c>
      <c r="CH36" s="535">
        <f t="shared" si="138"/>
        <v>0</v>
      </c>
      <c r="CI36" s="533"/>
      <c r="CJ36" s="534">
        <f t="shared" si="27"/>
        <v>0</v>
      </c>
      <c r="CK36" s="535">
        <f t="shared" si="139"/>
        <v>0</v>
      </c>
      <c r="CL36" s="533"/>
      <c r="CM36" s="534">
        <f t="shared" si="28"/>
        <v>0</v>
      </c>
      <c r="CN36" s="535">
        <f t="shared" si="140"/>
        <v>0</v>
      </c>
      <c r="CO36" s="533"/>
      <c r="CP36" s="534">
        <f t="shared" si="29"/>
        <v>0</v>
      </c>
      <c r="CQ36" s="535">
        <f t="shared" si="141"/>
        <v>0</v>
      </c>
      <c r="CR36" s="533"/>
      <c r="CS36" s="534">
        <f t="shared" si="30"/>
        <v>0</v>
      </c>
      <c r="CT36" s="535">
        <f t="shared" si="142"/>
        <v>0</v>
      </c>
      <c r="CU36" s="533"/>
      <c r="CV36" s="534">
        <f t="shared" si="31"/>
        <v>0</v>
      </c>
      <c r="CW36" s="535">
        <f t="shared" si="143"/>
        <v>0</v>
      </c>
      <c r="CX36" s="533"/>
      <c r="CY36" s="534">
        <f t="shared" si="32"/>
        <v>0</v>
      </c>
      <c r="CZ36" s="535">
        <f t="shared" si="144"/>
        <v>0</v>
      </c>
      <c r="DA36" s="533"/>
      <c r="DB36" s="534">
        <f t="shared" si="33"/>
        <v>0</v>
      </c>
      <c r="DC36" s="535">
        <f t="shared" si="145"/>
        <v>0</v>
      </c>
      <c r="DD36" s="533"/>
      <c r="DE36" s="534">
        <f t="shared" si="34"/>
        <v>0</v>
      </c>
      <c r="DF36" s="535">
        <f t="shared" si="146"/>
        <v>0</v>
      </c>
      <c r="DG36" s="533">
        <v>0</v>
      </c>
      <c r="DH36" s="534">
        <f t="shared" si="35"/>
        <v>0</v>
      </c>
      <c r="DI36" s="535">
        <f t="shared" si="203"/>
        <v>0</v>
      </c>
      <c r="DJ36" s="533"/>
      <c r="DK36" s="534">
        <f t="shared" si="36"/>
        <v>0</v>
      </c>
      <c r="DL36" s="535">
        <f t="shared" si="147"/>
        <v>0</v>
      </c>
      <c r="DM36" s="533"/>
      <c r="DN36" s="534">
        <f t="shared" si="37"/>
        <v>0</v>
      </c>
      <c r="DO36" s="535">
        <f t="shared" si="148"/>
        <v>0</v>
      </c>
      <c r="DP36" s="533"/>
      <c r="DQ36" s="534">
        <f t="shared" si="38"/>
        <v>0</v>
      </c>
      <c r="DR36" s="535">
        <f t="shared" si="149"/>
        <v>0</v>
      </c>
      <c r="DS36" s="533"/>
      <c r="DT36" s="534">
        <f t="shared" si="39"/>
        <v>0</v>
      </c>
      <c r="DU36" s="535">
        <f t="shared" si="150"/>
        <v>0</v>
      </c>
      <c r="DV36" s="533"/>
      <c r="DW36" s="534">
        <f t="shared" si="40"/>
        <v>0</v>
      </c>
      <c r="DX36" s="535">
        <f t="shared" si="151"/>
        <v>0</v>
      </c>
      <c r="DY36" s="533"/>
      <c r="DZ36" s="534">
        <f t="shared" si="41"/>
        <v>0</v>
      </c>
      <c r="EA36" s="535">
        <f t="shared" si="152"/>
        <v>0</v>
      </c>
      <c r="EB36" s="533">
        <v>29.069767441860449</v>
      </c>
      <c r="EC36" s="534">
        <f t="shared" si="42"/>
        <v>0.56108410426289224</v>
      </c>
      <c r="ED36" s="535">
        <f t="shared" si="153"/>
        <v>0</v>
      </c>
      <c r="EE36" s="533">
        <v>0</v>
      </c>
      <c r="EF36" s="534">
        <f t="shared" si="43"/>
        <v>0</v>
      </c>
      <c r="EG36" s="535">
        <f t="shared" si="154"/>
        <v>0</v>
      </c>
      <c r="EH36" s="533"/>
      <c r="EI36" s="534">
        <f t="shared" si="44"/>
        <v>0</v>
      </c>
      <c r="EJ36" s="535">
        <f t="shared" si="155"/>
        <v>0</v>
      </c>
      <c r="EK36" s="533"/>
      <c r="EL36" s="534">
        <f t="shared" si="45"/>
        <v>0</v>
      </c>
      <c r="EM36" s="535">
        <f t="shared" si="156"/>
        <v>0</v>
      </c>
      <c r="EN36" s="533"/>
      <c r="EO36" s="534">
        <f t="shared" si="46"/>
        <v>0</v>
      </c>
      <c r="EP36" s="535">
        <f t="shared" si="157"/>
        <v>0</v>
      </c>
      <c r="EQ36" s="533"/>
      <c r="ER36" s="534">
        <f t="shared" si="47"/>
        <v>0</v>
      </c>
      <c r="ES36" s="535">
        <f t="shared" si="158"/>
        <v>0</v>
      </c>
      <c r="ET36" s="533"/>
      <c r="EU36" s="534">
        <f t="shared" si="48"/>
        <v>0</v>
      </c>
      <c r="EV36" s="535">
        <f t="shared" si="159"/>
        <v>0</v>
      </c>
      <c r="EW36" s="533"/>
      <c r="EX36" s="534">
        <f t="shared" si="49"/>
        <v>0</v>
      </c>
      <c r="EY36" s="535">
        <f t="shared" si="160"/>
        <v>0</v>
      </c>
      <c r="EZ36" s="533"/>
      <c r="FA36" s="534">
        <f t="shared" si="50"/>
        <v>0</v>
      </c>
      <c r="FB36" s="535">
        <f t="shared" si="161"/>
        <v>0</v>
      </c>
      <c r="FC36" s="533"/>
      <c r="FD36" s="534">
        <f t="shared" si="51"/>
        <v>0</v>
      </c>
      <c r="FE36" s="535">
        <f t="shared" si="162"/>
        <v>0</v>
      </c>
      <c r="FF36" s="533"/>
      <c r="FG36" s="534">
        <f t="shared" si="52"/>
        <v>0</v>
      </c>
      <c r="FH36" s="535">
        <f t="shared" si="163"/>
        <v>0</v>
      </c>
      <c r="FI36" s="533"/>
      <c r="FJ36" s="534">
        <f t="shared" si="53"/>
        <v>0</v>
      </c>
      <c r="FK36" s="535">
        <f t="shared" si="164"/>
        <v>0</v>
      </c>
      <c r="FL36" s="533"/>
      <c r="FM36" s="534">
        <f t="shared" si="54"/>
        <v>0</v>
      </c>
      <c r="FN36" s="535">
        <f t="shared" si="165"/>
        <v>0</v>
      </c>
      <c r="FO36" s="533"/>
      <c r="FP36" s="534">
        <f t="shared" si="55"/>
        <v>0</v>
      </c>
      <c r="FQ36" s="535">
        <f t="shared" si="166"/>
        <v>0</v>
      </c>
      <c r="FR36" s="533"/>
      <c r="FS36" s="534">
        <f t="shared" si="56"/>
        <v>0</v>
      </c>
      <c r="FT36" s="535">
        <f t="shared" si="167"/>
        <v>0</v>
      </c>
      <c r="FU36" s="533"/>
      <c r="FV36" s="534">
        <f t="shared" si="57"/>
        <v>0</v>
      </c>
      <c r="FW36" s="535">
        <f t="shared" si="168"/>
        <v>0</v>
      </c>
      <c r="FX36" s="533"/>
      <c r="FY36" s="534">
        <f t="shared" si="58"/>
        <v>0</v>
      </c>
      <c r="FZ36" s="535">
        <f t="shared" si="169"/>
        <v>0</v>
      </c>
      <c r="GA36" s="533"/>
      <c r="GB36" s="534">
        <f t="shared" si="59"/>
        <v>0</v>
      </c>
      <c r="GC36" s="535">
        <f t="shared" si="170"/>
        <v>0</v>
      </c>
      <c r="GD36" s="533"/>
      <c r="GE36" s="534">
        <f t="shared" si="60"/>
        <v>0</v>
      </c>
      <c r="GF36" s="535">
        <f t="shared" si="171"/>
        <v>0</v>
      </c>
      <c r="GG36" s="533"/>
      <c r="GH36" s="534">
        <f t="shared" si="61"/>
        <v>0</v>
      </c>
      <c r="GI36" s="535">
        <f t="shared" si="172"/>
        <v>0</v>
      </c>
      <c r="GJ36" s="533"/>
      <c r="GK36" s="534">
        <f t="shared" si="62"/>
        <v>0</v>
      </c>
      <c r="GL36" s="535">
        <f t="shared" si="173"/>
        <v>0</v>
      </c>
      <c r="GM36" s="533"/>
      <c r="GN36" s="534">
        <f t="shared" si="63"/>
        <v>0</v>
      </c>
      <c r="GO36" s="535">
        <f t="shared" si="174"/>
        <v>0</v>
      </c>
      <c r="GP36" s="533"/>
      <c r="GQ36" s="534">
        <f t="shared" si="64"/>
        <v>0</v>
      </c>
      <c r="GR36" s="535">
        <f t="shared" si="175"/>
        <v>0</v>
      </c>
      <c r="GS36" s="533"/>
      <c r="GT36" s="534">
        <f t="shared" si="65"/>
        <v>0</v>
      </c>
      <c r="GU36" s="535">
        <f t="shared" si="176"/>
        <v>0</v>
      </c>
      <c r="GV36" s="533"/>
      <c r="GW36" s="534">
        <f t="shared" si="66"/>
        <v>0</v>
      </c>
      <c r="GX36" s="535">
        <f t="shared" si="177"/>
        <v>0</v>
      </c>
      <c r="GY36" s="533"/>
      <c r="GZ36" s="534">
        <f t="shared" si="67"/>
        <v>0</v>
      </c>
      <c r="HA36" s="535">
        <f t="shared" si="178"/>
        <v>0</v>
      </c>
      <c r="HB36" s="533"/>
      <c r="HC36" s="534">
        <f t="shared" si="68"/>
        <v>0</v>
      </c>
      <c r="HD36" s="535">
        <f t="shared" si="179"/>
        <v>0</v>
      </c>
      <c r="HE36" s="533"/>
      <c r="HF36" s="534">
        <f t="shared" si="69"/>
        <v>0</v>
      </c>
      <c r="HG36" s="535">
        <f t="shared" si="180"/>
        <v>0</v>
      </c>
      <c r="HH36" s="533"/>
      <c r="HI36" s="534">
        <f t="shared" si="70"/>
        <v>0</v>
      </c>
      <c r="HJ36" s="535">
        <f t="shared" si="181"/>
        <v>0</v>
      </c>
      <c r="HK36" s="533"/>
      <c r="HL36" s="534">
        <f t="shared" si="71"/>
        <v>0</v>
      </c>
      <c r="HM36" s="535">
        <f t="shared" si="182"/>
        <v>0</v>
      </c>
      <c r="HN36" s="533"/>
      <c r="HO36" s="534">
        <f t="shared" si="72"/>
        <v>0</v>
      </c>
      <c r="HP36" s="535">
        <f t="shared" si="183"/>
        <v>0</v>
      </c>
      <c r="HQ36" s="533"/>
      <c r="HR36" s="534">
        <f t="shared" si="73"/>
        <v>0</v>
      </c>
      <c r="HS36" s="535">
        <f t="shared" si="184"/>
        <v>0</v>
      </c>
      <c r="HT36" s="533"/>
      <c r="HU36" s="534">
        <f t="shared" si="74"/>
        <v>0</v>
      </c>
      <c r="HV36" s="535">
        <f t="shared" si="185"/>
        <v>0</v>
      </c>
      <c r="HW36" s="533"/>
      <c r="HX36" s="534">
        <f t="shared" si="75"/>
        <v>0</v>
      </c>
      <c r="HY36" s="535">
        <f t="shared" si="186"/>
        <v>0</v>
      </c>
      <c r="HZ36" s="533"/>
      <c r="IA36" s="534">
        <f t="shared" si="76"/>
        <v>0</v>
      </c>
      <c r="IB36" s="535">
        <f t="shared" si="187"/>
        <v>0</v>
      </c>
      <c r="IC36" s="533"/>
      <c r="ID36" s="534">
        <f t="shared" si="77"/>
        <v>0</v>
      </c>
      <c r="IE36" s="535">
        <f t="shared" si="188"/>
        <v>0</v>
      </c>
      <c r="IF36" s="533"/>
      <c r="IG36" s="534">
        <f t="shared" si="78"/>
        <v>0</v>
      </c>
      <c r="IH36" s="535">
        <f t="shared" si="189"/>
        <v>0</v>
      </c>
      <c r="II36" s="533"/>
      <c r="IJ36" s="534">
        <f t="shared" si="79"/>
        <v>0</v>
      </c>
      <c r="IK36" s="535">
        <f t="shared" si="190"/>
        <v>0</v>
      </c>
      <c r="IL36" s="533"/>
      <c r="IM36" s="534">
        <f t="shared" si="80"/>
        <v>0</v>
      </c>
      <c r="IN36" s="535">
        <f t="shared" si="191"/>
        <v>0</v>
      </c>
      <c r="IO36" s="533"/>
      <c r="IP36" s="534">
        <f t="shared" si="81"/>
        <v>0</v>
      </c>
      <c r="IQ36" s="535">
        <f t="shared" si="192"/>
        <v>0</v>
      </c>
      <c r="IR36" s="533"/>
      <c r="IS36" s="534">
        <f t="shared" si="82"/>
        <v>0</v>
      </c>
      <c r="IT36" s="535">
        <f t="shared" si="193"/>
        <v>0</v>
      </c>
      <c r="IU36" s="533"/>
      <c r="IV36" s="534">
        <f t="shared" si="83"/>
        <v>0</v>
      </c>
      <c r="IW36" s="535">
        <f t="shared" si="194"/>
        <v>0</v>
      </c>
      <c r="IX36" s="533"/>
      <c r="IY36" s="534">
        <f t="shared" si="84"/>
        <v>0</v>
      </c>
      <c r="IZ36" s="535">
        <f t="shared" si="195"/>
        <v>0</v>
      </c>
      <c r="JA36" s="533"/>
      <c r="JB36" s="534">
        <f t="shared" si="85"/>
        <v>0</v>
      </c>
      <c r="JC36" s="535">
        <f t="shared" si="196"/>
        <v>0</v>
      </c>
      <c r="JD36" s="533"/>
      <c r="JE36" s="534">
        <f t="shared" si="86"/>
        <v>0</v>
      </c>
      <c r="JF36" s="535">
        <f t="shared" si="197"/>
        <v>0</v>
      </c>
      <c r="JG36" s="533"/>
      <c r="JH36" s="534">
        <f t="shared" si="87"/>
        <v>0</v>
      </c>
      <c r="JI36" s="535">
        <f t="shared" si="198"/>
        <v>0</v>
      </c>
      <c r="JJ36" s="533"/>
      <c r="JK36" s="535" t="str">
        <f t="shared" si="88"/>
        <v>0</v>
      </c>
      <c r="JL36" s="535" t="str">
        <f t="shared" si="89"/>
        <v>0</v>
      </c>
      <c r="JM36" s="533"/>
      <c r="JN36" s="535" t="str">
        <f t="shared" si="90"/>
        <v>0</v>
      </c>
      <c r="JO36" s="535" t="str">
        <f t="shared" si="91"/>
        <v>0</v>
      </c>
      <c r="JP36" s="533"/>
      <c r="JQ36" s="535" t="str">
        <f t="shared" si="92"/>
        <v>0</v>
      </c>
      <c r="JR36" s="535" t="str">
        <f t="shared" si="93"/>
        <v>0</v>
      </c>
      <c r="JS36" s="533"/>
      <c r="JT36" s="535" t="str">
        <f t="shared" si="94"/>
        <v>0</v>
      </c>
      <c r="JU36" s="535" t="str">
        <f t="shared" si="95"/>
        <v>0</v>
      </c>
      <c r="JV36" s="533"/>
      <c r="JW36" s="535" t="str">
        <f t="shared" si="96"/>
        <v>0</v>
      </c>
      <c r="JX36" s="535" t="str">
        <f t="shared" si="97"/>
        <v>0</v>
      </c>
      <c r="JY36" s="533"/>
      <c r="JZ36" s="535" t="str">
        <f t="shared" si="98"/>
        <v>0</v>
      </c>
      <c r="KA36" s="535" t="str">
        <f t="shared" si="99"/>
        <v>0</v>
      </c>
      <c r="KB36" s="533"/>
      <c r="KC36" s="535" t="str">
        <f t="shared" si="100"/>
        <v>0</v>
      </c>
      <c r="KD36" s="535" t="str">
        <f t="shared" si="101"/>
        <v>0</v>
      </c>
      <c r="KE36" s="533"/>
      <c r="KF36" s="535" t="str">
        <f t="shared" si="102"/>
        <v>0</v>
      </c>
      <c r="KG36" s="535" t="str">
        <f t="shared" si="103"/>
        <v>0</v>
      </c>
      <c r="KH36" s="533"/>
      <c r="KI36" s="535" t="str">
        <f t="shared" si="104"/>
        <v>0</v>
      </c>
      <c r="KJ36" s="535" t="str">
        <f t="shared" si="105"/>
        <v>0</v>
      </c>
      <c r="KK36" s="533"/>
      <c r="KL36" s="535" t="str">
        <f t="shared" si="106"/>
        <v>0</v>
      </c>
      <c r="KM36" s="535" t="str">
        <f t="shared" si="107"/>
        <v>0</v>
      </c>
      <c r="KN36" s="533"/>
      <c r="KO36" s="535" t="str">
        <f t="shared" si="108"/>
        <v>0</v>
      </c>
      <c r="KP36" s="535" t="str">
        <f t="shared" si="109"/>
        <v>0</v>
      </c>
      <c r="KQ36" s="533"/>
      <c r="KR36" s="535" t="str">
        <f t="shared" si="110"/>
        <v>0</v>
      </c>
      <c r="KS36" s="535" t="str">
        <f t="shared" si="111"/>
        <v>0</v>
      </c>
      <c r="KT36" s="535">
        <f t="shared" si="201"/>
        <v>0</v>
      </c>
      <c r="KU36" s="535">
        <f t="shared" si="202"/>
        <v>0</v>
      </c>
      <c r="KV36" s="272">
        <f t="shared" si="199"/>
        <v>411.40693494986459</v>
      </c>
    </row>
    <row r="37" spans="1:308" ht="15" customHeight="1">
      <c r="A37" s="274">
        <f t="shared" si="200"/>
        <v>45990</v>
      </c>
      <c r="B37" s="275" t="str">
        <f>+Report1!B37</f>
        <v>Facial</v>
      </c>
      <c r="C37" s="415" t="str">
        <f>+Report1!C37</f>
        <v>12</v>
      </c>
      <c r="D37" s="276">
        <f>+Report1!P37</f>
        <v>53.108000000000004</v>
      </c>
      <c r="E37" s="277">
        <f>+Report1!R37</f>
        <v>55.331000000000003</v>
      </c>
      <c r="F37" s="533">
        <v>0</v>
      </c>
      <c r="G37" s="534">
        <f t="shared" si="0"/>
        <v>0</v>
      </c>
      <c r="H37" s="535">
        <f t="shared" si="112"/>
        <v>0</v>
      </c>
      <c r="I37" s="533">
        <v>274.60111162790713</v>
      </c>
      <c r="J37" s="534">
        <f t="shared" si="1"/>
        <v>4.9628799701416408</v>
      </c>
      <c r="K37" s="535">
        <f t="shared" si="113"/>
        <v>0</v>
      </c>
      <c r="L37" s="533"/>
      <c r="M37" s="534">
        <f t="shared" si="2"/>
        <v>0</v>
      </c>
      <c r="N37" s="535">
        <f t="shared" si="114"/>
        <v>0</v>
      </c>
      <c r="O37" s="533">
        <v>8.8627999999999929</v>
      </c>
      <c r="P37" s="534">
        <f t="shared" si="3"/>
        <v>0.1601778388245286</v>
      </c>
      <c r="Q37" s="535">
        <f t="shared" si="115"/>
        <v>0</v>
      </c>
      <c r="R37" s="533"/>
      <c r="S37" s="534">
        <f t="shared" si="4"/>
        <v>0</v>
      </c>
      <c r="T37" s="535">
        <f t="shared" si="116"/>
        <v>0</v>
      </c>
      <c r="U37" s="533">
        <v>5.0454000000000008</v>
      </c>
      <c r="V37" s="534">
        <f t="shared" si="5"/>
        <v>9.1185772894037703E-2</v>
      </c>
      <c r="W37" s="535">
        <f t="shared" si="117"/>
        <v>0</v>
      </c>
      <c r="X37" s="533"/>
      <c r="Y37" s="534">
        <f t="shared" si="6"/>
        <v>0</v>
      </c>
      <c r="Z37" s="535">
        <f t="shared" si="118"/>
        <v>0</v>
      </c>
      <c r="AA37" s="533"/>
      <c r="AB37" s="534">
        <f t="shared" si="7"/>
        <v>0</v>
      </c>
      <c r="AC37" s="535">
        <f t="shared" si="119"/>
        <v>0</v>
      </c>
      <c r="AD37" s="533"/>
      <c r="AE37" s="534">
        <f t="shared" si="8"/>
        <v>0</v>
      </c>
      <c r="AF37" s="535">
        <f t="shared" si="120"/>
        <v>0</v>
      </c>
      <c r="AG37" s="533"/>
      <c r="AH37" s="534">
        <f t="shared" si="9"/>
        <v>0</v>
      </c>
      <c r="AI37" s="535">
        <f t="shared" si="121"/>
        <v>0</v>
      </c>
      <c r="AJ37" s="533">
        <v>0</v>
      </c>
      <c r="AK37" s="534">
        <f t="shared" si="10"/>
        <v>0</v>
      </c>
      <c r="AL37" s="535">
        <f t="shared" si="122"/>
        <v>0</v>
      </c>
      <c r="AM37" s="533">
        <v>0</v>
      </c>
      <c r="AN37" s="534">
        <f t="shared" si="11"/>
        <v>0</v>
      </c>
      <c r="AO37" s="535">
        <f t="shared" si="123"/>
        <v>0</v>
      </c>
      <c r="AP37" s="533">
        <v>36.432177215189881</v>
      </c>
      <c r="AQ37" s="534">
        <f t="shared" si="12"/>
        <v>0.65844060680612815</v>
      </c>
      <c r="AR37" s="535">
        <f t="shared" si="124"/>
        <v>0</v>
      </c>
      <c r="AS37" s="533"/>
      <c r="AT37" s="534">
        <f t="shared" si="13"/>
        <v>0</v>
      </c>
      <c r="AU37" s="535">
        <f t="shared" si="125"/>
        <v>0</v>
      </c>
      <c r="AV37" s="533">
        <v>2.7340000000000089</v>
      </c>
      <c r="AW37" s="534">
        <f t="shared" si="14"/>
        <v>4.9411722181055988E-2</v>
      </c>
      <c r="AX37" s="535">
        <f t="shared" si="126"/>
        <v>0</v>
      </c>
      <c r="AY37" s="533">
        <v>52.802799999999991</v>
      </c>
      <c r="AZ37" s="534">
        <f t="shared" si="15"/>
        <v>0.95430771177097806</v>
      </c>
      <c r="BA37" s="535">
        <f t="shared" si="127"/>
        <v>0</v>
      </c>
      <c r="BB37" s="533">
        <v>0</v>
      </c>
      <c r="BC37" s="534">
        <f t="shared" si="16"/>
        <v>0</v>
      </c>
      <c r="BD37" s="535">
        <f t="shared" si="128"/>
        <v>0</v>
      </c>
      <c r="BE37" s="533"/>
      <c r="BF37" s="534">
        <f t="shared" si="17"/>
        <v>0</v>
      </c>
      <c r="BG37" s="535">
        <f t="shared" si="129"/>
        <v>0</v>
      </c>
      <c r="BH37" s="533"/>
      <c r="BI37" s="534">
        <f t="shared" si="18"/>
        <v>0</v>
      </c>
      <c r="BJ37" s="535">
        <f t="shared" si="130"/>
        <v>0</v>
      </c>
      <c r="BK37" s="533"/>
      <c r="BL37" s="534">
        <f t="shared" si="19"/>
        <v>0</v>
      </c>
      <c r="BM37" s="535">
        <f t="shared" si="131"/>
        <v>0</v>
      </c>
      <c r="BN37" s="533">
        <v>3.7373000000000047</v>
      </c>
      <c r="BO37" s="534">
        <f t="shared" si="20"/>
        <v>6.7544414523504084E-2</v>
      </c>
      <c r="BP37" s="535">
        <f t="shared" si="132"/>
        <v>0</v>
      </c>
      <c r="BQ37" s="533">
        <v>0</v>
      </c>
      <c r="BR37" s="534">
        <f t="shared" si="21"/>
        <v>0</v>
      </c>
      <c r="BS37" s="535">
        <f t="shared" si="133"/>
        <v>0</v>
      </c>
      <c r="BT37" s="533"/>
      <c r="BU37" s="534">
        <f t="shared" si="22"/>
        <v>0</v>
      </c>
      <c r="BV37" s="535">
        <f t="shared" si="134"/>
        <v>0</v>
      </c>
      <c r="BW37" s="533">
        <v>0</v>
      </c>
      <c r="BX37" s="534">
        <f t="shared" si="23"/>
        <v>0</v>
      </c>
      <c r="BY37" s="535">
        <f t="shared" si="135"/>
        <v>0</v>
      </c>
      <c r="BZ37" s="533"/>
      <c r="CA37" s="534">
        <f t="shared" si="24"/>
        <v>0</v>
      </c>
      <c r="CB37" s="535">
        <f t="shared" si="136"/>
        <v>0</v>
      </c>
      <c r="CC37" s="533">
        <v>0</v>
      </c>
      <c r="CD37" s="534">
        <f t="shared" si="25"/>
        <v>0</v>
      </c>
      <c r="CE37" s="535">
        <f t="shared" si="137"/>
        <v>0</v>
      </c>
      <c r="CF37" s="533">
        <v>0.14999999999999991</v>
      </c>
      <c r="CG37" s="534">
        <f t="shared" si="26"/>
        <v>2.7109576909869677E-3</v>
      </c>
      <c r="CH37" s="535">
        <f t="shared" si="138"/>
        <v>0</v>
      </c>
      <c r="CI37" s="533"/>
      <c r="CJ37" s="534">
        <f t="shared" si="27"/>
        <v>0</v>
      </c>
      <c r="CK37" s="535">
        <f t="shared" si="139"/>
        <v>0</v>
      </c>
      <c r="CL37" s="533"/>
      <c r="CM37" s="534">
        <f t="shared" si="28"/>
        <v>0</v>
      </c>
      <c r="CN37" s="535">
        <f t="shared" si="140"/>
        <v>0</v>
      </c>
      <c r="CO37" s="533"/>
      <c r="CP37" s="534">
        <f t="shared" si="29"/>
        <v>0</v>
      </c>
      <c r="CQ37" s="535">
        <f t="shared" si="141"/>
        <v>0</v>
      </c>
      <c r="CR37" s="533"/>
      <c r="CS37" s="534">
        <f t="shared" si="30"/>
        <v>0</v>
      </c>
      <c r="CT37" s="535">
        <f t="shared" si="142"/>
        <v>0</v>
      </c>
      <c r="CU37" s="533"/>
      <c r="CV37" s="534">
        <f t="shared" si="31"/>
        <v>0</v>
      </c>
      <c r="CW37" s="535">
        <f t="shared" si="143"/>
        <v>0</v>
      </c>
      <c r="CX37" s="533"/>
      <c r="CY37" s="534">
        <f t="shared" si="32"/>
        <v>0</v>
      </c>
      <c r="CZ37" s="535">
        <f t="shared" si="144"/>
        <v>0</v>
      </c>
      <c r="DA37" s="533"/>
      <c r="DB37" s="534">
        <f t="shared" si="33"/>
        <v>0</v>
      </c>
      <c r="DC37" s="535">
        <f t="shared" si="145"/>
        <v>0</v>
      </c>
      <c r="DD37" s="533"/>
      <c r="DE37" s="534">
        <f t="shared" si="34"/>
        <v>0</v>
      </c>
      <c r="DF37" s="535">
        <f t="shared" si="146"/>
        <v>0</v>
      </c>
      <c r="DG37" s="533">
        <v>0</v>
      </c>
      <c r="DH37" s="534">
        <f t="shared" si="35"/>
        <v>0</v>
      </c>
      <c r="DI37" s="535">
        <f t="shared" si="203"/>
        <v>0</v>
      </c>
      <c r="DJ37" s="533"/>
      <c r="DK37" s="534">
        <f t="shared" si="36"/>
        <v>0</v>
      </c>
      <c r="DL37" s="535">
        <f t="shared" si="147"/>
        <v>0</v>
      </c>
      <c r="DM37" s="533"/>
      <c r="DN37" s="534">
        <f t="shared" si="37"/>
        <v>0</v>
      </c>
      <c r="DO37" s="535">
        <f t="shared" si="148"/>
        <v>0</v>
      </c>
      <c r="DP37" s="533"/>
      <c r="DQ37" s="534">
        <f t="shared" si="38"/>
        <v>0</v>
      </c>
      <c r="DR37" s="535">
        <f t="shared" si="149"/>
        <v>0</v>
      </c>
      <c r="DS37" s="533"/>
      <c r="DT37" s="534">
        <f t="shared" si="39"/>
        <v>0</v>
      </c>
      <c r="DU37" s="535">
        <f t="shared" si="150"/>
        <v>0</v>
      </c>
      <c r="DV37" s="533"/>
      <c r="DW37" s="534">
        <f t="shared" si="40"/>
        <v>0</v>
      </c>
      <c r="DX37" s="535">
        <f t="shared" si="151"/>
        <v>0</v>
      </c>
      <c r="DY37" s="533"/>
      <c r="DZ37" s="534">
        <f t="shared" si="41"/>
        <v>0</v>
      </c>
      <c r="EA37" s="535">
        <f t="shared" si="152"/>
        <v>0</v>
      </c>
      <c r="EB37" s="533">
        <v>28.599590697674444</v>
      </c>
      <c r="EC37" s="534">
        <f t="shared" si="42"/>
        <v>0.51688186907293276</v>
      </c>
      <c r="ED37" s="535">
        <f t="shared" si="153"/>
        <v>0</v>
      </c>
      <c r="EE37" s="533">
        <v>0</v>
      </c>
      <c r="EF37" s="534">
        <f t="shared" si="43"/>
        <v>0</v>
      </c>
      <c r="EG37" s="535">
        <f t="shared" si="154"/>
        <v>0</v>
      </c>
      <c r="EH37" s="533"/>
      <c r="EI37" s="534">
        <f t="shared" si="44"/>
        <v>0</v>
      </c>
      <c r="EJ37" s="535">
        <f t="shared" si="155"/>
        <v>0</v>
      </c>
      <c r="EK37" s="533"/>
      <c r="EL37" s="534">
        <f t="shared" si="45"/>
        <v>0</v>
      </c>
      <c r="EM37" s="535">
        <f t="shared" si="156"/>
        <v>0</v>
      </c>
      <c r="EN37" s="533"/>
      <c r="EO37" s="534">
        <f t="shared" si="46"/>
        <v>0</v>
      </c>
      <c r="EP37" s="535">
        <f t="shared" si="157"/>
        <v>0</v>
      </c>
      <c r="EQ37" s="533"/>
      <c r="ER37" s="534">
        <f t="shared" si="47"/>
        <v>0</v>
      </c>
      <c r="ES37" s="535">
        <f t="shared" si="158"/>
        <v>0</v>
      </c>
      <c r="ET37" s="533"/>
      <c r="EU37" s="534">
        <f t="shared" si="48"/>
        <v>0</v>
      </c>
      <c r="EV37" s="535">
        <f t="shared" si="159"/>
        <v>0</v>
      </c>
      <c r="EW37" s="533"/>
      <c r="EX37" s="534">
        <f t="shared" si="49"/>
        <v>0</v>
      </c>
      <c r="EY37" s="535">
        <f t="shared" si="160"/>
        <v>0</v>
      </c>
      <c r="EZ37" s="533"/>
      <c r="FA37" s="534">
        <f t="shared" si="50"/>
        <v>0</v>
      </c>
      <c r="FB37" s="535">
        <f t="shared" si="161"/>
        <v>0</v>
      </c>
      <c r="FC37" s="533"/>
      <c r="FD37" s="534">
        <f t="shared" si="51"/>
        <v>0</v>
      </c>
      <c r="FE37" s="535">
        <f t="shared" si="162"/>
        <v>0</v>
      </c>
      <c r="FF37" s="533"/>
      <c r="FG37" s="534">
        <f t="shared" si="52"/>
        <v>0</v>
      </c>
      <c r="FH37" s="535">
        <f t="shared" si="163"/>
        <v>0</v>
      </c>
      <c r="FI37" s="533"/>
      <c r="FJ37" s="534">
        <f t="shared" si="53"/>
        <v>0</v>
      </c>
      <c r="FK37" s="535">
        <f t="shared" si="164"/>
        <v>0</v>
      </c>
      <c r="FL37" s="533"/>
      <c r="FM37" s="534">
        <f t="shared" si="54"/>
        <v>0</v>
      </c>
      <c r="FN37" s="535">
        <f t="shared" si="165"/>
        <v>0</v>
      </c>
      <c r="FO37" s="533"/>
      <c r="FP37" s="534">
        <f t="shared" si="55"/>
        <v>0</v>
      </c>
      <c r="FQ37" s="535">
        <f t="shared" si="166"/>
        <v>0</v>
      </c>
      <c r="FR37" s="533"/>
      <c r="FS37" s="534">
        <f t="shared" si="56"/>
        <v>0</v>
      </c>
      <c r="FT37" s="535">
        <f t="shared" si="167"/>
        <v>0</v>
      </c>
      <c r="FU37" s="533"/>
      <c r="FV37" s="534">
        <f t="shared" si="57"/>
        <v>0</v>
      </c>
      <c r="FW37" s="535">
        <f t="shared" si="168"/>
        <v>0</v>
      </c>
      <c r="FX37" s="533"/>
      <c r="FY37" s="534">
        <f t="shared" si="58"/>
        <v>0</v>
      </c>
      <c r="FZ37" s="535">
        <f t="shared" si="169"/>
        <v>0</v>
      </c>
      <c r="GA37" s="533"/>
      <c r="GB37" s="534">
        <f t="shared" si="59"/>
        <v>0</v>
      </c>
      <c r="GC37" s="535">
        <f t="shared" si="170"/>
        <v>0</v>
      </c>
      <c r="GD37" s="533"/>
      <c r="GE37" s="534">
        <f t="shared" si="60"/>
        <v>0</v>
      </c>
      <c r="GF37" s="535">
        <f t="shared" si="171"/>
        <v>0</v>
      </c>
      <c r="GG37" s="533"/>
      <c r="GH37" s="534">
        <f t="shared" si="61"/>
        <v>0</v>
      </c>
      <c r="GI37" s="535">
        <f t="shared" si="172"/>
        <v>0</v>
      </c>
      <c r="GJ37" s="533"/>
      <c r="GK37" s="534">
        <f t="shared" si="62"/>
        <v>0</v>
      </c>
      <c r="GL37" s="535">
        <f t="shared" si="173"/>
        <v>0</v>
      </c>
      <c r="GM37" s="533"/>
      <c r="GN37" s="534">
        <f t="shared" si="63"/>
        <v>0</v>
      </c>
      <c r="GO37" s="535">
        <f t="shared" si="174"/>
        <v>0</v>
      </c>
      <c r="GP37" s="533"/>
      <c r="GQ37" s="534">
        <f t="shared" si="64"/>
        <v>0</v>
      </c>
      <c r="GR37" s="535">
        <f t="shared" si="175"/>
        <v>0</v>
      </c>
      <c r="GS37" s="533"/>
      <c r="GT37" s="534">
        <f t="shared" si="65"/>
        <v>0</v>
      </c>
      <c r="GU37" s="535">
        <f t="shared" si="176"/>
        <v>0</v>
      </c>
      <c r="GV37" s="533"/>
      <c r="GW37" s="534">
        <f t="shared" si="66"/>
        <v>0</v>
      </c>
      <c r="GX37" s="535">
        <f t="shared" si="177"/>
        <v>0</v>
      </c>
      <c r="GY37" s="533"/>
      <c r="GZ37" s="534">
        <f t="shared" si="67"/>
        <v>0</v>
      </c>
      <c r="HA37" s="535">
        <f t="shared" si="178"/>
        <v>0</v>
      </c>
      <c r="HB37" s="533"/>
      <c r="HC37" s="534">
        <f t="shared" si="68"/>
        <v>0</v>
      </c>
      <c r="HD37" s="535">
        <f t="shared" si="179"/>
        <v>0</v>
      </c>
      <c r="HE37" s="533"/>
      <c r="HF37" s="534">
        <f t="shared" si="69"/>
        <v>0</v>
      </c>
      <c r="HG37" s="535">
        <f t="shared" si="180"/>
        <v>0</v>
      </c>
      <c r="HH37" s="533"/>
      <c r="HI37" s="534">
        <f t="shared" si="70"/>
        <v>0</v>
      </c>
      <c r="HJ37" s="535">
        <f t="shared" si="181"/>
        <v>0</v>
      </c>
      <c r="HK37" s="533"/>
      <c r="HL37" s="534">
        <f t="shared" si="71"/>
        <v>0</v>
      </c>
      <c r="HM37" s="535">
        <f t="shared" si="182"/>
        <v>0</v>
      </c>
      <c r="HN37" s="533"/>
      <c r="HO37" s="534">
        <f t="shared" si="72"/>
        <v>0</v>
      </c>
      <c r="HP37" s="535">
        <f t="shared" si="183"/>
        <v>0</v>
      </c>
      <c r="HQ37" s="533"/>
      <c r="HR37" s="534">
        <f t="shared" si="73"/>
        <v>0</v>
      </c>
      <c r="HS37" s="535">
        <f t="shared" si="184"/>
        <v>0</v>
      </c>
      <c r="HT37" s="533"/>
      <c r="HU37" s="534">
        <f t="shared" si="74"/>
        <v>0</v>
      </c>
      <c r="HV37" s="535">
        <f t="shared" si="185"/>
        <v>0</v>
      </c>
      <c r="HW37" s="533"/>
      <c r="HX37" s="534">
        <f t="shared" si="75"/>
        <v>0</v>
      </c>
      <c r="HY37" s="535">
        <f t="shared" si="186"/>
        <v>0</v>
      </c>
      <c r="HZ37" s="533"/>
      <c r="IA37" s="534">
        <f t="shared" si="76"/>
        <v>0</v>
      </c>
      <c r="IB37" s="535">
        <f t="shared" si="187"/>
        <v>0</v>
      </c>
      <c r="IC37" s="533"/>
      <c r="ID37" s="534">
        <f t="shared" si="77"/>
        <v>0</v>
      </c>
      <c r="IE37" s="535">
        <f t="shared" si="188"/>
        <v>0</v>
      </c>
      <c r="IF37" s="533"/>
      <c r="IG37" s="534">
        <f t="shared" si="78"/>
        <v>0</v>
      </c>
      <c r="IH37" s="535">
        <f t="shared" si="189"/>
        <v>0</v>
      </c>
      <c r="II37" s="533"/>
      <c r="IJ37" s="534">
        <f t="shared" si="79"/>
        <v>0</v>
      </c>
      <c r="IK37" s="535">
        <f t="shared" si="190"/>
        <v>0</v>
      </c>
      <c r="IL37" s="533"/>
      <c r="IM37" s="534">
        <f t="shared" si="80"/>
        <v>0</v>
      </c>
      <c r="IN37" s="535">
        <f t="shared" si="191"/>
        <v>0</v>
      </c>
      <c r="IO37" s="533"/>
      <c r="IP37" s="534">
        <f t="shared" si="81"/>
        <v>0</v>
      </c>
      <c r="IQ37" s="535">
        <f t="shared" si="192"/>
        <v>0</v>
      </c>
      <c r="IR37" s="533"/>
      <c r="IS37" s="534">
        <f t="shared" si="82"/>
        <v>0</v>
      </c>
      <c r="IT37" s="535">
        <f t="shared" si="193"/>
        <v>0</v>
      </c>
      <c r="IU37" s="533"/>
      <c r="IV37" s="534">
        <f t="shared" si="83"/>
        <v>0</v>
      </c>
      <c r="IW37" s="535">
        <f t="shared" si="194"/>
        <v>0</v>
      </c>
      <c r="IX37" s="533"/>
      <c r="IY37" s="534">
        <f t="shared" si="84"/>
        <v>0</v>
      </c>
      <c r="IZ37" s="535">
        <f t="shared" si="195"/>
        <v>0</v>
      </c>
      <c r="JA37" s="533"/>
      <c r="JB37" s="534">
        <f t="shared" si="85"/>
        <v>0</v>
      </c>
      <c r="JC37" s="535">
        <f t="shared" si="196"/>
        <v>0</v>
      </c>
      <c r="JD37" s="533"/>
      <c r="JE37" s="534">
        <f t="shared" si="86"/>
        <v>0</v>
      </c>
      <c r="JF37" s="535">
        <f t="shared" si="197"/>
        <v>0</v>
      </c>
      <c r="JG37" s="533"/>
      <c r="JH37" s="534">
        <f t="shared" si="87"/>
        <v>0</v>
      </c>
      <c r="JI37" s="535">
        <f t="shared" si="198"/>
        <v>0</v>
      </c>
      <c r="JJ37" s="533"/>
      <c r="JK37" s="535" t="str">
        <f t="shared" si="88"/>
        <v>0</v>
      </c>
      <c r="JL37" s="535" t="str">
        <f t="shared" si="89"/>
        <v>0</v>
      </c>
      <c r="JM37" s="533"/>
      <c r="JN37" s="535" t="str">
        <f t="shared" si="90"/>
        <v>0</v>
      </c>
      <c r="JO37" s="535" t="str">
        <f t="shared" si="91"/>
        <v>0</v>
      </c>
      <c r="JP37" s="533"/>
      <c r="JQ37" s="535" t="str">
        <f t="shared" si="92"/>
        <v>0</v>
      </c>
      <c r="JR37" s="535" t="str">
        <f t="shared" si="93"/>
        <v>0</v>
      </c>
      <c r="JS37" s="533"/>
      <c r="JT37" s="535" t="str">
        <f t="shared" si="94"/>
        <v>0</v>
      </c>
      <c r="JU37" s="535" t="str">
        <f t="shared" si="95"/>
        <v>0</v>
      </c>
      <c r="JV37" s="533"/>
      <c r="JW37" s="535" t="str">
        <f t="shared" si="96"/>
        <v>0</v>
      </c>
      <c r="JX37" s="535" t="str">
        <f t="shared" si="97"/>
        <v>0</v>
      </c>
      <c r="JY37" s="533"/>
      <c r="JZ37" s="535" t="str">
        <f t="shared" si="98"/>
        <v>0</v>
      </c>
      <c r="KA37" s="535" t="str">
        <f t="shared" si="99"/>
        <v>0</v>
      </c>
      <c r="KB37" s="533"/>
      <c r="KC37" s="535" t="str">
        <f t="shared" si="100"/>
        <v>0</v>
      </c>
      <c r="KD37" s="535" t="str">
        <f t="shared" si="101"/>
        <v>0</v>
      </c>
      <c r="KE37" s="533"/>
      <c r="KF37" s="535" t="str">
        <f t="shared" si="102"/>
        <v>0</v>
      </c>
      <c r="KG37" s="535" t="str">
        <f t="shared" si="103"/>
        <v>0</v>
      </c>
      <c r="KH37" s="533"/>
      <c r="KI37" s="535" t="str">
        <f t="shared" si="104"/>
        <v>0</v>
      </c>
      <c r="KJ37" s="535" t="str">
        <f t="shared" si="105"/>
        <v>0</v>
      </c>
      <c r="KK37" s="533"/>
      <c r="KL37" s="535" t="str">
        <f t="shared" si="106"/>
        <v>0</v>
      </c>
      <c r="KM37" s="535" t="str">
        <f t="shared" si="107"/>
        <v>0</v>
      </c>
      <c r="KN37" s="533"/>
      <c r="KO37" s="535" t="str">
        <f t="shared" si="108"/>
        <v>0</v>
      </c>
      <c r="KP37" s="535" t="str">
        <f t="shared" si="109"/>
        <v>0</v>
      </c>
      <c r="KQ37" s="533"/>
      <c r="KR37" s="535" t="str">
        <f t="shared" si="110"/>
        <v>0</v>
      </c>
      <c r="KS37" s="535" t="str">
        <f t="shared" si="111"/>
        <v>0</v>
      </c>
      <c r="KT37" s="535">
        <f t="shared" si="201"/>
        <v>0</v>
      </c>
      <c r="KU37" s="535">
        <f t="shared" si="202"/>
        <v>0</v>
      </c>
      <c r="KV37" s="272">
        <f t="shared" si="199"/>
        <v>412.96517954077143</v>
      </c>
    </row>
    <row r="38" spans="1:308" ht="15" customHeight="1">
      <c r="A38" s="274">
        <f t="shared" si="200"/>
        <v>45991</v>
      </c>
      <c r="B38" s="275" t="str">
        <f>+Report1!B38</f>
        <v>Facial</v>
      </c>
      <c r="C38" s="415" t="str">
        <f>+Report1!C38</f>
        <v>12/13</v>
      </c>
      <c r="D38" s="276">
        <f>+Report1!P38</f>
        <v>54.837000000000003</v>
      </c>
      <c r="E38" s="277">
        <f>+Report1!R38</f>
        <v>58.088999999999999</v>
      </c>
      <c r="F38" s="533">
        <v>0</v>
      </c>
      <c r="G38" s="534">
        <f t="shared" si="0"/>
        <v>0</v>
      </c>
      <c r="H38" s="535">
        <f t="shared" si="112"/>
        <v>0</v>
      </c>
      <c r="I38" s="533">
        <v>283.53960000000006</v>
      </c>
      <c r="J38" s="534">
        <f t="shared" si="1"/>
        <v>4.8811237928007039</v>
      </c>
      <c r="K38" s="535">
        <f t="shared" si="113"/>
        <v>0</v>
      </c>
      <c r="L38" s="533"/>
      <c r="M38" s="534">
        <f t="shared" si="2"/>
        <v>0</v>
      </c>
      <c r="N38" s="535">
        <f t="shared" si="114"/>
        <v>0</v>
      </c>
      <c r="O38" s="533">
        <v>9.1408000000000129</v>
      </c>
      <c r="P38" s="534">
        <f t="shared" si="3"/>
        <v>0.15735853603952579</v>
      </c>
      <c r="Q38" s="535">
        <f t="shared" si="115"/>
        <v>0</v>
      </c>
      <c r="R38" s="533"/>
      <c r="S38" s="534">
        <f t="shared" si="4"/>
        <v>0</v>
      </c>
      <c r="T38" s="535">
        <f t="shared" si="116"/>
        <v>0</v>
      </c>
      <c r="U38" s="533">
        <v>5.20150000000001</v>
      </c>
      <c r="V38" s="534">
        <f t="shared" si="5"/>
        <v>8.9543631324347298E-2</v>
      </c>
      <c r="W38" s="535">
        <f t="shared" si="117"/>
        <v>0</v>
      </c>
      <c r="X38" s="533"/>
      <c r="Y38" s="534">
        <f t="shared" si="6"/>
        <v>0</v>
      </c>
      <c r="Z38" s="535">
        <f t="shared" si="118"/>
        <v>0</v>
      </c>
      <c r="AA38" s="533"/>
      <c r="AB38" s="534">
        <f t="shared" si="7"/>
        <v>0</v>
      </c>
      <c r="AC38" s="535">
        <f t="shared" si="119"/>
        <v>0</v>
      </c>
      <c r="AD38" s="533"/>
      <c r="AE38" s="534">
        <f t="shared" si="8"/>
        <v>0</v>
      </c>
      <c r="AF38" s="535">
        <f t="shared" si="120"/>
        <v>0</v>
      </c>
      <c r="AG38" s="533"/>
      <c r="AH38" s="534">
        <f t="shared" si="9"/>
        <v>0</v>
      </c>
      <c r="AI38" s="535">
        <f t="shared" si="121"/>
        <v>0</v>
      </c>
      <c r="AJ38" s="533">
        <v>0</v>
      </c>
      <c r="AK38" s="534">
        <f t="shared" si="10"/>
        <v>0</v>
      </c>
      <c r="AL38" s="535">
        <f t="shared" si="122"/>
        <v>0</v>
      </c>
      <c r="AM38" s="533">
        <v>0</v>
      </c>
      <c r="AN38" s="534">
        <f t="shared" si="11"/>
        <v>0</v>
      </c>
      <c r="AO38" s="535">
        <f t="shared" si="123"/>
        <v>0</v>
      </c>
      <c r="AP38" s="533">
        <v>37.621199999999988</v>
      </c>
      <c r="AQ38" s="534">
        <f t="shared" si="12"/>
        <v>0.64764757527242656</v>
      </c>
      <c r="AR38" s="535">
        <f t="shared" si="124"/>
        <v>0</v>
      </c>
      <c r="AS38" s="533"/>
      <c r="AT38" s="534">
        <f t="shared" si="13"/>
        <v>0</v>
      </c>
      <c r="AU38" s="535">
        <f t="shared" si="125"/>
        <v>0</v>
      </c>
      <c r="AV38" s="533">
        <v>2.8174999999999955</v>
      </c>
      <c r="AW38" s="534">
        <f t="shared" si="14"/>
        <v>4.8503158945755576E-2</v>
      </c>
      <c r="AX38" s="535">
        <f t="shared" si="126"/>
        <v>0</v>
      </c>
      <c r="AY38" s="533">
        <v>54.528400000000033</v>
      </c>
      <c r="AZ38" s="534">
        <f t="shared" si="15"/>
        <v>0.9387044018661026</v>
      </c>
      <c r="BA38" s="535">
        <f t="shared" si="127"/>
        <v>0</v>
      </c>
      <c r="BB38" s="533">
        <v>0</v>
      </c>
      <c r="BC38" s="534">
        <f t="shared" si="16"/>
        <v>0</v>
      </c>
      <c r="BD38" s="535">
        <f t="shared" si="128"/>
        <v>0</v>
      </c>
      <c r="BE38" s="533"/>
      <c r="BF38" s="534">
        <f t="shared" si="17"/>
        <v>0</v>
      </c>
      <c r="BG38" s="535">
        <f t="shared" si="129"/>
        <v>0</v>
      </c>
      <c r="BH38" s="533"/>
      <c r="BI38" s="534">
        <f t="shared" si="18"/>
        <v>0</v>
      </c>
      <c r="BJ38" s="535">
        <f t="shared" si="130"/>
        <v>0</v>
      </c>
      <c r="BK38" s="533"/>
      <c r="BL38" s="534">
        <f t="shared" si="19"/>
        <v>0</v>
      </c>
      <c r="BM38" s="535">
        <f t="shared" si="131"/>
        <v>0</v>
      </c>
      <c r="BN38" s="533">
        <v>3.8582000000000107</v>
      </c>
      <c r="BO38" s="534">
        <f t="shared" si="20"/>
        <v>6.6418771195923682E-2</v>
      </c>
      <c r="BP38" s="535">
        <f t="shared" si="132"/>
        <v>0</v>
      </c>
      <c r="BQ38" s="533">
        <v>0</v>
      </c>
      <c r="BR38" s="534">
        <f t="shared" si="21"/>
        <v>0</v>
      </c>
      <c r="BS38" s="535">
        <f t="shared" si="133"/>
        <v>0</v>
      </c>
      <c r="BT38" s="533"/>
      <c r="BU38" s="534">
        <f t="shared" si="22"/>
        <v>0</v>
      </c>
      <c r="BV38" s="535">
        <f t="shared" si="134"/>
        <v>0</v>
      </c>
      <c r="BW38" s="533">
        <v>0</v>
      </c>
      <c r="BX38" s="534">
        <f t="shared" si="23"/>
        <v>0</v>
      </c>
      <c r="BY38" s="535">
        <f t="shared" si="135"/>
        <v>0</v>
      </c>
      <c r="BZ38" s="533"/>
      <c r="CA38" s="534">
        <f t="shared" si="24"/>
        <v>0</v>
      </c>
      <c r="CB38" s="535">
        <f t="shared" si="136"/>
        <v>0</v>
      </c>
      <c r="CC38" s="533">
        <v>0</v>
      </c>
      <c r="CD38" s="534">
        <f t="shared" si="25"/>
        <v>0</v>
      </c>
      <c r="CE38" s="535">
        <f t="shared" si="137"/>
        <v>0</v>
      </c>
      <c r="CF38" s="533">
        <v>0.14999999999999991</v>
      </c>
      <c r="CG38" s="534">
        <f t="shared" si="26"/>
        <v>2.5822444869080191E-3</v>
      </c>
      <c r="CH38" s="535">
        <f t="shared" si="138"/>
        <v>0</v>
      </c>
      <c r="CI38" s="533"/>
      <c r="CJ38" s="534">
        <f t="shared" si="27"/>
        <v>0</v>
      </c>
      <c r="CK38" s="535">
        <f t="shared" si="139"/>
        <v>0</v>
      </c>
      <c r="CL38" s="533"/>
      <c r="CM38" s="534">
        <f t="shared" si="28"/>
        <v>0</v>
      </c>
      <c r="CN38" s="535">
        <f t="shared" si="140"/>
        <v>0</v>
      </c>
      <c r="CO38" s="533"/>
      <c r="CP38" s="534">
        <f t="shared" si="29"/>
        <v>0</v>
      </c>
      <c r="CQ38" s="535">
        <f t="shared" si="141"/>
        <v>0</v>
      </c>
      <c r="CR38" s="533"/>
      <c r="CS38" s="534">
        <f t="shared" si="30"/>
        <v>0</v>
      </c>
      <c r="CT38" s="535">
        <f t="shared" si="142"/>
        <v>0</v>
      </c>
      <c r="CU38" s="533"/>
      <c r="CV38" s="534">
        <f t="shared" si="31"/>
        <v>0</v>
      </c>
      <c r="CW38" s="535">
        <f t="shared" si="143"/>
        <v>0</v>
      </c>
      <c r="CX38" s="533"/>
      <c r="CY38" s="534">
        <f t="shared" si="32"/>
        <v>0</v>
      </c>
      <c r="CZ38" s="535">
        <f t="shared" si="144"/>
        <v>0</v>
      </c>
      <c r="DA38" s="533"/>
      <c r="DB38" s="534">
        <f t="shared" si="33"/>
        <v>0</v>
      </c>
      <c r="DC38" s="535">
        <f t="shared" si="145"/>
        <v>0</v>
      </c>
      <c r="DD38" s="533"/>
      <c r="DE38" s="534">
        <f t="shared" si="34"/>
        <v>0</v>
      </c>
      <c r="DF38" s="535">
        <f t="shared" si="146"/>
        <v>0</v>
      </c>
      <c r="DG38" s="533">
        <v>0</v>
      </c>
      <c r="DH38" s="534">
        <f t="shared" si="35"/>
        <v>0</v>
      </c>
      <c r="DI38" s="535">
        <f t="shared" si="203"/>
        <v>0</v>
      </c>
      <c r="DJ38" s="533"/>
      <c r="DK38" s="534">
        <f t="shared" si="36"/>
        <v>0</v>
      </c>
      <c r="DL38" s="535">
        <f t="shared" si="147"/>
        <v>0</v>
      </c>
      <c r="DM38" s="533"/>
      <c r="DN38" s="534">
        <f t="shared" si="37"/>
        <v>0</v>
      </c>
      <c r="DO38" s="535">
        <f t="shared" si="148"/>
        <v>0</v>
      </c>
      <c r="DP38" s="533"/>
      <c r="DQ38" s="534">
        <f t="shared" si="38"/>
        <v>0</v>
      </c>
      <c r="DR38" s="535">
        <f t="shared" si="149"/>
        <v>0</v>
      </c>
      <c r="DS38" s="533"/>
      <c r="DT38" s="534">
        <f t="shared" si="39"/>
        <v>0</v>
      </c>
      <c r="DU38" s="535">
        <f t="shared" si="150"/>
        <v>0</v>
      </c>
      <c r="DV38" s="533"/>
      <c r="DW38" s="534">
        <f t="shared" si="40"/>
        <v>0</v>
      </c>
      <c r="DX38" s="535">
        <f t="shared" si="151"/>
        <v>0</v>
      </c>
      <c r="DY38" s="533"/>
      <c r="DZ38" s="534">
        <f t="shared" si="41"/>
        <v>0</v>
      </c>
      <c r="EA38" s="535">
        <f t="shared" si="152"/>
        <v>0</v>
      </c>
      <c r="EB38" s="533">
        <v>29.536800000000085</v>
      </c>
      <c r="EC38" s="534">
        <f t="shared" si="42"/>
        <v>0.50847492640603364</v>
      </c>
      <c r="ED38" s="535">
        <f t="shared" si="153"/>
        <v>0</v>
      </c>
      <c r="EE38" s="533">
        <v>0</v>
      </c>
      <c r="EF38" s="534">
        <f t="shared" si="43"/>
        <v>0</v>
      </c>
      <c r="EG38" s="535">
        <f t="shared" si="154"/>
        <v>0</v>
      </c>
      <c r="EH38" s="533"/>
      <c r="EI38" s="534">
        <f t="shared" si="44"/>
        <v>0</v>
      </c>
      <c r="EJ38" s="535">
        <f t="shared" si="155"/>
        <v>0</v>
      </c>
      <c r="EK38" s="533"/>
      <c r="EL38" s="534">
        <f t="shared" si="45"/>
        <v>0</v>
      </c>
      <c r="EM38" s="535">
        <f t="shared" si="156"/>
        <v>0</v>
      </c>
      <c r="EN38" s="533"/>
      <c r="EO38" s="534">
        <f t="shared" si="46"/>
        <v>0</v>
      </c>
      <c r="EP38" s="535">
        <f t="shared" si="157"/>
        <v>0</v>
      </c>
      <c r="EQ38" s="533"/>
      <c r="ER38" s="534">
        <f t="shared" si="47"/>
        <v>0</v>
      </c>
      <c r="ES38" s="535">
        <f t="shared" si="158"/>
        <v>0</v>
      </c>
      <c r="ET38" s="533"/>
      <c r="EU38" s="534">
        <f t="shared" si="48"/>
        <v>0</v>
      </c>
      <c r="EV38" s="535">
        <f t="shared" si="159"/>
        <v>0</v>
      </c>
      <c r="EW38" s="533"/>
      <c r="EX38" s="534">
        <f t="shared" si="49"/>
        <v>0</v>
      </c>
      <c r="EY38" s="535">
        <f t="shared" si="160"/>
        <v>0</v>
      </c>
      <c r="EZ38" s="533"/>
      <c r="FA38" s="534">
        <f t="shared" si="50"/>
        <v>0</v>
      </c>
      <c r="FB38" s="535">
        <f t="shared" si="161"/>
        <v>0</v>
      </c>
      <c r="FC38" s="533"/>
      <c r="FD38" s="534">
        <f t="shared" si="51"/>
        <v>0</v>
      </c>
      <c r="FE38" s="535">
        <f t="shared" si="162"/>
        <v>0</v>
      </c>
      <c r="FF38" s="533"/>
      <c r="FG38" s="534">
        <f t="shared" si="52"/>
        <v>0</v>
      </c>
      <c r="FH38" s="535">
        <f t="shared" si="163"/>
        <v>0</v>
      </c>
      <c r="FI38" s="533"/>
      <c r="FJ38" s="534">
        <f t="shared" si="53"/>
        <v>0</v>
      </c>
      <c r="FK38" s="535">
        <f t="shared" si="164"/>
        <v>0</v>
      </c>
      <c r="FL38" s="533"/>
      <c r="FM38" s="534">
        <f t="shared" si="54"/>
        <v>0</v>
      </c>
      <c r="FN38" s="535">
        <f t="shared" si="165"/>
        <v>0</v>
      </c>
      <c r="FO38" s="533"/>
      <c r="FP38" s="534">
        <f t="shared" si="55"/>
        <v>0</v>
      </c>
      <c r="FQ38" s="535">
        <f t="shared" si="166"/>
        <v>0</v>
      </c>
      <c r="FR38" s="533"/>
      <c r="FS38" s="534">
        <f t="shared" si="56"/>
        <v>0</v>
      </c>
      <c r="FT38" s="535">
        <f t="shared" si="167"/>
        <v>0</v>
      </c>
      <c r="FU38" s="533"/>
      <c r="FV38" s="534">
        <f t="shared" si="57"/>
        <v>0</v>
      </c>
      <c r="FW38" s="535">
        <f t="shared" si="168"/>
        <v>0</v>
      </c>
      <c r="FX38" s="533"/>
      <c r="FY38" s="534">
        <f t="shared" si="58"/>
        <v>0</v>
      </c>
      <c r="FZ38" s="535">
        <f t="shared" si="169"/>
        <v>0</v>
      </c>
      <c r="GA38" s="533"/>
      <c r="GB38" s="534">
        <f t="shared" si="59"/>
        <v>0</v>
      </c>
      <c r="GC38" s="535">
        <f t="shared" si="170"/>
        <v>0</v>
      </c>
      <c r="GD38" s="533"/>
      <c r="GE38" s="534">
        <f t="shared" si="60"/>
        <v>0</v>
      </c>
      <c r="GF38" s="535">
        <f t="shared" si="171"/>
        <v>0</v>
      </c>
      <c r="GG38" s="533"/>
      <c r="GH38" s="534">
        <f t="shared" si="61"/>
        <v>0</v>
      </c>
      <c r="GI38" s="535">
        <f t="shared" si="172"/>
        <v>0</v>
      </c>
      <c r="GJ38" s="533"/>
      <c r="GK38" s="534">
        <f t="shared" si="62"/>
        <v>0</v>
      </c>
      <c r="GL38" s="535">
        <f t="shared" si="173"/>
        <v>0</v>
      </c>
      <c r="GM38" s="533"/>
      <c r="GN38" s="534">
        <f t="shared" si="63"/>
        <v>0</v>
      </c>
      <c r="GO38" s="535">
        <f t="shared" si="174"/>
        <v>0</v>
      </c>
      <c r="GP38" s="533"/>
      <c r="GQ38" s="534">
        <f t="shared" si="64"/>
        <v>0</v>
      </c>
      <c r="GR38" s="535">
        <f t="shared" si="175"/>
        <v>0</v>
      </c>
      <c r="GS38" s="533"/>
      <c r="GT38" s="534">
        <f t="shared" si="65"/>
        <v>0</v>
      </c>
      <c r="GU38" s="535">
        <f t="shared" si="176"/>
        <v>0</v>
      </c>
      <c r="GV38" s="533"/>
      <c r="GW38" s="534">
        <f t="shared" si="66"/>
        <v>0</v>
      </c>
      <c r="GX38" s="535">
        <f t="shared" si="177"/>
        <v>0</v>
      </c>
      <c r="GY38" s="533"/>
      <c r="GZ38" s="534">
        <f t="shared" si="67"/>
        <v>0</v>
      </c>
      <c r="HA38" s="535">
        <f t="shared" si="178"/>
        <v>0</v>
      </c>
      <c r="HB38" s="533"/>
      <c r="HC38" s="534">
        <f t="shared" si="68"/>
        <v>0</v>
      </c>
      <c r="HD38" s="535">
        <f t="shared" si="179"/>
        <v>0</v>
      </c>
      <c r="HE38" s="533"/>
      <c r="HF38" s="534">
        <f t="shared" si="69"/>
        <v>0</v>
      </c>
      <c r="HG38" s="535">
        <f t="shared" si="180"/>
        <v>0</v>
      </c>
      <c r="HH38" s="533"/>
      <c r="HI38" s="534">
        <f t="shared" si="70"/>
        <v>0</v>
      </c>
      <c r="HJ38" s="535">
        <f t="shared" si="181"/>
        <v>0</v>
      </c>
      <c r="HK38" s="533"/>
      <c r="HL38" s="534">
        <f t="shared" si="71"/>
        <v>0</v>
      </c>
      <c r="HM38" s="535">
        <f t="shared" si="182"/>
        <v>0</v>
      </c>
      <c r="HN38" s="533"/>
      <c r="HO38" s="534">
        <f t="shared" si="72"/>
        <v>0</v>
      </c>
      <c r="HP38" s="535">
        <f t="shared" si="183"/>
        <v>0</v>
      </c>
      <c r="HQ38" s="533"/>
      <c r="HR38" s="534">
        <f t="shared" si="73"/>
        <v>0</v>
      </c>
      <c r="HS38" s="535">
        <f t="shared" si="184"/>
        <v>0</v>
      </c>
      <c r="HT38" s="533"/>
      <c r="HU38" s="534">
        <f t="shared" si="74"/>
        <v>0</v>
      </c>
      <c r="HV38" s="535">
        <f t="shared" si="185"/>
        <v>0</v>
      </c>
      <c r="HW38" s="533"/>
      <c r="HX38" s="534">
        <f t="shared" si="75"/>
        <v>0</v>
      </c>
      <c r="HY38" s="535">
        <f t="shared" si="186"/>
        <v>0</v>
      </c>
      <c r="HZ38" s="533"/>
      <c r="IA38" s="534">
        <f t="shared" si="76"/>
        <v>0</v>
      </c>
      <c r="IB38" s="535">
        <f t="shared" si="187"/>
        <v>0</v>
      </c>
      <c r="IC38" s="533"/>
      <c r="ID38" s="534">
        <f t="shared" si="77"/>
        <v>0</v>
      </c>
      <c r="IE38" s="535">
        <f t="shared" si="188"/>
        <v>0</v>
      </c>
      <c r="IF38" s="533"/>
      <c r="IG38" s="534">
        <f t="shared" si="78"/>
        <v>0</v>
      </c>
      <c r="IH38" s="535">
        <f t="shared" si="189"/>
        <v>0</v>
      </c>
      <c r="II38" s="533"/>
      <c r="IJ38" s="534">
        <f t="shared" si="79"/>
        <v>0</v>
      </c>
      <c r="IK38" s="535">
        <f t="shared" si="190"/>
        <v>0</v>
      </c>
      <c r="IL38" s="533"/>
      <c r="IM38" s="534">
        <f t="shared" si="80"/>
        <v>0</v>
      </c>
      <c r="IN38" s="535">
        <f t="shared" si="191"/>
        <v>0</v>
      </c>
      <c r="IO38" s="533"/>
      <c r="IP38" s="534">
        <f t="shared" si="81"/>
        <v>0</v>
      </c>
      <c r="IQ38" s="535">
        <f t="shared" si="192"/>
        <v>0</v>
      </c>
      <c r="IR38" s="533"/>
      <c r="IS38" s="534">
        <f t="shared" si="82"/>
        <v>0</v>
      </c>
      <c r="IT38" s="535">
        <f t="shared" si="193"/>
        <v>0</v>
      </c>
      <c r="IU38" s="533"/>
      <c r="IV38" s="534">
        <f t="shared" si="83"/>
        <v>0</v>
      </c>
      <c r="IW38" s="535">
        <f t="shared" si="194"/>
        <v>0</v>
      </c>
      <c r="IX38" s="533"/>
      <c r="IY38" s="534">
        <f t="shared" si="84"/>
        <v>0</v>
      </c>
      <c r="IZ38" s="535">
        <f t="shared" si="195"/>
        <v>0</v>
      </c>
      <c r="JA38" s="533"/>
      <c r="JB38" s="534">
        <f t="shared" si="85"/>
        <v>0</v>
      </c>
      <c r="JC38" s="535">
        <f t="shared" si="196"/>
        <v>0</v>
      </c>
      <c r="JD38" s="533"/>
      <c r="JE38" s="534">
        <f t="shared" si="86"/>
        <v>0</v>
      </c>
      <c r="JF38" s="535">
        <f t="shared" si="197"/>
        <v>0</v>
      </c>
      <c r="JG38" s="533"/>
      <c r="JH38" s="534">
        <f t="shared" si="87"/>
        <v>0</v>
      </c>
      <c r="JI38" s="535">
        <f t="shared" si="198"/>
        <v>0</v>
      </c>
      <c r="JJ38" s="533"/>
      <c r="JK38" s="535" t="str">
        <f t="shared" si="88"/>
        <v>0</v>
      </c>
      <c r="JL38" s="535" t="str">
        <f t="shared" si="89"/>
        <v>0</v>
      </c>
      <c r="JM38" s="533"/>
      <c r="JN38" s="535" t="str">
        <f t="shared" si="90"/>
        <v>0</v>
      </c>
      <c r="JO38" s="535" t="str">
        <f t="shared" si="91"/>
        <v>0</v>
      </c>
      <c r="JP38" s="533"/>
      <c r="JQ38" s="535" t="str">
        <f t="shared" si="92"/>
        <v>0</v>
      </c>
      <c r="JR38" s="535" t="str">
        <f t="shared" si="93"/>
        <v>0</v>
      </c>
      <c r="JS38" s="533"/>
      <c r="JT38" s="535" t="str">
        <f t="shared" si="94"/>
        <v>0</v>
      </c>
      <c r="JU38" s="535" t="str">
        <f t="shared" si="95"/>
        <v>0</v>
      </c>
      <c r="JV38" s="533"/>
      <c r="JW38" s="535" t="str">
        <f t="shared" si="96"/>
        <v>0</v>
      </c>
      <c r="JX38" s="535" t="str">
        <f t="shared" si="97"/>
        <v>0</v>
      </c>
      <c r="JY38" s="533"/>
      <c r="JZ38" s="535" t="str">
        <f t="shared" si="98"/>
        <v>0</v>
      </c>
      <c r="KA38" s="535" t="str">
        <f t="shared" si="99"/>
        <v>0</v>
      </c>
      <c r="KB38" s="533"/>
      <c r="KC38" s="535" t="str">
        <f t="shared" si="100"/>
        <v>0</v>
      </c>
      <c r="KD38" s="535" t="str">
        <f t="shared" si="101"/>
        <v>0</v>
      </c>
      <c r="KE38" s="533"/>
      <c r="KF38" s="535" t="str">
        <f t="shared" si="102"/>
        <v>0</v>
      </c>
      <c r="KG38" s="535" t="str">
        <f t="shared" si="103"/>
        <v>0</v>
      </c>
      <c r="KH38" s="533"/>
      <c r="KI38" s="535" t="str">
        <f t="shared" si="104"/>
        <v>0</v>
      </c>
      <c r="KJ38" s="535" t="str">
        <f t="shared" si="105"/>
        <v>0</v>
      </c>
      <c r="KK38" s="533"/>
      <c r="KL38" s="535" t="str">
        <f t="shared" si="106"/>
        <v>0</v>
      </c>
      <c r="KM38" s="535" t="str">
        <f t="shared" si="107"/>
        <v>0</v>
      </c>
      <c r="KN38" s="533"/>
      <c r="KO38" s="535" t="str">
        <f t="shared" si="108"/>
        <v>0</v>
      </c>
      <c r="KP38" s="535" t="str">
        <f t="shared" si="109"/>
        <v>0</v>
      </c>
      <c r="KQ38" s="533"/>
      <c r="KR38" s="535" t="str">
        <f t="shared" si="110"/>
        <v>0</v>
      </c>
      <c r="KS38" s="535" t="str">
        <f t="shared" si="111"/>
        <v>0</v>
      </c>
      <c r="KT38" s="535">
        <f t="shared" si="201"/>
        <v>0</v>
      </c>
      <c r="KU38" s="535">
        <f t="shared" si="202"/>
        <v>0</v>
      </c>
      <c r="KV38" s="272">
        <f t="shared" si="199"/>
        <v>426.39400000000018</v>
      </c>
    </row>
    <row r="39" spans="1:308" ht="15" customHeight="1">
      <c r="A39" s="274"/>
      <c r="B39" s="275"/>
      <c r="C39" s="415"/>
      <c r="D39" s="276"/>
      <c r="E39" s="277"/>
      <c r="F39" s="533"/>
      <c r="G39" s="534"/>
      <c r="H39" s="535"/>
      <c r="I39" s="533"/>
      <c r="J39" s="534"/>
      <c r="K39" s="535"/>
      <c r="L39" s="533"/>
      <c r="M39" s="534"/>
      <c r="N39" s="535"/>
      <c r="O39" s="533"/>
      <c r="P39" s="534"/>
      <c r="Q39" s="535"/>
      <c r="R39" s="533"/>
      <c r="S39" s="534"/>
      <c r="T39" s="535"/>
      <c r="U39" s="533"/>
      <c r="V39" s="534"/>
      <c r="W39" s="535"/>
      <c r="X39" s="533"/>
      <c r="Y39" s="534"/>
      <c r="Z39" s="535"/>
      <c r="AA39" s="533"/>
      <c r="AB39" s="534"/>
      <c r="AC39" s="535"/>
      <c r="AD39" s="533"/>
      <c r="AE39" s="534"/>
      <c r="AF39" s="535"/>
      <c r="AG39" s="533"/>
      <c r="AH39" s="534"/>
      <c r="AI39" s="535"/>
      <c r="AJ39" s="533"/>
      <c r="AK39" s="534"/>
      <c r="AL39" s="535"/>
      <c r="AM39" s="533"/>
      <c r="AN39" s="534"/>
      <c r="AO39" s="535"/>
      <c r="AP39" s="533"/>
      <c r="AQ39" s="534"/>
      <c r="AR39" s="535"/>
      <c r="AS39" s="533"/>
      <c r="AT39" s="534"/>
      <c r="AU39" s="535"/>
      <c r="AV39" s="533"/>
      <c r="AW39" s="534"/>
      <c r="AX39" s="535"/>
      <c r="AY39" s="533"/>
      <c r="AZ39" s="534"/>
      <c r="BA39" s="535"/>
      <c r="BB39" s="533"/>
      <c r="BC39" s="534"/>
      <c r="BD39" s="535"/>
      <c r="BE39" s="533"/>
      <c r="BF39" s="534"/>
      <c r="BG39" s="535"/>
      <c r="BH39" s="533"/>
      <c r="BI39" s="534"/>
      <c r="BJ39" s="535"/>
      <c r="BK39" s="533"/>
      <c r="BL39" s="534"/>
      <c r="BM39" s="535"/>
      <c r="BN39" s="533"/>
      <c r="BO39" s="534"/>
      <c r="BP39" s="535"/>
      <c r="BQ39" s="533"/>
      <c r="BR39" s="534"/>
      <c r="BS39" s="535"/>
      <c r="BT39" s="533"/>
      <c r="BU39" s="534"/>
      <c r="BV39" s="535"/>
      <c r="BW39" s="533"/>
      <c r="BX39" s="534"/>
      <c r="BY39" s="535"/>
      <c r="BZ39" s="533"/>
      <c r="CA39" s="534"/>
      <c r="CB39" s="535"/>
      <c r="CC39" s="533"/>
      <c r="CD39" s="534"/>
      <c r="CE39" s="535"/>
      <c r="CF39" s="533"/>
      <c r="CG39" s="534"/>
      <c r="CH39" s="535"/>
      <c r="CI39" s="533"/>
      <c r="CJ39" s="534"/>
      <c r="CK39" s="535"/>
      <c r="CL39" s="533"/>
      <c r="CM39" s="534"/>
      <c r="CN39" s="535"/>
      <c r="CO39" s="533"/>
      <c r="CP39" s="534"/>
      <c r="CQ39" s="535"/>
      <c r="CR39" s="533"/>
      <c r="CS39" s="534"/>
      <c r="CT39" s="535"/>
      <c r="CU39" s="533"/>
      <c r="CV39" s="534"/>
      <c r="CW39" s="535"/>
      <c r="CX39" s="533"/>
      <c r="CY39" s="534"/>
      <c r="CZ39" s="535"/>
      <c r="DA39" s="533"/>
      <c r="DB39" s="534"/>
      <c r="DC39" s="535"/>
      <c r="DD39" s="533"/>
      <c r="DE39" s="534"/>
      <c r="DF39" s="535"/>
      <c r="DG39" s="533"/>
      <c r="DH39" s="534"/>
      <c r="DI39" s="535"/>
      <c r="DJ39" s="533"/>
      <c r="DK39" s="534"/>
      <c r="DL39" s="535"/>
      <c r="DM39" s="533"/>
      <c r="DN39" s="534"/>
      <c r="DO39" s="535"/>
      <c r="DP39" s="533"/>
      <c r="DQ39" s="534"/>
      <c r="DR39" s="535"/>
      <c r="DS39" s="533"/>
      <c r="DT39" s="534"/>
      <c r="DU39" s="535"/>
      <c r="DV39" s="533"/>
      <c r="DW39" s="534"/>
      <c r="DX39" s="535"/>
      <c r="DY39" s="533"/>
      <c r="DZ39" s="534"/>
      <c r="EA39" s="535"/>
      <c r="EB39" s="533"/>
      <c r="EC39" s="534"/>
      <c r="ED39" s="535"/>
      <c r="EE39" s="533"/>
      <c r="EF39" s="534"/>
      <c r="EG39" s="535"/>
      <c r="EH39" s="533"/>
      <c r="EI39" s="534"/>
      <c r="EJ39" s="535"/>
      <c r="EK39" s="533"/>
      <c r="EL39" s="534"/>
      <c r="EM39" s="535"/>
      <c r="EN39" s="533"/>
      <c r="EO39" s="534"/>
      <c r="EP39" s="535"/>
      <c r="EQ39" s="533"/>
      <c r="ER39" s="534"/>
      <c r="ES39" s="535"/>
      <c r="ET39" s="533"/>
      <c r="EU39" s="534"/>
      <c r="EV39" s="535"/>
      <c r="EW39" s="533"/>
      <c r="EX39" s="534"/>
      <c r="EY39" s="535"/>
      <c r="EZ39" s="533"/>
      <c r="FA39" s="534"/>
      <c r="FB39" s="535"/>
      <c r="FC39" s="533"/>
      <c r="FD39" s="534"/>
      <c r="FE39" s="535"/>
      <c r="FF39" s="533"/>
      <c r="FG39" s="534"/>
      <c r="FH39" s="535"/>
      <c r="FI39" s="533"/>
      <c r="FJ39" s="534"/>
      <c r="FK39" s="535"/>
      <c r="FL39" s="533"/>
      <c r="FM39" s="534"/>
      <c r="FN39" s="535"/>
      <c r="FO39" s="533"/>
      <c r="FP39" s="534"/>
      <c r="FQ39" s="535"/>
      <c r="FR39" s="533"/>
      <c r="FS39" s="534"/>
      <c r="FT39" s="535"/>
      <c r="FU39" s="533"/>
      <c r="FV39" s="534"/>
      <c r="FW39" s="535"/>
      <c r="FX39" s="533"/>
      <c r="FY39" s="534"/>
      <c r="FZ39" s="535"/>
      <c r="GA39" s="533"/>
      <c r="GB39" s="534"/>
      <c r="GC39" s="535"/>
      <c r="GD39" s="533"/>
      <c r="GE39" s="534"/>
      <c r="GF39" s="535"/>
      <c r="GG39" s="533"/>
      <c r="GH39" s="534"/>
      <c r="GI39" s="535"/>
      <c r="GJ39" s="533"/>
      <c r="GK39" s="534"/>
      <c r="GL39" s="535"/>
      <c r="GM39" s="533"/>
      <c r="GN39" s="534"/>
      <c r="GO39" s="535"/>
      <c r="GP39" s="533"/>
      <c r="GQ39" s="534"/>
      <c r="GR39" s="535"/>
      <c r="GS39" s="533"/>
      <c r="GT39" s="534"/>
      <c r="GU39" s="535"/>
      <c r="GV39" s="533"/>
      <c r="GW39" s="534"/>
      <c r="GX39" s="535"/>
      <c r="GY39" s="533"/>
      <c r="GZ39" s="534"/>
      <c r="HA39" s="535"/>
      <c r="HB39" s="533"/>
      <c r="HC39" s="534"/>
      <c r="HD39" s="535"/>
      <c r="HE39" s="533"/>
      <c r="HF39" s="534"/>
      <c r="HG39" s="535"/>
      <c r="HH39" s="533"/>
      <c r="HI39" s="534"/>
      <c r="HJ39" s="535"/>
      <c r="HK39" s="533"/>
      <c r="HL39" s="534"/>
      <c r="HM39" s="535"/>
      <c r="HN39" s="533"/>
      <c r="HO39" s="534"/>
      <c r="HP39" s="535"/>
      <c r="HQ39" s="533"/>
      <c r="HR39" s="534"/>
      <c r="HS39" s="535"/>
      <c r="HT39" s="533"/>
      <c r="HU39" s="534"/>
      <c r="HV39" s="535"/>
      <c r="HW39" s="533"/>
      <c r="HX39" s="534"/>
      <c r="HY39" s="535"/>
      <c r="HZ39" s="533"/>
      <c r="IA39" s="534"/>
      <c r="IB39" s="535"/>
      <c r="IC39" s="533"/>
      <c r="ID39" s="534"/>
      <c r="IE39" s="535"/>
      <c r="IF39" s="533"/>
      <c r="IG39" s="534"/>
      <c r="IH39" s="535"/>
      <c r="II39" s="533"/>
      <c r="IJ39" s="534"/>
      <c r="IK39" s="535"/>
      <c r="IL39" s="533"/>
      <c r="IM39" s="534"/>
      <c r="IN39" s="535"/>
      <c r="IO39" s="533"/>
      <c r="IP39" s="534"/>
      <c r="IQ39" s="535"/>
      <c r="IR39" s="533"/>
      <c r="IS39" s="534"/>
      <c r="IT39" s="535"/>
      <c r="IU39" s="533"/>
      <c r="IV39" s="534"/>
      <c r="IW39" s="535"/>
      <c r="IX39" s="533"/>
      <c r="IY39" s="534"/>
      <c r="IZ39" s="535"/>
      <c r="JA39" s="533"/>
      <c r="JB39" s="534"/>
      <c r="JC39" s="535"/>
      <c r="JD39" s="533"/>
      <c r="JE39" s="534"/>
      <c r="JF39" s="535"/>
      <c r="JG39" s="533"/>
      <c r="JH39" s="534"/>
      <c r="JI39" s="535"/>
      <c r="JJ39" s="533"/>
      <c r="JK39" s="535"/>
      <c r="JL39" s="535"/>
      <c r="JM39" s="533"/>
      <c r="JN39" s="535"/>
      <c r="JO39" s="535"/>
      <c r="JP39" s="533"/>
      <c r="JQ39" s="535"/>
      <c r="JR39" s="535"/>
      <c r="JS39" s="533"/>
      <c r="JT39" s="535"/>
      <c r="JU39" s="535"/>
      <c r="JV39" s="533"/>
      <c r="JW39" s="535"/>
      <c r="JX39" s="535"/>
      <c r="JY39" s="533"/>
      <c r="JZ39" s="535"/>
      <c r="KA39" s="535"/>
      <c r="KB39" s="533"/>
      <c r="KC39" s="535"/>
      <c r="KD39" s="535"/>
      <c r="KE39" s="533"/>
      <c r="KF39" s="535"/>
      <c r="KG39" s="535"/>
      <c r="KH39" s="533"/>
      <c r="KI39" s="535"/>
      <c r="KJ39" s="535"/>
      <c r="KK39" s="533"/>
      <c r="KL39" s="535"/>
      <c r="KM39" s="535"/>
      <c r="KN39" s="533"/>
      <c r="KO39" s="535"/>
      <c r="KP39" s="535"/>
      <c r="KQ39" s="533"/>
      <c r="KR39" s="535"/>
      <c r="KS39" s="535"/>
      <c r="KT39" s="535"/>
      <c r="KU39" s="535"/>
      <c r="KV39" s="272"/>
    </row>
    <row r="40" spans="1:308" ht="15" customHeight="1" thickBot="1">
      <c r="A40" s="279"/>
      <c r="B40" s="280"/>
      <c r="C40" s="281"/>
      <c r="D40" s="281"/>
      <c r="E40" s="277">
        <f>+Report1!R40</f>
        <v>0</v>
      </c>
      <c r="F40" s="533"/>
      <c r="G40" s="534"/>
      <c r="H40" s="535"/>
      <c r="I40" s="533"/>
      <c r="J40" s="534"/>
      <c r="K40" s="535"/>
      <c r="L40" s="533"/>
      <c r="M40" s="534"/>
      <c r="N40" s="535"/>
      <c r="O40" s="533"/>
      <c r="P40" s="534"/>
      <c r="Q40" s="535"/>
      <c r="R40" s="533"/>
      <c r="S40" s="534"/>
      <c r="T40" s="535"/>
      <c r="U40" s="533"/>
      <c r="V40" s="534"/>
      <c r="W40" s="535"/>
      <c r="X40" s="533"/>
      <c r="Y40" s="534"/>
      <c r="Z40" s="535"/>
      <c r="AA40" s="533"/>
      <c r="AB40" s="534"/>
      <c r="AC40" s="535"/>
      <c r="AD40" s="533"/>
      <c r="AE40" s="534"/>
      <c r="AF40" s="535"/>
      <c r="AG40" s="533"/>
      <c r="AH40" s="534"/>
      <c r="AI40" s="535"/>
      <c r="AJ40" s="533"/>
      <c r="AK40" s="534"/>
      <c r="AL40" s="535"/>
      <c r="AM40" s="533"/>
      <c r="AN40" s="534"/>
      <c r="AO40" s="535"/>
      <c r="AP40" s="533"/>
      <c r="AQ40" s="534"/>
      <c r="AR40" s="535"/>
      <c r="AS40" s="533"/>
      <c r="AT40" s="534"/>
      <c r="AU40" s="535"/>
      <c r="AV40" s="533"/>
      <c r="AW40" s="534"/>
      <c r="AX40" s="535"/>
      <c r="AY40" s="533"/>
      <c r="AZ40" s="534"/>
      <c r="BA40" s="535"/>
      <c r="BB40" s="533"/>
      <c r="BC40" s="534"/>
      <c r="BD40" s="535"/>
      <c r="BE40" s="533"/>
      <c r="BF40" s="534"/>
      <c r="BG40" s="535"/>
      <c r="BH40" s="533"/>
      <c r="BI40" s="534"/>
      <c r="BJ40" s="535"/>
      <c r="BK40" s="533"/>
      <c r="BL40" s="534"/>
      <c r="BM40" s="535"/>
      <c r="BN40" s="533"/>
      <c r="BO40" s="534"/>
      <c r="BP40" s="535"/>
      <c r="BQ40" s="533"/>
      <c r="BR40" s="534"/>
      <c r="BS40" s="535"/>
      <c r="BT40" s="533"/>
      <c r="BU40" s="534"/>
      <c r="BV40" s="535"/>
      <c r="BW40" s="533"/>
      <c r="BX40" s="534"/>
      <c r="BY40" s="535"/>
      <c r="BZ40" s="533"/>
      <c r="CA40" s="534"/>
      <c r="CB40" s="535"/>
      <c r="CC40" s="533"/>
      <c r="CD40" s="534"/>
      <c r="CE40" s="535"/>
      <c r="CF40" s="533"/>
      <c r="CG40" s="534"/>
      <c r="CH40" s="535"/>
      <c r="CI40" s="533"/>
      <c r="CJ40" s="534"/>
      <c r="CK40" s="535"/>
      <c r="CL40" s="533"/>
      <c r="CM40" s="534"/>
      <c r="CN40" s="535"/>
      <c r="CO40" s="533"/>
      <c r="CP40" s="534"/>
      <c r="CQ40" s="535"/>
      <c r="CR40" s="533"/>
      <c r="CS40" s="534"/>
      <c r="CT40" s="535"/>
      <c r="CU40" s="533"/>
      <c r="CV40" s="534"/>
      <c r="CW40" s="535"/>
      <c r="CX40" s="533"/>
      <c r="CY40" s="534"/>
      <c r="CZ40" s="535"/>
      <c r="DA40" s="533"/>
      <c r="DB40" s="534"/>
      <c r="DC40" s="535"/>
      <c r="DD40" s="533"/>
      <c r="DE40" s="534"/>
      <c r="DF40" s="535"/>
      <c r="DG40" s="533"/>
      <c r="DH40" s="534"/>
      <c r="DI40" s="535"/>
      <c r="DJ40" s="533"/>
      <c r="DK40" s="534"/>
      <c r="DL40" s="535"/>
      <c r="DM40" s="533"/>
      <c r="DN40" s="534"/>
      <c r="DO40" s="535"/>
      <c r="DP40" s="533"/>
      <c r="DQ40" s="534"/>
      <c r="DR40" s="535"/>
      <c r="DS40" s="533"/>
      <c r="DT40" s="534"/>
      <c r="DU40" s="535"/>
      <c r="DV40" s="533"/>
      <c r="DW40" s="534"/>
      <c r="DX40" s="535"/>
      <c r="DY40" s="533"/>
      <c r="DZ40" s="534"/>
      <c r="EA40" s="535"/>
      <c r="EB40" s="533"/>
      <c r="EC40" s="534"/>
      <c r="ED40" s="535"/>
      <c r="EE40" s="533"/>
      <c r="EF40" s="534"/>
      <c r="EG40" s="535"/>
      <c r="EH40" s="533"/>
      <c r="EI40" s="534"/>
      <c r="EJ40" s="535"/>
      <c r="EK40" s="533"/>
      <c r="EL40" s="534"/>
      <c r="EM40" s="535"/>
      <c r="EN40" s="533"/>
      <c r="EO40" s="534"/>
      <c r="EP40" s="535"/>
      <c r="EQ40" s="533"/>
      <c r="ER40" s="534"/>
      <c r="ES40" s="535"/>
      <c r="ET40" s="533"/>
      <c r="EU40" s="534"/>
      <c r="EV40" s="535"/>
      <c r="EW40" s="533"/>
      <c r="EX40" s="534"/>
      <c r="EY40" s="535"/>
      <c r="EZ40" s="533"/>
      <c r="FA40" s="534"/>
      <c r="FB40" s="535"/>
      <c r="FC40" s="533"/>
      <c r="FD40" s="534"/>
      <c r="FE40" s="535"/>
      <c r="FF40" s="533"/>
      <c r="FG40" s="534"/>
      <c r="FH40" s="535"/>
      <c r="FI40" s="533"/>
      <c r="FJ40" s="534"/>
      <c r="FK40" s="535"/>
      <c r="FL40" s="533"/>
      <c r="FM40" s="534"/>
      <c r="FN40" s="535"/>
      <c r="FO40" s="533"/>
      <c r="FP40" s="534"/>
      <c r="FQ40" s="535"/>
      <c r="FR40" s="533"/>
      <c r="FS40" s="534"/>
      <c r="FT40" s="535"/>
      <c r="FU40" s="533"/>
      <c r="FV40" s="534"/>
      <c r="FW40" s="535"/>
      <c r="FX40" s="533"/>
      <c r="FY40" s="534"/>
      <c r="FZ40" s="535"/>
      <c r="GA40" s="533"/>
      <c r="GB40" s="534"/>
      <c r="GC40" s="535"/>
      <c r="GD40" s="533"/>
      <c r="GE40" s="534"/>
      <c r="GF40" s="535"/>
      <c r="GG40" s="533"/>
      <c r="GH40" s="534"/>
      <c r="GI40" s="535"/>
      <c r="GJ40" s="533"/>
      <c r="GK40" s="534"/>
      <c r="GL40" s="535"/>
      <c r="GM40" s="533"/>
      <c r="GN40" s="534"/>
      <c r="GO40" s="535"/>
      <c r="GP40" s="533"/>
      <c r="GQ40" s="534"/>
      <c r="GR40" s="535"/>
      <c r="GS40" s="533"/>
      <c r="GT40" s="534"/>
      <c r="GU40" s="535"/>
      <c r="GV40" s="533"/>
      <c r="GW40" s="534"/>
      <c r="GX40" s="535"/>
      <c r="GY40" s="533"/>
      <c r="GZ40" s="534"/>
      <c r="HA40" s="535"/>
      <c r="HB40" s="533"/>
      <c r="HC40" s="534"/>
      <c r="HD40" s="535"/>
      <c r="HE40" s="533"/>
      <c r="HF40" s="534"/>
      <c r="HG40" s="535"/>
      <c r="HH40" s="533"/>
      <c r="HI40" s="534"/>
      <c r="HJ40" s="535"/>
      <c r="HK40" s="533"/>
      <c r="HL40" s="534"/>
      <c r="HM40" s="535"/>
      <c r="HN40" s="533"/>
      <c r="HO40" s="534"/>
      <c r="HP40" s="535"/>
      <c r="HQ40" s="533"/>
      <c r="HR40" s="534"/>
      <c r="HS40" s="535"/>
      <c r="HT40" s="533"/>
      <c r="HU40" s="534"/>
      <c r="HV40" s="535"/>
      <c r="HW40" s="533"/>
      <c r="HX40" s="534"/>
      <c r="HY40" s="535"/>
      <c r="HZ40" s="533"/>
      <c r="IA40" s="534"/>
      <c r="IB40" s="535"/>
      <c r="IC40" s="533"/>
      <c r="ID40" s="534"/>
      <c r="IE40" s="535"/>
      <c r="IF40" s="533"/>
      <c r="IG40" s="534"/>
      <c r="IH40" s="535"/>
      <c r="II40" s="533"/>
      <c r="IJ40" s="534"/>
      <c r="IK40" s="535"/>
      <c r="IL40" s="533"/>
      <c r="IM40" s="534"/>
      <c r="IN40" s="535"/>
      <c r="IO40" s="533"/>
      <c r="IP40" s="534"/>
      <c r="IQ40" s="535"/>
      <c r="IR40" s="533"/>
      <c r="IS40" s="534"/>
      <c r="IT40" s="535"/>
      <c r="IU40" s="533"/>
      <c r="IV40" s="534"/>
      <c r="IW40" s="535"/>
      <c r="IX40" s="533"/>
      <c r="IY40" s="534"/>
      <c r="IZ40" s="535"/>
      <c r="JA40" s="533"/>
      <c r="JB40" s="534"/>
      <c r="JC40" s="535"/>
      <c r="JD40" s="533"/>
      <c r="JE40" s="534"/>
      <c r="JF40" s="535"/>
      <c r="JG40" s="533"/>
      <c r="JH40" s="534"/>
      <c r="JI40" s="535"/>
      <c r="JJ40" s="533"/>
      <c r="JK40" s="535"/>
      <c r="JL40" s="535"/>
      <c r="JM40" s="533"/>
      <c r="JN40" s="535"/>
      <c r="JO40" s="535"/>
      <c r="JP40" s="533"/>
      <c r="JQ40" s="535"/>
      <c r="JR40" s="535"/>
      <c r="JS40" s="533"/>
      <c r="JT40" s="535"/>
      <c r="JU40" s="535"/>
      <c r="JV40" s="533"/>
      <c r="JW40" s="535"/>
      <c r="JX40" s="535"/>
      <c r="JY40" s="533"/>
      <c r="JZ40" s="535"/>
      <c r="KA40" s="535"/>
      <c r="KB40" s="533"/>
      <c r="KC40" s="535"/>
      <c r="KD40" s="535"/>
      <c r="KE40" s="533"/>
      <c r="KF40" s="535"/>
      <c r="KG40" s="535"/>
      <c r="KH40" s="533"/>
      <c r="KI40" s="535"/>
      <c r="KJ40" s="535"/>
      <c r="KK40" s="533"/>
      <c r="KL40" s="535"/>
      <c r="KM40" s="535"/>
      <c r="KN40" s="533"/>
      <c r="KO40" s="535"/>
      <c r="KP40" s="535"/>
      <c r="KQ40" s="533"/>
      <c r="KR40" s="535"/>
      <c r="KS40" s="535"/>
      <c r="KT40" s="535"/>
      <c r="KU40" s="535"/>
      <c r="KV40" s="272"/>
    </row>
    <row r="41" spans="1:308" s="278" customFormat="1" ht="15" customHeight="1" thickTop="1" thickBot="1">
      <c r="A41" s="952" t="s">
        <v>27</v>
      </c>
      <c r="B41" s="953"/>
      <c r="C41" s="954"/>
      <c r="D41" s="282">
        <f>SUM(D9:D40)</f>
        <v>1652.454</v>
      </c>
      <c r="E41" s="282">
        <f>SUM(E9:E40)</f>
        <v>1595.0559999999998</v>
      </c>
      <c r="F41" s="530">
        <f>SUM(F9:F39)</f>
        <v>1534.8837209302328</v>
      </c>
      <c r="G41" s="530">
        <f>IFERROR((F41/$L$41),0)</f>
        <v>0</v>
      </c>
      <c r="H41" s="530">
        <f>IFERROR(((F41*H$8)/$L$41),0)</f>
        <v>0</v>
      </c>
      <c r="I41" s="530">
        <f>SUM(I9:I39)</f>
        <v>9988.3732697674423</v>
      </c>
      <c r="J41" s="530">
        <f>IFERROR((I41/$L$41),0)</f>
        <v>0</v>
      </c>
      <c r="K41" s="530">
        <f>IFERROR(((I41*K$8)/$L$41),0)</f>
        <v>0</v>
      </c>
      <c r="L41" s="530">
        <f>SUM(L9:L39)</f>
        <v>0</v>
      </c>
      <c r="M41" s="530">
        <f>IFERROR((L41/$L$41),0)</f>
        <v>0</v>
      </c>
      <c r="N41" s="530">
        <f>IFERROR(((L41*N$8)/$L$41),0)</f>
        <v>0</v>
      </c>
      <c r="O41" s="530">
        <f>SUM(O9:O39)</f>
        <v>264.00360000000001</v>
      </c>
      <c r="P41" s="530">
        <f>IFERROR((O41/$L$41),0)</f>
        <v>0</v>
      </c>
      <c r="Q41" s="530">
        <f>IFERROR(((O41*Q$8)/$L$41),0)</f>
        <v>0</v>
      </c>
      <c r="R41" s="530">
        <f>SUM(R9:R39)</f>
        <v>0</v>
      </c>
      <c r="S41" s="530">
        <f>IFERROR((R41/$L$41),0)</f>
        <v>0</v>
      </c>
      <c r="T41" s="530">
        <f>IFERROR(((R41*T$8)/$L$41),0)</f>
        <v>0</v>
      </c>
      <c r="U41" s="530">
        <f>SUM(U9:U39)</f>
        <v>151.18439999999998</v>
      </c>
      <c r="V41" s="530">
        <f>IFERROR((U41/$L$41),0)</f>
        <v>0</v>
      </c>
      <c r="W41" s="530">
        <f>IFERROR(((U41*W$8)/$L$41),0)</f>
        <v>0</v>
      </c>
      <c r="X41" s="530">
        <f>SUM(X9:X39)</f>
        <v>0</v>
      </c>
      <c r="Y41" s="530">
        <f>IFERROR((X41/$L$41),0)</f>
        <v>0</v>
      </c>
      <c r="Z41" s="530">
        <f>IFERROR(((X41*Z$8)/$L$41),0)</f>
        <v>0</v>
      </c>
      <c r="AA41" s="530">
        <f>SUM(AA9:AA39)</f>
        <v>0</v>
      </c>
      <c r="AB41" s="530">
        <f>IFERROR((AA41/$L$41),0)</f>
        <v>0</v>
      </c>
      <c r="AC41" s="530">
        <f>IFERROR(((AA41*AC$8)/$L$41),0)</f>
        <v>0</v>
      </c>
      <c r="AD41" s="530">
        <f>SUM(AD9:AD39)</f>
        <v>0</v>
      </c>
      <c r="AE41" s="530">
        <f>IFERROR((AD41/$L$41),0)</f>
        <v>0</v>
      </c>
      <c r="AF41" s="530">
        <f>IFERROR(((AD41*AF$8)/$L$41),0)</f>
        <v>0</v>
      </c>
      <c r="AG41" s="530">
        <f>SUM(AG9:AG39)</f>
        <v>0</v>
      </c>
      <c r="AH41" s="530">
        <f>IFERROR((AG41/$L$41),0)</f>
        <v>0</v>
      </c>
      <c r="AI41" s="530">
        <f>IFERROR(((AG41*AI$8)/$L$41),0)</f>
        <v>0</v>
      </c>
      <c r="AJ41" s="530">
        <f>SUM(AJ9:AJ39)</f>
        <v>29.371199999999988</v>
      </c>
      <c r="AK41" s="530">
        <f>IFERROR((AJ41/$L$41),0)</f>
        <v>0</v>
      </c>
      <c r="AL41" s="530">
        <f>IFERROR(((AJ41*AL$8)/$L$41),0)</f>
        <v>0</v>
      </c>
      <c r="AM41" s="530">
        <f>SUM(AM9:AM39)</f>
        <v>97.243589743589752</v>
      </c>
      <c r="AN41" s="530">
        <f>IFERROR((AM41/$L$41),0)</f>
        <v>0</v>
      </c>
      <c r="AO41" s="530">
        <f>IFERROR(((AM41*AO$8)/$L$41),0)</f>
        <v>0</v>
      </c>
      <c r="AP41" s="530">
        <f>SUM(AP9:AP39)</f>
        <v>1267.4078075949365</v>
      </c>
      <c r="AQ41" s="530">
        <f>IFERROR((AP41/$L$41),0)</f>
        <v>0</v>
      </c>
      <c r="AR41" s="530">
        <f>IFERROR(((AP41*AR$8)/$L$41),0)</f>
        <v>0</v>
      </c>
      <c r="AS41" s="530">
        <f>SUM(AS9:AS39)</f>
        <v>0</v>
      </c>
      <c r="AT41" s="530">
        <f>IFERROR((AS41/$L$41),0)</f>
        <v>0</v>
      </c>
      <c r="AU41" s="530">
        <f>IFERROR(((AS41*AU$8)/$L$41),0)</f>
        <v>0</v>
      </c>
      <c r="AV41" s="530">
        <f>SUM(AV9:AV39)</f>
        <v>149.85149999999999</v>
      </c>
      <c r="AW41" s="530">
        <f>IFERROR((AV41/$L$41),0)</f>
        <v>0</v>
      </c>
      <c r="AX41" s="530">
        <f>IFERROR(((AV41*AX$8)/$L$41),0)</f>
        <v>0</v>
      </c>
      <c r="AY41" s="530">
        <f>SUM(AY9:AY39)</f>
        <v>1637.9978666666671</v>
      </c>
      <c r="AZ41" s="530">
        <f>IFERROR((AY41/$L$41),0)</f>
        <v>0</v>
      </c>
      <c r="BA41" s="530">
        <f>IFERROR(((AY41*BA$8)/$L$41),0)</f>
        <v>0</v>
      </c>
      <c r="BB41" s="530">
        <f>SUM(BB9:BB39)</f>
        <v>88.666666666666671</v>
      </c>
      <c r="BC41" s="530">
        <f>IFERROR((BB41/$L$41),0)</f>
        <v>0</v>
      </c>
      <c r="BD41" s="530">
        <f>IFERROR(((BB41*BD$8)/$L$41),0)</f>
        <v>0</v>
      </c>
      <c r="BE41" s="530">
        <f>SUM(BE9:BE39)</f>
        <v>0</v>
      </c>
      <c r="BF41" s="530">
        <f>IFERROR((BE41/$L$41),0)</f>
        <v>0</v>
      </c>
      <c r="BG41" s="530">
        <f>IFERROR(((BE41*BG$8)/$L$41),0)</f>
        <v>0</v>
      </c>
      <c r="BH41" s="530">
        <f>SUM(BH9:BH39)</f>
        <v>0</v>
      </c>
      <c r="BI41" s="530">
        <f>IFERROR((BH41/$L$41),0)</f>
        <v>0</v>
      </c>
      <c r="BJ41" s="530">
        <f>IFERROR(((BH41*BJ$8)/$L$41),0)</f>
        <v>0</v>
      </c>
      <c r="BK41" s="530">
        <f>SUM(BK9:BK39)</f>
        <v>0</v>
      </c>
      <c r="BL41" s="530">
        <f>IFERROR((BK41/$L$41),0)</f>
        <v>0</v>
      </c>
      <c r="BM41" s="530">
        <f>IFERROR(((BK41*BM$8)/$L$41),0)</f>
        <v>0</v>
      </c>
      <c r="BN41" s="530">
        <f>SUM(BN9:BN39)</f>
        <v>212.59550000000007</v>
      </c>
      <c r="BO41" s="530">
        <f>IFERROR((BN41/$L$41),0)</f>
        <v>0</v>
      </c>
      <c r="BP41" s="530">
        <f>IFERROR(((BN41*BP$8)/$L$41),0)</f>
        <v>0</v>
      </c>
      <c r="BQ41" s="530">
        <f>SUM(BQ9:BQ39)</f>
        <v>82.046973333333398</v>
      </c>
      <c r="BR41" s="530">
        <f>IFERROR((BQ41/$L$41),0)</f>
        <v>0</v>
      </c>
      <c r="BS41" s="530">
        <f>IFERROR(((BQ41*BS$8)/$L$41),0)</f>
        <v>0</v>
      </c>
      <c r="BT41" s="530">
        <f>SUM(BT9:BT39)</f>
        <v>0</v>
      </c>
      <c r="BU41" s="530">
        <f>IFERROR((BT41/$L$41),0)</f>
        <v>0</v>
      </c>
      <c r="BV41" s="530">
        <f>IFERROR(((BT41*BV$8)/$L$41),0)</f>
        <v>0</v>
      </c>
      <c r="BW41" s="530">
        <f>SUM(BW9:BW39)</f>
        <v>2.0399999999999991</v>
      </c>
      <c r="BX41" s="530">
        <f>IFERROR((BW41/$L$41),0)</f>
        <v>0</v>
      </c>
      <c r="BY41" s="530">
        <f>IFERROR(((BW41*BY$8)/$L$41),0)</f>
        <v>0</v>
      </c>
      <c r="BZ41" s="530">
        <f>SUM(BZ9:BZ39)</f>
        <v>0</v>
      </c>
      <c r="CA41" s="530">
        <f>IFERROR((BZ41/$L$41),0)</f>
        <v>0</v>
      </c>
      <c r="CB41" s="530">
        <f>IFERROR(((BZ41*CB$8)/$L$41),0)</f>
        <v>0</v>
      </c>
      <c r="CC41" s="530">
        <f>SUM(CC9:CC39)</f>
        <v>55.000000000000007</v>
      </c>
      <c r="CD41" s="530">
        <f>IFERROR((CC41/$L$41),0)</f>
        <v>0</v>
      </c>
      <c r="CE41" s="530">
        <f>IFERROR(((CC41*CE$8)/$L$41),0)</f>
        <v>0</v>
      </c>
      <c r="CF41" s="530">
        <f>SUM(CF9:CF39)</f>
        <v>3.2500000000000004</v>
      </c>
      <c r="CG41" s="530">
        <f>IFERROR((CF41/$L$41),0)</f>
        <v>0</v>
      </c>
      <c r="CH41" s="530">
        <f>IFERROR(((CF41*CH$8)/$L$41),0)</f>
        <v>0</v>
      </c>
      <c r="CI41" s="530">
        <f>SUM(CI9:CI39)</f>
        <v>0</v>
      </c>
      <c r="CJ41" s="530">
        <f>IFERROR((CI41/$L$41),0)</f>
        <v>0</v>
      </c>
      <c r="CK41" s="530">
        <f>IFERROR(((CI41*CK$8)/$L$41),0)</f>
        <v>0</v>
      </c>
      <c r="CL41" s="530">
        <f>SUM(CL9:CL39)</f>
        <v>0</v>
      </c>
      <c r="CM41" s="530">
        <f>IFERROR((CL41/$L$41),0)</f>
        <v>0</v>
      </c>
      <c r="CN41" s="530">
        <f>IFERROR(((CL41*CN$8)/$L$41),0)</f>
        <v>0</v>
      </c>
      <c r="CO41" s="530">
        <f>SUM(CO9:CO39)</f>
        <v>0</v>
      </c>
      <c r="CP41" s="530">
        <f>IFERROR((CO41/$L$41),0)</f>
        <v>0</v>
      </c>
      <c r="CQ41" s="530">
        <f>IFERROR(((CO41*CQ$8)/$L$41),0)</f>
        <v>0</v>
      </c>
      <c r="CR41" s="530">
        <f>SUM(CR9:CR39)</f>
        <v>0</v>
      </c>
      <c r="CS41" s="530">
        <f>IFERROR((CR41/$L$41),0)</f>
        <v>0</v>
      </c>
      <c r="CT41" s="530">
        <f>IFERROR(((CR41*CT$8)/$L$41),0)</f>
        <v>0</v>
      </c>
      <c r="CU41" s="530">
        <f>SUM(CU9:CU39)</f>
        <v>0</v>
      </c>
      <c r="CV41" s="530">
        <f>IFERROR((CU41/$L$41),0)</f>
        <v>0</v>
      </c>
      <c r="CW41" s="530">
        <f>IFERROR(((CU41*CW$8)/$L$41),0)</f>
        <v>0</v>
      </c>
      <c r="CX41" s="530">
        <f>SUM(CX9:CX39)</f>
        <v>0</v>
      </c>
      <c r="CY41" s="530">
        <f>IFERROR((CX41/$L$41),0)</f>
        <v>0</v>
      </c>
      <c r="CZ41" s="530">
        <f>IFERROR(((CX41*CZ$8)/$L$41),0)</f>
        <v>0</v>
      </c>
      <c r="DA41" s="530">
        <f>SUM(DA9:DA39)</f>
        <v>0</v>
      </c>
      <c r="DB41" s="530">
        <f>IFERROR((DA41/$L$41),0)</f>
        <v>0</v>
      </c>
      <c r="DC41" s="530">
        <f>IFERROR(((DA41*DC$8)/$L$41),0)</f>
        <v>0</v>
      </c>
      <c r="DD41" s="530">
        <f>SUM(DD9:DD39)</f>
        <v>0</v>
      </c>
      <c r="DE41" s="530">
        <f>IFERROR((DD41/$L$41),0)</f>
        <v>0</v>
      </c>
      <c r="DF41" s="530">
        <f>IFERROR(((DD41*DF$8)/$L$41),0)</f>
        <v>0</v>
      </c>
      <c r="DG41" s="530">
        <f>SUM(DG14:DG39)</f>
        <v>0</v>
      </c>
      <c r="DH41" s="530">
        <f>IFERROR((DG41/$L$41),0)</f>
        <v>0</v>
      </c>
      <c r="DI41" s="530">
        <f>IFERROR(((DG41*DI$8)/$L$41),0)</f>
        <v>0</v>
      </c>
      <c r="DJ41" s="530">
        <f>SUM(DJ9:DJ39)</f>
        <v>0</v>
      </c>
      <c r="DK41" s="530">
        <f>IFERROR((DJ41/$L$41),0)</f>
        <v>0</v>
      </c>
      <c r="DL41" s="530">
        <f>IFERROR(((DJ41*DL$8)/$L$41),0)</f>
        <v>0</v>
      </c>
      <c r="DM41" s="530">
        <f>SUM(DM9:DM39)</f>
        <v>0</v>
      </c>
      <c r="DN41" s="530">
        <f>IFERROR((DM41/$L$41),0)</f>
        <v>0</v>
      </c>
      <c r="DO41" s="530">
        <f>IFERROR(((DM41*DO$8)/$L$41),0)</f>
        <v>0</v>
      </c>
      <c r="DP41" s="530">
        <f>SUM(DP9:DP39)</f>
        <v>0</v>
      </c>
      <c r="DQ41" s="530">
        <f>IFERROR((DP41/$L$41),0)</f>
        <v>0</v>
      </c>
      <c r="DR41" s="530">
        <f>IFERROR(((DP41*DR$8)/$L$41),0)</f>
        <v>0</v>
      </c>
      <c r="DS41" s="530">
        <f>SUM(DS9:DS39)</f>
        <v>0</v>
      </c>
      <c r="DT41" s="530">
        <f>IFERROR((DS41/$L$41),0)</f>
        <v>0</v>
      </c>
      <c r="DU41" s="530">
        <f>IFERROR(((DS41*DU$8)/$L$41),0)</f>
        <v>0</v>
      </c>
      <c r="DV41" s="530">
        <f>SUM(DV9:DV39)</f>
        <v>0</v>
      </c>
      <c r="DW41" s="530">
        <f>IFERROR((DV41/$L$41),0)</f>
        <v>0</v>
      </c>
      <c r="DX41" s="530">
        <f>IFERROR(((DV41*DX$8)/$L$41),0)</f>
        <v>0</v>
      </c>
      <c r="DY41" s="530">
        <f>SUM(DY9:DY39)</f>
        <v>0</v>
      </c>
      <c r="DZ41" s="530">
        <f>IFERROR((DY41/$L$41),0)</f>
        <v>0</v>
      </c>
      <c r="EA41" s="530">
        <f>IFERROR(((DY41*EA$8)/$L$41),0)</f>
        <v>0</v>
      </c>
      <c r="EB41" s="530">
        <f>SUM(EB9:EB39)</f>
        <v>596.30075348837204</v>
      </c>
      <c r="EC41" s="530">
        <f>IFERROR((EB41/$L$41),0)</f>
        <v>0</v>
      </c>
      <c r="ED41" s="530">
        <f>IFERROR(((EB41*ED$8)/$L$41),0)</f>
        <v>0</v>
      </c>
      <c r="EE41" s="530">
        <f>SUM(EE9:EE39)</f>
        <v>16</v>
      </c>
      <c r="EF41" s="530">
        <f>IFERROR((EE41/$L$41),0)</f>
        <v>0</v>
      </c>
      <c r="EG41" s="530">
        <f>IFERROR(((EE41*EG$8)/$L$41),0)</f>
        <v>0</v>
      </c>
      <c r="EH41" s="530">
        <f>SUM(EH9:EH39)</f>
        <v>0</v>
      </c>
      <c r="EI41" s="530">
        <f>IFERROR((EH41/$L$41),0)</f>
        <v>0</v>
      </c>
      <c r="EJ41" s="530">
        <f>IFERROR(((EH41*EJ$8)/$L$41),0)</f>
        <v>0</v>
      </c>
      <c r="EK41" s="530">
        <f>SUM(EK9:EK39)</f>
        <v>0</v>
      </c>
      <c r="EL41" s="530">
        <f>IFERROR((EK41/$L$41),0)</f>
        <v>0</v>
      </c>
      <c r="EM41" s="530">
        <f>IFERROR(((EK41*EM$8)/$L$41),0)</f>
        <v>0</v>
      </c>
      <c r="EN41" s="530">
        <f>SUM(EN9:EN39)</f>
        <v>0</v>
      </c>
      <c r="EO41" s="530">
        <f>IFERROR((EN41/$L$41),0)</f>
        <v>0</v>
      </c>
      <c r="EP41" s="530">
        <f>IFERROR(((EN41*EP$8)/$L$41),0)</f>
        <v>0</v>
      </c>
      <c r="EQ41" s="530">
        <f>SUM(EQ9:EQ39)</f>
        <v>0</v>
      </c>
      <c r="ER41" s="530">
        <f>IFERROR((EQ41/$L$41),0)</f>
        <v>0</v>
      </c>
      <c r="ES41" s="530">
        <f>IFERROR(((EQ41*ES$8)/$L$41),0)</f>
        <v>0</v>
      </c>
      <c r="ET41" s="530">
        <f>SUM(ET9:ET39)</f>
        <v>0</v>
      </c>
      <c r="EU41" s="530">
        <f>IFERROR((ET41/$L$41),0)</f>
        <v>0</v>
      </c>
      <c r="EV41" s="530">
        <f>IFERROR(((ET41*EV$8)/$L$41),0)</f>
        <v>0</v>
      </c>
      <c r="EW41" s="530">
        <f>SUM(EW9:EW39)</f>
        <v>0</v>
      </c>
      <c r="EX41" s="530">
        <f>IFERROR((EW41/$L$41),0)</f>
        <v>0</v>
      </c>
      <c r="EY41" s="530">
        <f>IFERROR(((EW41*EY$8)/$L$41),0)</f>
        <v>0</v>
      </c>
      <c r="EZ41" s="530">
        <f>SUM(EZ9:EZ39)</f>
        <v>0</v>
      </c>
      <c r="FA41" s="530">
        <f>IFERROR((EZ41/$L$41),0)</f>
        <v>0</v>
      </c>
      <c r="FB41" s="530">
        <f>IFERROR(((EZ41*FB$8)/$L$41),0)</f>
        <v>0</v>
      </c>
      <c r="FC41" s="530">
        <f>SUM(FC9:FC39)</f>
        <v>0</v>
      </c>
      <c r="FD41" s="530">
        <f>IFERROR((FC41/$L$41),0)</f>
        <v>0</v>
      </c>
      <c r="FE41" s="530">
        <f>IFERROR(((FC41*FE$8)/$L$41),0)</f>
        <v>0</v>
      </c>
      <c r="FF41" s="530">
        <f>SUM(FF9:FF39)</f>
        <v>0</v>
      </c>
      <c r="FG41" s="530">
        <f>IFERROR((FF41/$L$41),0)</f>
        <v>0</v>
      </c>
      <c r="FH41" s="530">
        <f>IFERROR(((FF41*FH$8)/$L$41),0)</f>
        <v>0</v>
      </c>
      <c r="FI41" s="530">
        <f>SUM(FI9:FI39)</f>
        <v>0</v>
      </c>
      <c r="FJ41" s="530">
        <f>IFERROR((FI41/$L$41),0)</f>
        <v>0</v>
      </c>
      <c r="FK41" s="530">
        <f>IFERROR(((FI41*FK$8)/$L$41),0)</f>
        <v>0</v>
      </c>
      <c r="FL41" s="530">
        <f>SUM(FL9:FL39)</f>
        <v>0</v>
      </c>
      <c r="FM41" s="530">
        <f>IFERROR((FL41/$L$41),0)</f>
        <v>0</v>
      </c>
      <c r="FN41" s="530">
        <f>IFERROR(((FL41*FN$8)/$L$41),0)</f>
        <v>0</v>
      </c>
      <c r="FO41" s="530">
        <f>SUM(FO9:FO39)</f>
        <v>0</v>
      </c>
      <c r="FP41" s="530">
        <f>IFERROR((FO41/$L$41),0)</f>
        <v>0</v>
      </c>
      <c r="FQ41" s="530">
        <f>IFERROR(((FO41*FQ$8)/$L$41),0)</f>
        <v>0</v>
      </c>
      <c r="FR41" s="530">
        <f>SUM(FR9:FR39)</f>
        <v>0</v>
      </c>
      <c r="FS41" s="530">
        <f>IFERROR((FR41/$L$41),0)</f>
        <v>0</v>
      </c>
      <c r="FT41" s="530">
        <f>IFERROR(((FR41*FT$8)/$L$41),0)</f>
        <v>0</v>
      </c>
      <c r="FU41" s="530">
        <f>SUM(FU9:FU39)</f>
        <v>0</v>
      </c>
      <c r="FV41" s="530">
        <f>IFERROR((FU41/$L$41),0)</f>
        <v>0</v>
      </c>
      <c r="FW41" s="530">
        <f>IFERROR(((FU41*FW$8)/$L$41),0)</f>
        <v>0</v>
      </c>
      <c r="FX41" s="530">
        <f>SUM(FX9:FX39)</f>
        <v>0</v>
      </c>
      <c r="FY41" s="530">
        <f>IFERROR((FX41/$L$41),0)</f>
        <v>0</v>
      </c>
      <c r="FZ41" s="530">
        <f>IFERROR(((FX41*FZ$8)/$L$41),0)</f>
        <v>0</v>
      </c>
      <c r="GA41" s="530">
        <f>SUM(GA9:GA39)</f>
        <v>0</v>
      </c>
      <c r="GB41" s="530">
        <f>IFERROR((GA41/$L$41),0)</f>
        <v>0</v>
      </c>
      <c r="GC41" s="530">
        <f>IFERROR(((GA41*GC$8)/$L$41),0)</f>
        <v>0</v>
      </c>
      <c r="GD41" s="530">
        <f>SUM(GD9:GD39)</f>
        <v>0</v>
      </c>
      <c r="GE41" s="530">
        <f>IFERROR((GD41/$L$41),0)</f>
        <v>0</v>
      </c>
      <c r="GF41" s="530">
        <f>IFERROR(((GD41*GF$8)/$L$41),0)</f>
        <v>0</v>
      </c>
      <c r="GG41" s="530">
        <f>SUM(GG9:GG39)</f>
        <v>0</v>
      </c>
      <c r="GH41" s="530">
        <f>IFERROR((GG41/$L$41),0)</f>
        <v>0</v>
      </c>
      <c r="GI41" s="530">
        <f>IFERROR(((GG41*GI$8)/$L$41),0)</f>
        <v>0</v>
      </c>
      <c r="GJ41" s="530">
        <f>SUM(GJ9:GJ39)</f>
        <v>0</v>
      </c>
      <c r="GK41" s="530">
        <f>IFERROR((GJ41/$L$41),0)</f>
        <v>0</v>
      </c>
      <c r="GL41" s="530">
        <f>IFERROR(((GJ41*GL$8)/$L$41),0)</f>
        <v>0</v>
      </c>
      <c r="GM41" s="530">
        <f>SUM(GM9:GM39)</f>
        <v>0</v>
      </c>
      <c r="GN41" s="530">
        <f>IFERROR((GM41/$L$41),0)</f>
        <v>0</v>
      </c>
      <c r="GO41" s="530">
        <f>IFERROR(((GM41*GO$8)/$L$41),0)</f>
        <v>0</v>
      </c>
      <c r="GP41" s="530">
        <f>SUM(GP9:GP39)</f>
        <v>0</v>
      </c>
      <c r="GQ41" s="530">
        <f>IFERROR((GP41/$L$41),0)</f>
        <v>0</v>
      </c>
      <c r="GR41" s="530">
        <f>IFERROR(((GP41*GR$8)/$L$41),0)</f>
        <v>0</v>
      </c>
      <c r="GS41" s="530">
        <f>SUM(GS9:GS39)</f>
        <v>0</v>
      </c>
      <c r="GT41" s="530">
        <f>IFERROR((GS41/$L$41),0)</f>
        <v>0</v>
      </c>
      <c r="GU41" s="530">
        <f>IFERROR(((GS41*GU$8)/$L$41),0)</f>
        <v>0</v>
      </c>
      <c r="GV41" s="530">
        <f>SUM(GV9:GV39)</f>
        <v>0</v>
      </c>
      <c r="GW41" s="530">
        <f>IFERROR((GV41/$L$41),0)</f>
        <v>0</v>
      </c>
      <c r="GX41" s="530">
        <f>IFERROR(((GV41*GX$8)/$L$41),0)</f>
        <v>0</v>
      </c>
      <c r="GY41" s="530">
        <f>SUM(GY9:GY39)</f>
        <v>0</v>
      </c>
      <c r="GZ41" s="530">
        <f>IFERROR((GY41/$L$41),0)</f>
        <v>0</v>
      </c>
      <c r="HA41" s="530">
        <f>IFERROR(((GY41*HA$8)/$L$41),0)</f>
        <v>0</v>
      </c>
      <c r="HB41" s="530">
        <f>SUM(HB9:HB39)</f>
        <v>0</v>
      </c>
      <c r="HC41" s="530">
        <f>IFERROR((HB41/$L$41),0)</f>
        <v>0</v>
      </c>
      <c r="HD41" s="530">
        <f>IFERROR(((HB41*HD$8)/$L$41),0)</f>
        <v>0</v>
      </c>
      <c r="HE41" s="530">
        <f>SUM(HE9:HE39)</f>
        <v>0</v>
      </c>
      <c r="HF41" s="530">
        <f>IFERROR((HE41/$L$41),0)</f>
        <v>0</v>
      </c>
      <c r="HG41" s="530">
        <f>IFERROR(((HE41*HG$8)/$L$41),0)</f>
        <v>0</v>
      </c>
      <c r="HH41" s="530">
        <f>SUM(HH9:HH39)</f>
        <v>0</v>
      </c>
      <c r="HI41" s="530">
        <f>IFERROR((HH41/$L$41),0)</f>
        <v>0</v>
      </c>
      <c r="HJ41" s="530">
        <f>IFERROR(((HH41*HJ$8)/$L$41),0)</f>
        <v>0</v>
      </c>
      <c r="HK41" s="530">
        <f>SUM(HK9:HK39)</f>
        <v>0</v>
      </c>
      <c r="HL41" s="530">
        <f>IFERROR((HK41/$L$41),0)</f>
        <v>0</v>
      </c>
      <c r="HM41" s="530">
        <f>IFERROR(((HK41*HM$8)/$L$41),0)</f>
        <v>0</v>
      </c>
      <c r="HN41" s="530">
        <f>SUM(HN9:HN39)</f>
        <v>0</v>
      </c>
      <c r="HO41" s="530">
        <f>IFERROR((HN41/$L$41),0)</f>
        <v>0</v>
      </c>
      <c r="HP41" s="530">
        <f>IFERROR(((HN41*HP$8)/$L$41),0)</f>
        <v>0</v>
      </c>
      <c r="HQ41" s="530">
        <f>SUM(HQ9:HQ39)</f>
        <v>0</v>
      </c>
      <c r="HR41" s="530">
        <f>IFERROR((HQ41/$L$41),0)</f>
        <v>0</v>
      </c>
      <c r="HS41" s="530">
        <f>IFERROR(((HQ41*HS$8)/$L$41),0)</f>
        <v>0</v>
      </c>
      <c r="HT41" s="530">
        <f>SUM(HT9:HT39)</f>
        <v>0</v>
      </c>
      <c r="HU41" s="530">
        <f>IFERROR((HT41/$L$41),0)</f>
        <v>0</v>
      </c>
      <c r="HV41" s="530">
        <f>IFERROR(((HT41*HV$8)/$L$41),0)</f>
        <v>0</v>
      </c>
      <c r="HW41" s="530">
        <f>SUM(HW9:HW39)</f>
        <v>0</v>
      </c>
      <c r="HX41" s="530">
        <f>IFERROR((HW41/$L$41),0)</f>
        <v>0</v>
      </c>
      <c r="HY41" s="530">
        <f>IFERROR(((HW41*HY$8)/$L$41),0)</f>
        <v>0</v>
      </c>
      <c r="HZ41" s="530">
        <f>SUM(HZ9:HZ39)</f>
        <v>0</v>
      </c>
      <c r="IA41" s="530">
        <f>IFERROR((HZ41/$L$41),0)</f>
        <v>0</v>
      </c>
      <c r="IB41" s="530">
        <f>IFERROR(((HZ41*IB$8)/$L$41),0)</f>
        <v>0</v>
      </c>
      <c r="IC41" s="530">
        <f>SUM(IC9:IC39)</f>
        <v>0</v>
      </c>
      <c r="ID41" s="530">
        <f>IFERROR((IC41/$L$41),0)</f>
        <v>0</v>
      </c>
      <c r="IE41" s="530">
        <f>IFERROR(((IC41*IE$8)/$L$41),0)</f>
        <v>0</v>
      </c>
      <c r="IF41" s="530">
        <f>SUM(IF9:IF39)</f>
        <v>0</v>
      </c>
      <c r="IG41" s="530">
        <f>IFERROR((IF41/$L$41),0)</f>
        <v>0</v>
      </c>
      <c r="IH41" s="530">
        <f>IFERROR(((IF41*IH$8)/$L$41),0)</f>
        <v>0</v>
      </c>
      <c r="II41" s="530">
        <f>SUM(II9:II39)</f>
        <v>0</v>
      </c>
      <c r="IJ41" s="530">
        <f>IFERROR((II41/$L$41),0)</f>
        <v>0</v>
      </c>
      <c r="IK41" s="530">
        <f>IFERROR(((II41*IK$8)/$L$41),0)</f>
        <v>0</v>
      </c>
      <c r="IL41" s="530">
        <f>SUM(IL9:IL39)</f>
        <v>0</v>
      </c>
      <c r="IM41" s="530">
        <f>IFERROR((IL41/$L$41),0)</f>
        <v>0</v>
      </c>
      <c r="IN41" s="530">
        <f>IFERROR(((IL41*IN$8)/$L$41),0)</f>
        <v>0</v>
      </c>
      <c r="IO41" s="530">
        <f>SUM(IO9:IO39)</f>
        <v>0</v>
      </c>
      <c r="IP41" s="530">
        <f>IFERROR((IO41/$L$41),0)</f>
        <v>0</v>
      </c>
      <c r="IQ41" s="530">
        <f>IFERROR(((IO41*IQ$8)/$L$41),0)</f>
        <v>0</v>
      </c>
      <c r="IR41" s="530">
        <f>SUM(IR9:IR39)</f>
        <v>0</v>
      </c>
      <c r="IS41" s="530">
        <f>IFERROR((IR41/$L$41),0)</f>
        <v>0</v>
      </c>
      <c r="IT41" s="530">
        <f>IFERROR(((IR41*IT$8)/$L$41),0)</f>
        <v>0</v>
      </c>
      <c r="IU41" s="530">
        <f>SUM(IU9:IU39)</f>
        <v>0</v>
      </c>
      <c r="IV41" s="530">
        <f>IFERROR((IU41/$L$41),0)</f>
        <v>0</v>
      </c>
      <c r="IW41" s="530">
        <f>IFERROR(((IU41*IW$8)/$L$41),0)</f>
        <v>0</v>
      </c>
      <c r="IX41" s="530">
        <f>SUM(IX9:IX39)</f>
        <v>0</v>
      </c>
      <c r="IY41" s="530">
        <f>IFERROR((IX41/$L$41),0)</f>
        <v>0</v>
      </c>
      <c r="IZ41" s="530">
        <f>IFERROR(((IX41*IZ$8)/$L$41),0)</f>
        <v>0</v>
      </c>
      <c r="JA41" s="530">
        <f>SUM(JA9:JA39)</f>
        <v>0</v>
      </c>
      <c r="JB41" s="530">
        <f>IFERROR((JA41/$L$41),0)</f>
        <v>0</v>
      </c>
      <c r="JC41" s="530">
        <f>IFERROR(((JA41*JC$8)/$L$41),0)</f>
        <v>0</v>
      </c>
      <c r="JD41" s="530">
        <f>SUM(JD9:JD39)</f>
        <v>0</v>
      </c>
      <c r="JE41" s="530">
        <f>IFERROR((JD41/$L$41),0)</f>
        <v>0</v>
      </c>
      <c r="JF41" s="530">
        <f>IFERROR(((JD41*JF$8)/$L$41),0)</f>
        <v>0</v>
      </c>
      <c r="JG41" s="530">
        <f>SUM(JG9:JG39)</f>
        <v>0</v>
      </c>
      <c r="JH41" s="530">
        <f>IFERROR((JG41/$L$41),0)</f>
        <v>0</v>
      </c>
      <c r="JI41" s="530">
        <f>IFERROR(((JG41*JI$8)/$L$41),0)</f>
        <v>0</v>
      </c>
      <c r="JJ41" s="530">
        <f>SUM(JJ9:JJ39)</f>
        <v>0</v>
      </c>
      <c r="JK41" s="530">
        <f>IFERROR((JJ41/$L$41),0)</f>
        <v>0</v>
      </c>
      <c r="JL41" s="530">
        <f>IFERROR(((JJ41*JL$8)/$L$41),0)</f>
        <v>0</v>
      </c>
      <c r="JM41" s="530">
        <f>SUM(JM9:JM39)</f>
        <v>0</v>
      </c>
      <c r="JN41" s="530">
        <f>IFERROR((JM41/$L$41),0)</f>
        <v>0</v>
      </c>
      <c r="JO41" s="530">
        <f>IFERROR(((JM41*JO$8)/$L$41),0)</f>
        <v>0</v>
      </c>
      <c r="JP41" s="530">
        <f>SUM(JP9:JP39)</f>
        <v>0</v>
      </c>
      <c r="JQ41" s="530">
        <f>IFERROR((JP41/$L$41),0)</f>
        <v>0</v>
      </c>
      <c r="JR41" s="530">
        <f>IFERROR(((JP41*JR$8)/$L$41),0)</f>
        <v>0</v>
      </c>
      <c r="JS41" s="530">
        <f>SUM(JS9:JS39)</f>
        <v>0</v>
      </c>
      <c r="JT41" s="530">
        <f>IFERROR((JS41/$L$41),0)</f>
        <v>0</v>
      </c>
      <c r="JU41" s="530">
        <f>IFERROR(((JS41*JU$8)/$L$41),0)</f>
        <v>0</v>
      </c>
      <c r="JV41" s="530">
        <f>SUM(JV9:JV39)</f>
        <v>0</v>
      </c>
      <c r="JW41" s="530">
        <f>IFERROR((JV41/$L$41),0)</f>
        <v>0</v>
      </c>
      <c r="JX41" s="530">
        <f>IFERROR(((JV41*JX$8)/$L$41),0)</f>
        <v>0</v>
      </c>
      <c r="JY41" s="530">
        <f>SUM(JY9:JY39)</f>
        <v>0</v>
      </c>
      <c r="JZ41" s="530">
        <f>IFERROR((JY41/$L$41),0)</f>
        <v>0</v>
      </c>
      <c r="KA41" s="530">
        <f>IFERROR(((JY41*KA$8)/$L$41),0)</f>
        <v>0</v>
      </c>
      <c r="KB41" s="530">
        <f>SUM(KB9:KB39)</f>
        <v>0</v>
      </c>
      <c r="KC41" s="530">
        <f>IFERROR((KB41/$L$41),0)</f>
        <v>0</v>
      </c>
      <c r="KD41" s="530">
        <f>IFERROR(((KB41*KD$8)/$L$41),0)</f>
        <v>0</v>
      </c>
      <c r="KE41" s="530">
        <f>SUM(KE9:KE39)</f>
        <v>0</v>
      </c>
      <c r="KF41" s="530">
        <f>IFERROR((KE41/$L$41),0)</f>
        <v>0</v>
      </c>
      <c r="KG41" s="530">
        <f>IFERROR(((KE41*KG$8)/$L$41),0)</f>
        <v>0</v>
      </c>
      <c r="KH41" s="530">
        <f>SUM(KH9:KH39)</f>
        <v>0</v>
      </c>
      <c r="KI41" s="530">
        <f>IFERROR((KH41/$L$41),0)</f>
        <v>0</v>
      </c>
      <c r="KJ41" s="530">
        <f>IFERROR(((KH41*KJ$8)/$L$41),0)</f>
        <v>0</v>
      </c>
      <c r="KK41" s="530">
        <f>SUM(KK9:KK39)</f>
        <v>0</v>
      </c>
      <c r="KL41" s="530">
        <f>IFERROR((KK41/$L$41),0)</f>
        <v>0</v>
      </c>
      <c r="KM41" s="530">
        <f>IFERROR(((KK41*KM$8)/$L$41),0)</f>
        <v>0</v>
      </c>
      <c r="KN41" s="530">
        <f>SUM(KN9:KN39)</f>
        <v>0</v>
      </c>
      <c r="KO41" s="530">
        <f>IFERROR((KN41/$L$41),0)</f>
        <v>0</v>
      </c>
      <c r="KP41" s="530">
        <f>IFERROR(((KN41*KP$8)/$L$41),0)</f>
        <v>0</v>
      </c>
      <c r="KQ41" s="530">
        <f>SUM(KQ9:KQ39)</f>
        <v>0</v>
      </c>
      <c r="KR41" s="530">
        <f>IFERROR((KQ41/$L$41),0)</f>
        <v>0</v>
      </c>
      <c r="KS41" s="530">
        <f>IFERROR(((KQ41*KS$8)/$L$41),0)</f>
        <v>0</v>
      </c>
      <c r="KT41" s="531">
        <f t="shared" si="201"/>
        <v>0</v>
      </c>
      <c r="KU41" s="531">
        <f t="shared" si="202"/>
        <v>0</v>
      </c>
      <c r="KV41" s="272">
        <f t="shared" si="199"/>
        <v>16176.216848191241</v>
      </c>
    </row>
    <row r="43" spans="1:308" ht="15" customHeight="1">
      <c r="A43" s="283" t="s">
        <v>136</v>
      </c>
      <c r="B43" s="284" t="s">
        <v>137</v>
      </c>
      <c r="C43" s="285" t="s">
        <v>151</v>
      </c>
      <c r="D43" s="269"/>
      <c r="E43" s="269"/>
    </row>
    <row r="44" spans="1:308" ht="15" customHeight="1">
      <c r="A44" s="286"/>
      <c r="B44" s="284" t="s">
        <v>138</v>
      </c>
      <c r="C44" s="285" t="s">
        <v>144</v>
      </c>
      <c r="D44" s="269"/>
      <c r="E44" s="269"/>
    </row>
    <row r="45" spans="1:308" ht="15" customHeight="1">
      <c r="A45" s="286"/>
      <c r="B45" s="287" t="s">
        <v>139</v>
      </c>
      <c r="C45" s="285" t="s">
        <v>140</v>
      </c>
      <c r="D45" s="269"/>
      <c r="E45" s="269"/>
    </row>
  </sheetData>
  <mergeCells count="210">
    <mergeCell ref="CL7:CM7"/>
    <mergeCell ref="CO7:CP7"/>
    <mergeCell ref="B6:B8"/>
    <mergeCell ref="AJ7:AK7"/>
    <mergeCell ref="BN7:BO7"/>
    <mergeCell ref="BZ7:CA7"/>
    <mergeCell ref="CC7:CD7"/>
    <mergeCell ref="CF7:CG7"/>
    <mergeCell ref="CI7:CJ7"/>
    <mergeCell ref="AV6:AX6"/>
    <mergeCell ref="AY7:AZ7"/>
    <mergeCell ref="AY6:BA6"/>
    <mergeCell ref="BB6:BD6"/>
    <mergeCell ref="BE6:BG6"/>
    <mergeCell ref="A41:C41"/>
    <mergeCell ref="F7:G7"/>
    <mergeCell ref="C6:C8"/>
    <mergeCell ref="E6:E8"/>
    <mergeCell ref="D6:D8"/>
    <mergeCell ref="A6:A8"/>
    <mergeCell ref="F5:GC5"/>
    <mergeCell ref="GD5:KS5"/>
    <mergeCell ref="KT5:KT8"/>
    <mergeCell ref="CF6:CH6"/>
    <mergeCell ref="CI6:CK6"/>
    <mergeCell ref="BH6:BJ6"/>
    <mergeCell ref="BK6:BM6"/>
    <mergeCell ref="BN6:BP6"/>
    <mergeCell ref="BQ6:BS6"/>
    <mergeCell ref="BT6:BV6"/>
    <mergeCell ref="DA6:DC6"/>
    <mergeCell ref="DD6:DF6"/>
    <mergeCell ref="DG6:DI6"/>
    <mergeCell ref="DJ6:DL6"/>
    <mergeCell ref="DM6:DO6"/>
    <mergeCell ref="CL6:CN6"/>
    <mergeCell ref="CO6:CQ6"/>
    <mergeCell ref="CR6:CT6"/>
    <mergeCell ref="KU5:KU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BT7:BU7"/>
    <mergeCell ref="BK7:BL7"/>
    <mergeCell ref="R7:S7"/>
    <mergeCell ref="U7:V7"/>
    <mergeCell ref="AG7:AH7"/>
    <mergeCell ref="AV7:AW7"/>
    <mergeCell ref="AP6:AR6"/>
    <mergeCell ref="AS6:AU6"/>
    <mergeCell ref="BW6:BY6"/>
    <mergeCell ref="BZ6:CB6"/>
    <mergeCell ref="CC6:CE6"/>
    <mergeCell ref="CU6:CW6"/>
    <mergeCell ref="CX6:CZ6"/>
    <mergeCell ref="EE6:EG6"/>
    <mergeCell ref="EH6:EJ6"/>
    <mergeCell ref="EK6:EM6"/>
    <mergeCell ref="EN6:EP6"/>
    <mergeCell ref="EQ6:ES6"/>
    <mergeCell ref="DP6:DR6"/>
    <mergeCell ref="DS6:DU6"/>
    <mergeCell ref="DV6:DX6"/>
    <mergeCell ref="DY6:EA6"/>
    <mergeCell ref="EB6:ED6"/>
    <mergeCell ref="FI6:FK6"/>
    <mergeCell ref="FL6:FN6"/>
    <mergeCell ref="FO6:FQ6"/>
    <mergeCell ref="FR6:FT6"/>
    <mergeCell ref="FU6:FW6"/>
    <mergeCell ref="ET6:EV6"/>
    <mergeCell ref="EW6:EY6"/>
    <mergeCell ref="EZ6:FB6"/>
    <mergeCell ref="FC6:FE6"/>
    <mergeCell ref="FF6:FH6"/>
    <mergeCell ref="GM6:GO6"/>
    <mergeCell ref="GP6:GR6"/>
    <mergeCell ref="GS6:GU6"/>
    <mergeCell ref="GV6:GX6"/>
    <mergeCell ref="GY6:HA6"/>
    <mergeCell ref="FX6:FZ6"/>
    <mergeCell ref="GA6:GC6"/>
    <mergeCell ref="GD6:GF6"/>
    <mergeCell ref="GG6:GI6"/>
    <mergeCell ref="GJ6:GL6"/>
    <mergeCell ref="HQ6:HS6"/>
    <mergeCell ref="HT6:HV6"/>
    <mergeCell ref="HW6:HY6"/>
    <mergeCell ref="HZ6:IB6"/>
    <mergeCell ref="IC6:IE6"/>
    <mergeCell ref="HB6:HD6"/>
    <mergeCell ref="HE6:HG6"/>
    <mergeCell ref="HH6:HJ6"/>
    <mergeCell ref="HK6:HM6"/>
    <mergeCell ref="HN6:HP6"/>
    <mergeCell ref="JS6:JU6"/>
    <mergeCell ref="JV6:JX6"/>
    <mergeCell ref="IU6:IW6"/>
    <mergeCell ref="IX6:IZ6"/>
    <mergeCell ref="JA6:JC6"/>
    <mergeCell ref="JD6:JF6"/>
    <mergeCell ref="JG6:JI6"/>
    <mergeCell ref="IF6:IH6"/>
    <mergeCell ref="II6:IK6"/>
    <mergeCell ref="IL6:IN6"/>
    <mergeCell ref="IO6:IQ6"/>
    <mergeCell ref="IR6:IT6"/>
    <mergeCell ref="KN6:KP6"/>
    <mergeCell ref="KQ6:KS6"/>
    <mergeCell ref="I7:J7"/>
    <mergeCell ref="L7:M7"/>
    <mergeCell ref="O7:P7"/>
    <mergeCell ref="X7:Y7"/>
    <mergeCell ref="AA7:AB7"/>
    <mergeCell ref="AD7:AE7"/>
    <mergeCell ref="AM7:AN7"/>
    <mergeCell ref="AP7:AQ7"/>
    <mergeCell ref="AS7:AT7"/>
    <mergeCell ref="BB7:BC7"/>
    <mergeCell ref="BE7:BF7"/>
    <mergeCell ref="BH7:BI7"/>
    <mergeCell ref="BQ7:BR7"/>
    <mergeCell ref="BW7:BX7"/>
    <mergeCell ref="JY6:KA6"/>
    <mergeCell ref="KB6:KD6"/>
    <mergeCell ref="KE6:KG6"/>
    <mergeCell ref="KH6:KJ6"/>
    <mergeCell ref="KK6:KM6"/>
    <mergeCell ref="JJ6:JL6"/>
    <mergeCell ref="JM6:JO6"/>
    <mergeCell ref="JP6:JR6"/>
    <mergeCell ref="DG7:DH7"/>
    <mergeCell ref="DJ7:DK7"/>
    <mergeCell ref="DM7:DN7"/>
    <mergeCell ref="DP7:DQ7"/>
    <mergeCell ref="DS7:DT7"/>
    <mergeCell ref="CR7:CS7"/>
    <mergeCell ref="CU7:CV7"/>
    <mergeCell ref="CX7:CY7"/>
    <mergeCell ref="DA7:DB7"/>
    <mergeCell ref="DD7:DE7"/>
    <mergeCell ref="EK7:EL7"/>
    <mergeCell ref="EN7:EO7"/>
    <mergeCell ref="EQ7:ER7"/>
    <mergeCell ref="ET7:EU7"/>
    <mergeCell ref="EW7:EX7"/>
    <mergeCell ref="DV7:DW7"/>
    <mergeCell ref="DY7:DZ7"/>
    <mergeCell ref="EB7:EC7"/>
    <mergeCell ref="EE7:EF7"/>
    <mergeCell ref="EH7:EI7"/>
    <mergeCell ref="FO7:FP7"/>
    <mergeCell ref="FR7:FS7"/>
    <mergeCell ref="FU7:FV7"/>
    <mergeCell ref="FX7:FY7"/>
    <mergeCell ref="GA7:GB7"/>
    <mergeCell ref="EZ7:FA7"/>
    <mergeCell ref="FC7:FD7"/>
    <mergeCell ref="FF7:FG7"/>
    <mergeCell ref="FI7:FJ7"/>
    <mergeCell ref="FL7:FM7"/>
    <mergeCell ref="GS7:GT7"/>
    <mergeCell ref="GV7:GW7"/>
    <mergeCell ref="GY7:GZ7"/>
    <mergeCell ref="HB7:HC7"/>
    <mergeCell ref="HE7:HF7"/>
    <mergeCell ref="GD7:GE7"/>
    <mergeCell ref="GG7:GH7"/>
    <mergeCell ref="GJ7:GK7"/>
    <mergeCell ref="GM7:GN7"/>
    <mergeCell ref="GP7:GQ7"/>
    <mergeCell ref="HW7:HX7"/>
    <mergeCell ref="HZ7:IA7"/>
    <mergeCell ref="IC7:ID7"/>
    <mergeCell ref="IF7:IG7"/>
    <mergeCell ref="II7:IJ7"/>
    <mergeCell ref="HH7:HI7"/>
    <mergeCell ref="HK7:HL7"/>
    <mergeCell ref="HN7:HO7"/>
    <mergeCell ref="HQ7:HR7"/>
    <mergeCell ref="HT7:HU7"/>
    <mergeCell ref="JA7:JB7"/>
    <mergeCell ref="JD7:JE7"/>
    <mergeCell ref="JG7:JH7"/>
    <mergeCell ref="JJ7:JK7"/>
    <mergeCell ref="JM7:JN7"/>
    <mergeCell ref="IL7:IM7"/>
    <mergeCell ref="IO7:IP7"/>
    <mergeCell ref="IR7:IS7"/>
    <mergeCell ref="IU7:IV7"/>
    <mergeCell ref="IX7:IY7"/>
    <mergeCell ref="KE7:KF7"/>
    <mergeCell ref="KH7:KI7"/>
    <mergeCell ref="KK7:KL7"/>
    <mergeCell ref="KN7:KO7"/>
    <mergeCell ref="KQ7:KR7"/>
    <mergeCell ref="JP7:JQ7"/>
    <mergeCell ref="JS7:JT7"/>
    <mergeCell ref="JV7:JW7"/>
    <mergeCell ref="JY7:JZ7"/>
    <mergeCell ref="KB7:KC7"/>
  </mergeCells>
  <phoneticPr fontId="32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selection activeCell="AE5" sqref="AE5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18" width="9.140625" hidden="1" customWidth="1"/>
    <col min="19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7500</v>
      </c>
      <c r="C1">
        <v>8000</v>
      </c>
      <c r="D1">
        <v>8600</v>
      </c>
      <c r="E1">
        <v>8300</v>
      </c>
      <c r="F1">
        <v>4300</v>
      </c>
      <c r="G1">
        <v>6000</v>
      </c>
      <c r="H1">
        <v>5000</v>
      </c>
      <c r="I1">
        <v>7000</v>
      </c>
      <c r="J1">
        <v>5800</v>
      </c>
      <c r="K1">
        <v>7100</v>
      </c>
      <c r="L1">
        <v>7100</v>
      </c>
      <c r="M1">
        <v>7100</v>
      </c>
      <c r="N1">
        <v>6000</v>
      </c>
      <c r="O1">
        <v>6000</v>
      </c>
      <c r="P1">
        <v>5300</v>
      </c>
      <c r="Q1">
        <v>5300</v>
      </c>
      <c r="R1">
        <v>6100</v>
      </c>
      <c r="S1">
        <v>6400</v>
      </c>
      <c r="T1">
        <v>5400</v>
      </c>
      <c r="U1">
        <v>5400</v>
      </c>
      <c r="V1">
        <v>4700</v>
      </c>
      <c r="W1">
        <v>7400</v>
      </c>
      <c r="X1">
        <v>4900</v>
      </c>
      <c r="Y1">
        <v>7500</v>
      </c>
      <c r="Z1">
        <v>4900</v>
      </c>
      <c r="AA1">
        <v>7800</v>
      </c>
      <c r="AB1">
        <v>5000</v>
      </c>
      <c r="AC1">
        <v>6000</v>
      </c>
      <c r="AD1">
        <v>6000</v>
      </c>
      <c r="AE1">
        <v>6100</v>
      </c>
    </row>
    <row r="2" spans="1:35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82" t="s">
        <v>277</v>
      </c>
      <c r="AH2" s="483" t="s">
        <v>278</v>
      </c>
      <c r="AI2" s="484" t="s">
        <v>279</v>
      </c>
    </row>
    <row r="3" spans="1:35">
      <c r="A3" s="485" t="s">
        <v>280</v>
      </c>
      <c r="B3" s="5">
        <v>12.6</v>
      </c>
      <c r="C3" s="5">
        <v>17.5</v>
      </c>
      <c r="D3" s="5">
        <v>20.2</v>
      </c>
      <c r="E3" s="502">
        <v>24.4</v>
      </c>
      <c r="F3" s="5">
        <v>9.5</v>
      </c>
      <c r="G3" s="5">
        <v>9.3000000000000007</v>
      </c>
      <c r="H3" s="5">
        <v>6.8</v>
      </c>
      <c r="I3" s="5">
        <v>3.8</v>
      </c>
      <c r="J3" s="5">
        <v>4</v>
      </c>
      <c r="K3" s="5">
        <v>6.6</v>
      </c>
      <c r="L3" s="5">
        <v>9.6999999999999993</v>
      </c>
      <c r="M3" s="5">
        <v>14.3</v>
      </c>
      <c r="N3" s="5">
        <v>5.3</v>
      </c>
      <c r="O3" s="5">
        <v>5.3</v>
      </c>
      <c r="P3" s="5">
        <v>7.9</v>
      </c>
      <c r="Q3" s="5">
        <v>9</v>
      </c>
      <c r="R3" s="5">
        <v>3</v>
      </c>
      <c r="S3" s="5">
        <v>6.1</v>
      </c>
      <c r="T3" s="5">
        <v>4.2</v>
      </c>
      <c r="U3" s="5">
        <v>2.4</v>
      </c>
      <c r="V3" s="5">
        <v>6.3</v>
      </c>
      <c r="W3" s="5">
        <v>2.8</v>
      </c>
      <c r="X3" s="5">
        <v>6.9</v>
      </c>
      <c r="Y3" s="5">
        <v>5</v>
      </c>
      <c r="Z3" s="5">
        <v>4</v>
      </c>
      <c r="AA3" s="5">
        <v>8.8000000000000007</v>
      </c>
      <c r="AB3" s="5">
        <v>4.5</v>
      </c>
      <c r="AC3" s="5">
        <v>6.2</v>
      </c>
      <c r="AD3" s="5">
        <v>4</v>
      </c>
      <c r="AE3" s="5">
        <v>0</v>
      </c>
      <c r="AF3" s="5"/>
      <c r="AG3" s="5">
        <f>+AE3</f>
        <v>0</v>
      </c>
      <c r="AH3" s="478">
        <f>+AG3/Efficiency1!$K$153</f>
        <v>0</v>
      </c>
      <c r="AI3" s="970">
        <f>SUM(AH3:AH4)</f>
        <v>1.4326859392492129E-3</v>
      </c>
    </row>
    <row r="4" spans="1:35">
      <c r="A4" s="485" t="s">
        <v>281</v>
      </c>
      <c r="B4" s="5">
        <v>0.56000000000000005</v>
      </c>
      <c r="C4" s="5">
        <v>1.2</v>
      </c>
      <c r="D4" s="5">
        <v>1.1619999999999999</v>
      </c>
      <c r="E4" s="502">
        <v>1.109</v>
      </c>
      <c r="F4" s="5">
        <v>0.5</v>
      </c>
      <c r="G4" s="5">
        <v>0.75600000000000001</v>
      </c>
      <c r="H4" s="5">
        <v>0.2</v>
      </c>
      <c r="I4" s="5">
        <v>2.5870000000000002</v>
      </c>
      <c r="J4" s="5">
        <v>1.0049999999999999</v>
      </c>
      <c r="K4" s="5">
        <v>3.008</v>
      </c>
      <c r="L4" s="5">
        <v>1.014</v>
      </c>
      <c r="M4" s="5">
        <v>1.17</v>
      </c>
      <c r="N4" s="486">
        <v>0.51100000000000001</v>
      </c>
      <c r="O4" s="486">
        <v>0.51100000000000001</v>
      </c>
      <c r="P4" s="5">
        <v>1.6279999999999999</v>
      </c>
      <c r="Q4" s="5">
        <v>1.5189999999999999</v>
      </c>
      <c r="R4" s="5">
        <v>0.83099999999999996</v>
      </c>
      <c r="S4" s="5">
        <v>2.0920000000000001</v>
      </c>
      <c r="T4" s="5">
        <v>1.57</v>
      </c>
      <c r="U4" s="5">
        <v>2.2999999999999998</v>
      </c>
      <c r="V4" s="5">
        <v>0</v>
      </c>
      <c r="W4" s="486">
        <v>0</v>
      </c>
      <c r="X4" s="5">
        <v>0</v>
      </c>
      <c r="Y4" s="5">
        <v>0.82199999999999995</v>
      </c>
      <c r="Z4" s="5">
        <v>2.2999999999999998</v>
      </c>
      <c r="AA4" s="5">
        <v>0</v>
      </c>
      <c r="AB4" s="5">
        <v>0.25</v>
      </c>
      <c r="AC4" s="5">
        <v>0</v>
      </c>
      <c r="AD4" s="5">
        <v>1.4350000000000001</v>
      </c>
      <c r="AE4" s="5">
        <v>2.68</v>
      </c>
      <c r="AF4" s="5"/>
      <c r="AG4" s="5">
        <f>+AE4</f>
        <v>2.68</v>
      </c>
      <c r="AH4" s="478">
        <f>+AG4/Efficiency1!$K$153</f>
        <v>1.4326859392492129E-3</v>
      </c>
      <c r="AI4" s="971"/>
    </row>
    <row r="5" spans="1:35">
      <c r="A5" s="487"/>
      <c r="B5" s="488"/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8"/>
      <c r="N5" s="489"/>
      <c r="O5" s="489"/>
      <c r="P5" s="488"/>
      <c r="Q5" s="488"/>
      <c r="R5" s="488"/>
      <c r="S5" s="488"/>
      <c r="T5" s="488"/>
      <c r="U5" s="488"/>
      <c r="V5" s="488"/>
      <c r="W5" s="489"/>
      <c r="X5" s="488"/>
      <c r="Y5" s="488"/>
      <c r="Z5" s="488"/>
      <c r="AA5" s="488"/>
      <c r="AB5" s="488"/>
      <c r="AC5" s="488"/>
      <c r="AD5" s="488"/>
      <c r="AE5" s="488"/>
      <c r="AF5" s="488"/>
      <c r="AG5" s="488"/>
      <c r="AH5" s="490"/>
    </row>
    <row r="6" spans="1:35">
      <c r="A6" s="485" t="s">
        <v>282</v>
      </c>
      <c r="B6" s="486">
        <f>0.334+0.233+0.35</f>
        <v>0.91700000000000004</v>
      </c>
      <c r="C6" s="5">
        <f>0.39+0.225</f>
        <v>0.61499999999999999</v>
      </c>
      <c r="D6" s="5">
        <f>0.46+0.398+0.13</f>
        <v>0.9880000000000001</v>
      </c>
      <c r="E6" s="5">
        <f>0.24+0.45</f>
        <v>0.69</v>
      </c>
      <c r="F6" s="5">
        <f>0.35+1.529</f>
        <v>1.879</v>
      </c>
      <c r="G6" s="5">
        <f>0.45+0.65+0.3</f>
        <v>1.4000000000000001</v>
      </c>
      <c r="H6" s="5">
        <f>0.544+0.263+0.2</f>
        <v>1.0070000000000001</v>
      </c>
      <c r="I6" s="5">
        <f>0.391+0.304+0.15</f>
        <v>0.84500000000000008</v>
      </c>
      <c r="J6" s="5">
        <f>0.244+0.305+0.24</f>
        <v>0.78899999999999992</v>
      </c>
      <c r="K6" s="5">
        <f>0.346+0.688+0.35</f>
        <v>1.3839999999999999</v>
      </c>
      <c r="L6" s="5">
        <f>0.192+0.1+0.25</f>
        <v>0.54200000000000004</v>
      </c>
      <c r="M6" s="5">
        <f>0.208+0.15+1.021</f>
        <v>1.379</v>
      </c>
      <c r="N6" s="5">
        <f>0.36+0.2+0.15</f>
        <v>0.71000000000000008</v>
      </c>
      <c r="O6" s="5">
        <f>0.2+0.103+0.15</f>
        <v>0.45299999999999996</v>
      </c>
      <c r="P6" s="5">
        <f>0.381+0.2+0.15</f>
        <v>0.73099999999999998</v>
      </c>
      <c r="Q6" s="5">
        <f>0.178+0.1+0.262</f>
        <v>0.54</v>
      </c>
      <c r="R6" s="5">
        <f>0.341+0.5+0.26</f>
        <v>1.101</v>
      </c>
      <c r="S6" s="5">
        <f>0.75+0.349+0.227</f>
        <v>1.3260000000000001</v>
      </c>
      <c r="T6" s="5">
        <f>0.1+0.211</f>
        <v>0.311</v>
      </c>
      <c r="U6" s="5">
        <f>0.25+0.1+0.171</f>
        <v>0.52100000000000002</v>
      </c>
      <c r="V6" s="5">
        <f>0.3+0.1+0.102</f>
        <v>0.502</v>
      </c>
      <c r="W6" s="486">
        <f>0.1+0.1+0.238</f>
        <v>0.438</v>
      </c>
      <c r="X6" s="5">
        <v>0.30399999999999999</v>
      </c>
      <c r="Y6" s="5">
        <f>0.2+0.218+0.289</f>
        <v>0.70700000000000007</v>
      </c>
      <c r="Z6" s="486">
        <f>0.36+0.269+0.236</f>
        <v>0.86499999999999999</v>
      </c>
      <c r="AA6" s="5">
        <f>0.1+0.35+0.259</f>
        <v>0.70899999999999996</v>
      </c>
      <c r="AB6" s="5">
        <f>0.1+0.123+0.18</f>
        <v>0.40300000000000002</v>
      </c>
      <c r="AC6" s="5">
        <f>0.1+0.2+0.15</f>
        <v>0.45000000000000007</v>
      </c>
      <c r="AD6" s="5">
        <f>0.1+0.138+0.1</f>
        <v>0.33800000000000002</v>
      </c>
      <c r="AE6" s="5">
        <f>0.1+0.266+0.106+0.1</f>
        <v>0.57199999999999995</v>
      </c>
      <c r="AF6" s="5"/>
      <c r="AG6" s="5">
        <f t="shared" ref="AG6:AG37" si="0">+SUM(B6:AF6)</f>
        <v>23.415999999999993</v>
      </c>
      <c r="AH6" s="491">
        <f t="shared" ref="AH6:AH36" si="1">+AG6/$AG$39</f>
        <v>0.4748539909149902</v>
      </c>
    </row>
    <row r="7" spans="1:35">
      <c r="A7" s="485" t="s">
        <v>283</v>
      </c>
      <c r="B7" s="5">
        <f>0.34+0.173+0.36</f>
        <v>0.873</v>
      </c>
      <c r="C7" s="5">
        <f>0.245+0.464+0.25</f>
        <v>0.95900000000000007</v>
      </c>
      <c r="D7" s="5">
        <f>0.232+0.513+0.17</f>
        <v>0.91500000000000004</v>
      </c>
      <c r="E7" s="5">
        <f>0.545+2.086+0.45</f>
        <v>3.081</v>
      </c>
      <c r="F7" s="5">
        <f>0.486+0.568</f>
        <v>1.0539999999999998</v>
      </c>
      <c r="G7" s="5">
        <v>0.38400000000000001</v>
      </c>
      <c r="H7" s="486">
        <v>0.2</v>
      </c>
      <c r="I7" s="5"/>
      <c r="J7" s="5">
        <v>0.40799999999999997</v>
      </c>
      <c r="K7" s="5">
        <f>1.006+0.137+0.126</f>
        <v>1.2690000000000001</v>
      </c>
      <c r="L7" s="5">
        <f>0.261+0.206</f>
        <v>0.46699999999999997</v>
      </c>
      <c r="M7" s="5">
        <f>0.292+0.27</f>
        <v>0.56200000000000006</v>
      </c>
      <c r="N7" s="5"/>
      <c r="O7" s="5">
        <f>0.1+0.046</f>
        <v>0.14600000000000002</v>
      </c>
      <c r="P7" s="5">
        <f>0.28+0.22</f>
        <v>0.5</v>
      </c>
      <c r="Q7" s="5"/>
      <c r="R7">
        <f>0.8+0.295+0.29</f>
        <v>1.385</v>
      </c>
      <c r="S7" s="5">
        <v>0.28000000000000003</v>
      </c>
      <c r="T7" s="5"/>
      <c r="U7" s="5"/>
      <c r="V7" s="5"/>
      <c r="W7" s="5"/>
      <c r="X7" s="5"/>
      <c r="Y7" s="5"/>
      <c r="Z7" s="5"/>
      <c r="AA7" s="5">
        <v>0.216</v>
      </c>
      <c r="AB7" s="5">
        <v>0.15</v>
      </c>
      <c r="AC7" s="5">
        <v>0.26400000000000001</v>
      </c>
      <c r="AD7" s="5"/>
      <c r="AE7" s="5"/>
      <c r="AF7" s="5"/>
      <c r="AG7" s="5">
        <f t="shared" si="0"/>
        <v>13.113</v>
      </c>
      <c r="AH7" s="478">
        <f t="shared" si="1"/>
        <v>0.26591904607397798</v>
      </c>
    </row>
    <row r="8" spans="1:35">
      <c r="A8" s="492" t="s">
        <v>284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78">
        <f t="shared" si="1"/>
        <v>0</v>
      </c>
    </row>
    <row r="9" spans="1:35">
      <c r="A9" s="485" t="s">
        <v>285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78">
        <f t="shared" si="1"/>
        <v>0</v>
      </c>
    </row>
    <row r="10" spans="1:35">
      <c r="A10" s="485" t="s">
        <v>286</v>
      </c>
      <c r="B10" s="5"/>
      <c r="C10" s="5"/>
      <c r="D10" s="5"/>
      <c r="E10" s="5"/>
      <c r="F10" s="5"/>
      <c r="G10" s="5"/>
      <c r="H10" s="5">
        <v>0.5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f>0.25+0.1</f>
        <v>0.35</v>
      </c>
      <c r="U10" s="5">
        <v>1.74</v>
      </c>
      <c r="V10" s="5"/>
      <c r="W10" s="5">
        <f>0.543+0.265</f>
        <v>0.80800000000000005</v>
      </c>
      <c r="X10" s="5"/>
      <c r="Y10" s="5"/>
      <c r="Z10" s="5"/>
      <c r="AA10" s="5"/>
      <c r="AB10" s="5"/>
      <c r="AC10" s="5"/>
      <c r="AD10" s="5"/>
      <c r="AE10" s="5"/>
      <c r="AF10" s="5"/>
      <c r="AG10" s="5">
        <f t="shared" si="0"/>
        <v>3.3979999999999997</v>
      </c>
      <c r="AH10" s="478">
        <f t="shared" si="1"/>
        <v>6.8908176508760549E-2</v>
      </c>
    </row>
    <row r="11" spans="1:35">
      <c r="A11" s="485" t="s">
        <v>287</v>
      </c>
      <c r="B11" s="5"/>
      <c r="C11" s="5"/>
      <c r="D11" s="5"/>
      <c r="E11" s="5"/>
      <c r="F11" s="5">
        <v>0.2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>
        <v>0.3</v>
      </c>
      <c r="Y11" s="5"/>
      <c r="Z11" s="5"/>
      <c r="AA11" s="5"/>
      <c r="AB11" s="5"/>
      <c r="AC11" s="5"/>
      <c r="AD11" s="5"/>
      <c r="AE11" s="5"/>
      <c r="AF11" s="5"/>
      <c r="AG11" s="5">
        <f t="shared" si="0"/>
        <v>0.5</v>
      </c>
      <c r="AH11" s="478">
        <f t="shared" si="1"/>
        <v>1.0139519792342637E-2</v>
      </c>
    </row>
    <row r="12" spans="1:35">
      <c r="A12" s="485" t="s">
        <v>288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0.71099999999999997</v>
      </c>
      <c r="N12" s="5"/>
      <c r="O12" s="5"/>
      <c r="P12" s="5"/>
      <c r="Q12" s="5"/>
      <c r="R12" s="5"/>
      <c r="S12" s="5"/>
      <c r="T12" s="5"/>
      <c r="U12" s="5"/>
      <c r="V12" s="5">
        <v>0.26400000000000001</v>
      </c>
      <c r="W12" s="5">
        <v>0.81499999999999995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f t="shared" si="0"/>
        <v>1.79</v>
      </c>
      <c r="AH12" s="478">
        <f t="shared" si="1"/>
        <v>3.6299480856586637E-2</v>
      </c>
    </row>
    <row r="13" spans="1:35">
      <c r="A13" s="485" t="s">
        <v>259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f>1.16+1.35</f>
        <v>2.5099999999999998</v>
      </c>
      <c r="N13" s="5"/>
      <c r="O13" s="5"/>
      <c r="P13" s="5"/>
      <c r="Q13" s="5">
        <v>0.27</v>
      </c>
      <c r="R13" s="5"/>
      <c r="S13" s="5"/>
      <c r="T13" s="5"/>
      <c r="U13" s="5">
        <v>0.51900000000000002</v>
      </c>
      <c r="V13" s="5"/>
      <c r="W13" s="5"/>
      <c r="X13" s="5"/>
      <c r="Y13" s="5"/>
      <c r="Z13" s="5"/>
      <c r="AA13" s="5"/>
      <c r="AB13" s="5">
        <v>0.76800000000000002</v>
      </c>
      <c r="AC13" s="5"/>
      <c r="AD13" s="5"/>
      <c r="AE13" s="5"/>
      <c r="AF13" s="5"/>
      <c r="AG13" s="5">
        <f t="shared" si="0"/>
        <v>4.0670000000000002</v>
      </c>
      <c r="AH13" s="478">
        <f t="shared" si="1"/>
        <v>8.2474853990915004E-2</v>
      </c>
    </row>
    <row r="14" spans="1:35">
      <c r="A14" s="485" t="s">
        <v>289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78">
        <f t="shared" si="1"/>
        <v>0</v>
      </c>
    </row>
    <row r="15" spans="1:35">
      <c r="A15" s="485" t="s">
        <v>310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78">
        <f t="shared" si="1"/>
        <v>0</v>
      </c>
    </row>
    <row r="16" spans="1:35">
      <c r="A16" s="485" t="s">
        <v>290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78">
        <f t="shared" si="1"/>
        <v>0</v>
      </c>
    </row>
    <row r="17" spans="1:34">
      <c r="A17" s="485" t="s">
        <v>291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</v>
      </c>
      <c r="AH17" s="478">
        <f t="shared" si="1"/>
        <v>0</v>
      </c>
    </row>
    <row r="18" spans="1:34">
      <c r="A18" s="485" t="s">
        <v>292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86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f t="shared" si="0"/>
        <v>0</v>
      </c>
      <c r="AH18" s="478">
        <f t="shared" si="1"/>
        <v>0</v>
      </c>
    </row>
    <row r="19" spans="1:34">
      <c r="A19" s="485" t="s">
        <v>293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0</v>
      </c>
      <c r="AH19" s="478">
        <f t="shared" si="1"/>
        <v>0</v>
      </c>
    </row>
    <row r="20" spans="1:34">
      <c r="A20" s="485" t="s">
        <v>406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78">
        <f t="shared" si="1"/>
        <v>0</v>
      </c>
    </row>
    <row r="21" spans="1:34">
      <c r="A21" s="485" t="s">
        <v>294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78">
        <f t="shared" si="1"/>
        <v>0</v>
      </c>
    </row>
    <row r="22" spans="1:34">
      <c r="A22" s="485" t="s">
        <v>295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78">
        <f t="shared" si="1"/>
        <v>0</v>
      </c>
    </row>
    <row r="23" spans="1:34">
      <c r="A23" s="485" t="s">
        <v>296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78">
        <f t="shared" si="1"/>
        <v>0</v>
      </c>
    </row>
    <row r="24" spans="1:34">
      <c r="A24" s="485" t="s">
        <v>297</v>
      </c>
      <c r="B24" s="5"/>
      <c r="C24" s="5">
        <v>0.46899999999999997</v>
      </c>
      <c r="D24" s="5"/>
      <c r="E24" s="5"/>
      <c r="F24" s="5"/>
      <c r="G24" s="5"/>
      <c r="H24" s="5"/>
      <c r="I24" s="5"/>
      <c r="J24" s="5"/>
      <c r="K24" s="5">
        <v>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2.4689999999999999</v>
      </c>
      <c r="AH24" s="478">
        <f t="shared" si="1"/>
        <v>5.0068948734587934E-2</v>
      </c>
    </row>
    <row r="25" spans="1:34">
      <c r="A25" s="485" t="s">
        <v>298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78">
        <f t="shared" si="1"/>
        <v>0</v>
      </c>
    </row>
    <row r="26" spans="1:34">
      <c r="A26" s="485" t="s">
        <v>412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78">
        <f t="shared" si="1"/>
        <v>0</v>
      </c>
    </row>
    <row r="27" spans="1:34">
      <c r="A27" s="485" t="s">
        <v>299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78">
        <f t="shared" si="1"/>
        <v>0</v>
      </c>
    </row>
    <row r="28" spans="1:34">
      <c r="A28" s="485" t="s">
        <v>300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78">
        <f t="shared" si="1"/>
        <v>0</v>
      </c>
    </row>
    <row r="29" spans="1:34">
      <c r="A29" s="485" t="s">
        <v>301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78">
        <f t="shared" si="1"/>
        <v>0</v>
      </c>
    </row>
    <row r="30" spans="1:34">
      <c r="A30" s="485" t="s">
        <v>302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78">
        <f t="shared" si="1"/>
        <v>0</v>
      </c>
    </row>
    <row r="31" spans="1:34">
      <c r="A31" s="485" t="s">
        <v>231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78">
        <f t="shared" si="1"/>
        <v>0</v>
      </c>
    </row>
    <row r="32" spans="1:34">
      <c r="A32" s="485" t="s">
        <v>303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78">
        <f t="shared" si="1"/>
        <v>0</v>
      </c>
    </row>
    <row r="33" spans="1:34">
      <c r="A33" s="485" t="s">
        <v>304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0.55900000000000005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0.55900000000000005</v>
      </c>
      <c r="AH33" s="478">
        <f t="shared" si="1"/>
        <v>1.1335983127839068E-2</v>
      </c>
    </row>
    <row r="34" spans="1:34">
      <c r="A34" s="493" t="s">
        <v>305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78">
        <f t="shared" si="1"/>
        <v>0</v>
      </c>
    </row>
    <row r="35" spans="1:34">
      <c r="A35" s="493" t="s">
        <v>306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78">
        <f t="shared" si="1"/>
        <v>0</v>
      </c>
    </row>
    <row r="36" spans="1:34">
      <c r="A36" s="493" t="s">
        <v>307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78">
        <f t="shared" si="1"/>
        <v>0</v>
      </c>
    </row>
    <row r="37" spans="1:34">
      <c r="A37" s="493" t="s">
        <v>308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78">
        <f>+AG37/$AG$39</f>
        <v>0</v>
      </c>
    </row>
    <row r="38" spans="1:34">
      <c r="A38" s="494" t="s">
        <v>309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95">
        <f>+AG39/Efficiency1!$K$153</f>
        <v>2.6361421282185511E-2</v>
      </c>
    </row>
    <row r="39" spans="1:34">
      <c r="A39" s="493" t="s">
        <v>2</v>
      </c>
      <c r="B39" s="5">
        <f t="shared" ref="B39:AF39" si="2">SUM(B3:B37)</f>
        <v>14.95</v>
      </c>
      <c r="C39" s="5">
        <f t="shared" si="2"/>
        <v>20.742999999999999</v>
      </c>
      <c r="D39" s="5">
        <f t="shared" si="2"/>
        <v>23.264999999999997</v>
      </c>
      <c r="E39" s="5">
        <f t="shared" si="2"/>
        <v>29.28</v>
      </c>
      <c r="F39" s="5">
        <f t="shared" si="2"/>
        <v>13.132999999999999</v>
      </c>
      <c r="G39" s="5">
        <f t="shared" si="2"/>
        <v>11.840000000000002</v>
      </c>
      <c r="H39" s="5">
        <f t="shared" si="2"/>
        <v>8.706999999999999</v>
      </c>
      <c r="I39" s="5">
        <f t="shared" si="2"/>
        <v>7.2320000000000002</v>
      </c>
      <c r="J39" s="5">
        <f t="shared" si="2"/>
        <v>6.202</v>
      </c>
      <c r="K39" s="5">
        <f t="shared" si="2"/>
        <v>14.261000000000001</v>
      </c>
      <c r="L39" s="5">
        <f t="shared" si="2"/>
        <v>11.722999999999999</v>
      </c>
      <c r="M39" s="5">
        <f t="shared" si="2"/>
        <v>20.631999999999998</v>
      </c>
      <c r="N39" s="5">
        <f t="shared" si="2"/>
        <v>6.5209999999999999</v>
      </c>
      <c r="O39" s="6">
        <f t="shared" si="2"/>
        <v>6.41</v>
      </c>
      <c r="P39" s="5">
        <f t="shared" si="2"/>
        <v>10.759</v>
      </c>
      <c r="Q39" s="5">
        <f t="shared" si="2"/>
        <v>11.329000000000001</v>
      </c>
      <c r="R39" s="5">
        <f t="shared" si="2"/>
        <v>6.3170000000000002</v>
      </c>
      <c r="S39" s="5">
        <f t="shared" si="2"/>
        <v>9.798</v>
      </c>
      <c r="T39" s="5">
        <f t="shared" si="2"/>
        <v>6.431</v>
      </c>
      <c r="U39" s="5">
        <f t="shared" si="2"/>
        <v>7.4799999999999995</v>
      </c>
      <c r="V39" s="5">
        <f t="shared" si="2"/>
        <v>7.625</v>
      </c>
      <c r="W39" s="5">
        <f t="shared" si="2"/>
        <v>4.8610000000000007</v>
      </c>
      <c r="X39" s="5">
        <f t="shared" si="2"/>
        <v>7.5040000000000004</v>
      </c>
      <c r="Y39" s="5">
        <f t="shared" si="2"/>
        <v>6.5289999999999999</v>
      </c>
      <c r="Z39" s="5">
        <f t="shared" si="2"/>
        <v>7.165</v>
      </c>
      <c r="AA39" s="5">
        <f t="shared" si="2"/>
        <v>9.7249999999999996</v>
      </c>
      <c r="AB39" s="5">
        <f t="shared" si="2"/>
        <v>6.0710000000000006</v>
      </c>
      <c r="AC39" s="5">
        <f t="shared" si="2"/>
        <v>6.9140000000000006</v>
      </c>
      <c r="AD39" s="5">
        <f t="shared" si="2"/>
        <v>5.7730000000000006</v>
      </c>
      <c r="AE39" s="5">
        <f t="shared" si="2"/>
        <v>3.2520000000000002</v>
      </c>
      <c r="AF39" s="5">
        <f t="shared" si="2"/>
        <v>0</v>
      </c>
      <c r="AG39" s="16">
        <f>SUM(AG6:AG38)</f>
        <v>49.311999999999991</v>
      </c>
      <c r="AH39" s="496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6"/>
  <sheetViews>
    <sheetView topLeftCell="A140" workbookViewId="0">
      <selection activeCell="D164" sqref="D164"/>
    </sheetView>
  </sheetViews>
  <sheetFormatPr defaultRowHeight="12.75"/>
  <cols>
    <col min="4" max="4" width="52.42578125" bestFit="1" customWidth="1"/>
    <col min="5" max="5" width="18.85546875" bestFit="1" customWidth="1"/>
    <col min="6" max="6" width="17.28515625" bestFit="1" customWidth="1"/>
    <col min="8" max="8" width="27.7109375" bestFit="1" customWidth="1"/>
    <col min="15" max="15" width="52.42578125" bestFit="1" customWidth="1"/>
    <col min="16" max="16" width="18.85546875" bestFit="1" customWidth="1"/>
    <col min="17" max="17" width="17.28515625" bestFit="1" customWidth="1"/>
    <col min="19" max="19" width="27.7109375" bestFit="1" customWidth="1"/>
  </cols>
  <sheetData>
    <row r="1" spans="1:21" ht="45">
      <c r="A1" s="453" t="s">
        <v>148</v>
      </c>
      <c r="B1" s="474" t="s">
        <v>7</v>
      </c>
      <c r="C1" s="475" t="s">
        <v>266</v>
      </c>
      <c r="D1" s="476" t="s">
        <v>127</v>
      </c>
      <c r="E1" s="476" t="s">
        <v>267</v>
      </c>
      <c r="F1" s="476" t="s">
        <v>268</v>
      </c>
      <c r="H1" s="473" t="s">
        <v>269</v>
      </c>
      <c r="I1" s="465" t="s">
        <v>270</v>
      </c>
      <c r="J1" s="465" t="s">
        <v>271</v>
      </c>
      <c r="L1" s="453" t="s">
        <v>148</v>
      </c>
      <c r="M1" s="474" t="s">
        <v>7</v>
      </c>
      <c r="N1" s="475" t="s">
        <v>266</v>
      </c>
      <c r="O1" s="476" t="s">
        <v>127</v>
      </c>
      <c r="P1" s="476" t="s">
        <v>267</v>
      </c>
      <c r="Q1" s="476" t="s">
        <v>268</v>
      </c>
      <c r="S1" s="473" t="s">
        <v>269</v>
      </c>
      <c r="T1" s="465" t="s">
        <v>270</v>
      </c>
      <c r="U1" s="465" t="s">
        <v>271</v>
      </c>
    </row>
    <row r="2" spans="1:21">
      <c r="B2" s="343">
        <v>45962</v>
      </c>
      <c r="C2" s="3">
        <v>20</v>
      </c>
      <c r="D2" s="500" t="s">
        <v>439</v>
      </c>
      <c r="E2" t="s">
        <v>258</v>
      </c>
      <c r="F2" t="s">
        <v>255</v>
      </c>
      <c r="H2" s="5" t="s">
        <v>152</v>
      </c>
      <c r="I2" s="316">
        <f>+Efficiency1!Z153</f>
        <v>20.072000000000003</v>
      </c>
      <c r="J2" s="469">
        <f>I2/$I$8</f>
        <v>1.0730176183809777E-2</v>
      </c>
      <c r="M2" s="343">
        <v>45962</v>
      </c>
      <c r="N2" s="3">
        <v>20</v>
      </c>
      <c r="O2" s="500" t="s">
        <v>439</v>
      </c>
      <c r="P2" t="s">
        <v>258</v>
      </c>
      <c r="Q2" t="s">
        <v>255</v>
      </c>
      <c r="S2" s="5" t="s">
        <v>152</v>
      </c>
      <c r="T2" s="316">
        <f>+Efficiency2!Z153</f>
        <v>20.072000000000003</v>
      </c>
      <c r="U2" s="469">
        <f>T2/$T$8</f>
        <v>1.0730176183809777E-2</v>
      </c>
    </row>
    <row r="3" spans="1:21">
      <c r="B3" s="343"/>
      <c r="C3" s="3">
        <v>3</v>
      </c>
      <c r="D3" s="500" t="s">
        <v>433</v>
      </c>
      <c r="E3" t="s">
        <v>256</v>
      </c>
      <c r="F3" t="s">
        <v>255</v>
      </c>
      <c r="H3" s="5" t="s">
        <v>249</v>
      </c>
      <c r="I3" s="316">
        <f>+Efficiency1!AA153+Efficiency1!Y153</f>
        <v>17.260881454530779</v>
      </c>
      <c r="J3" s="469">
        <f>I3/$I$8</f>
        <v>9.2273963279678167E-3</v>
      </c>
      <c r="M3" s="343"/>
      <c r="N3" s="3">
        <v>3</v>
      </c>
      <c r="O3" s="500" t="s">
        <v>433</v>
      </c>
      <c r="P3" t="s">
        <v>256</v>
      </c>
      <c r="Q3" t="s">
        <v>255</v>
      </c>
      <c r="S3" s="5" t="s">
        <v>249</v>
      </c>
      <c r="T3" s="316">
        <f>+Efficiency2!AA153+Efficiency2!Y153</f>
        <v>17.260881454530779</v>
      </c>
      <c r="U3" s="469">
        <f>T3/$T$8</f>
        <v>9.2273963279678167E-3</v>
      </c>
    </row>
    <row r="4" spans="1:21">
      <c r="B4" s="42"/>
      <c r="C4" s="3">
        <v>24</v>
      </c>
      <c r="D4" t="s">
        <v>444</v>
      </c>
      <c r="E4" t="s">
        <v>257</v>
      </c>
      <c r="F4" t="s">
        <v>255</v>
      </c>
      <c r="H4" s="5" t="s">
        <v>272</v>
      </c>
      <c r="I4" s="316">
        <f>+Efficiency1!AB153</f>
        <v>-8.1051584202836402</v>
      </c>
      <c r="J4" s="469">
        <f>I4/$I$8</f>
        <v>-4.3328904866148255E-3</v>
      </c>
      <c r="M4" s="42"/>
      <c r="N4" s="3">
        <v>24</v>
      </c>
      <c r="O4" t="s">
        <v>444</v>
      </c>
      <c r="P4" t="s">
        <v>257</v>
      </c>
      <c r="Q4" t="s">
        <v>255</v>
      </c>
      <c r="S4" s="5" t="s">
        <v>272</v>
      </c>
      <c r="T4" s="316">
        <f>+Efficiency2!AB153</f>
        <v>-8.1051584202836402</v>
      </c>
      <c r="U4" s="469">
        <f>T4/$T$8</f>
        <v>-4.3328904866148255E-3</v>
      </c>
    </row>
    <row r="5" spans="1:21">
      <c r="B5" s="42"/>
      <c r="C5" s="3"/>
      <c r="E5" s="382"/>
      <c r="F5" s="382"/>
      <c r="H5" s="5" t="s">
        <v>252</v>
      </c>
      <c r="I5" s="316">
        <f>+Efficiency1!AC153</f>
        <v>103.93682469390146</v>
      </c>
      <c r="J5" s="469">
        <f>I5/$I$8</f>
        <v>5.5562995264613051E-2</v>
      </c>
      <c r="M5" s="42"/>
      <c r="N5" s="3"/>
      <c r="P5" s="382"/>
      <c r="Q5" s="382"/>
      <c r="S5" s="5" t="s">
        <v>252</v>
      </c>
      <c r="T5" s="316">
        <f>+Efficiency2!AC153</f>
        <v>103.93682469390146</v>
      </c>
      <c r="U5" s="469">
        <f>T5/$T$8</f>
        <v>5.5562995264613051E-2</v>
      </c>
    </row>
    <row r="6" spans="1:21">
      <c r="B6" s="343">
        <f>1+B2</f>
        <v>45963</v>
      </c>
      <c r="C6" s="3">
        <v>25</v>
      </c>
      <c r="D6" t="s">
        <v>443</v>
      </c>
      <c r="E6" t="s">
        <v>258</v>
      </c>
      <c r="F6" t="s">
        <v>255</v>
      </c>
      <c r="M6" s="343">
        <f>1+M2</f>
        <v>45963</v>
      </c>
      <c r="N6" s="3">
        <v>25</v>
      </c>
      <c r="O6" t="s">
        <v>443</v>
      </c>
      <c r="P6" t="s">
        <v>258</v>
      </c>
      <c r="Q6" t="s">
        <v>255</v>
      </c>
    </row>
    <row r="7" spans="1:21">
      <c r="B7" s="343"/>
      <c r="C7" s="3">
        <v>2</v>
      </c>
      <c r="D7" t="s">
        <v>433</v>
      </c>
      <c r="E7" t="s">
        <v>256</v>
      </c>
      <c r="F7" t="s">
        <v>255</v>
      </c>
      <c r="M7" s="343"/>
      <c r="N7" s="3">
        <v>2</v>
      </c>
      <c r="O7" t="s">
        <v>433</v>
      </c>
      <c r="P7" t="s">
        <v>256</v>
      </c>
      <c r="Q7" t="s">
        <v>255</v>
      </c>
    </row>
    <row r="8" spans="1:21">
      <c r="B8" s="42"/>
      <c r="C8" s="3">
        <v>25</v>
      </c>
      <c r="D8" t="s">
        <v>444</v>
      </c>
      <c r="E8" t="s">
        <v>257</v>
      </c>
      <c r="F8" t="s">
        <v>255</v>
      </c>
      <c r="H8" s="477" t="s">
        <v>273</v>
      </c>
      <c r="I8" s="6">
        <f>+Efficiency1!K153</f>
        <v>1870.6123418817328</v>
      </c>
      <c r="M8" s="42"/>
      <c r="N8" s="3">
        <v>25</v>
      </c>
      <c r="O8" t="s">
        <v>444</v>
      </c>
      <c r="P8" t="s">
        <v>257</v>
      </c>
      <c r="Q8" t="s">
        <v>255</v>
      </c>
      <c r="S8" s="477" t="s">
        <v>273</v>
      </c>
      <c r="T8" s="6">
        <f>+Efficiency2!K153</f>
        <v>1870.6123418817328</v>
      </c>
    </row>
    <row r="9" spans="1:21">
      <c r="B9" s="343"/>
      <c r="C9" s="3">
        <v>10</v>
      </c>
      <c r="D9" t="s">
        <v>415</v>
      </c>
      <c r="E9" s="382" t="s">
        <v>202</v>
      </c>
      <c r="F9" s="382" t="s">
        <v>254</v>
      </c>
      <c r="H9" s="477" t="s">
        <v>274</v>
      </c>
      <c r="I9" s="6">
        <f>+Efficiency1!AD153</f>
        <v>3235</v>
      </c>
      <c r="M9" s="343"/>
      <c r="N9" s="3">
        <v>10</v>
      </c>
      <c r="O9" t="s">
        <v>415</v>
      </c>
      <c r="P9" s="382" t="s">
        <v>202</v>
      </c>
      <c r="Q9" s="382" t="s">
        <v>254</v>
      </c>
      <c r="S9" s="477" t="s">
        <v>274</v>
      </c>
      <c r="T9" s="6">
        <f>+Efficiency2!AD153</f>
        <v>3235</v>
      </c>
    </row>
    <row r="10" spans="1:21">
      <c r="B10" s="343"/>
      <c r="C10" s="3"/>
      <c r="E10" s="382"/>
      <c r="F10" s="382"/>
      <c r="H10" s="477" t="s">
        <v>276</v>
      </c>
      <c r="I10" s="6">
        <f>+Efficiency1!V153</f>
        <v>142.39179415358439</v>
      </c>
      <c r="M10" s="343"/>
      <c r="N10" s="3"/>
      <c r="P10" s="382"/>
      <c r="Q10" s="382"/>
      <c r="S10" s="477" t="s">
        <v>276</v>
      </c>
      <c r="T10" s="6">
        <f>+Efficiency2!V153</f>
        <v>142.39179415358439</v>
      </c>
    </row>
    <row r="11" spans="1:21">
      <c r="B11" s="343">
        <v>45964</v>
      </c>
      <c r="C11" s="3">
        <v>30</v>
      </c>
      <c r="D11" t="s">
        <v>464</v>
      </c>
      <c r="E11" t="s">
        <v>258</v>
      </c>
      <c r="F11" t="s">
        <v>255</v>
      </c>
      <c r="H11" s="477" t="s">
        <v>275</v>
      </c>
      <c r="I11" s="478">
        <f>I10/I8</f>
        <v>7.6120418413547997E-2</v>
      </c>
      <c r="M11" s="343">
        <v>45964</v>
      </c>
      <c r="N11" s="3">
        <v>30</v>
      </c>
      <c r="O11" t="s">
        <v>464</v>
      </c>
      <c r="P11" t="s">
        <v>258</v>
      </c>
      <c r="Q11" t="s">
        <v>255</v>
      </c>
      <c r="S11" s="477" t="s">
        <v>275</v>
      </c>
      <c r="T11" s="478">
        <f>T10/T8</f>
        <v>7.6120418413547997E-2</v>
      </c>
    </row>
    <row r="12" spans="1:21">
      <c r="B12" s="42"/>
      <c r="C12" s="3">
        <v>0</v>
      </c>
      <c r="D12" t="s">
        <v>427</v>
      </c>
      <c r="E12" t="s">
        <v>256</v>
      </c>
      <c r="F12" t="s">
        <v>255</v>
      </c>
      <c r="M12" s="42"/>
      <c r="N12" s="3">
        <v>0</v>
      </c>
      <c r="O12" t="s">
        <v>427</v>
      </c>
      <c r="P12" t="s">
        <v>256</v>
      </c>
      <c r="Q12" t="s">
        <v>255</v>
      </c>
    </row>
    <row r="13" spans="1:21">
      <c r="B13" s="343"/>
      <c r="C13" s="3">
        <v>31</v>
      </c>
      <c r="D13" s="500" t="s">
        <v>466</v>
      </c>
      <c r="E13" t="s">
        <v>257</v>
      </c>
      <c r="F13" t="s">
        <v>255</v>
      </c>
      <c r="M13" s="343"/>
      <c r="N13" s="3">
        <v>31</v>
      </c>
      <c r="O13" s="500" t="s">
        <v>466</v>
      </c>
      <c r="P13" t="s">
        <v>257</v>
      </c>
      <c r="Q13" t="s">
        <v>255</v>
      </c>
    </row>
    <row r="14" spans="1:21">
      <c r="B14" s="343"/>
      <c r="C14" s="3">
        <v>10</v>
      </c>
      <c r="D14" s="500" t="s">
        <v>415</v>
      </c>
      <c r="E14" s="382" t="s">
        <v>202</v>
      </c>
      <c r="F14" s="382" t="s">
        <v>254</v>
      </c>
      <c r="M14" s="343"/>
      <c r="N14" s="3">
        <v>10</v>
      </c>
      <c r="O14" s="500" t="s">
        <v>415</v>
      </c>
      <c r="P14" s="382" t="s">
        <v>202</v>
      </c>
      <c r="Q14" s="382" t="s">
        <v>254</v>
      </c>
    </row>
    <row r="15" spans="1:21">
      <c r="B15" s="343"/>
      <c r="C15" s="3"/>
      <c r="E15" s="382"/>
      <c r="F15" s="382"/>
      <c r="M15" s="343"/>
      <c r="N15" s="3"/>
      <c r="P15" s="382"/>
      <c r="Q15" s="382"/>
    </row>
    <row r="16" spans="1:21">
      <c r="B16" s="42">
        <v>45965</v>
      </c>
      <c r="C16" s="3">
        <v>33</v>
      </c>
      <c r="D16" t="s">
        <v>490</v>
      </c>
      <c r="E16" t="s">
        <v>258</v>
      </c>
      <c r="F16" t="s">
        <v>255</v>
      </c>
      <c r="M16" s="42">
        <v>45965</v>
      </c>
      <c r="N16" s="3">
        <v>33</v>
      </c>
      <c r="O16" t="s">
        <v>490</v>
      </c>
      <c r="P16" t="s">
        <v>258</v>
      </c>
      <c r="Q16" t="s">
        <v>255</v>
      </c>
    </row>
    <row r="17" spans="2:17">
      <c r="B17" s="343"/>
      <c r="C17" s="3">
        <v>0</v>
      </c>
      <c r="D17" t="s">
        <v>427</v>
      </c>
      <c r="E17" t="s">
        <v>256</v>
      </c>
      <c r="F17" t="s">
        <v>255</v>
      </c>
      <c r="M17" s="343"/>
      <c r="N17" s="3">
        <v>0</v>
      </c>
      <c r="O17" t="s">
        <v>427</v>
      </c>
      <c r="P17" t="s">
        <v>256</v>
      </c>
      <c r="Q17" t="s">
        <v>255</v>
      </c>
    </row>
    <row r="18" spans="2:17">
      <c r="B18" s="42"/>
      <c r="C18" s="3">
        <v>29</v>
      </c>
      <c r="D18" s="497" t="s">
        <v>466</v>
      </c>
      <c r="E18" t="s">
        <v>257</v>
      </c>
      <c r="F18" t="s">
        <v>255</v>
      </c>
      <c r="M18" s="42"/>
      <c r="N18" s="3">
        <v>29</v>
      </c>
      <c r="O18" s="497" t="s">
        <v>466</v>
      </c>
      <c r="P18" t="s">
        <v>257</v>
      </c>
      <c r="Q18" t="s">
        <v>255</v>
      </c>
    </row>
    <row r="19" spans="2:17">
      <c r="B19" s="343"/>
      <c r="C19" s="3">
        <v>18</v>
      </c>
      <c r="D19" s="497" t="s">
        <v>415</v>
      </c>
      <c r="E19" s="382" t="s">
        <v>202</v>
      </c>
      <c r="F19" s="382" t="s">
        <v>254</v>
      </c>
      <c r="M19" s="343"/>
      <c r="N19" s="3">
        <v>18</v>
      </c>
      <c r="O19" s="497" t="s">
        <v>415</v>
      </c>
      <c r="P19" s="382" t="s">
        <v>202</v>
      </c>
      <c r="Q19" s="382" t="s">
        <v>254</v>
      </c>
    </row>
    <row r="20" spans="2:17">
      <c r="B20" s="343"/>
      <c r="C20" s="3"/>
      <c r="D20" s="497"/>
      <c r="E20" s="382"/>
      <c r="F20" s="382"/>
      <c r="M20" s="343"/>
      <c r="N20" s="3"/>
      <c r="O20" s="497"/>
      <c r="P20" s="382"/>
      <c r="Q20" s="382"/>
    </row>
    <row r="21" spans="2:17">
      <c r="B21" s="343"/>
      <c r="C21" s="3"/>
      <c r="D21" s="497"/>
      <c r="M21" s="343"/>
      <c r="N21" s="3"/>
      <c r="O21" s="497"/>
    </row>
    <row r="22" spans="2:17">
      <c r="B22" s="343"/>
      <c r="C22" s="3"/>
      <c r="D22" s="497"/>
      <c r="E22" s="382"/>
      <c r="F22" s="382"/>
      <c r="M22" s="343"/>
      <c r="N22" s="3"/>
      <c r="O22" s="497"/>
      <c r="P22" s="382"/>
      <c r="Q22" s="382"/>
    </row>
    <row r="23" spans="2:17">
      <c r="B23" s="42">
        <v>45966</v>
      </c>
      <c r="C23" s="3">
        <v>50</v>
      </c>
      <c r="D23" t="s">
        <v>520</v>
      </c>
      <c r="E23" t="s">
        <v>258</v>
      </c>
      <c r="F23" t="s">
        <v>255</v>
      </c>
      <c r="M23" s="42">
        <v>45966</v>
      </c>
      <c r="N23" s="3">
        <v>50</v>
      </c>
      <c r="O23" t="s">
        <v>520</v>
      </c>
      <c r="P23" t="s">
        <v>258</v>
      </c>
      <c r="Q23" t="s">
        <v>255</v>
      </c>
    </row>
    <row r="24" spans="2:17">
      <c r="B24" s="343"/>
      <c r="C24" s="3">
        <v>0</v>
      </c>
      <c r="D24" s="500" t="s">
        <v>427</v>
      </c>
      <c r="E24" t="s">
        <v>256</v>
      </c>
      <c r="F24" t="s">
        <v>255</v>
      </c>
      <c r="M24" s="343"/>
      <c r="N24" s="3">
        <v>0</v>
      </c>
      <c r="O24" s="500" t="s">
        <v>427</v>
      </c>
      <c r="P24" t="s">
        <v>256</v>
      </c>
      <c r="Q24" t="s">
        <v>255</v>
      </c>
    </row>
    <row r="25" spans="2:17">
      <c r="B25" s="343"/>
      <c r="C25" s="3">
        <v>19</v>
      </c>
      <c r="D25" s="500" t="s">
        <v>521</v>
      </c>
      <c r="E25" t="s">
        <v>257</v>
      </c>
      <c r="F25" t="s">
        <v>255</v>
      </c>
      <c r="M25" s="343"/>
      <c r="N25" s="3">
        <v>19</v>
      </c>
      <c r="O25" s="500" t="s">
        <v>521</v>
      </c>
      <c r="P25" t="s">
        <v>257</v>
      </c>
      <c r="Q25" t="s">
        <v>255</v>
      </c>
    </row>
    <row r="26" spans="2:17">
      <c r="B26" s="42"/>
      <c r="C26" s="3">
        <v>60</v>
      </c>
      <c r="D26" t="s">
        <v>525</v>
      </c>
      <c r="E26" t="s">
        <v>522</v>
      </c>
      <c r="F26" s="382" t="s">
        <v>261</v>
      </c>
      <c r="M26" s="42"/>
      <c r="N26" s="3">
        <v>60</v>
      </c>
      <c r="O26" t="s">
        <v>525</v>
      </c>
      <c r="P26" t="s">
        <v>522</v>
      </c>
      <c r="Q26" s="382" t="s">
        <v>261</v>
      </c>
    </row>
    <row r="27" spans="2:17">
      <c r="B27" s="343"/>
      <c r="C27" s="3">
        <v>140</v>
      </c>
      <c r="D27" t="s">
        <v>524</v>
      </c>
      <c r="E27" t="s">
        <v>523</v>
      </c>
      <c r="F27" s="382" t="s">
        <v>262</v>
      </c>
      <c r="M27" s="343"/>
      <c r="N27" s="3">
        <v>140</v>
      </c>
      <c r="O27" t="s">
        <v>524</v>
      </c>
      <c r="P27" t="s">
        <v>523</v>
      </c>
      <c r="Q27" s="382" t="s">
        <v>262</v>
      </c>
    </row>
    <row r="28" spans="2:17">
      <c r="B28" s="42"/>
      <c r="C28" s="3"/>
      <c r="M28" s="42"/>
      <c r="N28" s="3"/>
    </row>
    <row r="29" spans="2:17">
      <c r="B29" s="343">
        <v>45967</v>
      </c>
      <c r="C29" s="3">
        <v>85</v>
      </c>
      <c r="D29" t="s">
        <v>547</v>
      </c>
      <c r="E29" t="s">
        <v>258</v>
      </c>
      <c r="F29" t="s">
        <v>255</v>
      </c>
      <c r="M29" s="343">
        <v>45967</v>
      </c>
      <c r="N29" s="3">
        <v>85</v>
      </c>
      <c r="O29" t="s">
        <v>547</v>
      </c>
      <c r="P29" t="s">
        <v>258</v>
      </c>
      <c r="Q29" t="s">
        <v>255</v>
      </c>
    </row>
    <row r="30" spans="2:17">
      <c r="B30" s="42"/>
      <c r="C30" s="3">
        <v>0</v>
      </c>
      <c r="D30" t="s">
        <v>427</v>
      </c>
      <c r="E30" t="s">
        <v>256</v>
      </c>
      <c r="F30" t="s">
        <v>255</v>
      </c>
      <c r="M30" s="42"/>
      <c r="N30" s="3">
        <v>0</v>
      </c>
      <c r="O30" t="s">
        <v>427</v>
      </c>
      <c r="P30" t="s">
        <v>256</v>
      </c>
      <c r="Q30" t="s">
        <v>255</v>
      </c>
    </row>
    <row r="31" spans="2:17">
      <c r="B31" s="343"/>
      <c r="C31" s="3">
        <v>27</v>
      </c>
      <c r="D31" t="s">
        <v>548</v>
      </c>
      <c r="E31" t="s">
        <v>257</v>
      </c>
      <c r="F31" t="s">
        <v>255</v>
      </c>
      <c r="M31" s="343"/>
      <c r="N31" s="3">
        <v>27</v>
      </c>
      <c r="O31" t="s">
        <v>548</v>
      </c>
      <c r="P31" t="s">
        <v>257</v>
      </c>
      <c r="Q31" t="s">
        <v>255</v>
      </c>
    </row>
    <row r="32" spans="2:17">
      <c r="B32" s="42"/>
      <c r="C32" s="3">
        <v>20</v>
      </c>
      <c r="D32" t="s">
        <v>532</v>
      </c>
      <c r="E32" t="s">
        <v>549</v>
      </c>
      <c r="F32" s="382" t="s">
        <v>261</v>
      </c>
      <c r="M32" s="42"/>
      <c r="N32" s="3">
        <v>20</v>
      </c>
      <c r="O32" t="s">
        <v>532</v>
      </c>
      <c r="P32" t="s">
        <v>549</v>
      </c>
      <c r="Q32" s="382" t="s">
        <v>261</v>
      </c>
    </row>
    <row r="33" spans="2:17">
      <c r="B33" s="343"/>
      <c r="C33" s="3"/>
      <c r="M33" s="343"/>
      <c r="N33" s="3"/>
    </row>
    <row r="34" spans="2:17">
      <c r="B34" s="42">
        <v>45968</v>
      </c>
      <c r="C34" s="3">
        <v>90</v>
      </c>
      <c r="D34" t="s">
        <v>573</v>
      </c>
      <c r="E34" t="s">
        <v>258</v>
      </c>
      <c r="F34" t="s">
        <v>255</v>
      </c>
      <c r="M34" s="42">
        <v>45968</v>
      </c>
      <c r="N34" s="3">
        <v>90</v>
      </c>
      <c r="O34" t="s">
        <v>573</v>
      </c>
      <c r="P34" t="s">
        <v>258</v>
      </c>
      <c r="Q34" t="s">
        <v>255</v>
      </c>
    </row>
    <row r="35" spans="2:17">
      <c r="B35" s="343"/>
      <c r="C35" s="3">
        <v>13</v>
      </c>
      <c r="D35" t="s">
        <v>574</v>
      </c>
      <c r="E35" t="s">
        <v>256</v>
      </c>
      <c r="F35" t="s">
        <v>255</v>
      </c>
      <c r="M35" s="343"/>
      <c r="N35" s="3">
        <v>13</v>
      </c>
      <c r="O35" t="s">
        <v>574</v>
      </c>
      <c r="P35" t="s">
        <v>256</v>
      </c>
      <c r="Q35" t="s">
        <v>255</v>
      </c>
    </row>
    <row r="36" spans="2:17">
      <c r="B36" s="42"/>
      <c r="C36" s="3">
        <v>26</v>
      </c>
      <c r="D36" t="s">
        <v>466</v>
      </c>
      <c r="E36" t="s">
        <v>257</v>
      </c>
      <c r="F36" t="s">
        <v>255</v>
      </c>
      <c r="M36" s="42"/>
      <c r="N36" s="3">
        <v>26</v>
      </c>
      <c r="O36" t="s">
        <v>466</v>
      </c>
      <c r="P36" t="s">
        <v>257</v>
      </c>
      <c r="Q36" t="s">
        <v>255</v>
      </c>
    </row>
    <row r="37" spans="2:17">
      <c r="B37" s="42"/>
      <c r="C37" s="3"/>
      <c r="M37" s="42"/>
      <c r="N37" s="3"/>
    </row>
    <row r="38" spans="2:17">
      <c r="B38" s="343">
        <v>45969</v>
      </c>
      <c r="C38" s="3">
        <v>25</v>
      </c>
      <c r="D38" t="s">
        <v>443</v>
      </c>
      <c r="E38" t="s">
        <v>258</v>
      </c>
      <c r="F38" t="s">
        <v>255</v>
      </c>
      <c r="M38" s="343">
        <v>45969</v>
      </c>
      <c r="N38" s="3">
        <v>25</v>
      </c>
      <c r="O38" t="s">
        <v>443</v>
      </c>
      <c r="P38" t="s">
        <v>258</v>
      </c>
      <c r="Q38" t="s">
        <v>255</v>
      </c>
    </row>
    <row r="39" spans="2:17">
      <c r="B39" s="42"/>
      <c r="C39" s="3">
        <v>18</v>
      </c>
      <c r="D39" t="s">
        <v>593</v>
      </c>
      <c r="E39" t="s">
        <v>256</v>
      </c>
      <c r="F39" t="s">
        <v>255</v>
      </c>
      <c r="M39" s="42"/>
      <c r="N39" s="3">
        <v>18</v>
      </c>
      <c r="O39" t="s">
        <v>593</v>
      </c>
      <c r="P39" t="s">
        <v>256</v>
      </c>
      <c r="Q39" t="s">
        <v>255</v>
      </c>
    </row>
    <row r="40" spans="2:17">
      <c r="B40" s="343"/>
      <c r="C40" s="3">
        <v>26</v>
      </c>
      <c r="D40" t="s">
        <v>521</v>
      </c>
      <c r="E40" t="s">
        <v>257</v>
      </c>
      <c r="F40" t="s">
        <v>255</v>
      </c>
      <c r="M40" s="343"/>
      <c r="N40" s="3">
        <v>26</v>
      </c>
      <c r="O40" t="s">
        <v>521</v>
      </c>
      <c r="P40" t="s">
        <v>257</v>
      </c>
      <c r="Q40" t="s">
        <v>255</v>
      </c>
    </row>
    <row r="41" spans="2:17">
      <c r="B41" s="343"/>
      <c r="C41" s="3"/>
      <c r="M41" s="343"/>
      <c r="N41" s="3"/>
    </row>
    <row r="42" spans="2:17">
      <c r="B42" s="343">
        <v>45970</v>
      </c>
      <c r="C42" s="3">
        <v>0</v>
      </c>
      <c r="D42" t="s">
        <v>434</v>
      </c>
      <c r="E42" t="s">
        <v>258</v>
      </c>
      <c r="F42" t="s">
        <v>255</v>
      </c>
      <c r="M42" s="343">
        <v>45970</v>
      </c>
      <c r="N42" s="3">
        <v>0</v>
      </c>
      <c r="O42" t="s">
        <v>434</v>
      </c>
      <c r="P42" t="s">
        <v>258</v>
      </c>
      <c r="Q42" t="s">
        <v>255</v>
      </c>
    </row>
    <row r="43" spans="2:17">
      <c r="B43" s="343"/>
      <c r="C43" s="3">
        <v>14</v>
      </c>
      <c r="D43" t="s">
        <v>592</v>
      </c>
      <c r="E43" t="s">
        <v>256</v>
      </c>
      <c r="F43" t="s">
        <v>255</v>
      </c>
      <c r="M43" s="343"/>
      <c r="N43" s="3">
        <v>14</v>
      </c>
      <c r="O43" t="s">
        <v>592</v>
      </c>
      <c r="P43" t="s">
        <v>256</v>
      </c>
      <c r="Q43" t="s">
        <v>255</v>
      </c>
    </row>
    <row r="44" spans="2:17">
      <c r="B44" s="343"/>
      <c r="C44" s="3">
        <v>29</v>
      </c>
      <c r="D44" t="s">
        <v>548</v>
      </c>
      <c r="E44" t="s">
        <v>257</v>
      </c>
      <c r="F44" t="s">
        <v>255</v>
      </c>
      <c r="M44" s="343"/>
      <c r="N44" s="3">
        <v>29</v>
      </c>
      <c r="O44" t="s">
        <v>548</v>
      </c>
      <c r="P44" t="s">
        <v>257</v>
      </c>
      <c r="Q44" t="s">
        <v>255</v>
      </c>
    </row>
    <row r="45" spans="2:17">
      <c r="B45" s="42"/>
      <c r="C45" s="3"/>
      <c r="M45" s="42"/>
      <c r="N45" s="3"/>
    </row>
    <row r="46" spans="2:17">
      <c r="B46" s="42">
        <v>45971</v>
      </c>
      <c r="C46" s="3">
        <v>0</v>
      </c>
      <c r="D46" t="s">
        <v>434</v>
      </c>
      <c r="E46" t="s">
        <v>258</v>
      </c>
      <c r="F46" t="s">
        <v>255</v>
      </c>
      <c r="M46" s="42">
        <v>45971</v>
      </c>
      <c r="N46" s="3">
        <v>0</v>
      </c>
      <c r="O46" t="s">
        <v>434</v>
      </c>
      <c r="P46" t="s">
        <v>258</v>
      </c>
      <c r="Q46" t="s">
        <v>255</v>
      </c>
    </row>
    <row r="47" spans="2:17">
      <c r="B47" s="343"/>
      <c r="C47" s="3">
        <v>10</v>
      </c>
      <c r="D47" t="s">
        <v>605</v>
      </c>
      <c r="E47" t="s">
        <v>256</v>
      </c>
      <c r="F47" t="s">
        <v>255</v>
      </c>
      <c r="M47" s="343"/>
      <c r="N47" s="3">
        <v>10</v>
      </c>
      <c r="O47" t="s">
        <v>605</v>
      </c>
      <c r="P47" t="s">
        <v>256</v>
      </c>
      <c r="Q47" t="s">
        <v>255</v>
      </c>
    </row>
    <row r="48" spans="2:17">
      <c r="B48" s="343"/>
      <c r="C48" s="3">
        <v>18</v>
      </c>
      <c r="D48" t="s">
        <v>606</v>
      </c>
      <c r="E48" t="s">
        <v>257</v>
      </c>
      <c r="F48" t="s">
        <v>255</v>
      </c>
      <c r="M48" s="343"/>
      <c r="N48" s="3">
        <v>18</v>
      </c>
      <c r="O48" t="s">
        <v>606</v>
      </c>
      <c r="P48" t="s">
        <v>257</v>
      </c>
      <c r="Q48" t="s">
        <v>255</v>
      </c>
    </row>
    <row r="49" spans="2:17">
      <c r="B49" s="42"/>
      <c r="C49" s="3">
        <v>135</v>
      </c>
      <c r="D49" t="s">
        <v>415</v>
      </c>
      <c r="E49" s="382" t="s">
        <v>202</v>
      </c>
      <c r="F49" s="382" t="s">
        <v>254</v>
      </c>
      <c r="M49" s="42"/>
      <c r="N49" s="3">
        <v>135</v>
      </c>
      <c r="O49" t="s">
        <v>415</v>
      </c>
      <c r="P49" s="382" t="s">
        <v>202</v>
      </c>
      <c r="Q49" s="382" t="s">
        <v>254</v>
      </c>
    </row>
    <row r="50" spans="2:17">
      <c r="B50" s="42"/>
      <c r="G50" s="520">
        <f>+summary!H46</f>
        <v>1</v>
      </c>
      <c r="M50" s="42"/>
    </row>
    <row r="51" spans="2:17">
      <c r="B51" s="343">
        <v>45972</v>
      </c>
      <c r="C51">
        <v>5</v>
      </c>
      <c r="D51" t="s">
        <v>438</v>
      </c>
      <c r="E51" t="s">
        <v>258</v>
      </c>
      <c r="F51" t="s">
        <v>255</v>
      </c>
      <c r="M51" s="343">
        <v>45972</v>
      </c>
      <c r="N51">
        <v>5</v>
      </c>
      <c r="O51" t="s">
        <v>438</v>
      </c>
      <c r="P51" t="s">
        <v>258</v>
      </c>
      <c r="Q51" t="s">
        <v>255</v>
      </c>
    </row>
    <row r="52" spans="2:17">
      <c r="B52" s="343"/>
      <c r="C52">
        <v>9</v>
      </c>
      <c r="D52" t="s">
        <v>605</v>
      </c>
      <c r="E52" t="s">
        <v>256</v>
      </c>
      <c r="F52" t="s">
        <v>255</v>
      </c>
      <c r="M52" s="343"/>
      <c r="N52">
        <v>9</v>
      </c>
      <c r="O52" t="s">
        <v>605</v>
      </c>
      <c r="P52" t="s">
        <v>256</v>
      </c>
      <c r="Q52" t="s">
        <v>255</v>
      </c>
    </row>
    <row r="53" spans="2:17">
      <c r="B53" s="42"/>
      <c r="C53">
        <v>19</v>
      </c>
      <c r="D53" t="s">
        <v>619</v>
      </c>
      <c r="E53" t="s">
        <v>257</v>
      </c>
      <c r="F53" t="s">
        <v>255</v>
      </c>
      <c r="M53" s="42"/>
      <c r="N53">
        <v>19</v>
      </c>
      <c r="O53" t="s">
        <v>619</v>
      </c>
      <c r="P53" t="s">
        <v>257</v>
      </c>
      <c r="Q53" t="s">
        <v>255</v>
      </c>
    </row>
    <row r="54" spans="2:17">
      <c r="B54" s="343"/>
      <c r="C54">
        <v>75</v>
      </c>
      <c r="D54" t="s">
        <v>613</v>
      </c>
      <c r="E54" t="s">
        <v>620</v>
      </c>
      <c r="F54" t="s">
        <v>400</v>
      </c>
      <c r="M54" s="343"/>
      <c r="N54">
        <v>75</v>
      </c>
      <c r="O54" t="s">
        <v>613</v>
      </c>
      <c r="P54" t="s">
        <v>620</v>
      </c>
      <c r="Q54" t="s">
        <v>400</v>
      </c>
    </row>
    <row r="55" spans="2:17">
      <c r="B55" s="343"/>
      <c r="M55" s="343"/>
    </row>
    <row r="56" spans="2:17">
      <c r="B56" s="42">
        <v>45973</v>
      </c>
      <c r="C56">
        <v>0</v>
      </c>
      <c r="D56" t="s">
        <v>434</v>
      </c>
      <c r="E56" t="s">
        <v>258</v>
      </c>
      <c r="F56" t="s">
        <v>255</v>
      </c>
      <c r="M56" s="42">
        <v>45973</v>
      </c>
      <c r="N56">
        <v>0</v>
      </c>
      <c r="O56" t="s">
        <v>434</v>
      </c>
      <c r="P56" t="s">
        <v>258</v>
      </c>
      <c r="Q56" t="s">
        <v>255</v>
      </c>
    </row>
    <row r="57" spans="2:17">
      <c r="B57" s="343"/>
      <c r="C57">
        <v>9</v>
      </c>
      <c r="D57" t="s">
        <v>634</v>
      </c>
      <c r="E57" t="s">
        <v>256</v>
      </c>
      <c r="F57" t="s">
        <v>255</v>
      </c>
      <c r="M57" s="343"/>
      <c r="N57">
        <v>9</v>
      </c>
      <c r="O57" t="s">
        <v>634</v>
      </c>
      <c r="P57" t="s">
        <v>256</v>
      </c>
      <c r="Q57" t="s">
        <v>255</v>
      </c>
    </row>
    <row r="58" spans="2:17">
      <c r="B58" s="343"/>
      <c r="C58">
        <v>20</v>
      </c>
      <c r="D58" t="s">
        <v>606</v>
      </c>
      <c r="E58" t="s">
        <v>257</v>
      </c>
      <c r="F58" t="s">
        <v>255</v>
      </c>
      <c r="M58" s="343"/>
      <c r="N58">
        <v>20</v>
      </c>
      <c r="O58" t="s">
        <v>606</v>
      </c>
      <c r="P58" t="s">
        <v>257</v>
      </c>
      <c r="Q58" t="s">
        <v>255</v>
      </c>
    </row>
    <row r="59" spans="2:17">
      <c r="B59" s="42"/>
      <c r="E59" s="382"/>
      <c r="F59" s="382"/>
      <c r="M59" s="42"/>
      <c r="P59" s="382"/>
      <c r="Q59" s="382"/>
    </row>
    <row r="60" spans="2:17">
      <c r="B60" s="42">
        <v>45974</v>
      </c>
      <c r="C60">
        <v>30</v>
      </c>
      <c r="D60" t="s">
        <v>464</v>
      </c>
      <c r="E60" t="s">
        <v>258</v>
      </c>
      <c r="F60" t="s">
        <v>255</v>
      </c>
      <c r="M60" s="42">
        <v>45974</v>
      </c>
      <c r="N60">
        <v>30</v>
      </c>
      <c r="O60" t="s">
        <v>464</v>
      </c>
      <c r="P60" t="s">
        <v>258</v>
      </c>
      <c r="Q60" t="s">
        <v>255</v>
      </c>
    </row>
    <row r="61" spans="2:17">
      <c r="B61" s="343"/>
      <c r="C61">
        <v>10</v>
      </c>
      <c r="D61" t="s">
        <v>634</v>
      </c>
      <c r="E61" t="s">
        <v>256</v>
      </c>
      <c r="F61" t="s">
        <v>255</v>
      </c>
      <c r="M61" s="343"/>
      <c r="N61">
        <v>10</v>
      </c>
      <c r="O61" t="s">
        <v>634</v>
      </c>
      <c r="P61" t="s">
        <v>256</v>
      </c>
      <c r="Q61" t="s">
        <v>255</v>
      </c>
    </row>
    <row r="62" spans="2:17">
      <c r="B62" s="343"/>
      <c r="C62">
        <v>18</v>
      </c>
      <c r="D62" t="s">
        <v>651</v>
      </c>
      <c r="E62" t="s">
        <v>257</v>
      </c>
      <c r="F62" t="s">
        <v>255</v>
      </c>
      <c r="M62" s="343"/>
      <c r="N62">
        <v>18</v>
      </c>
      <c r="O62" t="s">
        <v>651</v>
      </c>
      <c r="P62" t="s">
        <v>257</v>
      </c>
      <c r="Q62" t="s">
        <v>255</v>
      </c>
    </row>
    <row r="63" spans="2:17">
      <c r="B63" s="42"/>
      <c r="C63">
        <v>350</v>
      </c>
      <c r="D63" t="s">
        <v>652</v>
      </c>
      <c r="E63" t="s">
        <v>654</v>
      </c>
      <c r="F63" t="s">
        <v>253</v>
      </c>
      <c r="M63" s="42"/>
      <c r="N63">
        <v>350</v>
      </c>
      <c r="O63" t="s">
        <v>652</v>
      </c>
      <c r="P63" t="s">
        <v>654</v>
      </c>
      <c r="Q63" t="s">
        <v>253</v>
      </c>
    </row>
    <row r="64" spans="2:17">
      <c r="B64" s="42"/>
      <c r="M64" s="42"/>
    </row>
    <row r="65" spans="2:18">
      <c r="B65" s="343"/>
      <c r="M65" s="343"/>
    </row>
    <row r="66" spans="2:18">
      <c r="B66" s="42">
        <v>45975</v>
      </c>
      <c r="C66">
        <v>0</v>
      </c>
      <c r="D66" t="s">
        <v>434</v>
      </c>
      <c r="E66" t="s">
        <v>258</v>
      </c>
      <c r="F66" t="s">
        <v>255</v>
      </c>
      <c r="M66" s="42">
        <v>45975</v>
      </c>
      <c r="N66">
        <v>0</v>
      </c>
      <c r="O66" t="s">
        <v>434</v>
      </c>
      <c r="P66" t="s">
        <v>258</v>
      </c>
      <c r="Q66" t="s">
        <v>255</v>
      </c>
    </row>
    <row r="67" spans="2:18">
      <c r="B67" s="343"/>
      <c r="C67">
        <v>19</v>
      </c>
      <c r="D67" t="s">
        <v>592</v>
      </c>
      <c r="E67" t="s">
        <v>256</v>
      </c>
      <c r="F67" t="s">
        <v>255</v>
      </c>
      <c r="M67" s="343"/>
      <c r="N67">
        <v>19</v>
      </c>
      <c r="O67" t="s">
        <v>592</v>
      </c>
      <c r="P67" t="s">
        <v>256</v>
      </c>
      <c r="Q67" t="s">
        <v>255</v>
      </c>
    </row>
    <row r="68" spans="2:18">
      <c r="B68" s="343"/>
      <c r="C68">
        <v>38</v>
      </c>
      <c r="D68" t="s">
        <v>466</v>
      </c>
      <c r="E68" t="s">
        <v>257</v>
      </c>
      <c r="F68" t="s">
        <v>255</v>
      </c>
      <c r="M68" s="343"/>
      <c r="N68">
        <v>38</v>
      </c>
      <c r="O68" t="s">
        <v>466</v>
      </c>
      <c r="P68" t="s">
        <v>257</v>
      </c>
      <c r="Q68" t="s">
        <v>255</v>
      </c>
    </row>
    <row r="69" spans="2:18">
      <c r="B69" s="343"/>
      <c r="C69">
        <v>13</v>
      </c>
      <c r="D69" t="s">
        <v>664</v>
      </c>
      <c r="E69" t="s">
        <v>724</v>
      </c>
      <c r="F69" t="s">
        <v>264</v>
      </c>
      <c r="M69" s="343"/>
      <c r="N69">
        <v>13</v>
      </c>
      <c r="O69" t="s">
        <v>664</v>
      </c>
      <c r="P69" t="s">
        <v>724</v>
      </c>
      <c r="Q69" t="s">
        <v>264</v>
      </c>
    </row>
    <row r="70" spans="2:18">
      <c r="B70" s="343"/>
      <c r="M70" s="343"/>
    </row>
    <row r="71" spans="2:18">
      <c r="B71" s="42">
        <v>45976</v>
      </c>
      <c r="C71">
        <v>0</v>
      </c>
      <c r="D71" t="s">
        <v>434</v>
      </c>
      <c r="E71" t="s">
        <v>258</v>
      </c>
      <c r="F71" t="s">
        <v>255</v>
      </c>
      <c r="M71" s="42">
        <v>45976</v>
      </c>
      <c r="N71">
        <v>0</v>
      </c>
      <c r="O71" t="s">
        <v>434</v>
      </c>
      <c r="P71" t="s">
        <v>258</v>
      </c>
      <c r="Q71" t="s">
        <v>255</v>
      </c>
      <c r="R71" s="520"/>
    </row>
    <row r="72" spans="2:18">
      <c r="B72" s="42"/>
      <c r="C72">
        <v>13</v>
      </c>
      <c r="D72" t="s">
        <v>700</v>
      </c>
      <c r="E72" t="s">
        <v>256</v>
      </c>
      <c r="F72" t="s">
        <v>255</v>
      </c>
      <c r="M72" s="42"/>
      <c r="N72">
        <v>13</v>
      </c>
      <c r="O72" t="s">
        <v>700</v>
      </c>
      <c r="P72" t="s">
        <v>256</v>
      </c>
      <c r="Q72" t="s">
        <v>255</v>
      </c>
    </row>
    <row r="73" spans="2:18">
      <c r="B73" s="343"/>
      <c r="C73">
        <v>36</v>
      </c>
      <c r="D73" t="s">
        <v>651</v>
      </c>
      <c r="E73" t="s">
        <v>257</v>
      </c>
      <c r="F73" t="s">
        <v>255</v>
      </c>
      <c r="M73" s="343"/>
      <c r="N73">
        <v>36</v>
      </c>
      <c r="O73" t="s">
        <v>651</v>
      </c>
      <c r="P73" t="s">
        <v>257</v>
      </c>
      <c r="Q73" t="s">
        <v>255</v>
      </c>
    </row>
    <row r="74" spans="2:18">
      <c r="B74" s="343"/>
      <c r="M74" s="343"/>
    </row>
    <row r="75" spans="2:18">
      <c r="B75" s="42">
        <v>45977</v>
      </c>
      <c r="C75">
        <v>0</v>
      </c>
      <c r="D75" t="s">
        <v>434</v>
      </c>
      <c r="E75" t="s">
        <v>258</v>
      </c>
      <c r="F75" t="s">
        <v>255</v>
      </c>
      <c r="M75" s="42">
        <v>45977</v>
      </c>
      <c r="N75">
        <v>0</v>
      </c>
      <c r="O75" t="s">
        <v>434</v>
      </c>
      <c r="P75" t="s">
        <v>258</v>
      </c>
      <c r="Q75" t="s">
        <v>255</v>
      </c>
    </row>
    <row r="76" spans="2:18">
      <c r="B76" s="42"/>
      <c r="C76">
        <v>13</v>
      </c>
      <c r="D76" t="s">
        <v>701</v>
      </c>
      <c r="E76" t="s">
        <v>256</v>
      </c>
      <c r="F76" t="s">
        <v>255</v>
      </c>
      <c r="M76" s="42"/>
      <c r="N76">
        <v>13</v>
      </c>
      <c r="O76" t="s">
        <v>701</v>
      </c>
      <c r="P76" t="s">
        <v>256</v>
      </c>
      <c r="Q76" t="s">
        <v>255</v>
      </c>
    </row>
    <row r="77" spans="2:18">
      <c r="B77" s="343"/>
      <c r="C77">
        <v>15</v>
      </c>
      <c r="D77" t="s">
        <v>444</v>
      </c>
      <c r="E77" t="s">
        <v>257</v>
      </c>
      <c r="F77" t="s">
        <v>255</v>
      </c>
      <c r="M77" s="343"/>
      <c r="N77">
        <v>15</v>
      </c>
      <c r="O77" t="s">
        <v>444</v>
      </c>
      <c r="P77" t="s">
        <v>257</v>
      </c>
      <c r="Q77" t="s">
        <v>255</v>
      </c>
    </row>
    <row r="78" spans="2:18">
      <c r="B78" s="343"/>
      <c r="M78" s="343"/>
    </row>
    <row r="79" spans="2:18">
      <c r="B79" s="42">
        <v>45978</v>
      </c>
      <c r="C79">
        <v>15</v>
      </c>
      <c r="D79" t="s">
        <v>721</v>
      </c>
      <c r="E79" t="s">
        <v>258</v>
      </c>
      <c r="F79" t="s">
        <v>255</v>
      </c>
      <c r="M79" s="42">
        <v>45978</v>
      </c>
      <c r="N79">
        <v>15</v>
      </c>
      <c r="O79" t="s">
        <v>721</v>
      </c>
      <c r="P79" t="s">
        <v>258</v>
      </c>
      <c r="Q79" t="s">
        <v>255</v>
      </c>
    </row>
    <row r="80" spans="2:18">
      <c r="B80" s="42"/>
      <c r="C80">
        <v>16</v>
      </c>
      <c r="D80" t="s">
        <v>592</v>
      </c>
      <c r="E80" t="s">
        <v>256</v>
      </c>
      <c r="F80" t="s">
        <v>255</v>
      </c>
      <c r="M80" s="42"/>
      <c r="N80">
        <v>16</v>
      </c>
      <c r="O80" t="s">
        <v>592</v>
      </c>
      <c r="P80" t="s">
        <v>256</v>
      </c>
      <c r="Q80" t="s">
        <v>255</v>
      </c>
    </row>
    <row r="81" spans="2:17">
      <c r="B81" s="42"/>
      <c r="C81">
        <v>30</v>
      </c>
      <c r="D81" t="s">
        <v>722</v>
      </c>
      <c r="E81" t="s">
        <v>257</v>
      </c>
      <c r="F81" t="s">
        <v>255</v>
      </c>
      <c r="M81" s="42"/>
      <c r="N81">
        <v>30</v>
      </c>
      <c r="O81" t="s">
        <v>722</v>
      </c>
      <c r="P81" t="s">
        <v>257</v>
      </c>
      <c r="Q81" t="s">
        <v>255</v>
      </c>
    </row>
    <row r="82" spans="2:17">
      <c r="B82" s="343"/>
      <c r="C82">
        <v>5</v>
      </c>
      <c r="D82" t="s">
        <v>415</v>
      </c>
      <c r="E82" s="382" t="s">
        <v>202</v>
      </c>
      <c r="F82" s="382" t="s">
        <v>254</v>
      </c>
      <c r="M82" s="343"/>
      <c r="N82">
        <v>5</v>
      </c>
      <c r="O82" t="s">
        <v>415</v>
      </c>
      <c r="P82" s="382" t="s">
        <v>202</v>
      </c>
      <c r="Q82" s="382" t="s">
        <v>254</v>
      </c>
    </row>
    <row r="83" spans="2:17">
      <c r="B83" s="42"/>
      <c r="C83">
        <v>199</v>
      </c>
      <c r="D83" t="s">
        <v>707</v>
      </c>
      <c r="E83" t="s">
        <v>723</v>
      </c>
      <c r="F83" s="382" t="s">
        <v>265</v>
      </c>
      <c r="M83" s="42"/>
      <c r="N83">
        <v>199</v>
      </c>
      <c r="O83" t="s">
        <v>707</v>
      </c>
      <c r="P83" t="s">
        <v>723</v>
      </c>
      <c r="Q83" s="382" t="s">
        <v>265</v>
      </c>
    </row>
    <row r="84" spans="2:17">
      <c r="B84" s="343"/>
      <c r="M84" s="343"/>
    </row>
    <row r="85" spans="2:17">
      <c r="B85" s="42">
        <v>45979</v>
      </c>
      <c r="C85">
        <v>10</v>
      </c>
      <c r="D85" t="s">
        <v>414</v>
      </c>
      <c r="E85" t="s">
        <v>258</v>
      </c>
      <c r="F85" t="s">
        <v>255</v>
      </c>
      <c r="M85" s="42">
        <v>45979</v>
      </c>
      <c r="N85">
        <v>10</v>
      </c>
      <c r="O85" t="s">
        <v>414</v>
      </c>
      <c r="P85" t="s">
        <v>258</v>
      </c>
      <c r="Q85" t="s">
        <v>255</v>
      </c>
    </row>
    <row r="86" spans="2:17">
      <c r="B86" s="343"/>
      <c r="C86">
        <v>15</v>
      </c>
      <c r="D86" t="s">
        <v>592</v>
      </c>
      <c r="E86" t="s">
        <v>256</v>
      </c>
      <c r="F86" t="s">
        <v>255</v>
      </c>
      <c r="M86" s="343"/>
      <c r="N86">
        <v>15</v>
      </c>
      <c r="O86" t="s">
        <v>592</v>
      </c>
      <c r="P86" t="s">
        <v>256</v>
      </c>
      <c r="Q86" t="s">
        <v>255</v>
      </c>
    </row>
    <row r="87" spans="2:17">
      <c r="B87" s="343"/>
      <c r="C87">
        <v>25</v>
      </c>
      <c r="D87" t="s">
        <v>742</v>
      </c>
      <c r="E87" t="s">
        <v>257</v>
      </c>
      <c r="F87" t="s">
        <v>255</v>
      </c>
      <c r="M87" s="343"/>
      <c r="N87">
        <v>25</v>
      </c>
      <c r="O87" t="s">
        <v>742</v>
      </c>
      <c r="P87" t="s">
        <v>257</v>
      </c>
      <c r="Q87" t="s">
        <v>255</v>
      </c>
    </row>
    <row r="88" spans="2:17">
      <c r="B88" s="42"/>
      <c r="C88">
        <v>140</v>
      </c>
      <c r="D88" s="500" t="s">
        <v>747</v>
      </c>
      <c r="E88" t="s">
        <v>746</v>
      </c>
      <c r="F88" t="s">
        <v>262</v>
      </c>
      <c r="M88" s="42"/>
      <c r="N88">
        <v>140</v>
      </c>
      <c r="O88" s="500" t="s">
        <v>747</v>
      </c>
      <c r="P88" t="s">
        <v>746</v>
      </c>
      <c r="Q88" t="s">
        <v>262</v>
      </c>
    </row>
    <row r="89" spans="2:17">
      <c r="B89" s="42"/>
      <c r="C89">
        <v>30</v>
      </c>
      <c r="D89" s="500" t="s">
        <v>748</v>
      </c>
      <c r="E89" t="s">
        <v>744</v>
      </c>
      <c r="F89" t="s">
        <v>262</v>
      </c>
      <c r="M89" s="42"/>
      <c r="N89">
        <v>30</v>
      </c>
      <c r="O89" s="500" t="s">
        <v>748</v>
      </c>
      <c r="P89" t="s">
        <v>744</v>
      </c>
      <c r="Q89" t="s">
        <v>262</v>
      </c>
    </row>
    <row r="90" spans="2:17">
      <c r="B90" s="343"/>
      <c r="C90">
        <v>30</v>
      </c>
      <c r="D90" t="s">
        <v>743</v>
      </c>
      <c r="E90" t="s">
        <v>745</v>
      </c>
      <c r="F90" t="s">
        <v>264</v>
      </c>
      <c r="M90" s="343"/>
      <c r="N90">
        <v>30</v>
      </c>
      <c r="O90" t="s">
        <v>743</v>
      </c>
      <c r="P90" t="s">
        <v>745</v>
      </c>
      <c r="Q90" t="s">
        <v>264</v>
      </c>
    </row>
    <row r="91" spans="2:17">
      <c r="B91" s="343"/>
      <c r="M91" s="343"/>
    </row>
    <row r="92" spans="2:17">
      <c r="B92" s="42">
        <v>45980</v>
      </c>
      <c r="C92">
        <v>0</v>
      </c>
      <c r="D92" t="s">
        <v>434</v>
      </c>
      <c r="E92" t="s">
        <v>258</v>
      </c>
      <c r="F92" t="s">
        <v>255</v>
      </c>
      <c r="M92" s="42">
        <v>45980</v>
      </c>
      <c r="N92">
        <v>0</v>
      </c>
      <c r="O92" t="s">
        <v>434</v>
      </c>
      <c r="P92" t="s">
        <v>258</v>
      </c>
      <c r="Q92" t="s">
        <v>255</v>
      </c>
    </row>
    <row r="93" spans="2:17">
      <c r="B93" s="42"/>
      <c r="C93">
        <v>17</v>
      </c>
      <c r="D93" t="s">
        <v>755</v>
      </c>
      <c r="E93" t="s">
        <v>256</v>
      </c>
      <c r="F93" t="s">
        <v>255</v>
      </c>
      <c r="M93" s="42"/>
      <c r="N93">
        <v>17</v>
      </c>
      <c r="O93" t="s">
        <v>755</v>
      </c>
      <c r="P93" t="s">
        <v>256</v>
      </c>
      <c r="Q93" t="s">
        <v>255</v>
      </c>
    </row>
    <row r="94" spans="2:17">
      <c r="B94" s="42"/>
      <c r="C94">
        <v>22</v>
      </c>
      <c r="D94" t="s">
        <v>548</v>
      </c>
      <c r="E94" t="s">
        <v>257</v>
      </c>
      <c r="F94" t="s">
        <v>255</v>
      </c>
      <c r="M94" s="42"/>
      <c r="N94">
        <v>22</v>
      </c>
      <c r="O94" t="s">
        <v>548</v>
      </c>
      <c r="P94" t="s">
        <v>257</v>
      </c>
      <c r="Q94" t="s">
        <v>255</v>
      </c>
    </row>
    <row r="95" spans="2:17">
      <c r="B95" s="343"/>
      <c r="C95">
        <v>25</v>
      </c>
      <c r="D95" t="s">
        <v>756</v>
      </c>
      <c r="E95" t="s">
        <v>757</v>
      </c>
      <c r="F95" t="s">
        <v>255</v>
      </c>
      <c r="M95" s="343"/>
      <c r="N95">
        <v>25</v>
      </c>
      <c r="O95" t="s">
        <v>756</v>
      </c>
      <c r="P95" t="s">
        <v>757</v>
      </c>
      <c r="Q95" t="s">
        <v>255</v>
      </c>
    </row>
    <row r="96" spans="2:17">
      <c r="B96" s="42"/>
      <c r="M96" s="42"/>
    </row>
    <row r="97" spans="2:17">
      <c r="B97" s="343">
        <v>45981</v>
      </c>
      <c r="C97">
        <v>10</v>
      </c>
      <c r="D97" t="s">
        <v>414</v>
      </c>
      <c r="E97" t="s">
        <v>258</v>
      </c>
      <c r="F97" t="s">
        <v>255</v>
      </c>
      <c r="M97" s="343">
        <v>45981</v>
      </c>
      <c r="N97">
        <v>10</v>
      </c>
      <c r="O97" t="s">
        <v>414</v>
      </c>
      <c r="P97" t="s">
        <v>258</v>
      </c>
      <c r="Q97" t="s">
        <v>255</v>
      </c>
    </row>
    <row r="98" spans="2:17">
      <c r="B98" s="343"/>
      <c r="C98">
        <v>11</v>
      </c>
      <c r="D98" s="497" t="s">
        <v>701</v>
      </c>
      <c r="E98" t="s">
        <v>256</v>
      </c>
      <c r="F98" t="s">
        <v>255</v>
      </c>
      <c r="M98" s="343"/>
      <c r="N98">
        <v>11</v>
      </c>
      <c r="O98" s="497" t="s">
        <v>701</v>
      </c>
      <c r="P98" t="s">
        <v>256</v>
      </c>
      <c r="Q98" t="s">
        <v>255</v>
      </c>
    </row>
    <row r="99" spans="2:17">
      <c r="B99" s="42"/>
      <c r="C99">
        <v>25</v>
      </c>
      <c r="D99" t="s">
        <v>742</v>
      </c>
      <c r="E99" t="s">
        <v>257</v>
      </c>
      <c r="F99" t="s">
        <v>255</v>
      </c>
      <c r="M99" s="42"/>
      <c r="N99">
        <v>25</v>
      </c>
      <c r="O99" t="s">
        <v>742</v>
      </c>
      <c r="P99" t="s">
        <v>257</v>
      </c>
      <c r="Q99" t="s">
        <v>255</v>
      </c>
    </row>
    <row r="100" spans="2:17">
      <c r="B100" s="42"/>
      <c r="E100" s="497"/>
      <c r="F100" s="382"/>
      <c r="M100" s="42"/>
      <c r="P100" s="497"/>
      <c r="Q100" s="382"/>
    </row>
    <row r="101" spans="2:17">
      <c r="B101" s="343">
        <v>45982</v>
      </c>
      <c r="C101">
        <v>0</v>
      </c>
      <c r="D101" t="s">
        <v>434</v>
      </c>
      <c r="E101" t="s">
        <v>258</v>
      </c>
      <c r="F101" t="s">
        <v>255</v>
      </c>
      <c r="M101" s="343">
        <v>45982</v>
      </c>
      <c r="N101">
        <v>0</v>
      </c>
      <c r="O101" t="s">
        <v>434</v>
      </c>
      <c r="P101" t="s">
        <v>258</v>
      </c>
      <c r="Q101" t="s">
        <v>255</v>
      </c>
    </row>
    <row r="102" spans="2:17">
      <c r="B102" s="42"/>
      <c r="C102">
        <v>19</v>
      </c>
      <c r="D102" t="s">
        <v>782</v>
      </c>
      <c r="E102" t="s">
        <v>256</v>
      </c>
      <c r="F102" t="s">
        <v>255</v>
      </c>
      <c r="M102" s="42"/>
      <c r="N102">
        <v>19</v>
      </c>
      <c r="O102" t="s">
        <v>782</v>
      </c>
      <c r="P102" t="s">
        <v>256</v>
      </c>
      <c r="Q102" t="s">
        <v>255</v>
      </c>
    </row>
    <row r="103" spans="2:17">
      <c r="B103" s="343"/>
      <c r="C103">
        <v>28</v>
      </c>
      <c r="D103" t="s">
        <v>466</v>
      </c>
      <c r="E103" t="s">
        <v>257</v>
      </c>
      <c r="F103" t="s">
        <v>255</v>
      </c>
      <c r="M103" s="343"/>
      <c r="N103">
        <v>28</v>
      </c>
      <c r="O103" t="s">
        <v>466</v>
      </c>
      <c r="P103" t="s">
        <v>257</v>
      </c>
      <c r="Q103" t="s">
        <v>255</v>
      </c>
    </row>
    <row r="104" spans="2:17">
      <c r="B104" s="42"/>
      <c r="C104">
        <v>86</v>
      </c>
      <c r="D104" t="s">
        <v>781</v>
      </c>
      <c r="E104" t="s">
        <v>783</v>
      </c>
      <c r="F104" t="s">
        <v>263</v>
      </c>
      <c r="M104" s="42"/>
      <c r="N104">
        <v>86</v>
      </c>
      <c r="O104" t="s">
        <v>781</v>
      </c>
      <c r="P104" t="s">
        <v>783</v>
      </c>
      <c r="Q104" t="s">
        <v>263</v>
      </c>
    </row>
    <row r="105" spans="2:17">
      <c r="B105" s="343"/>
      <c r="C105">
        <v>14</v>
      </c>
      <c r="D105" t="s">
        <v>771</v>
      </c>
      <c r="E105" t="s">
        <v>784</v>
      </c>
      <c r="F105" t="s">
        <v>264</v>
      </c>
      <c r="M105" s="343"/>
      <c r="N105">
        <v>14</v>
      </c>
      <c r="O105" t="s">
        <v>771</v>
      </c>
      <c r="P105" t="s">
        <v>784</v>
      </c>
      <c r="Q105" t="s">
        <v>264</v>
      </c>
    </row>
    <row r="106" spans="2:17">
      <c r="B106" s="343"/>
      <c r="M106" s="343"/>
    </row>
    <row r="107" spans="2:17">
      <c r="B107" s="343">
        <v>45983</v>
      </c>
      <c r="C107">
        <v>10</v>
      </c>
      <c r="D107" t="s">
        <v>414</v>
      </c>
      <c r="E107" t="s">
        <v>258</v>
      </c>
      <c r="F107" t="s">
        <v>255</v>
      </c>
      <c r="M107" s="343">
        <v>45983</v>
      </c>
      <c r="N107">
        <v>10</v>
      </c>
      <c r="O107" t="s">
        <v>414</v>
      </c>
      <c r="P107" t="s">
        <v>258</v>
      </c>
      <c r="Q107" t="s">
        <v>255</v>
      </c>
    </row>
    <row r="108" spans="2:17">
      <c r="B108" s="42"/>
      <c r="C108">
        <v>13</v>
      </c>
      <c r="D108" t="s">
        <v>592</v>
      </c>
      <c r="E108" t="s">
        <v>256</v>
      </c>
      <c r="F108" t="s">
        <v>255</v>
      </c>
      <c r="M108" s="42"/>
      <c r="N108">
        <v>13</v>
      </c>
      <c r="O108" t="s">
        <v>592</v>
      </c>
      <c r="P108" t="s">
        <v>256</v>
      </c>
      <c r="Q108" t="s">
        <v>255</v>
      </c>
    </row>
    <row r="109" spans="2:17">
      <c r="B109" s="42"/>
      <c r="C109">
        <v>25</v>
      </c>
      <c r="D109" t="s">
        <v>796</v>
      </c>
      <c r="E109" t="s">
        <v>257</v>
      </c>
      <c r="F109" t="s">
        <v>255</v>
      </c>
      <c r="M109" s="42"/>
      <c r="N109">
        <v>25</v>
      </c>
      <c r="O109" t="s">
        <v>796</v>
      </c>
      <c r="P109" t="s">
        <v>257</v>
      </c>
      <c r="Q109" t="s">
        <v>255</v>
      </c>
    </row>
    <row r="110" spans="2:17">
      <c r="B110" s="343"/>
      <c r="C110">
        <v>222</v>
      </c>
      <c r="D110" t="s">
        <v>797</v>
      </c>
      <c r="E110" t="s">
        <v>801</v>
      </c>
      <c r="F110" t="s">
        <v>262</v>
      </c>
      <c r="M110" s="343"/>
      <c r="N110">
        <v>222</v>
      </c>
      <c r="O110" t="s">
        <v>797</v>
      </c>
      <c r="P110" t="s">
        <v>801</v>
      </c>
      <c r="Q110" t="s">
        <v>262</v>
      </c>
    </row>
    <row r="111" spans="2:17">
      <c r="B111" s="343"/>
      <c r="M111" s="343"/>
    </row>
    <row r="112" spans="2:17">
      <c r="B112" s="42">
        <v>45984</v>
      </c>
      <c r="C112">
        <v>10</v>
      </c>
      <c r="D112" t="s">
        <v>414</v>
      </c>
      <c r="E112" t="s">
        <v>258</v>
      </c>
      <c r="F112" t="s">
        <v>255</v>
      </c>
      <c r="M112" s="42">
        <v>45984</v>
      </c>
      <c r="N112">
        <v>10</v>
      </c>
      <c r="O112" t="s">
        <v>414</v>
      </c>
      <c r="P112" t="s">
        <v>258</v>
      </c>
      <c r="Q112" t="s">
        <v>255</v>
      </c>
    </row>
    <row r="113" spans="2:17">
      <c r="B113" s="42"/>
      <c r="C113">
        <v>16</v>
      </c>
      <c r="D113" t="s">
        <v>782</v>
      </c>
      <c r="E113" t="s">
        <v>256</v>
      </c>
      <c r="F113" t="s">
        <v>255</v>
      </c>
      <c r="M113" s="42"/>
      <c r="N113">
        <v>16</v>
      </c>
      <c r="O113" t="s">
        <v>782</v>
      </c>
      <c r="P113" t="s">
        <v>256</v>
      </c>
      <c r="Q113" t="s">
        <v>255</v>
      </c>
    </row>
    <row r="114" spans="2:17">
      <c r="B114" s="42"/>
      <c r="C114">
        <v>24</v>
      </c>
      <c r="D114" t="s">
        <v>548</v>
      </c>
      <c r="E114" t="s">
        <v>257</v>
      </c>
      <c r="F114" t="s">
        <v>255</v>
      </c>
      <c r="M114" s="42"/>
      <c r="N114">
        <v>24</v>
      </c>
      <c r="O114" t="s">
        <v>548</v>
      </c>
      <c r="P114" t="s">
        <v>257</v>
      </c>
      <c r="Q114" t="s">
        <v>255</v>
      </c>
    </row>
    <row r="115" spans="2:17">
      <c r="B115" s="42"/>
      <c r="C115">
        <v>70</v>
      </c>
      <c r="D115" t="s">
        <v>798</v>
      </c>
      <c r="E115" t="s">
        <v>801</v>
      </c>
      <c r="F115" t="s">
        <v>262</v>
      </c>
      <c r="M115" s="42"/>
      <c r="N115">
        <v>70</v>
      </c>
      <c r="O115" t="s">
        <v>798</v>
      </c>
      <c r="P115" t="s">
        <v>801</v>
      </c>
      <c r="Q115" t="s">
        <v>262</v>
      </c>
    </row>
    <row r="116" spans="2:17">
      <c r="B116" s="42"/>
      <c r="C116">
        <v>20</v>
      </c>
      <c r="D116" t="s">
        <v>799</v>
      </c>
      <c r="E116" t="s">
        <v>800</v>
      </c>
      <c r="F116" t="s">
        <v>264</v>
      </c>
      <c r="M116" s="42"/>
      <c r="N116">
        <v>20</v>
      </c>
      <c r="O116" t="s">
        <v>799</v>
      </c>
      <c r="P116" t="s">
        <v>800</v>
      </c>
      <c r="Q116" t="s">
        <v>264</v>
      </c>
    </row>
    <row r="117" spans="2:17">
      <c r="B117" s="42"/>
      <c r="M117" s="42"/>
    </row>
    <row r="118" spans="2:17">
      <c r="B118" s="42">
        <v>45985</v>
      </c>
      <c r="C118">
        <v>20</v>
      </c>
      <c r="D118" t="s">
        <v>439</v>
      </c>
      <c r="E118" t="s">
        <v>258</v>
      </c>
      <c r="F118" t="s">
        <v>255</v>
      </c>
      <c r="M118" s="42">
        <v>45985</v>
      </c>
      <c r="N118">
        <v>20</v>
      </c>
      <c r="O118" t="s">
        <v>439</v>
      </c>
      <c r="P118" t="s">
        <v>258</v>
      </c>
      <c r="Q118" t="s">
        <v>255</v>
      </c>
    </row>
    <row r="119" spans="2:17">
      <c r="B119" s="42"/>
      <c r="C119">
        <v>19</v>
      </c>
      <c r="D119" t="s">
        <v>701</v>
      </c>
      <c r="E119" t="s">
        <v>256</v>
      </c>
      <c r="F119" t="s">
        <v>255</v>
      </c>
      <c r="M119" s="42"/>
      <c r="N119">
        <v>19</v>
      </c>
      <c r="O119" t="s">
        <v>701</v>
      </c>
      <c r="P119" t="s">
        <v>256</v>
      </c>
      <c r="Q119" t="s">
        <v>255</v>
      </c>
    </row>
    <row r="120" spans="2:17">
      <c r="B120" s="42"/>
      <c r="C120">
        <v>21</v>
      </c>
      <c r="D120" t="s">
        <v>548</v>
      </c>
      <c r="E120" t="s">
        <v>257</v>
      </c>
      <c r="F120" t="s">
        <v>255</v>
      </c>
      <c r="M120" s="42"/>
      <c r="N120">
        <v>21</v>
      </c>
      <c r="O120" t="s">
        <v>548</v>
      </c>
      <c r="P120" t="s">
        <v>257</v>
      </c>
      <c r="Q120" t="s">
        <v>255</v>
      </c>
    </row>
    <row r="121" spans="2:17">
      <c r="B121" s="42"/>
      <c r="C121">
        <v>15</v>
      </c>
      <c r="D121" t="s">
        <v>415</v>
      </c>
      <c r="E121" t="s">
        <v>202</v>
      </c>
      <c r="F121" t="s">
        <v>254</v>
      </c>
      <c r="M121" s="42"/>
      <c r="N121">
        <v>15</v>
      </c>
      <c r="O121" t="s">
        <v>415</v>
      </c>
      <c r="P121" t="s">
        <v>202</v>
      </c>
      <c r="Q121" t="s">
        <v>254</v>
      </c>
    </row>
    <row r="122" spans="2:17">
      <c r="B122" s="42"/>
      <c r="M122" s="42"/>
    </row>
    <row r="123" spans="2:17">
      <c r="B123" s="42">
        <v>45986</v>
      </c>
      <c r="C123">
        <v>0</v>
      </c>
      <c r="D123" t="s">
        <v>434</v>
      </c>
      <c r="E123" t="s">
        <v>258</v>
      </c>
      <c r="F123" t="s">
        <v>255</v>
      </c>
      <c r="M123" s="42">
        <v>45986</v>
      </c>
      <c r="N123">
        <v>0</v>
      </c>
      <c r="O123" t="s">
        <v>434</v>
      </c>
      <c r="P123" t="s">
        <v>258</v>
      </c>
      <c r="Q123" t="s">
        <v>255</v>
      </c>
    </row>
    <row r="124" spans="2:17">
      <c r="B124" s="42"/>
      <c r="C124">
        <v>11</v>
      </c>
      <c r="D124" t="s">
        <v>593</v>
      </c>
      <c r="E124" t="s">
        <v>256</v>
      </c>
      <c r="F124" t="s">
        <v>255</v>
      </c>
      <c r="M124" s="42"/>
      <c r="N124">
        <v>11</v>
      </c>
      <c r="O124" t="s">
        <v>593</v>
      </c>
      <c r="P124" t="s">
        <v>256</v>
      </c>
      <c r="Q124" t="s">
        <v>255</v>
      </c>
    </row>
    <row r="125" spans="2:17">
      <c r="B125" s="42"/>
      <c r="C125">
        <v>16</v>
      </c>
      <c r="D125" t="s">
        <v>619</v>
      </c>
      <c r="E125" t="s">
        <v>257</v>
      </c>
      <c r="F125" t="s">
        <v>255</v>
      </c>
      <c r="M125" s="42"/>
      <c r="N125">
        <v>16</v>
      </c>
      <c r="O125" t="s">
        <v>619</v>
      </c>
      <c r="P125" t="s">
        <v>257</v>
      </c>
      <c r="Q125" t="s">
        <v>255</v>
      </c>
    </row>
    <row r="126" spans="2:17">
      <c r="B126" s="42"/>
      <c r="M126" s="42"/>
    </row>
    <row r="127" spans="2:17">
      <c r="B127" s="42">
        <v>45987</v>
      </c>
      <c r="C127">
        <v>0</v>
      </c>
      <c r="D127" t="s">
        <v>434</v>
      </c>
      <c r="E127" t="s">
        <v>258</v>
      </c>
      <c r="F127" t="s">
        <v>255</v>
      </c>
      <c r="M127" s="42">
        <v>45987</v>
      </c>
      <c r="N127">
        <v>0</v>
      </c>
      <c r="O127" t="s">
        <v>434</v>
      </c>
      <c r="P127" t="s">
        <v>258</v>
      </c>
      <c r="Q127" t="s">
        <v>255</v>
      </c>
    </row>
    <row r="128" spans="2:17">
      <c r="B128" s="42"/>
      <c r="C128">
        <v>12</v>
      </c>
      <c r="D128" t="s">
        <v>700</v>
      </c>
      <c r="E128" t="s">
        <v>256</v>
      </c>
      <c r="F128" t="s">
        <v>255</v>
      </c>
      <c r="M128" s="42"/>
      <c r="N128">
        <v>12</v>
      </c>
      <c r="O128" t="s">
        <v>700</v>
      </c>
      <c r="P128" t="s">
        <v>256</v>
      </c>
      <c r="Q128" t="s">
        <v>255</v>
      </c>
    </row>
    <row r="129" spans="2:17">
      <c r="B129" s="42"/>
      <c r="C129">
        <v>20</v>
      </c>
      <c r="D129" t="s">
        <v>796</v>
      </c>
      <c r="E129" t="s">
        <v>257</v>
      </c>
      <c r="F129" t="s">
        <v>255</v>
      </c>
      <c r="M129" s="42"/>
      <c r="N129">
        <v>20</v>
      </c>
      <c r="O129" t="s">
        <v>796</v>
      </c>
      <c r="P129" t="s">
        <v>257</v>
      </c>
      <c r="Q129" t="s">
        <v>255</v>
      </c>
    </row>
    <row r="130" spans="2:17">
      <c r="B130" s="42"/>
      <c r="M130" s="42"/>
    </row>
    <row r="131" spans="2:17">
      <c r="B131" s="42">
        <v>45988</v>
      </c>
      <c r="C131">
        <v>0</v>
      </c>
      <c r="D131" t="s">
        <v>434</v>
      </c>
      <c r="E131" t="s">
        <v>258</v>
      </c>
      <c r="F131" t="s">
        <v>255</v>
      </c>
      <c r="M131" s="42">
        <v>45988</v>
      </c>
      <c r="N131">
        <v>0</v>
      </c>
      <c r="O131" t="s">
        <v>434</v>
      </c>
      <c r="P131" t="s">
        <v>258</v>
      </c>
      <c r="Q131" t="s">
        <v>255</v>
      </c>
    </row>
    <row r="132" spans="2:17">
      <c r="B132" s="42"/>
      <c r="C132">
        <v>12</v>
      </c>
      <c r="D132" t="s">
        <v>782</v>
      </c>
      <c r="E132" t="s">
        <v>256</v>
      </c>
      <c r="F132" t="s">
        <v>255</v>
      </c>
      <c r="M132" s="42"/>
      <c r="N132">
        <v>12</v>
      </c>
      <c r="O132" t="s">
        <v>782</v>
      </c>
      <c r="P132" t="s">
        <v>256</v>
      </c>
      <c r="Q132" t="s">
        <v>255</v>
      </c>
    </row>
    <row r="133" spans="2:17">
      <c r="B133" s="42"/>
      <c r="C133">
        <v>18</v>
      </c>
      <c r="D133" t="s">
        <v>651</v>
      </c>
      <c r="E133" t="s">
        <v>257</v>
      </c>
      <c r="F133" t="s">
        <v>255</v>
      </c>
      <c r="M133" s="42"/>
      <c r="N133">
        <v>18</v>
      </c>
      <c r="O133" t="s">
        <v>651</v>
      </c>
      <c r="P133" t="s">
        <v>257</v>
      </c>
      <c r="Q133" t="s">
        <v>255</v>
      </c>
    </row>
    <row r="134" spans="2:17">
      <c r="B134" s="42"/>
      <c r="C134">
        <v>6</v>
      </c>
      <c r="D134" t="s">
        <v>765</v>
      </c>
      <c r="E134" t="s">
        <v>823</v>
      </c>
      <c r="F134" t="s">
        <v>255</v>
      </c>
      <c r="M134" s="42"/>
      <c r="N134">
        <v>6</v>
      </c>
      <c r="O134" t="s">
        <v>765</v>
      </c>
      <c r="P134" t="s">
        <v>823</v>
      </c>
      <c r="Q134" t="s">
        <v>255</v>
      </c>
    </row>
    <row r="135" spans="2:17">
      <c r="B135" s="42"/>
      <c r="M135" s="42"/>
    </row>
    <row r="136" spans="2:17">
      <c r="B136" s="42">
        <v>45989</v>
      </c>
      <c r="C136">
        <v>0</v>
      </c>
      <c r="D136" t="s">
        <v>434</v>
      </c>
      <c r="E136" t="s">
        <v>258</v>
      </c>
      <c r="F136" t="s">
        <v>255</v>
      </c>
      <c r="M136" s="42">
        <v>45989</v>
      </c>
      <c r="N136">
        <v>0</v>
      </c>
      <c r="O136" t="s">
        <v>434</v>
      </c>
      <c r="P136" t="s">
        <v>258</v>
      </c>
      <c r="Q136" t="s">
        <v>255</v>
      </c>
    </row>
    <row r="137" spans="2:17">
      <c r="B137" s="42"/>
      <c r="C137">
        <v>15</v>
      </c>
      <c r="D137" t="s">
        <v>593</v>
      </c>
      <c r="E137" t="s">
        <v>256</v>
      </c>
      <c r="F137" t="s">
        <v>255</v>
      </c>
      <c r="M137" s="42"/>
      <c r="N137">
        <v>15</v>
      </c>
      <c r="O137" t="s">
        <v>593</v>
      </c>
      <c r="P137" t="s">
        <v>256</v>
      </c>
      <c r="Q137" t="s">
        <v>255</v>
      </c>
    </row>
    <row r="138" spans="2:17">
      <c r="B138" s="42"/>
      <c r="C138">
        <v>26</v>
      </c>
      <c r="D138" t="s">
        <v>466</v>
      </c>
      <c r="E138" t="s">
        <v>257</v>
      </c>
      <c r="F138" t="s">
        <v>255</v>
      </c>
      <c r="M138" s="42"/>
      <c r="N138">
        <v>26</v>
      </c>
      <c r="O138" t="s">
        <v>466</v>
      </c>
      <c r="P138" t="s">
        <v>257</v>
      </c>
      <c r="Q138" t="s">
        <v>255</v>
      </c>
    </row>
    <row r="139" spans="2:17">
      <c r="B139" s="42"/>
      <c r="M139" s="42"/>
    </row>
    <row r="140" spans="2:17">
      <c r="B140" s="42">
        <v>45990</v>
      </c>
      <c r="C140">
        <v>0</v>
      </c>
      <c r="D140" t="s">
        <v>434</v>
      </c>
      <c r="E140" t="s">
        <v>258</v>
      </c>
      <c r="F140" t="s">
        <v>255</v>
      </c>
      <c r="M140" s="42">
        <v>45990</v>
      </c>
      <c r="N140">
        <v>0</v>
      </c>
      <c r="O140" t="s">
        <v>434</v>
      </c>
      <c r="P140" t="s">
        <v>258</v>
      </c>
      <c r="Q140" t="s">
        <v>255</v>
      </c>
    </row>
    <row r="141" spans="2:17">
      <c r="B141" s="42"/>
      <c r="C141">
        <v>11</v>
      </c>
      <c r="D141" t="s">
        <v>593</v>
      </c>
      <c r="E141" t="s">
        <v>256</v>
      </c>
      <c r="F141" t="s">
        <v>255</v>
      </c>
      <c r="M141" s="42"/>
      <c r="N141">
        <v>11</v>
      </c>
      <c r="O141" t="s">
        <v>593</v>
      </c>
      <c r="P141" t="s">
        <v>256</v>
      </c>
      <c r="Q141" t="s">
        <v>255</v>
      </c>
    </row>
    <row r="142" spans="2:17">
      <c r="B142" s="42"/>
      <c r="C142">
        <v>30</v>
      </c>
      <c r="D142" t="s">
        <v>548</v>
      </c>
      <c r="E142" t="s">
        <v>257</v>
      </c>
      <c r="F142" t="s">
        <v>255</v>
      </c>
      <c r="M142" s="42"/>
      <c r="N142">
        <v>30</v>
      </c>
      <c r="O142" t="s">
        <v>548</v>
      </c>
      <c r="P142" t="s">
        <v>257</v>
      </c>
      <c r="Q142" t="s">
        <v>255</v>
      </c>
    </row>
    <row r="143" spans="2:17">
      <c r="B143" s="42"/>
      <c r="M143" s="42"/>
    </row>
    <row r="144" spans="2:17">
      <c r="B144" s="42">
        <v>45991</v>
      </c>
      <c r="C144">
        <v>0</v>
      </c>
      <c r="D144" t="s">
        <v>434</v>
      </c>
      <c r="E144" t="s">
        <v>258</v>
      </c>
      <c r="F144" t="s">
        <v>255</v>
      </c>
      <c r="M144" s="42">
        <v>45991</v>
      </c>
      <c r="N144">
        <v>0</v>
      </c>
      <c r="O144" t="s">
        <v>434</v>
      </c>
      <c r="P144" t="s">
        <v>258</v>
      </c>
      <c r="Q144" t="s">
        <v>255</v>
      </c>
    </row>
    <row r="145" spans="2:17">
      <c r="B145" s="42"/>
      <c r="C145">
        <v>18</v>
      </c>
      <c r="D145" t="s">
        <v>605</v>
      </c>
      <c r="E145" t="s">
        <v>256</v>
      </c>
      <c r="F145" t="s">
        <v>255</v>
      </c>
      <c r="M145" s="42"/>
      <c r="N145">
        <v>18</v>
      </c>
      <c r="O145" t="s">
        <v>605</v>
      </c>
      <c r="P145" t="s">
        <v>256</v>
      </c>
      <c r="Q145" t="s">
        <v>255</v>
      </c>
    </row>
    <row r="146" spans="2:17">
      <c r="B146" s="42"/>
      <c r="C146">
        <v>26</v>
      </c>
      <c r="D146" t="s">
        <v>444</v>
      </c>
      <c r="E146" t="s">
        <v>257</v>
      </c>
      <c r="F146" t="s">
        <v>255</v>
      </c>
      <c r="M146" s="42"/>
      <c r="N146">
        <v>26</v>
      </c>
      <c r="O146" t="s">
        <v>444</v>
      </c>
      <c r="P146" t="s">
        <v>257</v>
      </c>
      <c r="Q146" t="s">
        <v>255</v>
      </c>
    </row>
  </sheetData>
  <autoFilter ref="C1:F117"/>
  <conditionalFormatting sqref="G2:G11">
    <cfRule type="cellIs" dxfId="27" priority="2" operator="greaterThan">
      <formula>0</formula>
    </cfRule>
  </conditionalFormatting>
  <conditionalFormatting sqref="R2:R11">
    <cfRule type="cellIs" dxfId="26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6"/>
  <sheetViews>
    <sheetView topLeftCell="G1" workbookViewId="0">
      <selection activeCell="K10" sqref="K10:K11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2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2" customWidth="1"/>
    <col min="13" max="17" width="13.5703125" customWidth="1"/>
  </cols>
  <sheetData>
    <row r="1" spans="1:17" ht="15">
      <c r="A1" s="453" t="s">
        <v>237</v>
      </c>
      <c r="E1" s="463"/>
      <c r="F1" s="1"/>
      <c r="J1" s="453" t="s">
        <v>399</v>
      </c>
      <c r="N1" s="463"/>
      <c r="O1" s="1"/>
    </row>
    <row r="2" spans="1:17" ht="30">
      <c r="A2" s="990" t="s">
        <v>238</v>
      </c>
      <c r="B2" s="990" t="s">
        <v>239</v>
      </c>
      <c r="C2" s="992" t="s">
        <v>240</v>
      </c>
      <c r="D2" s="464" t="s">
        <v>241</v>
      </c>
      <c r="E2" s="465" t="s">
        <v>242</v>
      </c>
      <c r="F2" s="466" t="s">
        <v>243</v>
      </c>
      <c r="G2" s="465" t="s">
        <v>244</v>
      </c>
      <c r="H2" s="465" t="s">
        <v>245</v>
      </c>
      <c r="J2" s="990" t="s">
        <v>238</v>
      </c>
      <c r="K2" s="990" t="s">
        <v>239</v>
      </c>
      <c r="L2" s="991" t="s">
        <v>240</v>
      </c>
      <c r="M2" s="464" t="s">
        <v>241</v>
      </c>
      <c r="N2" s="465" t="s">
        <v>242</v>
      </c>
      <c r="O2" s="466" t="s">
        <v>243</v>
      </c>
      <c r="P2" s="465" t="s">
        <v>244</v>
      </c>
      <c r="Q2" s="465" t="s">
        <v>245</v>
      </c>
    </row>
    <row r="3" spans="1:17" ht="15">
      <c r="A3" s="990"/>
      <c r="B3" s="990"/>
      <c r="C3" s="993"/>
      <c r="D3" s="464" t="s">
        <v>426</v>
      </c>
      <c r="E3" s="464" t="str">
        <f>+D3</f>
        <v>NOVEMBER</v>
      </c>
      <c r="F3" s="464" t="str">
        <f>+E3</f>
        <v>NOVEMBER</v>
      </c>
      <c r="G3" s="464" t="str">
        <f>+F3</f>
        <v>NOVEMBER</v>
      </c>
      <c r="H3" s="464" t="str">
        <f>+G3</f>
        <v>NOVEMBER</v>
      </c>
      <c r="J3" s="990"/>
      <c r="K3" s="990"/>
      <c r="L3" s="991"/>
      <c r="M3" s="464" t="str">
        <f>+H3</f>
        <v>NOVEMBER</v>
      </c>
      <c r="N3" s="464" t="str">
        <f>+M3</f>
        <v>NOVEMBER</v>
      </c>
      <c r="O3" s="464" t="str">
        <f>+N3</f>
        <v>NOVEMBER</v>
      </c>
      <c r="P3" s="464" t="str">
        <f>+O3</f>
        <v>NOVEMBER</v>
      </c>
      <c r="Q3" s="464" t="str">
        <f>+P3</f>
        <v>NOVEMBER</v>
      </c>
    </row>
    <row r="4" spans="1:17" ht="15">
      <c r="A4" s="972" t="s">
        <v>246</v>
      </c>
      <c r="B4" s="541" t="s">
        <v>329</v>
      </c>
      <c r="C4" s="543"/>
      <c r="D4" s="6">
        <f>SUMIFS(Sheet1!$C$2:$C$179,Sheet1!$F$2:$F$179,B4,Sheet1!$E$2:$E$179,C4)</f>
        <v>0</v>
      </c>
      <c r="E4" s="6">
        <f>D4/Sheet1!$I$9*Sheet1!$I$10</f>
        <v>0</v>
      </c>
      <c r="F4" s="479">
        <f>D4/Sheet1!$I$9*Sheet1!$I$11</f>
        <v>0</v>
      </c>
      <c r="G4" s="472">
        <f>F4</f>
        <v>0</v>
      </c>
      <c r="H4" s="986">
        <f>SUM(G4:G11)</f>
        <v>1.7647701332352704E-3</v>
      </c>
      <c r="J4" s="972" t="s">
        <v>246</v>
      </c>
      <c r="K4" s="541" t="s">
        <v>329</v>
      </c>
      <c r="L4" s="543"/>
      <c r="M4" s="6">
        <f>SUMIFS(Sheet1!$N$2:$N$179,Sheet1!$Q$2:$Q$179,K4,Sheet1!$P$2:$P$179,L4)</f>
        <v>0</v>
      </c>
      <c r="N4" s="6">
        <f>M4/Sheet1!$T$9*Sheet1!$T$10</f>
        <v>0</v>
      </c>
      <c r="O4" s="479">
        <f>M4/Sheet1!$T$9*Sheet1!$T$11</f>
        <v>0</v>
      </c>
      <c r="P4" s="472">
        <f>O4</f>
        <v>0</v>
      </c>
      <c r="Q4" s="986">
        <f>SUM(P4:P11)</f>
        <v>1.7647701332352704E-3</v>
      </c>
    </row>
    <row r="5" spans="1:17" ht="15">
      <c r="A5" s="972"/>
      <c r="B5" s="541" t="s">
        <v>247</v>
      </c>
      <c r="C5" s="543"/>
      <c r="D5" s="6">
        <f>SUMIFS(Sheet1!$C$2:$C$179,Sheet1!$F$2:$F$179,B5,Sheet1!$E$2:$E$179,C5)</f>
        <v>0</v>
      </c>
      <c r="E5" s="6">
        <f>D5/Sheet1!$I$9*Sheet1!$I$10</f>
        <v>0</v>
      </c>
      <c r="F5" s="479">
        <f>D5/Sheet1!$I$9*Sheet1!$I$11</f>
        <v>0</v>
      </c>
      <c r="G5" s="544">
        <f t="shared" ref="G5:G14" si="0">F5</f>
        <v>0</v>
      </c>
      <c r="H5" s="972"/>
      <c r="J5" s="972"/>
      <c r="K5" s="541" t="s">
        <v>247</v>
      </c>
      <c r="L5" s="543"/>
      <c r="M5" s="6">
        <f>SUMIFS(Sheet1!$N$2:$N$179,Sheet1!$Q$2:$Q$179,K5,Sheet1!$P$2:$P$179,L5)</f>
        <v>0</v>
      </c>
      <c r="N5" s="6">
        <f>M5/Sheet1!$T$9*Sheet1!$T$10</f>
        <v>0</v>
      </c>
      <c r="O5" s="479">
        <f>M5/Sheet1!$T$9*Sheet1!$T$11</f>
        <v>0</v>
      </c>
      <c r="P5" s="544">
        <f t="shared" ref="P5:P14" si="1">O5</f>
        <v>0</v>
      </c>
      <c r="Q5" s="972"/>
    </row>
    <row r="6" spans="1:17" ht="15">
      <c r="A6" s="972"/>
      <c r="B6" s="980" t="s">
        <v>334</v>
      </c>
      <c r="C6" s="543"/>
      <c r="D6" s="6">
        <f>SUMIFS(Sheet1!$C$2:$C$179,Sheet1!$F$2:$F$179,B6,Sheet1!$E$2:$E$179,C6)</f>
        <v>0</v>
      </c>
      <c r="E6" s="6">
        <f>D6/Sheet1!$I$9*Sheet1!$I$10</f>
        <v>0</v>
      </c>
      <c r="F6" s="479">
        <f>D6/Sheet1!$I$9*Sheet1!$I$11</f>
        <v>0</v>
      </c>
      <c r="G6" s="544">
        <f t="shared" si="0"/>
        <v>0</v>
      </c>
      <c r="H6" s="972"/>
      <c r="J6" s="972"/>
      <c r="K6" s="980" t="s">
        <v>334</v>
      </c>
      <c r="L6" s="543"/>
      <c r="M6" s="6">
        <f>SUMIFS(Sheet1!$N$2:$N$179,Sheet1!$Q$2:$Q$179,K6,Sheet1!$P$2:$P$179,L6)</f>
        <v>0</v>
      </c>
      <c r="N6" s="6">
        <f>M6/Sheet1!$T$9*Sheet1!$T$10</f>
        <v>0</v>
      </c>
      <c r="O6" s="479">
        <f>M6/Sheet1!$T$9*Sheet1!$T$11</f>
        <v>0</v>
      </c>
      <c r="P6" s="544">
        <f t="shared" si="1"/>
        <v>0</v>
      </c>
      <c r="Q6" s="972"/>
    </row>
    <row r="7" spans="1:17" ht="15">
      <c r="A7" s="972"/>
      <c r="B7" s="982"/>
      <c r="C7" s="543"/>
      <c r="D7" s="6">
        <f>SUMIFS(Sheet1!$C$2:$C$179,Sheet1!$F$2:$F$179,B6,Sheet1!$E$2:$E$179,C7)</f>
        <v>0</v>
      </c>
      <c r="E7" s="6">
        <f>D7/Sheet1!$I$9*Sheet1!$I$10</f>
        <v>0</v>
      </c>
      <c r="F7" s="479">
        <f>D7/Sheet1!$I$9*Sheet1!$I$11</f>
        <v>0</v>
      </c>
      <c r="G7" s="544">
        <f t="shared" si="0"/>
        <v>0</v>
      </c>
      <c r="H7" s="972"/>
      <c r="J7" s="972"/>
      <c r="K7" s="982"/>
      <c r="L7" s="543"/>
      <c r="M7" s="6">
        <f>SUMIFS(Sheet1!$N$2:$N$179,Sheet1!$Q$2:$Q$179,K6,Sheet1!$P$2:$P$179,L7)</f>
        <v>0</v>
      </c>
      <c r="N7" s="6">
        <f>M7/Sheet1!$T$9*Sheet1!$T$10</f>
        <v>0</v>
      </c>
      <c r="O7" s="479">
        <f>M7/Sheet1!$T$9*Sheet1!$T$11</f>
        <v>0</v>
      </c>
      <c r="P7" s="544">
        <f t="shared" si="1"/>
        <v>0</v>
      </c>
      <c r="Q7" s="972"/>
    </row>
    <row r="8" spans="1:17">
      <c r="A8" s="972"/>
      <c r="B8" s="980" t="s">
        <v>333</v>
      </c>
      <c r="C8" s="543"/>
      <c r="D8" s="6">
        <f>SUMIFS(Sheet1!$C$2:$C$179,Sheet1!$F$2:$F$179,B8,Sheet1!$E$2:$E$179,C8)</f>
        <v>0</v>
      </c>
      <c r="E8" s="6">
        <f>D8/Sheet1!$I$9*Sheet1!$I$10</f>
        <v>0</v>
      </c>
      <c r="F8" s="479">
        <f>D8/Sheet1!$I$9*Sheet1!$I$11</f>
        <v>0</v>
      </c>
      <c r="G8" s="467">
        <f t="shared" si="0"/>
        <v>0</v>
      </c>
      <c r="H8" s="972"/>
      <c r="J8" s="972"/>
      <c r="K8" s="980" t="s">
        <v>333</v>
      </c>
      <c r="L8" s="543"/>
      <c r="M8" s="6">
        <f>SUMIFS(Sheet1!$N$2:$N$179,Sheet1!$Q$2:$Q$179,K8,Sheet1!$P$2:$P$179,L8)</f>
        <v>0</v>
      </c>
      <c r="N8" s="6">
        <f>M8/Sheet1!$T$9*Sheet1!$T$10</f>
        <v>0</v>
      </c>
      <c r="O8" s="479">
        <f>M8/Sheet1!$T$9*Sheet1!$T$11</f>
        <v>0</v>
      </c>
      <c r="P8" s="467">
        <f t="shared" si="1"/>
        <v>0</v>
      </c>
      <c r="Q8" s="972"/>
    </row>
    <row r="9" spans="1:17">
      <c r="A9" s="972"/>
      <c r="B9" s="982"/>
      <c r="C9" s="543"/>
      <c r="D9" s="6">
        <f>SUMIFS(Sheet1!$C$2:$C$179,Sheet1!$F$2:$F$179,B8,Sheet1!$E$2:$E$179,C9)</f>
        <v>0</v>
      </c>
      <c r="E9" s="6">
        <f>D9/Sheet1!$I$9*Sheet1!$I$10</f>
        <v>0</v>
      </c>
      <c r="F9" s="479">
        <f>D9/Sheet1!$I$9*Sheet1!$I$11</f>
        <v>0</v>
      </c>
      <c r="G9" s="467">
        <f t="shared" si="0"/>
        <v>0</v>
      </c>
      <c r="H9" s="972"/>
      <c r="J9" s="972"/>
      <c r="K9" s="982"/>
      <c r="L9" s="543"/>
      <c r="M9" s="6">
        <f>SUMIFS(Sheet1!$N$2:$N$179,Sheet1!$Q$2:$Q$179,K8,Sheet1!$P$2:$P$179,L9)</f>
        <v>0</v>
      </c>
      <c r="N9" s="6">
        <f>M9/Sheet1!$T$9*Sheet1!$T$10</f>
        <v>0</v>
      </c>
      <c r="O9" s="479">
        <f>M9/Sheet1!$T$9*Sheet1!$T$11</f>
        <v>0</v>
      </c>
      <c r="P9" s="467">
        <f t="shared" si="1"/>
        <v>0</v>
      </c>
      <c r="Q9" s="972"/>
    </row>
    <row r="10" spans="1:17">
      <c r="A10" s="972"/>
      <c r="B10" s="980" t="s">
        <v>400</v>
      </c>
      <c r="C10" s="543" t="s">
        <v>620</v>
      </c>
      <c r="D10" s="6">
        <f>SUMIFS(Sheet1!$C$2:$C$179,Sheet1!$F$2:$F$179,B10,Sheet1!$E$2:$E$179,C10)</f>
        <v>75</v>
      </c>
      <c r="E10" s="6">
        <f>D10/Sheet1!$I$9*Sheet1!$I$10</f>
        <v>3.3012007918141668</v>
      </c>
      <c r="F10" s="479">
        <f>D10/Sheet1!$I$9*Sheet1!$I$11</f>
        <v>1.7647701332352704E-3</v>
      </c>
      <c r="G10" s="467">
        <f t="shared" si="0"/>
        <v>1.7647701332352704E-3</v>
      </c>
      <c r="H10" s="972"/>
      <c r="J10" s="972"/>
      <c r="K10" s="980" t="s">
        <v>400</v>
      </c>
      <c r="L10" s="543" t="s">
        <v>620</v>
      </c>
      <c r="M10" s="6">
        <f>SUMIFS(Sheet1!$N$2:$N$179,Sheet1!$Q$2:$Q$179,K10,Sheet1!$P$2:$P$179,L10)</f>
        <v>75</v>
      </c>
      <c r="N10" s="6">
        <f>M10/Sheet1!$T$9*Sheet1!$T$10</f>
        <v>3.3012007918141668</v>
      </c>
      <c r="O10" s="479">
        <f>M10/Sheet1!$T$9*Sheet1!$T$11</f>
        <v>1.7647701332352704E-3</v>
      </c>
      <c r="P10" s="467">
        <f t="shared" si="1"/>
        <v>1.7647701332352704E-3</v>
      </c>
      <c r="Q10" s="972"/>
    </row>
    <row r="11" spans="1:17">
      <c r="A11" s="972"/>
      <c r="B11" s="982"/>
      <c r="C11" s="543"/>
      <c r="D11" s="6">
        <f>SUMIFS(Sheet1!$C$2:$C$179,Sheet1!$F$2:$F$179,B10,Sheet1!$E$2:$E$179,C11)</f>
        <v>0</v>
      </c>
      <c r="E11" s="6">
        <f>D11/Sheet1!$I$9*Sheet1!$I$10</f>
        <v>0</v>
      </c>
      <c r="F11" s="479">
        <f>D11/Sheet1!$I$9*Sheet1!$I$11</f>
        <v>0</v>
      </c>
      <c r="G11" s="467">
        <f t="shared" si="0"/>
        <v>0</v>
      </c>
      <c r="H11" s="972"/>
      <c r="J11" s="972"/>
      <c r="K11" s="982"/>
      <c r="L11" s="543"/>
      <c r="M11" s="6">
        <f>SUMIFS(Sheet1!$N$2:$N$179,Sheet1!$Q$2:$Q$179,K10,Sheet1!$P$2:$P$179,L11)</f>
        <v>0</v>
      </c>
      <c r="N11" s="6">
        <f>M11/Sheet1!$T$9*Sheet1!$T$10</f>
        <v>0</v>
      </c>
      <c r="O11" s="479">
        <f>M11/Sheet1!$T$9*Sheet1!$T$11</f>
        <v>0</v>
      </c>
      <c r="P11" s="467">
        <f t="shared" si="1"/>
        <v>0</v>
      </c>
      <c r="Q11" s="972"/>
    </row>
    <row r="12" spans="1:17" ht="15">
      <c r="A12" s="972" t="s">
        <v>9</v>
      </c>
      <c r="B12" s="541" t="s">
        <v>152</v>
      </c>
      <c r="C12" s="543" t="s">
        <v>152</v>
      </c>
      <c r="D12" s="6"/>
      <c r="E12" s="6">
        <f>+Sheet1!I2</f>
        <v>20.072000000000003</v>
      </c>
      <c r="F12" s="479">
        <f>E12/Sheet1!$I$8</f>
        <v>1.0730176183809777E-2</v>
      </c>
      <c r="G12" s="544">
        <f t="shared" si="0"/>
        <v>1.0730176183809777E-2</v>
      </c>
      <c r="H12" s="973">
        <f>SUM(G12:G13)</f>
        <v>1.9957572511777592E-2</v>
      </c>
      <c r="J12" s="972" t="s">
        <v>9</v>
      </c>
      <c r="K12" s="541" t="s">
        <v>152</v>
      </c>
      <c r="L12" s="543" t="s">
        <v>152</v>
      </c>
      <c r="M12" s="6"/>
      <c r="N12" s="6">
        <f>+Sheet1!T2</f>
        <v>20.072000000000003</v>
      </c>
      <c r="O12" s="479">
        <f>+Sheet1!U2</f>
        <v>1.0730176183809777E-2</v>
      </c>
      <c r="P12" s="544">
        <f t="shared" si="1"/>
        <v>1.0730176183809777E-2</v>
      </c>
      <c r="Q12" s="973">
        <f>SUM(P12:P13)</f>
        <v>1.9957572511777592E-2</v>
      </c>
    </row>
    <row r="13" spans="1:17" ht="15">
      <c r="A13" s="972"/>
      <c r="B13" s="541" t="s">
        <v>249</v>
      </c>
      <c r="C13" s="543" t="s">
        <v>250</v>
      </c>
      <c r="D13" s="6"/>
      <c r="E13" s="6">
        <f>+Sheet1!I3</f>
        <v>17.260881454530779</v>
      </c>
      <c r="F13" s="479">
        <f>E13/Sheet1!$I$8</f>
        <v>9.2273963279678167E-3</v>
      </c>
      <c r="G13" s="544">
        <f t="shared" si="0"/>
        <v>9.2273963279678167E-3</v>
      </c>
      <c r="H13" s="974"/>
      <c r="J13" s="972"/>
      <c r="K13" s="541" t="s">
        <v>249</v>
      </c>
      <c r="L13" s="543" t="s">
        <v>250</v>
      </c>
      <c r="M13" s="6"/>
      <c r="N13" s="6">
        <f>+Sheet1!T3</f>
        <v>17.260881454530779</v>
      </c>
      <c r="O13" s="479">
        <f>+Sheet1!U3</f>
        <v>9.2273963279678167E-3</v>
      </c>
      <c r="P13" s="544">
        <f t="shared" si="1"/>
        <v>9.2273963279678167E-3</v>
      </c>
      <c r="Q13" s="974"/>
    </row>
    <row r="14" spans="1:17" ht="15">
      <c r="A14" s="975" t="s">
        <v>11</v>
      </c>
      <c r="B14" s="541" t="s">
        <v>251</v>
      </c>
      <c r="C14" s="543" t="s">
        <v>251</v>
      </c>
      <c r="D14" s="6"/>
      <c r="E14" s="6">
        <f>+Sheet1!I4</f>
        <v>-8.1051584202836402</v>
      </c>
      <c r="F14" s="479">
        <f>E14/Sheet1!$I$8</f>
        <v>-4.3328904866148255E-3</v>
      </c>
      <c r="G14" s="544">
        <f t="shared" si="0"/>
        <v>-4.3328904866148255E-3</v>
      </c>
      <c r="H14" s="977">
        <f>SUM(G14:G23)</f>
        <v>0.10102015280367599</v>
      </c>
      <c r="J14" s="975" t="s">
        <v>11</v>
      </c>
      <c r="K14" s="541" t="s">
        <v>251</v>
      </c>
      <c r="L14" s="543" t="s">
        <v>251</v>
      </c>
      <c r="M14" s="6"/>
      <c r="N14" s="6">
        <f>+Sheet1!T4</f>
        <v>-8.1051584202836402</v>
      </c>
      <c r="O14" s="479">
        <f>+Sheet1!U4</f>
        <v>-4.3328904866148255E-3</v>
      </c>
      <c r="P14" s="544">
        <f t="shared" si="1"/>
        <v>-4.3328904866148255E-3</v>
      </c>
      <c r="Q14" s="977">
        <f>SUM(P14:P23)</f>
        <v>0.10102015280367599</v>
      </c>
    </row>
    <row r="15" spans="1:17" ht="15">
      <c r="A15" s="976"/>
      <c r="B15" s="541" t="s">
        <v>252</v>
      </c>
      <c r="C15" s="543" t="s">
        <v>252</v>
      </c>
      <c r="D15" s="6"/>
      <c r="E15" s="6">
        <f>+Sheet1!I5</f>
        <v>103.93682469390146</v>
      </c>
      <c r="F15" s="479">
        <f>E15/Sheet1!$I$8</f>
        <v>5.5562995264613051E-2</v>
      </c>
      <c r="G15" s="544">
        <f>F15</f>
        <v>5.5562995264613051E-2</v>
      </c>
      <c r="H15" s="977"/>
      <c r="J15" s="976"/>
      <c r="K15" s="541" t="s">
        <v>252</v>
      </c>
      <c r="L15" s="543" t="s">
        <v>252</v>
      </c>
      <c r="M15" s="6"/>
      <c r="N15" s="6">
        <f>+Sheet1!T5</f>
        <v>103.93682469390146</v>
      </c>
      <c r="O15" s="479">
        <f>+Sheet1!U5</f>
        <v>5.5562995264613051E-2</v>
      </c>
      <c r="P15" s="544">
        <f>O15</f>
        <v>5.5562995264613051E-2</v>
      </c>
      <c r="Q15" s="977"/>
    </row>
    <row r="16" spans="1:17">
      <c r="A16" s="976"/>
      <c r="B16" s="978" t="s">
        <v>253</v>
      </c>
      <c r="C16" s="543" t="s">
        <v>655</v>
      </c>
      <c r="D16" s="6">
        <f>SUMIFS(Sheet1!$C$2:$C$179,Sheet1!$F$2:$F$179,B16,Sheet1!$E$2:$E$179,C16)</f>
        <v>350</v>
      </c>
      <c r="E16" s="6">
        <f>D16/Sheet1!$I$9*Sheet1!$I$10</f>
        <v>15.405603695132777</v>
      </c>
      <c r="F16" s="479">
        <f>D16/Sheet1!$I$9*Sheet1!$I$11</f>
        <v>8.235593955097929E-3</v>
      </c>
      <c r="G16" s="979">
        <f>SUM(F16:F17)</f>
        <v>8.235593955097929E-3</v>
      </c>
      <c r="H16" s="977"/>
      <c r="J16" s="976"/>
      <c r="K16" s="978" t="s">
        <v>253</v>
      </c>
      <c r="L16" s="543" t="s">
        <v>655</v>
      </c>
      <c r="M16" s="6">
        <f>SUMIFS(Sheet1!$N$2:$N$179,Sheet1!$Q$2:$Q$179,K16,Sheet1!$P$2:$P$179,L16)</f>
        <v>350</v>
      </c>
      <c r="N16" s="6">
        <f>M16/Sheet1!$T$9*Sheet1!$T$10</f>
        <v>15.405603695132777</v>
      </c>
      <c r="O16" s="479">
        <f>M16/Sheet1!$T$9*Sheet1!$T$11</f>
        <v>8.235593955097929E-3</v>
      </c>
      <c r="P16" s="979">
        <f>SUM(O16:O17)</f>
        <v>8.235593955097929E-3</v>
      </c>
      <c r="Q16" s="977"/>
    </row>
    <row r="17" spans="1:17">
      <c r="A17" s="976"/>
      <c r="B17" s="978"/>
      <c r="C17" s="543"/>
      <c r="D17" s="6">
        <f>SUMIFS(Sheet1!$C$2:$C$179,Sheet1!$F$2:$F$179,B16,Sheet1!$E$2:$E$179,C17)</f>
        <v>0</v>
      </c>
      <c r="E17" s="6">
        <f>D17/Sheet1!$I$9*Sheet1!$I$10</f>
        <v>0</v>
      </c>
      <c r="F17" s="479">
        <f>D17/Sheet1!$I$9*Sheet1!$I$11</f>
        <v>0</v>
      </c>
      <c r="G17" s="979"/>
      <c r="H17" s="977"/>
      <c r="J17" s="976"/>
      <c r="K17" s="978"/>
      <c r="L17" s="543"/>
      <c r="M17" s="6">
        <f>SUMIFS(Sheet1!$N$2:$N$179,Sheet1!$Q$2:$Q$179,K16,Sheet1!$P$2:$P$179,L17)</f>
        <v>0</v>
      </c>
      <c r="N17" s="6">
        <f>M17/Sheet1!$T$9*Sheet1!$T$10</f>
        <v>0</v>
      </c>
      <c r="O17" s="479">
        <f>M17/Sheet1!$T$9*Sheet1!$T$11</f>
        <v>0</v>
      </c>
      <c r="P17" s="979"/>
      <c r="Q17" s="977"/>
    </row>
    <row r="18" spans="1:17" ht="15">
      <c r="A18" s="976"/>
      <c r="B18" s="541" t="s">
        <v>254</v>
      </c>
      <c r="C18" s="543" t="s">
        <v>202</v>
      </c>
      <c r="D18" s="6">
        <f>SUMIFS(Sheet1!$C$2:$C$179,Sheet1!$F$2:$F$179,B18,Sheet1!$E$2:$E$179,C18)</f>
        <v>193</v>
      </c>
      <c r="E18" s="6">
        <f>D18/Sheet1!$I$9*Sheet1!$I$10</f>
        <v>8.4950900376017877</v>
      </c>
      <c r="F18" s="479">
        <f>D18/Sheet1!$I$9*Sheet1!$I$11</f>
        <v>4.5413418095254293E-3</v>
      </c>
      <c r="G18" s="544">
        <f>F18</f>
        <v>4.5413418095254293E-3</v>
      </c>
      <c r="H18" s="977"/>
      <c r="J18" s="976"/>
      <c r="K18" s="541" t="s">
        <v>254</v>
      </c>
      <c r="L18" s="543" t="s">
        <v>202</v>
      </c>
      <c r="M18" s="6">
        <f>SUMIFS(Sheet1!$N$2:$N$179,Sheet1!$Q$2:$Q$179,K18,Sheet1!$P$2:$P$179,L18)</f>
        <v>193</v>
      </c>
      <c r="N18" s="6">
        <f>M18/Sheet1!$T$9*Sheet1!$T$10</f>
        <v>8.4950900376017877</v>
      </c>
      <c r="O18" s="479">
        <f>M18/Sheet1!$T$9*Sheet1!$T$11</f>
        <v>4.5413418095254293E-3</v>
      </c>
      <c r="P18" s="544">
        <f>O18</f>
        <v>4.5413418095254293E-3</v>
      </c>
      <c r="Q18" s="977"/>
    </row>
    <row r="19" spans="1:17">
      <c r="A19" s="976"/>
      <c r="B19" s="980" t="s">
        <v>255</v>
      </c>
      <c r="C19" s="543" t="s">
        <v>256</v>
      </c>
      <c r="D19" s="6">
        <f>SUMIFS(Sheet1!$C$2:$C$179,Sheet1!$F$2:$F$179,B19,Sheet1!$E$2:$E$179,C19)</f>
        <v>338</v>
      </c>
      <c r="E19" s="6">
        <f>D19/Sheet1!$I$9*Sheet1!$I$10</f>
        <v>14.877411568442511</v>
      </c>
      <c r="F19" s="479">
        <f>D19/Sheet1!$I$9*Sheet1!$I$11</f>
        <v>7.9532307337802852E-3</v>
      </c>
      <c r="G19" s="983">
        <f>SUM(F19:F23)</f>
        <v>3.7013112261054401E-2</v>
      </c>
      <c r="H19" s="977"/>
      <c r="J19" s="976"/>
      <c r="K19" s="980" t="s">
        <v>255</v>
      </c>
      <c r="L19" s="543" t="s">
        <v>256</v>
      </c>
      <c r="M19" s="6">
        <f>SUMIFS(Sheet1!$N$2:$N$179,Sheet1!$Q$2:$Q$179,$K$19,Sheet1!$P$2:$P$179,L19)</f>
        <v>338</v>
      </c>
      <c r="N19" s="6">
        <f>M19/Sheet1!$T$9*Sheet1!$T$10</f>
        <v>14.877411568442511</v>
      </c>
      <c r="O19" s="479">
        <f>M19/Sheet1!$T$9*Sheet1!$T$11</f>
        <v>7.9532307337802852E-3</v>
      </c>
      <c r="P19" s="983">
        <f>SUM(O19:O23)</f>
        <v>3.7013112261054401E-2</v>
      </c>
      <c r="Q19" s="977"/>
    </row>
    <row r="20" spans="1:17">
      <c r="A20" s="976"/>
      <c r="B20" s="981"/>
      <c r="C20" s="543" t="s">
        <v>257</v>
      </c>
      <c r="D20" s="6">
        <f>SUMIFS(Sheet1!$C$2:$C$179,Sheet1!$F$2:$F$179,B19,Sheet1!$E$2:$E$179,C20)</f>
        <v>736</v>
      </c>
      <c r="E20" s="6">
        <f>D20/Sheet1!$I$9*Sheet1!$I$10</f>
        <v>32.395783770336351</v>
      </c>
      <c r="F20" s="479">
        <f>D20/Sheet1!$I$9*Sheet1!$I$11</f>
        <v>1.7318277574148788E-2</v>
      </c>
      <c r="G20" s="984"/>
      <c r="H20" s="977"/>
      <c r="J20" s="976"/>
      <c r="K20" s="981"/>
      <c r="L20" s="543" t="s">
        <v>257</v>
      </c>
      <c r="M20" s="6">
        <f>SUMIFS(Sheet1!$N$2:$N$179,Sheet1!$Q$2:$Q$179,$K$19,Sheet1!$P$2:$P$179,L20)</f>
        <v>736</v>
      </c>
      <c r="N20" s="6">
        <f>M20/Sheet1!$T$9*Sheet1!$T$10</f>
        <v>32.395783770336351</v>
      </c>
      <c r="O20" s="479">
        <f>M20/Sheet1!$T$9*Sheet1!$T$11</f>
        <v>1.7318277574148788E-2</v>
      </c>
      <c r="P20" s="984"/>
      <c r="Q20" s="977"/>
    </row>
    <row r="21" spans="1:17">
      <c r="A21" s="976"/>
      <c r="B21" s="981"/>
      <c r="C21" s="543" t="s">
        <v>258</v>
      </c>
      <c r="D21" s="6">
        <f>SUMIFS(Sheet1!$C$2:$C$179,Sheet1!$F$2:$F$179,B19,Sheet1!$E$2:$E$179,C21)</f>
        <v>468</v>
      </c>
      <c r="E21" s="6">
        <f>D21/Sheet1!$I$9*Sheet1!$I$10</f>
        <v>20.599492940920399</v>
      </c>
      <c r="F21" s="479">
        <f>D21/Sheet1!$I$9*Sheet1!$I$11</f>
        <v>1.1012165631388088E-2</v>
      </c>
      <c r="G21" s="984"/>
      <c r="H21" s="977"/>
      <c r="J21" s="976"/>
      <c r="K21" s="981"/>
      <c r="L21" s="543" t="s">
        <v>258</v>
      </c>
      <c r="M21" s="6">
        <f>SUMIFS(Sheet1!$N$2:$N$179,Sheet1!$Q$2:$Q$179,$K$19,Sheet1!$P$2:$P$179,L21)</f>
        <v>468</v>
      </c>
      <c r="N21" s="6">
        <f>M21/Sheet1!$T$9*Sheet1!$T$10</f>
        <v>20.599492940920399</v>
      </c>
      <c r="O21" s="479">
        <f>M21/Sheet1!$T$9*Sheet1!$T$11</f>
        <v>1.1012165631388088E-2</v>
      </c>
      <c r="P21" s="984"/>
      <c r="Q21" s="977"/>
    </row>
    <row r="22" spans="1:17">
      <c r="A22" s="976"/>
      <c r="B22" s="981"/>
      <c r="C22" s="543" t="s">
        <v>757</v>
      </c>
      <c r="D22" s="6">
        <f>SUMIFS(Sheet1!$C$2:$C$179,Sheet1!$F$2:$F$179,B19,Sheet1!$E$2:$E$179,C22)</f>
        <v>25</v>
      </c>
      <c r="E22" s="6">
        <f>D22/Sheet1!$I$9*Sheet1!$I$10</f>
        <v>1.1004002639380555</v>
      </c>
      <c r="F22" s="479">
        <f>D22/Sheet1!$I$9*Sheet1!$I$11</f>
        <v>5.8825671107842347E-4</v>
      </c>
      <c r="G22" s="984"/>
      <c r="H22" s="977"/>
      <c r="J22" s="976"/>
      <c r="K22" s="981"/>
      <c r="L22" s="543" t="s">
        <v>757</v>
      </c>
      <c r="M22" s="6">
        <f>SUMIFS(Sheet1!$N$2:$N$179,Sheet1!$Q$2:$Q$179,$K$19,Sheet1!$P$2:$P$179,L22)</f>
        <v>25</v>
      </c>
      <c r="N22" s="6">
        <f>M22/Sheet1!$T$9*Sheet1!$T$10</f>
        <v>1.1004002639380555</v>
      </c>
      <c r="O22" s="479">
        <f>M22/Sheet1!$T$9*Sheet1!$T$11</f>
        <v>5.8825671107842347E-4</v>
      </c>
      <c r="P22" s="984"/>
      <c r="Q22" s="977"/>
    </row>
    <row r="23" spans="1:17">
      <c r="A23" s="976"/>
      <c r="B23" s="982"/>
      <c r="C23" s="543" t="s">
        <v>823</v>
      </c>
      <c r="D23" s="6">
        <f>SUMIFS(Sheet1!$C$2:$C$179,Sheet1!$F$2:$F$179,B19,Sheet1!$E$2:$E$179,C23)</f>
        <v>6</v>
      </c>
      <c r="E23" s="6">
        <f>D23/Sheet1!$I$9*Sheet1!$I$10</f>
        <v>0.26409606334513336</v>
      </c>
      <c r="F23" s="479">
        <f>D23/Sheet1!$I$9*Sheet1!$I$11</f>
        <v>1.4118161065882165E-4</v>
      </c>
      <c r="G23" s="985"/>
      <c r="H23" s="977"/>
      <c r="J23" s="976"/>
      <c r="K23" s="982"/>
      <c r="L23" s="543" t="s">
        <v>823</v>
      </c>
      <c r="M23" s="6">
        <f>SUMIFS(Sheet1!$N$2:$N$179,Sheet1!$Q$2:$Q$179,$K$19,Sheet1!$P$2:$P$179,L23)</f>
        <v>6</v>
      </c>
      <c r="N23" s="6">
        <f>M23/Sheet1!$T$9*Sheet1!$T$10</f>
        <v>0.26409606334513336</v>
      </c>
      <c r="O23" s="479">
        <f>M23/Sheet1!$T$9*Sheet1!$T$11</f>
        <v>1.4118161065882165E-4</v>
      </c>
      <c r="P23" s="985"/>
      <c r="Q23" s="977"/>
    </row>
    <row r="24" spans="1:17">
      <c r="A24" s="972" t="s">
        <v>260</v>
      </c>
      <c r="B24" s="978" t="s">
        <v>261</v>
      </c>
      <c r="C24" s="545" t="s">
        <v>522</v>
      </c>
      <c r="D24" s="6">
        <f>SUMIFS(Sheet1!$C$2:$C$179,Sheet1!$F$2:$F$179,B24,Sheet1!$E$2:$E$179,C24)</f>
        <v>60</v>
      </c>
      <c r="E24" s="6">
        <f>D24/Sheet1!$I$9*Sheet1!$I$10</f>
        <v>2.6409606334513329</v>
      </c>
      <c r="F24" s="479">
        <f>D24/Sheet1!$I$9*Sheet1!$I$11</f>
        <v>1.4118161065882163E-3</v>
      </c>
      <c r="G24" s="979">
        <f>SUM(F24:F30)</f>
        <v>1.8824214754509551E-3</v>
      </c>
      <c r="H24" s="977">
        <f>SUM(G24:G41)</f>
        <v>1.9883076834450716E-2</v>
      </c>
      <c r="J24" s="972" t="s">
        <v>260</v>
      </c>
      <c r="K24" s="978" t="s">
        <v>261</v>
      </c>
      <c r="L24" s="545" t="s">
        <v>522</v>
      </c>
      <c r="M24" s="6">
        <f>SUMIFS(Sheet1!$N$2:$N$179,Sheet1!$Q$2:$Q$179,$K$24,Sheet1!$P$2:$P$179,L24)</f>
        <v>60</v>
      </c>
      <c r="N24" s="6">
        <f>M24/Sheet1!$T$9*Sheet1!$T$10</f>
        <v>2.6409606334513329</v>
      </c>
      <c r="O24" s="479">
        <f>M24/Sheet1!$T$9*Sheet1!$T$11</f>
        <v>1.4118161065882163E-3</v>
      </c>
      <c r="P24" s="979">
        <f>SUM(O24:O30)</f>
        <v>1.8824214754509551E-3</v>
      </c>
      <c r="Q24" s="977">
        <f>SUM(P24:P41)</f>
        <v>1.9883076834450716E-2</v>
      </c>
    </row>
    <row r="25" spans="1:17">
      <c r="A25" s="972"/>
      <c r="B25" s="978"/>
      <c r="C25" s="545" t="s">
        <v>549</v>
      </c>
      <c r="D25" s="6">
        <f>SUMIFS(Sheet1!$C$2:$C$179,Sheet1!$F$2:$F$179,B24,Sheet1!$E$2:$E$179,C25)</f>
        <v>20</v>
      </c>
      <c r="E25" s="6">
        <f>D25/Sheet1!$I$9*Sheet1!$I$10</f>
        <v>0.88032021115044445</v>
      </c>
      <c r="F25" s="479">
        <f>D25/Sheet1!$I$9*Sheet1!$I$11</f>
        <v>4.7060536886273877E-4</v>
      </c>
      <c r="G25" s="979"/>
      <c r="H25" s="977"/>
      <c r="J25" s="972"/>
      <c r="K25" s="978"/>
      <c r="L25" s="545" t="s">
        <v>549</v>
      </c>
      <c r="M25" s="6">
        <f>SUMIFS(Sheet1!$N$2:$N$179,Sheet1!$Q$2:$Q$179,$K$24,Sheet1!$P$2:$P$179,L25)</f>
        <v>20</v>
      </c>
      <c r="N25" s="6">
        <f>M25/Sheet1!$T$9*Sheet1!$T$10</f>
        <v>0.88032021115044445</v>
      </c>
      <c r="O25" s="479">
        <f>M25/Sheet1!$T$9*Sheet1!$T$11</f>
        <v>4.7060536886273877E-4</v>
      </c>
      <c r="P25" s="979"/>
      <c r="Q25" s="977"/>
    </row>
    <row r="26" spans="1:17">
      <c r="A26" s="972"/>
      <c r="B26" s="978"/>
      <c r="C26" s="572"/>
      <c r="D26" s="6">
        <f>SUMIFS(Sheet1!$C$2:$C$179,Sheet1!$F$2:$F$179,B24,Sheet1!$E$2:$E$179,C26)</f>
        <v>0</v>
      </c>
      <c r="E26" s="6">
        <f>D26/Sheet1!$I$9*Sheet1!$I$10</f>
        <v>0</v>
      </c>
      <c r="F26" s="479">
        <f>D26/Sheet1!$I$9*Sheet1!$I$11</f>
        <v>0</v>
      </c>
      <c r="G26" s="979"/>
      <c r="H26" s="977"/>
      <c r="J26" s="972"/>
      <c r="K26" s="978"/>
      <c r="L26" s="572"/>
      <c r="M26" s="6">
        <f>SUMIFS(Sheet1!$N$2:$N$179,Sheet1!$Q$2:$Q$179,$K$24,Sheet1!$P$2:$P$179,L26)</f>
        <v>0</v>
      </c>
      <c r="N26" s="6">
        <f>M26/Sheet1!$T$9*Sheet1!$T$10</f>
        <v>0</v>
      </c>
      <c r="O26" s="479">
        <f>M26/Sheet1!$T$9*Sheet1!$T$11</f>
        <v>0</v>
      </c>
      <c r="P26" s="979"/>
      <c r="Q26" s="977"/>
    </row>
    <row r="27" spans="1:17">
      <c r="A27" s="972"/>
      <c r="B27" s="978"/>
      <c r="D27" s="6">
        <f>SUMIFS(Sheet1!$C$2:$C$179,Sheet1!$F$2:$F$179,B24,Sheet1!$E$2:$E$179,C27)</f>
        <v>0</v>
      </c>
      <c r="E27" s="6">
        <f>D27/Sheet1!$I$9*Sheet1!$I$10</f>
        <v>0</v>
      </c>
      <c r="F27" s="479">
        <f>D27/Sheet1!$I$9*Sheet1!$I$11</f>
        <v>0</v>
      </c>
      <c r="G27" s="979"/>
      <c r="H27" s="977"/>
      <c r="J27" s="972"/>
      <c r="K27" s="978"/>
      <c r="M27" s="6">
        <f>SUMIFS(Sheet1!$N$2:$N$179,Sheet1!$Q$2:$Q$179,$K$24,Sheet1!$P$2:$P$179,L27)</f>
        <v>0</v>
      </c>
      <c r="N27" s="6">
        <f>M27/Sheet1!$T$9*Sheet1!$T$10</f>
        <v>0</v>
      </c>
      <c r="O27" s="479">
        <f>M27/Sheet1!$T$9*Sheet1!$T$11</f>
        <v>0</v>
      </c>
      <c r="P27" s="979"/>
      <c r="Q27" s="977"/>
    </row>
    <row r="28" spans="1:17">
      <c r="A28" s="972"/>
      <c r="B28" s="978"/>
      <c r="C28" s="543"/>
      <c r="D28" s="6">
        <f>SUMIFS(Sheet1!$C$2:$C$179,Sheet1!$F$2:$F$179,B24,Sheet1!$E$2:$E$179,C28)</f>
        <v>0</v>
      </c>
      <c r="E28" s="6">
        <f>D28/Sheet1!$I$9*Sheet1!$I$10</f>
        <v>0</v>
      </c>
      <c r="F28" s="479">
        <f>D28/Sheet1!$I$9*Sheet1!$I$11</f>
        <v>0</v>
      </c>
      <c r="G28" s="979"/>
      <c r="H28" s="977"/>
      <c r="J28" s="972"/>
      <c r="K28" s="978"/>
      <c r="L28" s="543"/>
      <c r="M28" s="6">
        <f>SUMIFS(Sheet1!$N$2:$N$179,Sheet1!$Q$2:$Q$179,$K$24,Sheet1!$P$2:$P$179,L28)</f>
        <v>0</v>
      </c>
      <c r="N28" s="6">
        <f>M28/Sheet1!$T$9*Sheet1!$T$10</f>
        <v>0</v>
      </c>
      <c r="O28" s="479">
        <f>M28/Sheet1!$T$9*Sheet1!$T$11</f>
        <v>0</v>
      </c>
      <c r="P28" s="979"/>
      <c r="Q28" s="977"/>
    </row>
    <row r="29" spans="1:17">
      <c r="A29" s="972"/>
      <c r="B29" s="978"/>
      <c r="C29" s="543"/>
      <c r="D29" s="6">
        <f>SUMIFS(Sheet1!$C$2:$C$179,Sheet1!$F$2:$F$179,B24,Sheet1!$E$2:$E$179,C29)</f>
        <v>0</v>
      </c>
      <c r="E29" s="6">
        <f>D29/Sheet1!$I$9*Sheet1!$I$10</f>
        <v>0</v>
      </c>
      <c r="F29" s="479">
        <f>D29/Sheet1!$I$9*Sheet1!$I$11</f>
        <v>0</v>
      </c>
      <c r="G29" s="979"/>
      <c r="H29" s="977"/>
      <c r="J29" s="972"/>
      <c r="K29" s="978"/>
      <c r="L29" s="543"/>
      <c r="M29" s="6">
        <f>SUMIFS(Sheet1!$N$2:$N$179,Sheet1!$Q$2:$Q$179,$K$24,Sheet1!$P$2:$P$179,L29)</f>
        <v>0</v>
      </c>
      <c r="N29" s="6">
        <f>M29/Sheet1!$T$9*Sheet1!$T$10</f>
        <v>0</v>
      </c>
      <c r="O29" s="479">
        <f>M29/Sheet1!$T$9*Sheet1!$T$11</f>
        <v>0</v>
      </c>
      <c r="P29" s="979"/>
      <c r="Q29" s="977"/>
    </row>
    <row r="30" spans="1:17">
      <c r="A30" s="972"/>
      <c r="B30" s="978"/>
      <c r="C30" s="543"/>
      <c r="D30" s="6">
        <f>SUMIFS(Sheet1!$C$2:$C$179,Sheet1!$F$2:$F$179,B24,Sheet1!$E$2:$E$179,C30)</f>
        <v>0</v>
      </c>
      <c r="E30" s="6">
        <f>D30/Sheet1!$I$9*Sheet1!$I$10</f>
        <v>0</v>
      </c>
      <c r="F30" s="479">
        <f>D30/Sheet1!$I$9*Sheet1!$I$11</f>
        <v>0</v>
      </c>
      <c r="G30" s="979"/>
      <c r="H30" s="977"/>
      <c r="J30" s="972"/>
      <c r="K30" s="978"/>
      <c r="L30" s="543"/>
      <c r="M30" s="6">
        <f>SUMIFS(Sheet1!$N$2:$N$179,Sheet1!$Q$2:$Q$179,$K$24,Sheet1!$P$2:$P$179,L30)</f>
        <v>0</v>
      </c>
      <c r="N30" s="6">
        <f>M30/Sheet1!$T$9*Sheet1!$T$10</f>
        <v>0</v>
      </c>
      <c r="O30" s="479">
        <f>M30/Sheet1!$T$9*Sheet1!$T$11</f>
        <v>0</v>
      </c>
      <c r="P30" s="979"/>
      <c r="Q30" s="977"/>
    </row>
    <row r="31" spans="1:17" ht="25.5">
      <c r="A31" s="972"/>
      <c r="B31" s="980" t="s">
        <v>262</v>
      </c>
      <c r="C31" s="542" t="s">
        <v>523</v>
      </c>
      <c r="D31" s="6">
        <f>SUMIFS(Sheet1!$C$2:$C$179,Sheet1!$F$2:$F$179,B31,Sheet1!$E$2:$E$179,C31)</f>
        <v>140</v>
      </c>
      <c r="E31" s="6">
        <f>D31/Sheet1!$I$9*Sheet1!$I$10</f>
        <v>6.1622414780531107</v>
      </c>
      <c r="F31" s="479">
        <f>D31/Sheet1!$I$9*Sheet1!$I$11</f>
        <v>3.2942375820391714E-3</v>
      </c>
      <c r="G31" s="983">
        <f>SUM(F31:F34)</f>
        <v>1.4165221602768438E-2</v>
      </c>
      <c r="H31" s="977"/>
      <c r="J31" s="972"/>
      <c r="K31" s="980" t="s">
        <v>262</v>
      </c>
      <c r="L31" s="542" t="s">
        <v>523</v>
      </c>
      <c r="M31" s="6">
        <f>SUMIFS(Sheet1!$N$2:$N$179,Sheet1!$Q$2:$Q$179,$K$31,Sheet1!$P$2:$P$179,L31)</f>
        <v>140</v>
      </c>
      <c r="N31" s="6">
        <f>M31/Sheet1!$T$9*Sheet1!$T$10</f>
        <v>6.1622414780531107</v>
      </c>
      <c r="O31" s="479">
        <f>M31/Sheet1!$T$9*Sheet1!$T$11</f>
        <v>3.2942375820391714E-3</v>
      </c>
      <c r="P31" s="983">
        <f>SUM(O31:O34)</f>
        <v>1.4165221602768438E-2</v>
      </c>
      <c r="Q31" s="977"/>
    </row>
    <row r="32" spans="1:17" ht="25.5">
      <c r="A32" s="972"/>
      <c r="B32" s="981"/>
      <c r="C32" s="543" t="s">
        <v>746</v>
      </c>
      <c r="D32" s="6">
        <f>SUMIFS(Sheet1!$C$2:$C$179,Sheet1!$F$2:$F$179,B31,Sheet1!$E$2:$E$179,C32)</f>
        <v>140</v>
      </c>
      <c r="E32" s="6">
        <f>D32/Sheet1!$I$9*Sheet1!$I$10</f>
        <v>6.1622414780531107</v>
      </c>
      <c r="F32" s="479">
        <f>D32/Sheet1!$I$9*Sheet1!$I$11</f>
        <v>3.2942375820391714E-3</v>
      </c>
      <c r="G32" s="984"/>
      <c r="H32" s="977"/>
      <c r="J32" s="972"/>
      <c r="K32" s="981"/>
      <c r="L32" s="543" t="s">
        <v>746</v>
      </c>
      <c r="M32" s="6">
        <f>SUMIFS(Sheet1!$N$2:$N$179,Sheet1!$Q$2:$Q$179,$K$31,Sheet1!$P$2:$P$179,L32)</f>
        <v>140</v>
      </c>
      <c r="N32" s="6">
        <f>M32/Sheet1!$T$9*Sheet1!$T$10</f>
        <v>6.1622414780531107</v>
      </c>
      <c r="O32" s="479">
        <f>M32/Sheet1!$T$9*Sheet1!$T$11</f>
        <v>3.2942375820391714E-3</v>
      </c>
      <c r="P32" s="984"/>
      <c r="Q32" s="977"/>
    </row>
    <row r="33" spans="1:17">
      <c r="A33" s="972"/>
      <c r="B33" s="981"/>
      <c r="C33" s="543" t="s">
        <v>744</v>
      </c>
      <c r="D33" s="6">
        <f>SUMIFS(Sheet1!$C$2:$C$179,Sheet1!$F$2:$F$179,B31,Sheet1!$E$2:$E$179,C33)</f>
        <v>30</v>
      </c>
      <c r="E33" s="6">
        <f>D33/Sheet1!$I$9*Sheet1!$I$10</f>
        <v>1.3204803167256665</v>
      </c>
      <c r="F33" s="479">
        <f>D33/Sheet1!$I$9*Sheet1!$I$11</f>
        <v>7.0590805329410816E-4</v>
      </c>
      <c r="G33" s="984"/>
      <c r="H33" s="977"/>
      <c r="J33" s="972"/>
      <c r="K33" s="981"/>
      <c r="L33" s="543" t="s">
        <v>744</v>
      </c>
      <c r="M33" s="6">
        <f>SUMIFS(Sheet1!$N$2:$N$179,Sheet1!$Q$2:$Q$179,$K$31,Sheet1!$P$2:$P$179,L33)</f>
        <v>30</v>
      </c>
      <c r="N33" s="6">
        <f>M33/Sheet1!$T$9*Sheet1!$T$10</f>
        <v>1.3204803167256665</v>
      </c>
      <c r="O33" s="479">
        <f>M33/Sheet1!$T$9*Sheet1!$T$11</f>
        <v>7.0590805329410816E-4</v>
      </c>
      <c r="P33" s="984"/>
      <c r="Q33" s="977"/>
    </row>
    <row r="34" spans="1:17" ht="38.25">
      <c r="A34" s="972"/>
      <c r="B34" s="982"/>
      <c r="C34" s="543" t="s">
        <v>801</v>
      </c>
      <c r="D34" s="6">
        <f>SUMIFS(Sheet1!$C$2:$C$179,Sheet1!$F$2:$F$179,B31,Sheet1!$E$2:$E$179,C34)</f>
        <v>292</v>
      </c>
      <c r="E34" s="6">
        <f>D34/Sheet1!$I$9*Sheet1!$I$10</f>
        <v>12.852675082796489</v>
      </c>
      <c r="F34" s="479">
        <f>D34/Sheet1!$I$9*Sheet1!$I$11</f>
        <v>6.8708383853959866E-3</v>
      </c>
      <c r="G34" s="985"/>
      <c r="H34" s="977"/>
      <c r="J34" s="972"/>
      <c r="K34" s="982"/>
      <c r="L34" s="543" t="s">
        <v>801</v>
      </c>
      <c r="M34" s="6">
        <f>SUMIFS(Sheet1!$N$2:$N$179,Sheet1!$Q$2:$Q$179,$K$31,Sheet1!$P$2:$P$179,L34)</f>
        <v>292</v>
      </c>
      <c r="N34" s="6">
        <f>M34/Sheet1!$T$9*Sheet1!$T$10</f>
        <v>12.852675082796489</v>
      </c>
      <c r="O34" s="479">
        <f>M34/Sheet1!$T$9*Sheet1!$T$11</f>
        <v>6.8708383853959866E-3</v>
      </c>
      <c r="P34" s="985"/>
      <c r="Q34" s="977"/>
    </row>
    <row r="35" spans="1:17" ht="38.25">
      <c r="A35" s="972"/>
      <c r="B35" s="978" t="s">
        <v>263</v>
      </c>
      <c r="C35" s="543" t="s">
        <v>783</v>
      </c>
      <c r="D35" s="6">
        <f>SUMIFS(Sheet1!$C$2:$C$179,Sheet1!$F$2:$F$179,B35,Sheet1!$E$2:$E$179,C35)</f>
        <v>86</v>
      </c>
      <c r="E35" s="6">
        <f>D35/Sheet1!$I$9*Sheet1!$I$10</f>
        <v>3.7853769079469113</v>
      </c>
      <c r="F35" s="479">
        <f>D35/Sheet1!$I$9*Sheet1!$I$11</f>
        <v>2.023603086109777E-3</v>
      </c>
      <c r="G35" s="979">
        <f>SUM(F35:F37)</f>
        <v>2.023603086109777E-3</v>
      </c>
      <c r="H35" s="977"/>
      <c r="J35" s="972"/>
      <c r="K35" s="978" t="s">
        <v>263</v>
      </c>
      <c r="L35" s="543" t="s">
        <v>783</v>
      </c>
      <c r="M35" s="6">
        <f>SUMIFS(Sheet1!$N$2:$N$179,Sheet1!$Q$2:$Q$179,$K$35,Sheet1!$P$2:$P$179,L35)</f>
        <v>86</v>
      </c>
      <c r="N35" s="6">
        <f>M35/Sheet1!$T$9*Sheet1!$T$10</f>
        <v>3.7853769079469113</v>
      </c>
      <c r="O35" s="479">
        <f>M35/Sheet1!$T$9*Sheet1!$T$11</f>
        <v>2.023603086109777E-3</v>
      </c>
      <c r="P35" s="979">
        <f>SUM(O35:O37)</f>
        <v>2.023603086109777E-3</v>
      </c>
      <c r="Q35" s="977"/>
    </row>
    <row r="36" spans="1:17">
      <c r="A36" s="972"/>
      <c r="B36" s="978"/>
      <c r="C36" s="543"/>
      <c r="D36" s="6">
        <f>SUMIFS(Sheet1!$C$2:$C$179,Sheet1!$F$2:$F$179,B35,Sheet1!$E$2:$E$179,C36)</f>
        <v>0</v>
      </c>
      <c r="E36" s="6">
        <f>D36/Sheet1!$I$9*Sheet1!$I$10</f>
        <v>0</v>
      </c>
      <c r="F36" s="479">
        <f>D36/Sheet1!$I$9*Sheet1!$I$11</f>
        <v>0</v>
      </c>
      <c r="G36" s="979"/>
      <c r="H36" s="977"/>
      <c r="J36" s="972"/>
      <c r="K36" s="978"/>
      <c r="L36" s="543"/>
      <c r="M36" s="6">
        <f>SUMIFS(Sheet1!$N$2:$N$179,Sheet1!$Q$2:$Q$179,$K$35,Sheet1!$P$2:$P$179,L36)</f>
        <v>0</v>
      </c>
      <c r="N36" s="6">
        <f>M36/Sheet1!$T$9*Sheet1!$T$10</f>
        <v>0</v>
      </c>
      <c r="O36" s="479">
        <f>M36/Sheet1!$T$9*Sheet1!$T$11</f>
        <v>0</v>
      </c>
      <c r="P36" s="979"/>
      <c r="Q36" s="977"/>
    </row>
    <row r="37" spans="1:17">
      <c r="A37" s="972"/>
      <c r="B37" s="978"/>
      <c r="C37" s="543"/>
      <c r="D37" s="6">
        <f>SUMIFS(Sheet1!$C$2:$C$179,Sheet1!$F$2:$F$179,B35,Sheet1!$E$2:$E$179,C37)</f>
        <v>0</v>
      </c>
      <c r="E37" s="6">
        <f>D37/Sheet1!$I$9*Sheet1!$I$10</f>
        <v>0</v>
      </c>
      <c r="F37" s="479">
        <f>D37/Sheet1!$I$9*Sheet1!$I$11</f>
        <v>0</v>
      </c>
      <c r="G37" s="979"/>
      <c r="H37" s="977"/>
      <c r="J37" s="972"/>
      <c r="K37" s="978"/>
      <c r="L37" s="543"/>
      <c r="M37" s="6">
        <f>SUMIFS(Sheet1!$N$2:$N$179,Sheet1!$Q$2:$Q$179,$K$35,Sheet1!$P$2:$P$179,L37)</f>
        <v>0</v>
      </c>
      <c r="N37" s="6">
        <f>M37/Sheet1!$T$9*Sheet1!$T$10</f>
        <v>0</v>
      </c>
      <c r="O37" s="479">
        <f>M37/Sheet1!$T$9*Sheet1!$T$11</f>
        <v>0</v>
      </c>
      <c r="P37" s="979"/>
      <c r="Q37" s="977"/>
    </row>
    <row r="38" spans="1:17" ht="25.5">
      <c r="A38" s="972"/>
      <c r="B38" s="980" t="s">
        <v>264</v>
      </c>
      <c r="C38" s="543" t="s">
        <v>724</v>
      </c>
      <c r="D38" s="6">
        <f>SUMIFS(Sheet1!$C$2:$C$179,Sheet1!$F$2:$F$179,B38,Sheet1!$E$2:$E$179,C38)</f>
        <v>13</v>
      </c>
      <c r="E38" s="6">
        <f>D38/Sheet1!$I$9*Sheet1!$I$10</f>
        <v>0.57220813724778896</v>
      </c>
      <c r="F38" s="479">
        <f>D38/Sheet1!$I$9*Sheet1!$I$11</f>
        <v>3.0589348976078022E-4</v>
      </c>
      <c r="G38" s="983">
        <f>SUM(F38:F41)</f>
        <v>1.8118306701215444E-3</v>
      </c>
      <c r="H38" s="977"/>
      <c r="J38" s="972"/>
      <c r="K38" s="980" t="s">
        <v>264</v>
      </c>
      <c r="L38" s="543" t="s">
        <v>724</v>
      </c>
      <c r="M38" s="6">
        <f>SUMIFS(Sheet1!$N$2:$N$179,Sheet1!$Q$2:$Q$179,$K$38,Sheet1!$P$2:$P$179,L38)</f>
        <v>13</v>
      </c>
      <c r="N38" s="6">
        <f>M38/Sheet1!$T$9*Sheet1!$T$10</f>
        <v>0.57220813724778896</v>
      </c>
      <c r="O38" s="479">
        <f>M38/Sheet1!$T$9*Sheet1!$T$11</f>
        <v>3.0589348976078022E-4</v>
      </c>
      <c r="P38" s="983">
        <f>SUM(O38:O41)</f>
        <v>1.8118306701215444E-3</v>
      </c>
      <c r="Q38" s="977"/>
    </row>
    <row r="39" spans="1:17" ht="25.5">
      <c r="A39" s="972"/>
      <c r="B39" s="981"/>
      <c r="C39" s="543" t="s">
        <v>745</v>
      </c>
      <c r="D39" s="6">
        <f>SUMIFS(Sheet1!$C$2:$C$179,Sheet1!$F$2:$F$179,B38,Sheet1!$E$2:$E$179,C39)</f>
        <v>30</v>
      </c>
      <c r="E39" s="6">
        <f>D39/Sheet1!$I$9*Sheet1!$I$10</f>
        <v>1.3204803167256665</v>
      </c>
      <c r="F39" s="479">
        <f>D39/Sheet1!$I$9*Sheet1!$I$11</f>
        <v>7.0590805329410816E-4</v>
      </c>
      <c r="G39" s="984"/>
      <c r="H39" s="977"/>
      <c r="J39" s="972"/>
      <c r="K39" s="981"/>
      <c r="L39" s="543" t="s">
        <v>745</v>
      </c>
      <c r="M39" s="6">
        <f>SUMIFS(Sheet1!$N$2:$N$179,Sheet1!$Q$2:$Q$179,$K$38,Sheet1!$P$2:$P$179,L39)</f>
        <v>30</v>
      </c>
      <c r="N39" s="6">
        <f>M39/Sheet1!$T$9*Sheet1!$T$10</f>
        <v>1.3204803167256665</v>
      </c>
      <c r="O39" s="479">
        <f>M39/Sheet1!$T$9*Sheet1!$T$11</f>
        <v>7.0590805329410816E-4</v>
      </c>
      <c r="P39" s="984"/>
      <c r="Q39" s="977"/>
    </row>
    <row r="40" spans="1:17" ht="25.5">
      <c r="A40" s="972"/>
      <c r="B40" s="981"/>
      <c r="C40" s="543" t="s">
        <v>784</v>
      </c>
      <c r="D40" s="6">
        <f>SUMIFS(Sheet1!$C$2:$C$179,Sheet1!$F$2:$F$179,B38,Sheet1!$E$2:$E$179,C40)</f>
        <v>14</v>
      </c>
      <c r="E40" s="6">
        <f>D40/Sheet1!$I$9*Sheet1!$I$10</f>
        <v>0.6162241478053111</v>
      </c>
      <c r="F40" s="479">
        <f>D40/Sheet1!$I$9*Sheet1!$I$11</f>
        <v>3.2942375820391715E-4</v>
      </c>
      <c r="G40" s="984"/>
      <c r="H40" s="977"/>
      <c r="J40" s="972"/>
      <c r="K40" s="981"/>
      <c r="L40" s="543" t="s">
        <v>784</v>
      </c>
      <c r="M40" s="6">
        <f>SUMIFS(Sheet1!$N$2:$N$179,Sheet1!$Q$2:$Q$179,$K$38,Sheet1!$P$2:$P$179,L40)</f>
        <v>14</v>
      </c>
      <c r="N40" s="6">
        <f>M40/Sheet1!$T$9*Sheet1!$T$10</f>
        <v>0.6162241478053111</v>
      </c>
      <c r="O40" s="479">
        <f>M40/Sheet1!$T$9*Sheet1!$T$11</f>
        <v>3.2942375820391715E-4</v>
      </c>
      <c r="P40" s="984"/>
      <c r="Q40" s="977"/>
    </row>
    <row r="41" spans="1:17" ht="38.25">
      <c r="A41" s="972"/>
      <c r="B41" s="982"/>
      <c r="C41" s="543" t="s">
        <v>800</v>
      </c>
      <c r="D41" s="6">
        <f>SUMIFS(Sheet1!$C$2:$C$179,Sheet1!$F$2:$F$179,B38,Sheet1!$E$2:$E$179,C41)</f>
        <v>20</v>
      </c>
      <c r="E41" s="6">
        <f>D41/Sheet1!$I$9*Sheet1!$I$10</f>
        <v>0.88032021115044445</v>
      </c>
      <c r="F41" s="479">
        <f>D41/Sheet1!$I$9*Sheet1!$I$11</f>
        <v>4.7060536886273877E-4</v>
      </c>
      <c r="G41" s="985"/>
      <c r="H41" s="977"/>
      <c r="J41" s="972"/>
      <c r="K41" s="982"/>
      <c r="L41" s="543" t="s">
        <v>800</v>
      </c>
      <c r="M41" s="6">
        <f>SUMIFS(Sheet1!$N$2:$N$179,Sheet1!$Q$2:$Q$179,$K$38,Sheet1!$P$2:$P$179,L41)</f>
        <v>20</v>
      </c>
      <c r="N41" s="6">
        <f>M41/Sheet1!$T$9*Sheet1!$T$10</f>
        <v>0.88032021115044445</v>
      </c>
      <c r="O41" s="479">
        <f>M41/Sheet1!$T$9*Sheet1!$T$11</f>
        <v>4.7060536886273877E-4</v>
      </c>
      <c r="P41" s="985"/>
      <c r="Q41" s="977"/>
    </row>
    <row r="42" spans="1:17" s="603" customFormat="1">
      <c r="A42" s="972" t="s">
        <v>420</v>
      </c>
      <c r="B42" s="980" t="s">
        <v>265</v>
      </c>
      <c r="C42" s="600" t="s">
        <v>723</v>
      </c>
      <c r="D42" s="601">
        <f>SUMIFS(Sheet1!$C$2:$C$179,Sheet1!$F$2:$F$179,B42,Sheet1!$E$2:$E$179,C42)</f>
        <v>199</v>
      </c>
      <c r="E42" s="601">
        <f>D42/Sheet1!$I$9*Sheet1!$I$10</f>
        <v>8.7591861009469216</v>
      </c>
      <c r="F42" s="602">
        <f>D42/Sheet1!$I$9*Sheet1!$I$11</f>
        <v>4.6825234201842503E-3</v>
      </c>
      <c r="G42" s="983">
        <f>SUM(F42:F43)</f>
        <v>4.6825234201842503E-3</v>
      </c>
      <c r="H42" s="988">
        <f>SUM(G42:G43)</f>
        <v>4.6825234201842503E-3</v>
      </c>
      <c r="J42" s="972" t="s">
        <v>420</v>
      </c>
      <c r="K42" s="980" t="s">
        <v>265</v>
      </c>
      <c r="L42" s="543" t="s">
        <v>723</v>
      </c>
      <c r="M42" s="601">
        <f>SUMIFS(Sheet1!$N$2:$N$179,Sheet1!$Q$2:$Q$179,K42,Sheet1!$P$2:$P$179,L42)</f>
        <v>199</v>
      </c>
      <c r="N42" s="601">
        <f>M42/Sheet1!$T$9*Sheet1!$T$10</f>
        <v>8.7591861009469216</v>
      </c>
      <c r="O42" s="602">
        <f>M42/Sheet1!$T$9*Sheet1!$T$11</f>
        <v>4.6825234201842503E-3</v>
      </c>
      <c r="P42" s="983">
        <f>SUM(O42:O43)</f>
        <v>4.6825234201842503E-3</v>
      </c>
      <c r="Q42" s="988">
        <f>SUM(P42:P43)</f>
        <v>4.6825234201842503E-3</v>
      </c>
    </row>
    <row r="43" spans="1:17">
      <c r="A43" s="972"/>
      <c r="B43" s="982"/>
      <c r="C43" s="545"/>
      <c r="D43" s="6">
        <f>SUMIFS(Sheet1!$C$2:$C$179,Sheet1!$F$2:$F$179,B42,Sheet1!$E$2:$E$179,C43)</f>
        <v>0</v>
      </c>
      <c r="E43" s="6">
        <f>D43/Sheet1!$I$9*Sheet1!$I$10</f>
        <v>0</v>
      </c>
      <c r="F43" s="479">
        <f>D43/Sheet1!$I$9*Sheet1!$I$11</f>
        <v>0</v>
      </c>
      <c r="G43" s="985"/>
      <c r="H43" s="989"/>
      <c r="J43" s="972"/>
      <c r="K43" s="982"/>
      <c r="L43" s="545"/>
      <c r="M43" s="6">
        <f>SUMIFS(Sheet1!$N$2:$N$179,Sheet1!$Q$2:$Q$179,K42,Sheet1!$P$2:$P$179,L43)</f>
        <v>0</v>
      </c>
      <c r="N43" s="6">
        <f>M43/Sheet1!$T$9*Sheet1!$T$10</f>
        <v>0</v>
      </c>
      <c r="O43" s="479">
        <f>M43/Sheet1!$T$9*Sheet1!$T$11</f>
        <v>0</v>
      </c>
      <c r="P43" s="985"/>
      <c r="Q43" s="989"/>
    </row>
    <row r="44" spans="1:17" ht="15">
      <c r="A44" s="468"/>
      <c r="B44" s="987" t="s">
        <v>2</v>
      </c>
      <c r="C44" s="987"/>
      <c r="D44" s="316">
        <f>SUM(D4:D43)</f>
        <v>3235</v>
      </c>
      <c r="E44" s="316">
        <f>SUM(E4:E43)</f>
        <v>275.55634188173298</v>
      </c>
      <c r="F44" s="469">
        <f>SUM(F4:F43)</f>
        <v>0.14730809570332376</v>
      </c>
      <c r="G44" s="469">
        <f>SUM(G4:G43)</f>
        <v>0.14730809570332382</v>
      </c>
      <c r="H44" s="469">
        <f>SUM(H4:H43)</f>
        <v>0.14730809570332379</v>
      </c>
      <c r="J44" s="468"/>
      <c r="K44" s="987" t="s">
        <v>2</v>
      </c>
      <c r="L44" s="987"/>
      <c r="M44" s="316">
        <f>SUM(M4:M43)</f>
        <v>3235</v>
      </c>
      <c r="N44" s="316">
        <f>SUM(N4:N43)</f>
        <v>275.55634188173298</v>
      </c>
      <c r="O44" s="469">
        <f>SUM(O4:O43)</f>
        <v>0.14730809570332376</v>
      </c>
      <c r="P44" s="469">
        <f>SUM(P4:P43)</f>
        <v>0.14730809570332382</v>
      </c>
      <c r="Q44" s="469">
        <f>SUM(Q4:Q43)</f>
        <v>0.14730809570332379</v>
      </c>
    </row>
    <row r="45" spans="1:17" ht="15">
      <c r="A45" s="468"/>
      <c r="B45" s="987" t="s">
        <v>1</v>
      </c>
      <c r="C45" s="987"/>
      <c r="D45" s="987"/>
      <c r="E45" s="987"/>
      <c r="F45" s="470">
        <f>+Efficiency1!X153</f>
        <v>0.8526919042966763</v>
      </c>
      <c r="G45" s="470">
        <f>+F45</f>
        <v>0.8526919042966763</v>
      </c>
      <c r="H45" s="470">
        <f>+G45</f>
        <v>0.8526919042966763</v>
      </c>
      <c r="J45" s="468"/>
      <c r="K45" s="987" t="s">
        <v>1</v>
      </c>
      <c r="L45" s="987"/>
      <c r="M45" s="987"/>
      <c r="N45" s="987"/>
      <c r="O45" s="470">
        <f>+Efficiency2!X153</f>
        <v>0.8526919042966763</v>
      </c>
      <c r="P45" s="470">
        <f>+O45</f>
        <v>0.8526919042966763</v>
      </c>
      <c r="Q45" s="470">
        <f>+P45</f>
        <v>0.8526919042966763</v>
      </c>
    </row>
    <row r="46" spans="1:17" ht="15">
      <c r="A46" s="468"/>
      <c r="B46" s="987" t="s">
        <v>56</v>
      </c>
      <c r="C46" s="987"/>
      <c r="D46" s="987"/>
      <c r="E46" s="987"/>
      <c r="F46" s="471">
        <f>SUM(F44:F45)</f>
        <v>1</v>
      </c>
      <c r="G46" s="471">
        <f>SUM(G44:G45)</f>
        <v>1</v>
      </c>
      <c r="H46" s="472">
        <f>SUM(H44:H45)</f>
        <v>1</v>
      </c>
      <c r="J46" s="468"/>
      <c r="K46" s="987" t="s">
        <v>56</v>
      </c>
      <c r="L46" s="987"/>
      <c r="M46" s="987"/>
      <c r="N46" s="987"/>
      <c r="O46" s="471">
        <f>SUM(O44:O45)</f>
        <v>1</v>
      </c>
      <c r="P46" s="471">
        <f>SUM(P44:P45)</f>
        <v>1</v>
      </c>
      <c r="Q46" s="472">
        <f>SUM(Q44:Q45)</f>
        <v>1</v>
      </c>
    </row>
  </sheetData>
  <mergeCells count="66">
    <mergeCell ref="A2:A3"/>
    <mergeCell ref="B2:B3"/>
    <mergeCell ref="C2:C3"/>
    <mergeCell ref="B24:B30"/>
    <mergeCell ref="A4:A11"/>
    <mergeCell ref="Q14:Q23"/>
    <mergeCell ref="K16:K17"/>
    <mergeCell ref="P16:P17"/>
    <mergeCell ref="K19:K23"/>
    <mergeCell ref="P19:P23"/>
    <mergeCell ref="K2:K3"/>
    <mergeCell ref="L2:L3"/>
    <mergeCell ref="J4:J11"/>
    <mergeCell ref="Q4:Q11"/>
    <mergeCell ref="K6:K7"/>
    <mergeCell ref="K8:K9"/>
    <mergeCell ref="K10:K11"/>
    <mergeCell ref="J2:J3"/>
    <mergeCell ref="J12:J13"/>
    <mergeCell ref="J24:J41"/>
    <mergeCell ref="J42:J43"/>
    <mergeCell ref="Q42:Q43"/>
    <mergeCell ref="K44:L44"/>
    <mergeCell ref="K24:K30"/>
    <mergeCell ref="P24:P30"/>
    <mergeCell ref="Q24:Q41"/>
    <mergeCell ref="K31:K34"/>
    <mergeCell ref="P31:P34"/>
    <mergeCell ref="K35:K37"/>
    <mergeCell ref="P35:P37"/>
    <mergeCell ref="K38:K41"/>
    <mergeCell ref="P38:P41"/>
    <mergeCell ref="Q12:Q13"/>
    <mergeCell ref="J14:J23"/>
    <mergeCell ref="B46:E46"/>
    <mergeCell ref="K42:K43"/>
    <mergeCell ref="P42:P43"/>
    <mergeCell ref="B42:B43"/>
    <mergeCell ref="G42:G43"/>
    <mergeCell ref="H42:H43"/>
    <mergeCell ref="B44:C44"/>
    <mergeCell ref="B45:E45"/>
    <mergeCell ref="K45:N45"/>
    <mergeCell ref="K46:N46"/>
    <mergeCell ref="H4:H11"/>
    <mergeCell ref="B6:B7"/>
    <mergeCell ref="B8:B9"/>
    <mergeCell ref="B10:B11"/>
    <mergeCell ref="A24:A41"/>
    <mergeCell ref="B31:B34"/>
    <mergeCell ref="G19:G23"/>
    <mergeCell ref="A42:A43"/>
    <mergeCell ref="A12:A13"/>
    <mergeCell ref="H12:H13"/>
    <mergeCell ref="A14:A23"/>
    <mergeCell ref="H14:H23"/>
    <mergeCell ref="B16:B17"/>
    <mergeCell ref="G16:G17"/>
    <mergeCell ref="B19:B23"/>
    <mergeCell ref="G35:G37"/>
    <mergeCell ref="B38:B41"/>
    <mergeCell ref="G38:G41"/>
    <mergeCell ref="H24:H41"/>
    <mergeCell ref="G31:G34"/>
    <mergeCell ref="B35:B37"/>
    <mergeCell ref="G24:G30"/>
  </mergeCells>
  <conditionalFormatting sqref="D4:D31 D34:D38 D41:D43">
    <cfRule type="cellIs" dxfId="25" priority="25" operator="between">
      <formula>180</formula>
      <formula>360</formula>
    </cfRule>
    <cfRule type="cellIs" dxfId="24" priority="26" operator="greaterThan">
      <formula>360</formula>
    </cfRule>
  </conditionalFormatting>
  <conditionalFormatting sqref="M5:M31 M34:M38 M41:M43">
    <cfRule type="cellIs" dxfId="23" priority="23" operator="between">
      <formula>180</formula>
      <formula>360</formula>
    </cfRule>
    <cfRule type="cellIs" dxfId="22" priority="24" operator="greaterThan">
      <formula>360</formula>
    </cfRule>
  </conditionalFormatting>
  <conditionalFormatting sqref="M4:M31 M34:M38 M41:M43">
    <cfRule type="cellIs" dxfId="21" priority="21" operator="between">
      <formula>180</formula>
      <formula>360</formula>
    </cfRule>
    <cfRule type="cellIs" dxfId="20" priority="22" operator="greaterThan">
      <formula>360</formula>
    </cfRule>
  </conditionalFormatting>
  <conditionalFormatting sqref="M32:M33">
    <cfRule type="cellIs" dxfId="19" priority="19" operator="between">
      <formula>180</formula>
      <formula>360</formula>
    </cfRule>
    <cfRule type="cellIs" dxfId="18" priority="20" operator="greaterThan">
      <formula>360</formula>
    </cfRule>
  </conditionalFormatting>
  <conditionalFormatting sqref="M32:M33">
    <cfRule type="cellIs" dxfId="17" priority="17" operator="between">
      <formula>180</formula>
      <formula>360</formula>
    </cfRule>
    <cfRule type="cellIs" dxfId="16" priority="18" operator="greaterThan">
      <formula>360</formula>
    </cfRule>
  </conditionalFormatting>
  <conditionalFormatting sqref="D32">
    <cfRule type="cellIs" dxfId="15" priority="15" operator="between">
      <formula>180</formula>
      <formula>360</formula>
    </cfRule>
    <cfRule type="cellIs" dxfId="14" priority="16" operator="greaterThan">
      <formula>360</formula>
    </cfRule>
  </conditionalFormatting>
  <conditionalFormatting sqref="M39">
    <cfRule type="cellIs" dxfId="13" priority="13" operator="between">
      <formula>180</formula>
      <formula>360</formula>
    </cfRule>
    <cfRule type="cellIs" dxfId="12" priority="14" operator="greaterThan">
      <formula>360</formula>
    </cfRule>
  </conditionalFormatting>
  <conditionalFormatting sqref="M39">
    <cfRule type="cellIs" dxfId="11" priority="11" operator="between">
      <formula>180</formula>
      <formula>360</formula>
    </cfRule>
    <cfRule type="cellIs" dxfId="10" priority="12" operator="greaterThan">
      <formula>360</formula>
    </cfRule>
  </conditionalFormatting>
  <conditionalFormatting sqref="D39">
    <cfRule type="cellIs" dxfId="9" priority="9" operator="between">
      <formula>180</formula>
      <formula>360</formula>
    </cfRule>
    <cfRule type="cellIs" dxfId="8" priority="10" operator="greaterThan">
      <formula>360</formula>
    </cfRule>
  </conditionalFormatting>
  <conditionalFormatting sqref="M40">
    <cfRule type="cellIs" dxfId="7" priority="7" operator="between">
      <formula>180</formula>
      <formula>360</formula>
    </cfRule>
    <cfRule type="cellIs" dxfId="6" priority="8" operator="greaterThan">
      <formula>360</formula>
    </cfRule>
  </conditionalFormatting>
  <conditionalFormatting sqref="M40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D40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D33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H25" sqref="H25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7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29</v>
      </c>
      <c r="G4" s="163">
        <v>30</v>
      </c>
      <c r="H4" s="163" t="str">
        <f>+'1'!H4</f>
        <v>.11.25</v>
      </c>
    </row>
    <row r="5" spans="1:15" ht="13.5" thickBot="1">
      <c r="C5" s="164"/>
      <c r="D5" s="164"/>
    </row>
    <row r="6" spans="1:15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168+212+230</f>
        <v>610</v>
      </c>
    </row>
    <row r="7" spans="1:15" ht="13.5" customHeight="1" thickBot="1">
      <c r="A7" s="1002" t="s">
        <v>447</v>
      </c>
      <c r="B7" s="224" t="s">
        <v>551</v>
      </c>
      <c r="C7" s="225">
        <v>18655</v>
      </c>
      <c r="D7" s="226"/>
      <c r="E7" s="227"/>
      <c r="F7" s="236"/>
      <c r="G7" s="237" t="s">
        <v>11</v>
      </c>
      <c r="H7" s="238" t="s">
        <v>434</v>
      </c>
      <c r="I7" s="1005" t="s">
        <v>542</v>
      </c>
      <c r="J7" s="223" t="str">
        <f>+'29'!J7</f>
        <v>MG 14 VP HW/OW</v>
      </c>
      <c r="K7" s="246"/>
      <c r="L7" s="250"/>
      <c r="M7" s="126">
        <f>+K7+'29'!M7+L7</f>
        <v>143496</v>
      </c>
    </row>
    <row r="8" spans="1:15" ht="13.5" thickBot="1">
      <c r="A8" s="1003"/>
      <c r="B8" s="224"/>
      <c r="C8" s="225"/>
      <c r="D8" s="226"/>
      <c r="E8" s="228"/>
      <c r="F8" s="239">
        <v>6</v>
      </c>
      <c r="G8" s="240" t="s">
        <v>11</v>
      </c>
      <c r="H8" s="238" t="s">
        <v>569</v>
      </c>
      <c r="I8" s="1006"/>
      <c r="J8" s="223" t="str">
        <f>+'29'!J8</f>
        <v>MG 16,5 VP HW</v>
      </c>
      <c r="K8" s="247"/>
      <c r="L8" s="247"/>
      <c r="M8" s="126">
        <f>+K8+'29'!M8+L8</f>
        <v>93365</v>
      </c>
      <c r="N8" s="158">
        <v>1600</v>
      </c>
      <c r="O8" s="158">
        <f>+N8-N8*0.24</f>
        <v>1216</v>
      </c>
    </row>
    <row r="9" spans="1:15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428</v>
      </c>
      <c r="I9" s="1006"/>
      <c r="J9" s="223" t="str">
        <f>+'29'!J9</f>
        <v>MG 30 VP HW</v>
      </c>
      <c r="K9" s="247"/>
      <c r="L9" s="247"/>
      <c r="M9" s="126">
        <f>+K9+'29'!M9+L9</f>
        <v>4193</v>
      </c>
    </row>
    <row r="10" spans="1:15" ht="13.5" thickBot="1">
      <c r="A10" s="1003"/>
      <c r="B10" s="224"/>
      <c r="C10" s="225"/>
      <c r="D10" s="226"/>
      <c r="E10" s="228"/>
      <c r="F10" s="236"/>
      <c r="G10" s="240"/>
      <c r="H10" s="582" t="s">
        <v>833</v>
      </c>
      <c r="I10" s="1006"/>
      <c r="J10" s="223" t="str">
        <f>+'29'!J10</f>
        <v>MG 17 VP HW</v>
      </c>
      <c r="K10" s="247"/>
      <c r="L10" s="247"/>
      <c r="M10" s="126">
        <f>+K10+'29'!M10+L10</f>
        <v>18114</v>
      </c>
    </row>
    <row r="11" spans="1:15" ht="13.5" thickBot="1">
      <c r="A11" s="1003"/>
      <c r="B11" s="224"/>
      <c r="C11" s="225"/>
      <c r="D11" s="226"/>
      <c r="E11" s="228"/>
      <c r="F11" s="236"/>
      <c r="G11" s="240"/>
      <c r="H11" s="241" t="s">
        <v>844</v>
      </c>
      <c r="I11" s="1006"/>
      <c r="J11" s="223" t="str">
        <f>+'29'!J11</f>
        <v>MG 18 VP HW</v>
      </c>
      <c r="K11" s="247"/>
      <c r="L11" s="247"/>
      <c r="M11" s="126">
        <f>+K11+'29'!M11+L11</f>
        <v>25394</v>
      </c>
    </row>
    <row r="12" spans="1:15" ht="13.5" thickBot="1">
      <c r="A12" s="1003"/>
      <c r="B12" s="224"/>
      <c r="C12" s="225"/>
      <c r="D12" s="226"/>
      <c r="E12" s="228"/>
      <c r="F12" s="236"/>
      <c r="G12" s="240"/>
      <c r="H12" s="241" t="s">
        <v>805</v>
      </c>
      <c r="I12" s="1006"/>
      <c r="J12" s="223" t="str">
        <f>+'29'!J12</f>
        <v>MG 21,5 VP HW</v>
      </c>
      <c r="K12" s="247"/>
      <c r="L12" s="247"/>
      <c r="M12" s="126">
        <f>+K12+'29'!M12+L12</f>
        <v>987</v>
      </c>
    </row>
    <row r="13" spans="1:15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+'29'!J13</f>
        <v>F 10,3 VP OW</v>
      </c>
      <c r="K13" s="247"/>
      <c r="L13" s="247"/>
      <c r="M13" s="126">
        <f>+K13+'29'!M13+L13</f>
        <v>279659</v>
      </c>
    </row>
    <row r="14" spans="1:15" ht="13.5" thickBot="1">
      <c r="A14" s="1004"/>
      <c r="B14" s="174" t="s">
        <v>2</v>
      </c>
      <c r="C14" s="108">
        <f>SUM(C7:C13)</f>
        <v>18655</v>
      </c>
      <c r="D14" s="120">
        <f>SUM(D7:D13)</f>
        <v>0</v>
      </c>
      <c r="E14" s="121">
        <f>SUM(E5:E13)</f>
        <v>0</v>
      </c>
      <c r="F14" s="125">
        <f>SUM(F7:F13)</f>
        <v>16</v>
      </c>
      <c r="G14" s="168"/>
      <c r="H14" s="175"/>
      <c r="I14" s="176"/>
      <c r="J14" s="223" t="str">
        <f>+'29'!J14</f>
        <v>F 12 VP OW</v>
      </c>
      <c r="K14" s="247">
        <f>+C7+C16+C25</f>
        <v>36738</v>
      </c>
      <c r="L14" s="247"/>
      <c r="M14" s="126">
        <f>+K14+'29'!M14+L14</f>
        <v>273558</v>
      </c>
    </row>
    <row r="15" spans="1:15" ht="13.5" customHeight="1" thickBot="1">
      <c r="A15" s="1002" t="s">
        <v>849</v>
      </c>
      <c r="B15" s="174"/>
      <c r="C15" s="122">
        <f>C14/($C$23+$D$23+$E$23)</f>
        <v>1.1620880832243194</v>
      </c>
      <c r="D15" s="123">
        <f>D14/($C$23+$D$23+$E$23)</f>
        <v>0</v>
      </c>
      <c r="E15" s="124">
        <f>E14/($C$23+$D$23+$E$23)</f>
        <v>0</v>
      </c>
      <c r="F15" s="236"/>
      <c r="G15" s="237" t="s">
        <v>11</v>
      </c>
      <c r="H15" s="238" t="s">
        <v>434</v>
      </c>
      <c r="I15" s="1005" t="s">
        <v>542</v>
      </c>
      <c r="J15" s="223" t="str">
        <f>+'29'!J15</f>
        <v>F 13 VP OW</v>
      </c>
      <c r="K15" s="247">
        <f>+C26</f>
        <v>21351</v>
      </c>
      <c r="L15" s="247"/>
      <c r="M15" s="126">
        <f>+K15+'29'!M15+L15</f>
        <v>507856</v>
      </c>
    </row>
    <row r="16" spans="1:15" ht="13.5" thickBot="1">
      <c r="A16" s="1008"/>
      <c r="B16" s="224" t="s">
        <v>551</v>
      </c>
      <c r="C16" s="230">
        <v>16053</v>
      </c>
      <c r="D16" s="231"/>
      <c r="E16" s="232"/>
      <c r="F16" s="236">
        <v>5</v>
      </c>
      <c r="G16" s="240" t="s">
        <v>11</v>
      </c>
      <c r="H16" s="238" t="s">
        <v>568</v>
      </c>
      <c r="I16" s="1006"/>
      <c r="J16" s="223" t="str">
        <f>+'29'!J16</f>
        <v>F 12,5 VP OW</v>
      </c>
      <c r="K16" s="237"/>
      <c r="L16" s="237"/>
      <c r="M16" s="126">
        <f>+K16+'29'!M16+L16</f>
        <v>91232</v>
      </c>
    </row>
    <row r="17" spans="1:15" ht="13.5" thickBot="1">
      <c r="A17" s="1008"/>
      <c r="B17" s="224"/>
      <c r="C17" s="225"/>
      <c r="D17" s="226"/>
      <c r="E17" s="233"/>
      <c r="F17" s="236">
        <v>6</v>
      </c>
      <c r="G17" s="240" t="s">
        <v>11</v>
      </c>
      <c r="H17" s="582" t="s">
        <v>463</v>
      </c>
      <c r="I17" s="1006"/>
      <c r="J17" s="223" t="str">
        <f>+'29'!J17</f>
        <v>SN 13 VP OW</v>
      </c>
      <c r="K17" s="237"/>
      <c r="L17" s="237"/>
      <c r="M17" s="126">
        <f>+K17+'29'!M17+L17</f>
        <v>112808</v>
      </c>
    </row>
    <row r="18" spans="1:15" ht="13.5" thickBot="1">
      <c r="A18" s="1008"/>
      <c r="B18" s="224"/>
      <c r="C18" s="225"/>
      <c r="D18" s="226"/>
      <c r="E18" s="233"/>
      <c r="F18" s="236"/>
      <c r="G18" s="240"/>
      <c r="H18" s="582" t="s">
        <v>833</v>
      </c>
      <c r="I18" s="1006"/>
      <c r="J18" s="223" t="str">
        <f>+'29'!J18</f>
        <v>SN 14 VP OW</v>
      </c>
      <c r="K18" s="247"/>
      <c r="L18" s="247"/>
      <c r="M18" s="126">
        <f>+K18+'29'!M18+L18</f>
        <v>16454</v>
      </c>
    </row>
    <row r="19" spans="1:15" ht="13.5" thickBot="1">
      <c r="A19" s="1008"/>
      <c r="B19" s="224"/>
      <c r="C19" s="225"/>
      <c r="D19" s="226"/>
      <c r="E19" s="233"/>
      <c r="F19" s="243"/>
      <c r="G19" s="240"/>
      <c r="H19" s="241" t="s">
        <v>848</v>
      </c>
      <c r="I19" s="1006"/>
      <c r="J19" s="223" t="str">
        <f>+'29'!J19</f>
        <v>SN 15 VP OW</v>
      </c>
      <c r="K19" s="247"/>
      <c r="L19" s="247"/>
      <c r="M19" s="126">
        <f>+K19+'29'!M19+L19</f>
        <v>27940</v>
      </c>
    </row>
    <row r="20" spans="1:15" ht="13.5" thickBot="1">
      <c r="A20" s="1008"/>
      <c r="B20" s="224"/>
      <c r="C20" s="225"/>
      <c r="D20" s="226"/>
      <c r="E20" s="233"/>
      <c r="F20" s="236"/>
      <c r="G20" s="240"/>
      <c r="H20" s="241" t="s">
        <v>844</v>
      </c>
      <c r="I20" s="1006"/>
      <c r="J20" s="223">
        <f>+'29'!J20</f>
        <v>0</v>
      </c>
      <c r="K20" s="248"/>
      <c r="L20" s="248"/>
      <c r="M20" s="126">
        <f>+K20+'29'!M20+L20</f>
        <v>0</v>
      </c>
    </row>
    <row r="21" spans="1:15" ht="13.5" thickBot="1">
      <c r="A21" s="1008"/>
      <c r="B21" s="224"/>
      <c r="C21" s="225"/>
      <c r="D21" s="226"/>
      <c r="E21" s="233"/>
      <c r="F21" s="239"/>
      <c r="G21" s="240"/>
      <c r="H21" s="241" t="s">
        <v>805</v>
      </c>
      <c r="I21" s="1006"/>
      <c r="J21" s="223">
        <f>+'29'!J21</f>
        <v>0</v>
      </c>
      <c r="K21" s="247"/>
      <c r="L21" s="247"/>
      <c r="M21" s="126">
        <f>+K21+'29'!M21+L21</f>
        <v>0</v>
      </c>
    </row>
    <row r="22" spans="1:15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+'29'!J22</f>
        <v>0</v>
      </c>
      <c r="K22" s="247"/>
      <c r="L22" s="247"/>
      <c r="M22" s="126">
        <f>+K22+'29'!M22+L22</f>
        <v>0</v>
      </c>
    </row>
    <row r="23" spans="1:15" ht="13.5" thickBot="1">
      <c r="A23" s="1009"/>
      <c r="B23" s="177" t="s">
        <v>2</v>
      </c>
      <c r="C23" s="109">
        <f>SUM(C16:C22)</f>
        <v>16053</v>
      </c>
      <c r="D23" s="120">
        <f>SUM(D16:D22)</f>
        <v>0</v>
      </c>
      <c r="E23" s="121">
        <f>SUM(E18:E22)</f>
        <v>0</v>
      </c>
      <c r="F23" s="125">
        <f>SUM(F15:F22)</f>
        <v>11</v>
      </c>
      <c r="G23" s="168"/>
      <c r="H23" s="175" t="s">
        <v>234</v>
      </c>
      <c r="I23" s="178"/>
      <c r="J23" s="223">
        <f>+'29'!J23</f>
        <v>0</v>
      </c>
      <c r="K23" s="247"/>
      <c r="L23" s="247"/>
      <c r="M23" s="126">
        <f>+K23+'29'!M23+L23</f>
        <v>0</v>
      </c>
    </row>
    <row r="24" spans="1:15" ht="13.5" customHeight="1" thickBot="1">
      <c r="A24" s="1002" t="s">
        <v>465</v>
      </c>
      <c r="B24" s="179"/>
      <c r="C24" s="122">
        <f>C23/($C$23+$D$23+$E$23)</f>
        <v>1</v>
      </c>
      <c r="D24" s="123">
        <f>D23/($C$23+$D$23+$E$23)</f>
        <v>0</v>
      </c>
      <c r="E24" s="124">
        <f>E23/($C$23+$D$23+$E$23)</f>
        <v>0</v>
      </c>
      <c r="F24" s="244"/>
      <c r="G24" s="237" t="s">
        <v>11</v>
      </c>
      <c r="H24" s="238" t="s">
        <v>434</v>
      </c>
      <c r="I24" s="1005" t="s">
        <v>542</v>
      </c>
      <c r="J24" s="223">
        <f>+'29'!J24</f>
        <v>0</v>
      </c>
      <c r="K24" s="247"/>
      <c r="L24" s="247"/>
      <c r="M24" s="126">
        <f>+K24+'29'!M24+L24</f>
        <v>0</v>
      </c>
    </row>
    <row r="25" spans="1:15" ht="13.5" thickBot="1">
      <c r="A25" s="1008"/>
      <c r="B25" s="224" t="s">
        <v>551</v>
      </c>
      <c r="C25" s="234">
        <f>1085+945</f>
        <v>2030</v>
      </c>
      <c r="D25" s="226"/>
      <c r="E25" s="233"/>
      <c r="F25" s="239">
        <v>7</v>
      </c>
      <c r="G25" s="240" t="s">
        <v>11</v>
      </c>
      <c r="H25" s="238" t="s">
        <v>433</v>
      </c>
      <c r="I25" s="1006"/>
      <c r="J25" s="223">
        <f>+'29'!J25</f>
        <v>0</v>
      </c>
      <c r="K25" s="247"/>
      <c r="L25" s="247"/>
      <c r="M25" s="126">
        <f>+K25+'29'!M25+L25</f>
        <v>0</v>
      </c>
      <c r="N25" s="158">
        <v>1600</v>
      </c>
      <c r="O25" s="158">
        <f>+N25-N25*0.24</f>
        <v>1216</v>
      </c>
    </row>
    <row r="26" spans="1:15" ht="13.5" thickBot="1">
      <c r="A26" s="1008"/>
      <c r="B26" s="224" t="s">
        <v>552</v>
      </c>
      <c r="C26" s="234">
        <v>21351</v>
      </c>
      <c r="D26" s="226"/>
      <c r="E26" s="235"/>
      <c r="F26" s="239">
        <v>10</v>
      </c>
      <c r="G26" s="240" t="s">
        <v>11</v>
      </c>
      <c r="H26" s="582" t="s">
        <v>546</v>
      </c>
      <c r="I26" s="1006"/>
      <c r="J26" s="223">
        <f>+'29'!J26</f>
        <v>0</v>
      </c>
      <c r="K26" s="247"/>
      <c r="L26" s="247"/>
      <c r="M26" s="126">
        <f>+K26+'29'!M26+L26</f>
        <v>0</v>
      </c>
    </row>
    <row r="27" spans="1:15" ht="13.5" thickBot="1">
      <c r="A27" s="1008"/>
      <c r="B27" s="224"/>
      <c r="C27" s="225"/>
      <c r="D27" s="226"/>
      <c r="E27" s="233"/>
      <c r="F27" s="239"/>
      <c r="G27" s="240"/>
      <c r="H27" s="582" t="s">
        <v>847</v>
      </c>
      <c r="I27" s="1006"/>
      <c r="J27" s="223">
        <f>+'29'!J27</f>
        <v>0</v>
      </c>
      <c r="K27" s="247"/>
      <c r="L27" s="247"/>
      <c r="M27" s="126">
        <f>+K27+'29'!M27+L27</f>
        <v>0</v>
      </c>
    </row>
    <row r="28" spans="1:15" ht="13.5" thickBot="1">
      <c r="A28" s="1008"/>
      <c r="B28" s="224"/>
      <c r="C28" s="225"/>
      <c r="D28" s="226"/>
      <c r="E28" s="233"/>
      <c r="F28" s="239"/>
      <c r="G28" s="240"/>
      <c r="H28" s="241" t="s">
        <v>844</v>
      </c>
      <c r="I28" s="1006"/>
      <c r="J28" s="223">
        <f>+'29'!J28</f>
        <v>0</v>
      </c>
      <c r="K28" s="247"/>
      <c r="L28" s="247"/>
      <c r="M28" s="126">
        <f>+K28+'29'!M28+L28</f>
        <v>0</v>
      </c>
    </row>
    <row r="29" spans="1:15" ht="13.5" thickBot="1">
      <c r="A29" s="1008"/>
      <c r="B29" s="224"/>
      <c r="C29" s="225"/>
      <c r="D29" s="226"/>
      <c r="E29" s="233"/>
      <c r="F29" s="244"/>
      <c r="G29" s="240"/>
      <c r="H29" s="241" t="s">
        <v>805</v>
      </c>
      <c r="I29" s="1006"/>
      <c r="J29" s="223">
        <f>+'29'!J29</f>
        <v>0</v>
      </c>
      <c r="K29" s="247"/>
      <c r="L29" s="247"/>
      <c r="M29" s="126">
        <f>+K29+'29'!M29+L29</f>
        <v>0</v>
      </c>
    </row>
    <row r="30" spans="1:15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+'29'!J30</f>
        <v>0</v>
      </c>
      <c r="K30" s="247"/>
      <c r="L30" s="247"/>
      <c r="M30" s="126">
        <f>+K30+'29'!M30+L30</f>
        <v>0</v>
      </c>
      <c r="N30" s="164"/>
    </row>
    <row r="31" spans="1:15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+'29'!J31</f>
        <v>0</v>
      </c>
      <c r="K31" s="247"/>
      <c r="L31" s="247"/>
      <c r="M31" s="126">
        <f>+K31+'29'!M31+L31</f>
        <v>0</v>
      </c>
    </row>
    <row r="32" spans="1:15" ht="13.5" thickBot="1">
      <c r="A32" s="1009"/>
      <c r="B32" s="174" t="s">
        <v>2</v>
      </c>
      <c r="C32" s="108">
        <f>SUM(C25:C31)</f>
        <v>23381</v>
      </c>
      <c r="D32" s="109">
        <f>SUM(D25:D31)</f>
        <v>0</v>
      </c>
      <c r="E32" s="110">
        <f>SUM(E25:E31)</f>
        <v>0</v>
      </c>
      <c r="F32" s="111">
        <f>SUM(F24:F31)</f>
        <v>17</v>
      </c>
      <c r="G32" s="180"/>
      <c r="H32" s="181"/>
      <c r="I32" s="178"/>
      <c r="J32" s="223">
        <f>+'29'!J32</f>
        <v>0</v>
      </c>
      <c r="K32" s="249"/>
      <c r="L32" s="251"/>
      <c r="M32" s="126">
        <f>+K32+'29'!M32+L32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58089</v>
      </c>
      <c r="D34" s="116">
        <f>D14+D23+D32</f>
        <v>0</v>
      </c>
      <c r="E34" s="116">
        <f>E14+E23+E32</f>
        <v>0</v>
      </c>
      <c r="F34" s="117">
        <f>F14+F23+F32</f>
        <v>44</v>
      </c>
      <c r="H34" s="187"/>
      <c r="I34" s="187"/>
      <c r="J34" s="132" t="s">
        <v>27</v>
      </c>
      <c r="K34" s="133">
        <f>SUM(K7:K32)</f>
        <v>58089</v>
      </c>
      <c r="L34" s="221">
        <f>SUM(L7:L32)</f>
        <v>0</v>
      </c>
      <c r="M34" s="129">
        <f>SUM(M7:M32)</f>
        <v>1595056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(12*838+13*602)/1440*G42*2.77*1440/1000000</f>
        <v>60.232298239999999</v>
      </c>
      <c r="J37" s="134">
        <f>+I37+'29'!J37</f>
        <v>1786.7706791537071</v>
      </c>
      <c r="K37" s="135" t="s">
        <v>62</v>
      </c>
      <c r="L37" s="164">
        <f>+I38-L38</f>
        <v>32.679000000000002</v>
      </c>
    </row>
    <row r="38" spans="1:14" ht="17.45" customHeight="1">
      <c r="A38" s="1000" t="s">
        <v>11</v>
      </c>
      <c r="B38" s="1001"/>
      <c r="C38" s="173">
        <f>SUMIF($G$7:$G$31,"Process",$F$7:$F$31)</f>
        <v>44</v>
      </c>
      <c r="D38" s="127">
        <f>+C38+'29'!D38</f>
        <v>2122</v>
      </c>
      <c r="E38" s="152">
        <f t="shared" ref="E38:E51" si="0">D38/60</f>
        <v>35.366666666666667</v>
      </c>
      <c r="F38" s="337">
        <v>1600</v>
      </c>
      <c r="G38" s="337">
        <f t="shared" ref="G38:G40" si="1">+F38-F38*0.24</f>
        <v>1216</v>
      </c>
      <c r="H38" s="196" t="s">
        <v>63</v>
      </c>
      <c r="I38" s="253">
        <f>16.803+20.719+17.315</f>
        <v>54.837000000000003</v>
      </c>
      <c r="J38" s="136">
        <f>+I38+'29'!J38</f>
        <v>1652.454</v>
      </c>
      <c r="K38" s="137" t="s">
        <v>62</v>
      </c>
      <c r="L38" s="158">
        <f>2.457+2.386+17.315</f>
        <v>22.158000000000001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+C39+'29'!D39</f>
        <v>0</v>
      </c>
      <c r="E39" s="152">
        <f t="shared" si="0"/>
        <v>0</v>
      </c>
      <c r="F39" s="337">
        <v>1600</v>
      </c>
      <c r="G39" s="337">
        <f t="shared" si="1"/>
        <v>1216</v>
      </c>
      <c r="H39" s="196" t="s">
        <v>64</v>
      </c>
      <c r="I39" s="151"/>
      <c r="J39" s="138">
        <f>J37/G4</f>
        <v>59.559022638456902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+C40+'29'!D40</f>
        <v>707</v>
      </c>
      <c r="E40" s="152">
        <f t="shared" si="0"/>
        <v>11.783333333333333</v>
      </c>
      <c r="F40" s="337">
        <v>1600</v>
      </c>
      <c r="G40" s="337">
        <f t="shared" si="1"/>
        <v>1216</v>
      </c>
      <c r="H40" s="196" t="s">
        <v>66</v>
      </c>
      <c r="I40" s="127">
        <f>(K34+L34)/1000</f>
        <v>58.088999999999999</v>
      </c>
      <c r="J40" s="140">
        <f>+I40+'29'!J40</f>
        <v>1595.0559999999998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+C41+'29'!D41</f>
        <v>166</v>
      </c>
      <c r="E41" s="152">
        <f t="shared" si="0"/>
        <v>2.7666666666666666</v>
      </c>
      <c r="F41" s="337"/>
      <c r="G41" s="337"/>
      <c r="H41" s="196" t="s">
        <v>68</v>
      </c>
      <c r="I41" s="151"/>
      <c r="J41" s="138">
        <f>J40/G4</f>
        <v>53.168533333333329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+C42+'29'!D42</f>
        <v>0</v>
      </c>
      <c r="E42" s="152">
        <f t="shared" si="0"/>
        <v>0</v>
      </c>
      <c r="F42" s="337">
        <f>+(F38*480+F39*480+F40*480)/1440</f>
        <v>1600</v>
      </c>
      <c r="G42" s="337">
        <f>+(G38*480+G39*480+G40*480)/1440</f>
        <v>1216</v>
      </c>
      <c r="H42" s="196" t="s">
        <v>69</v>
      </c>
      <c r="I42" s="254" t="s">
        <v>542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+C43+'29'!D43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+Report1!T38</f>
        <v>119.416</v>
      </c>
      <c r="J43" s="142">
        <f>+I43+'29'!J43</f>
        <v>3798.9330000000004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+C44+'29'!D44</f>
        <v>75</v>
      </c>
      <c r="E44" s="152">
        <f t="shared" si="0"/>
        <v>1.25</v>
      </c>
      <c r="F44" s="337"/>
      <c r="G44" s="338"/>
      <c r="H44" s="197" t="s">
        <v>73</v>
      </c>
      <c r="I44" s="127">
        <f>I43/I38</f>
        <v>2.1776537739117745</v>
      </c>
      <c r="J44" s="143">
        <f>J43/J38</f>
        <v>2.2989644492373165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+C45+'29'!D45</f>
        <v>0</v>
      </c>
      <c r="E45" s="152">
        <f t="shared" si="0"/>
        <v>0</v>
      </c>
      <c r="F45" s="337"/>
      <c r="G45" s="340"/>
      <c r="H45" s="197" t="s">
        <v>74</v>
      </c>
      <c r="I45" s="127">
        <f>I43/I40</f>
        <v>2.0557420509907209</v>
      </c>
      <c r="J45" s="143">
        <f>J43/J40</f>
        <v>2.381692554994935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+C46+'29'!D46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+SUMIF(Listrik!AR37,"&gt;0")</f>
        <v>52126.600000002232</v>
      </c>
      <c r="J46" s="144">
        <f>+I46+'29'!J46</f>
        <v>1573548.1400000015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+C47+'29'!D47</f>
        <v>0</v>
      </c>
      <c r="E47" s="152">
        <f t="shared" si="0"/>
        <v>0</v>
      </c>
      <c r="F47" s="337"/>
      <c r="G47" s="338"/>
      <c r="H47" s="197" t="s">
        <v>79</v>
      </c>
      <c r="I47" s="127">
        <f>I46/I38</f>
        <v>950.57351788030394</v>
      </c>
      <c r="J47" s="144">
        <f>J46/J38</f>
        <v>952.24928500279077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+C48+'29'!D48</f>
        <v>0</v>
      </c>
      <c r="E48" s="152">
        <f t="shared" si="0"/>
        <v>0</v>
      </c>
      <c r="F48" s="337"/>
      <c r="G48" s="338"/>
      <c r="H48" s="197" t="s">
        <v>80</v>
      </c>
      <c r="I48" s="127">
        <f>I46/I40</f>
        <v>897.35750314176926</v>
      </c>
      <c r="J48" s="144">
        <f>J46/J40</f>
        <v>986.51592169804803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+C49+'29'!D49</f>
        <v>0</v>
      </c>
      <c r="E49" s="152">
        <f t="shared" si="0"/>
        <v>0</v>
      </c>
      <c r="F49" s="194"/>
      <c r="H49" s="197" t="s">
        <v>81</v>
      </c>
      <c r="I49" s="127">
        <v>0</v>
      </c>
      <c r="J49" s="144">
        <f>+I49+'29'!J49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+C50+'29'!D50</f>
        <v>0</v>
      </c>
      <c r="E50" s="152">
        <f t="shared" si="0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+C51+'29'!D51</f>
        <v>199</v>
      </c>
      <c r="E51" s="152">
        <f t="shared" si="0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44</v>
      </c>
      <c r="D52" s="153">
        <f>SUM(D38:D51)</f>
        <v>3269</v>
      </c>
      <c r="E52" s="154">
        <f>SUM(E38:E51)</f>
        <v>54.483333333333334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3.0555555555555555E-2</v>
      </c>
      <c r="D53" s="155">
        <f>D52/(24*60*G4)</f>
        <v>7.5671296296296292E-2</v>
      </c>
      <c r="E53" s="156">
        <f>E52/(G4*24)</f>
        <v>7.5671296296296292E-2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+D34+'29'!J56</f>
        <v>20072</v>
      </c>
      <c r="K56" s="210">
        <f>J56/(J40+J56/1000)/1000</f>
        <v>1.2427498006349964E-2</v>
      </c>
    </row>
    <row r="57" spans="1:11">
      <c r="A57" s="185"/>
      <c r="I57" s="208" t="s">
        <v>88</v>
      </c>
      <c r="J57" s="209">
        <f>+E34+'29'!J57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D7" sqref="D7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29</v>
      </c>
      <c r="G4" s="163">
        <v>29</v>
      </c>
      <c r="H4" s="163" t="str">
        <f>+'1'!H4</f>
        <v>.11.25</v>
      </c>
    </row>
    <row r="5" spans="1:15" ht="13.5" thickBot="1">
      <c r="C5" s="164"/>
      <c r="D5" s="164"/>
    </row>
    <row r="6" spans="1:15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172+203+225</f>
        <v>600</v>
      </c>
    </row>
    <row r="7" spans="1:15" ht="13.5" customHeight="1" thickBot="1">
      <c r="A7" s="1002" t="s">
        <v>447</v>
      </c>
      <c r="B7" s="224" t="s">
        <v>551</v>
      </c>
      <c r="C7" s="225">
        <v>20246</v>
      </c>
      <c r="D7" s="226"/>
      <c r="E7" s="227"/>
      <c r="F7" s="236"/>
      <c r="G7" s="237" t="s">
        <v>11</v>
      </c>
      <c r="H7" s="238" t="s">
        <v>434</v>
      </c>
      <c r="I7" s="1005" t="s">
        <v>542</v>
      </c>
      <c r="J7" s="223" t="str">
        <f>+'28'!J7</f>
        <v>MG 14 VP HW/OW</v>
      </c>
      <c r="K7" s="246"/>
      <c r="L7" s="250"/>
      <c r="M7" s="126">
        <f>+K7+'28'!M7+L7</f>
        <v>143496</v>
      </c>
    </row>
    <row r="8" spans="1:15" ht="13.5" thickBot="1">
      <c r="A8" s="1003"/>
      <c r="B8" s="224"/>
      <c r="C8" s="225"/>
      <c r="D8" s="226"/>
      <c r="E8" s="228"/>
      <c r="F8" s="239">
        <v>4</v>
      </c>
      <c r="G8" s="240" t="s">
        <v>11</v>
      </c>
      <c r="H8" s="238" t="s">
        <v>569</v>
      </c>
      <c r="I8" s="1006"/>
      <c r="J8" s="223" t="str">
        <f>+'28'!J8</f>
        <v>MG 16,5 VP HW</v>
      </c>
      <c r="K8" s="247"/>
      <c r="L8" s="247"/>
      <c r="M8" s="126">
        <f>+K8+'28'!M8+L8</f>
        <v>93365</v>
      </c>
      <c r="N8" s="158">
        <v>1600</v>
      </c>
      <c r="O8" s="158">
        <f>+N8-N8*0.24</f>
        <v>1216</v>
      </c>
    </row>
    <row r="9" spans="1:15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463</v>
      </c>
      <c r="I9" s="1006"/>
      <c r="J9" s="223" t="str">
        <f>+'28'!J9</f>
        <v>MG 30 VP HW</v>
      </c>
      <c r="K9" s="247"/>
      <c r="L9" s="247"/>
      <c r="M9" s="126">
        <f>+K9+'28'!M9+L9</f>
        <v>4193</v>
      </c>
    </row>
    <row r="10" spans="1:15" ht="13.5" thickBot="1">
      <c r="A10" s="1003"/>
      <c r="B10" s="224"/>
      <c r="C10" s="225"/>
      <c r="D10" s="226"/>
      <c r="E10" s="228"/>
      <c r="F10" s="236"/>
      <c r="G10" s="240"/>
      <c r="H10" s="582" t="s">
        <v>833</v>
      </c>
      <c r="I10" s="1006"/>
      <c r="J10" s="223" t="str">
        <f>+'28'!J10</f>
        <v>MG 17 VP HW</v>
      </c>
      <c r="K10" s="247"/>
      <c r="L10" s="247"/>
      <c r="M10" s="126">
        <f>+K10+'28'!M10+L10</f>
        <v>18114</v>
      </c>
    </row>
    <row r="11" spans="1:15" ht="13.5" thickBot="1">
      <c r="A11" s="1003"/>
      <c r="B11" s="224"/>
      <c r="C11" s="225"/>
      <c r="D11" s="226"/>
      <c r="E11" s="228"/>
      <c r="F11" s="236"/>
      <c r="G11" s="240"/>
      <c r="H11" s="241" t="s">
        <v>844</v>
      </c>
      <c r="I11" s="1006"/>
      <c r="J11" s="223" t="str">
        <f>+'28'!J11</f>
        <v>MG 18 VP HW</v>
      </c>
      <c r="K11" s="247"/>
      <c r="L11" s="247"/>
      <c r="M11" s="126">
        <f>+K11+'28'!M11+L11</f>
        <v>25394</v>
      </c>
    </row>
    <row r="12" spans="1:15" ht="13.5" thickBot="1">
      <c r="A12" s="1003"/>
      <c r="B12" s="224"/>
      <c r="C12" s="225"/>
      <c r="D12" s="226"/>
      <c r="E12" s="228"/>
      <c r="F12" s="236"/>
      <c r="G12" s="240"/>
      <c r="H12" s="241" t="s">
        <v>805</v>
      </c>
      <c r="I12" s="1006"/>
      <c r="J12" s="223" t="str">
        <f>+'28'!J12</f>
        <v>MG 21,5 VP HW</v>
      </c>
      <c r="K12" s="247"/>
      <c r="L12" s="247"/>
      <c r="M12" s="126">
        <f>+K12+'28'!M12+L12</f>
        <v>987</v>
      </c>
    </row>
    <row r="13" spans="1:15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+'28'!J13</f>
        <v>F 10,3 VP OW</v>
      </c>
      <c r="K13" s="247"/>
      <c r="L13" s="247"/>
      <c r="M13" s="126">
        <f>+K13+'28'!M13+L13</f>
        <v>279659</v>
      </c>
    </row>
    <row r="14" spans="1:15" ht="13.5" thickBot="1">
      <c r="A14" s="1004"/>
      <c r="B14" s="174" t="s">
        <v>2</v>
      </c>
      <c r="C14" s="108">
        <f>SUM(C7:C13)</f>
        <v>20246</v>
      </c>
      <c r="D14" s="120">
        <f>SUM(D7:D13)</f>
        <v>0</v>
      </c>
      <c r="E14" s="121">
        <f>SUM(E5:E13)</f>
        <v>0</v>
      </c>
      <c r="F14" s="125">
        <f>SUM(F7:F13)</f>
        <v>14</v>
      </c>
      <c r="G14" s="168"/>
      <c r="H14" s="175"/>
      <c r="I14" s="176"/>
      <c r="J14" s="223" t="str">
        <f>+'28'!J14</f>
        <v>F 12 VP OW</v>
      </c>
      <c r="K14" s="247">
        <f>+C34</f>
        <v>55331</v>
      </c>
      <c r="L14" s="247"/>
      <c r="M14" s="126">
        <f>+K14+'28'!M14+L14</f>
        <v>236820</v>
      </c>
    </row>
    <row r="15" spans="1:15" ht="13.5" customHeight="1" thickBot="1">
      <c r="A15" s="1002" t="s">
        <v>849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542</v>
      </c>
      <c r="J15" s="223" t="str">
        <f>+'28'!J15</f>
        <v>F 13 VP OW</v>
      </c>
      <c r="K15" s="247"/>
      <c r="L15" s="247"/>
      <c r="M15" s="126">
        <f>+K15+'28'!M15+L15</f>
        <v>486505</v>
      </c>
    </row>
    <row r="16" spans="1:15" ht="13.5" thickBot="1">
      <c r="A16" s="1008"/>
      <c r="B16" s="224" t="s">
        <v>551</v>
      </c>
      <c r="C16" s="230">
        <v>17778</v>
      </c>
      <c r="D16" s="231"/>
      <c r="E16" s="232"/>
      <c r="F16" s="236">
        <v>3</v>
      </c>
      <c r="G16" s="240" t="s">
        <v>11</v>
      </c>
      <c r="H16" s="238" t="s">
        <v>569</v>
      </c>
      <c r="I16" s="1006"/>
      <c r="J16" s="223" t="str">
        <f>+'28'!J16</f>
        <v>F 12,5 VP OW</v>
      </c>
      <c r="K16" s="237"/>
      <c r="L16" s="237"/>
      <c r="M16" s="126">
        <f>+K16+'28'!M16+L16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463</v>
      </c>
      <c r="I17" s="1006"/>
      <c r="J17" s="223" t="str">
        <f>+'28'!J17</f>
        <v>SN 13 VP OW</v>
      </c>
      <c r="K17" s="237"/>
      <c r="L17" s="237"/>
      <c r="M17" s="126">
        <f>+K17+'28'!M17+L17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833</v>
      </c>
      <c r="I18" s="1006"/>
      <c r="J18" s="223" t="str">
        <f>+'28'!J18</f>
        <v>SN 14 VP OW</v>
      </c>
      <c r="K18" s="247"/>
      <c r="L18" s="247"/>
      <c r="M18" s="126">
        <f>+K18+'28'!M18+L18</f>
        <v>16454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 t="s">
        <v>560</v>
      </c>
      <c r="I19" s="1006"/>
      <c r="J19" s="223" t="str">
        <f>+'28'!J19</f>
        <v>SN 15 VP OW</v>
      </c>
      <c r="K19" s="247"/>
      <c r="L19" s="247"/>
      <c r="M19" s="126">
        <f>+K19+'28'!M19+L19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 t="s">
        <v>805</v>
      </c>
      <c r="I20" s="1006"/>
      <c r="J20" s="223">
        <f>+'28'!J20</f>
        <v>0</v>
      </c>
      <c r="K20" s="248"/>
      <c r="L20" s="248"/>
      <c r="M20" s="126">
        <f>+K20+'28'!M20+L20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+'28'!J21</f>
        <v>0</v>
      </c>
      <c r="K21" s="247"/>
      <c r="L21" s="247"/>
      <c r="M21" s="126">
        <f>+K21+'28'!M21+L21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+'28'!J22</f>
        <v>0</v>
      </c>
      <c r="K22" s="247"/>
      <c r="L22" s="247"/>
      <c r="M22" s="126">
        <f>+K22+'28'!M22+L22</f>
        <v>0</v>
      </c>
    </row>
    <row r="23" spans="1:14" ht="13.5" thickBot="1">
      <c r="A23" s="1009"/>
      <c r="B23" s="177" t="s">
        <v>2</v>
      </c>
      <c r="C23" s="109">
        <f>SUM(C16:C22)</f>
        <v>17778</v>
      </c>
      <c r="D23" s="120">
        <f>SUM(D16:D22)</f>
        <v>0</v>
      </c>
      <c r="E23" s="121">
        <f>SUM(E18:E22)</f>
        <v>0</v>
      </c>
      <c r="F23" s="125">
        <f>SUM(F15:F22)</f>
        <v>13</v>
      </c>
      <c r="G23" s="168"/>
      <c r="H23" s="175" t="s">
        <v>234</v>
      </c>
      <c r="I23" s="178"/>
      <c r="J23" s="223">
        <f>+'28'!J23</f>
        <v>0</v>
      </c>
      <c r="K23" s="247"/>
      <c r="L23" s="247"/>
      <c r="M23" s="126">
        <f>+K23+'28'!M23+L23</f>
        <v>0</v>
      </c>
    </row>
    <row r="24" spans="1:14" ht="13.5" customHeight="1" thickBot="1">
      <c r="A24" s="1002" t="s">
        <v>465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542</v>
      </c>
      <c r="J24" s="223">
        <f>+'28'!J24</f>
        <v>0</v>
      </c>
      <c r="K24" s="247"/>
      <c r="L24" s="247"/>
      <c r="M24" s="126">
        <f>+K24+'28'!M24+L24</f>
        <v>0</v>
      </c>
    </row>
    <row r="25" spans="1:14" ht="13.5" customHeight="1" thickBot="1">
      <c r="A25" s="1008"/>
      <c r="B25" s="224" t="s">
        <v>551</v>
      </c>
      <c r="C25" s="234">
        <v>17307</v>
      </c>
      <c r="D25" s="226"/>
      <c r="E25" s="233"/>
      <c r="F25" s="239">
        <v>4</v>
      </c>
      <c r="G25" s="240" t="s">
        <v>11</v>
      </c>
      <c r="H25" s="238" t="s">
        <v>568</v>
      </c>
      <c r="I25" s="1006"/>
      <c r="J25" s="223">
        <f>+'28'!J25</f>
        <v>0</v>
      </c>
      <c r="K25" s="247"/>
      <c r="L25" s="247"/>
      <c r="M25" s="126">
        <f>+K25+'28'!M25+L25</f>
        <v>0</v>
      </c>
    </row>
    <row r="26" spans="1:14" ht="13.5" customHeight="1" thickBot="1">
      <c r="A26" s="1008"/>
      <c r="B26" s="224"/>
      <c r="C26" s="234"/>
      <c r="D26" s="226"/>
      <c r="E26" s="235"/>
      <c r="F26" s="239">
        <v>10</v>
      </c>
      <c r="G26" s="240" t="s">
        <v>11</v>
      </c>
      <c r="H26" s="582" t="s">
        <v>428</v>
      </c>
      <c r="I26" s="1006"/>
      <c r="J26" s="223">
        <f>+'28'!J26</f>
        <v>0</v>
      </c>
      <c r="K26" s="247"/>
      <c r="L26" s="247"/>
      <c r="M26" s="126">
        <f>+K26+'28'!M26+L26</f>
        <v>0</v>
      </c>
    </row>
    <row r="27" spans="1:14" ht="13.5" customHeight="1" thickBot="1">
      <c r="A27" s="1008"/>
      <c r="B27" s="224"/>
      <c r="C27" s="225"/>
      <c r="D27" s="226"/>
      <c r="E27" s="233"/>
      <c r="F27" s="239"/>
      <c r="G27" s="240"/>
      <c r="H27" s="582" t="s">
        <v>833</v>
      </c>
      <c r="I27" s="1006"/>
      <c r="J27" s="223">
        <f>+'28'!J27</f>
        <v>0</v>
      </c>
      <c r="K27" s="247"/>
      <c r="L27" s="247"/>
      <c r="M27" s="126">
        <f>+K27+'28'!M27+L27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845</v>
      </c>
      <c r="I28" s="1006"/>
      <c r="J28" s="223">
        <f>+'28'!J28</f>
        <v>0</v>
      </c>
      <c r="K28" s="247"/>
      <c r="L28" s="247"/>
      <c r="M28" s="126">
        <f>+K28+'28'!M28+L28</f>
        <v>0</v>
      </c>
    </row>
    <row r="29" spans="1:14" ht="13.5" customHeight="1" thickBot="1">
      <c r="A29" s="1008"/>
      <c r="B29" s="224"/>
      <c r="C29" s="225"/>
      <c r="D29" s="226"/>
      <c r="E29" s="233"/>
      <c r="F29" s="244"/>
      <c r="G29" s="240"/>
      <c r="H29" s="241" t="s">
        <v>846</v>
      </c>
      <c r="I29" s="1006"/>
      <c r="J29" s="223">
        <f>+'28'!J29</f>
        <v>0</v>
      </c>
      <c r="K29" s="247"/>
      <c r="L29" s="247"/>
      <c r="M29" s="126">
        <f>+K29+'28'!M29+L29</f>
        <v>0</v>
      </c>
    </row>
    <row r="30" spans="1:14" ht="13.5" customHeight="1" thickBot="1">
      <c r="A30" s="1008"/>
      <c r="B30" s="224"/>
      <c r="C30" s="234"/>
      <c r="D30" s="226"/>
      <c r="E30" s="233"/>
      <c r="F30" s="244"/>
      <c r="G30" s="240"/>
      <c r="H30" s="241" t="s">
        <v>844</v>
      </c>
      <c r="I30" s="1006"/>
      <c r="J30" s="223">
        <f>+'28'!J30</f>
        <v>0</v>
      </c>
      <c r="K30" s="247"/>
      <c r="L30" s="247"/>
      <c r="M30" s="126">
        <f>+K30+'28'!M30+L30</f>
        <v>0</v>
      </c>
      <c r="N30" s="164"/>
    </row>
    <row r="31" spans="1:14" ht="13.5" customHeight="1" thickBot="1">
      <c r="A31" s="1008"/>
      <c r="B31" s="224"/>
      <c r="C31" s="234"/>
      <c r="D31" s="226"/>
      <c r="E31" s="233"/>
      <c r="F31" s="244"/>
      <c r="G31" s="245"/>
      <c r="H31" s="241" t="s">
        <v>805</v>
      </c>
      <c r="I31" s="1007"/>
      <c r="J31" s="223">
        <f>+'28'!J31</f>
        <v>0</v>
      </c>
      <c r="K31" s="247"/>
      <c r="L31" s="247"/>
      <c r="M31" s="126">
        <f>+K31+'28'!M31+L31</f>
        <v>0</v>
      </c>
    </row>
    <row r="32" spans="1:14" ht="13.5" customHeight="1" thickBot="1">
      <c r="A32" s="1009"/>
      <c r="B32" s="174" t="s">
        <v>2</v>
      </c>
      <c r="C32" s="108">
        <f>SUM(C25:C31)</f>
        <v>17307</v>
      </c>
      <c r="D32" s="109">
        <f>SUM(D25:D31)</f>
        <v>0</v>
      </c>
      <c r="E32" s="110">
        <f>SUM(E25:E31)</f>
        <v>0</v>
      </c>
      <c r="F32" s="111">
        <f>SUM(F24:F31)</f>
        <v>14</v>
      </c>
      <c r="G32" s="180"/>
      <c r="H32" s="181"/>
      <c r="I32" s="178"/>
      <c r="J32" s="223">
        <f>+'28'!J32</f>
        <v>0</v>
      </c>
      <c r="K32" s="249"/>
      <c r="L32" s="251"/>
      <c r="M32" s="126">
        <f>+K32+'28'!M32+L32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55331</v>
      </c>
      <c r="D34" s="116">
        <f>D14+D23+D32</f>
        <v>0</v>
      </c>
      <c r="E34" s="116">
        <f>E14+E23+E32</f>
        <v>0</v>
      </c>
      <c r="F34" s="117">
        <f>F14+F23+F32</f>
        <v>41</v>
      </c>
      <c r="H34" s="187"/>
      <c r="I34" s="187"/>
      <c r="J34" s="132" t="s">
        <v>27</v>
      </c>
      <c r="K34" s="133">
        <f>SUM(K7:K32)</f>
        <v>55331</v>
      </c>
      <c r="L34" s="221">
        <f>SUM(L7:L32)</f>
        <v>0</v>
      </c>
      <c r="M34" s="129">
        <f>SUM(M7:M32)</f>
        <v>1536967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(12*1440)/1440*G42*2.77*1440/1000000</f>
        <v>58.204569600000006</v>
      </c>
      <c r="J37" s="134">
        <f>+I37+'28'!J37</f>
        <v>1726.538380913707</v>
      </c>
      <c r="K37" s="135" t="s">
        <v>62</v>
      </c>
      <c r="L37" s="575"/>
    </row>
    <row r="38" spans="1:14" ht="17.45" customHeight="1">
      <c r="A38" s="1000" t="s">
        <v>11</v>
      </c>
      <c r="B38" s="1001"/>
      <c r="C38" s="173">
        <f>SUMIF($G$7:$G$31,"Process",$F$7:$F$31)</f>
        <v>41</v>
      </c>
      <c r="D38" s="127">
        <f>+C38+'28'!D38</f>
        <v>2078</v>
      </c>
      <c r="E38" s="152">
        <f t="shared" ref="E38:E51" si="0">D38/60</f>
        <v>34.633333333333333</v>
      </c>
      <c r="F38" s="337">
        <v>1600</v>
      </c>
      <c r="G38" s="337">
        <v>1216</v>
      </c>
      <c r="H38" s="196" t="s">
        <v>63</v>
      </c>
      <c r="I38" s="549">
        <f>17.136+18.584+17.388</f>
        <v>53.108000000000004</v>
      </c>
      <c r="J38" s="136">
        <f>+I38+'28'!J38</f>
        <v>1597.617</v>
      </c>
      <c r="K38" s="137" t="s">
        <v>62</v>
      </c>
      <c r="L38" s="556"/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+C39+'28'!D39</f>
        <v>0</v>
      </c>
      <c r="E39" s="152">
        <f t="shared" si="0"/>
        <v>0</v>
      </c>
      <c r="F39" s="337">
        <v>1600</v>
      </c>
      <c r="G39" s="337">
        <v>1216</v>
      </c>
      <c r="H39" s="196" t="s">
        <v>64</v>
      </c>
      <c r="I39" s="151"/>
      <c r="J39" s="138">
        <f>J37/G4</f>
        <v>59.535806238403687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+C40+'28'!D40</f>
        <v>707</v>
      </c>
      <c r="E40" s="152">
        <f t="shared" si="0"/>
        <v>11.783333333333333</v>
      </c>
      <c r="F40" s="337">
        <v>1600</v>
      </c>
      <c r="G40" s="337">
        <v>1216</v>
      </c>
      <c r="H40" s="196" t="s">
        <v>66</v>
      </c>
      <c r="I40" s="127">
        <f>(K34+L34)/1000</f>
        <v>55.331000000000003</v>
      </c>
      <c r="J40" s="140">
        <f>+I40+'28'!J40</f>
        <v>1536.9669999999999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+C41+'28'!D41</f>
        <v>166</v>
      </c>
      <c r="E41" s="152">
        <f t="shared" si="0"/>
        <v>2.7666666666666666</v>
      </c>
      <c r="F41" s="337"/>
      <c r="G41" s="337"/>
      <c r="H41" s="196" t="s">
        <v>68</v>
      </c>
      <c r="I41" s="151"/>
      <c r="J41" s="138">
        <f>J40/G4</f>
        <v>52.998862068965515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+C42+'28'!D42</f>
        <v>0</v>
      </c>
      <c r="E42" s="152">
        <f t="shared" si="0"/>
        <v>0</v>
      </c>
      <c r="F42" s="337">
        <f>+(F38*480+F39*480+F40*480)/1440</f>
        <v>1600</v>
      </c>
      <c r="G42" s="337">
        <f>+(G38*480+G39*480+G40*480)/1440</f>
        <v>1216</v>
      </c>
      <c r="H42" s="196" t="s">
        <v>69</v>
      </c>
      <c r="I42" s="254" t="s">
        <v>542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+C43+'28'!D43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+Report1!T37</f>
        <v>123.578</v>
      </c>
      <c r="J43" s="142">
        <f>+I43+'28'!J43</f>
        <v>3679.5170000000003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+C44+'28'!D44</f>
        <v>75</v>
      </c>
      <c r="E44" s="152">
        <f t="shared" si="0"/>
        <v>1.25</v>
      </c>
      <c r="F44" s="337"/>
      <c r="G44" s="338"/>
      <c r="H44" s="197" t="s">
        <v>73</v>
      </c>
      <c r="I44" s="127">
        <f>I43/I38</f>
        <v>2.3269187316411837</v>
      </c>
      <c r="J44" s="143">
        <f>J43/J38</f>
        <v>2.303128346781488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+C45+'28'!D45</f>
        <v>0</v>
      </c>
      <c r="E45" s="152">
        <f t="shared" si="0"/>
        <v>0</v>
      </c>
      <c r="F45" s="337"/>
      <c r="G45" s="340"/>
      <c r="H45" s="197" t="s">
        <v>74</v>
      </c>
      <c r="I45" s="127">
        <f>I43/I40</f>
        <v>2.2334315302452512</v>
      </c>
      <c r="J45" s="143">
        <f>J43/J40</f>
        <v>2.3940117126782816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+C46+'28'!D46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+SUMIF(Listrik!AR36,"&gt;0")</f>
        <v>54211.219999997666</v>
      </c>
      <c r="J46" s="144">
        <f>+I46+'28'!J46</f>
        <v>1521421.5399999993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+C47+'28'!D47</f>
        <v>0</v>
      </c>
      <c r="E47" s="152">
        <f t="shared" si="0"/>
        <v>0</v>
      </c>
      <c r="F47" s="337"/>
      <c r="G47" s="338"/>
      <c r="H47" s="197" t="s">
        <v>79</v>
      </c>
      <c r="I47" s="127">
        <f>I46/I38</f>
        <v>1020.7731415228903</v>
      </c>
      <c r="J47" s="144">
        <f>J46/J38</f>
        <v>952.30680444687266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+C48+'28'!D48</f>
        <v>0</v>
      </c>
      <c r="E48" s="152">
        <f t="shared" si="0"/>
        <v>0</v>
      </c>
      <c r="F48" s="337"/>
      <c r="G48" s="338"/>
      <c r="H48" s="197" t="s">
        <v>80</v>
      </c>
      <c r="I48" s="127">
        <f>I46/I40</f>
        <v>979.76215864520179</v>
      </c>
      <c r="J48" s="144">
        <f>J46/J40</f>
        <v>989.88562539078555</v>
      </c>
      <c r="K48" s="139" t="s">
        <v>23</v>
      </c>
    </row>
    <row r="49" spans="1:11" ht="17.45" customHeight="1">
      <c r="A49" s="1014" t="s">
        <v>19</v>
      </c>
      <c r="B49" s="997"/>
      <c r="C49" s="173">
        <f>SUMIF($G$7:$G$31,"Others",$F$7:$F$31)</f>
        <v>0</v>
      </c>
      <c r="D49" s="127">
        <f>+C49+'28'!D49</f>
        <v>0</v>
      </c>
      <c r="E49" s="152">
        <f t="shared" si="0"/>
        <v>0</v>
      </c>
      <c r="F49" s="194"/>
      <c r="H49" s="197" t="s">
        <v>81</v>
      </c>
      <c r="I49" s="127">
        <v>0</v>
      </c>
      <c r="J49" s="144">
        <f>+I49+'28'!J49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+C50+'28'!D50</f>
        <v>0</v>
      </c>
      <c r="E50" s="152">
        <f t="shared" si="0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+C51+'28'!D51</f>
        <v>199</v>
      </c>
      <c r="E51" s="152">
        <f t="shared" si="0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41</v>
      </c>
      <c r="D52" s="153">
        <f>SUM(D38:D51)</f>
        <v>3225</v>
      </c>
      <c r="E52" s="154">
        <f>SUM(E38:E51)</f>
        <v>53.75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2.8472222222222222E-2</v>
      </c>
      <c r="D53" s="155">
        <f>D52/(24*60*G4)</f>
        <v>7.7227011494252873E-2</v>
      </c>
      <c r="E53" s="156">
        <f>E52/(G4*24)</f>
        <v>7.7227011494252873E-2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+D34+'28'!J56</f>
        <v>20072</v>
      </c>
      <c r="K56" s="210">
        <f>J56/(J40+J56/1000)/1000</f>
        <v>1.2891135032584286E-2</v>
      </c>
    </row>
    <row r="57" spans="1:11">
      <c r="A57" s="185"/>
      <c r="I57" s="208" t="s">
        <v>88</v>
      </c>
      <c r="J57" s="209">
        <f>+E34+'28'!J57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5.425781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29</v>
      </c>
      <c r="G4" s="163">
        <v>28</v>
      </c>
      <c r="H4" s="163" t="str">
        <f>+'1'!H4</f>
        <v>.11.25</v>
      </c>
    </row>
    <row r="5" spans="1:15" ht="13.5" thickBot="1">
      <c r="C5" s="164"/>
      <c r="D5" s="164"/>
    </row>
    <row r="6" spans="1:15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196+222+195</f>
        <v>613</v>
      </c>
    </row>
    <row r="7" spans="1:15" ht="13.5" customHeight="1" thickBot="1">
      <c r="A7" s="1002" t="s">
        <v>447</v>
      </c>
      <c r="B7" s="224" t="s">
        <v>551</v>
      </c>
      <c r="C7" s="225">
        <v>14184</v>
      </c>
      <c r="D7" s="226">
        <v>264</v>
      </c>
      <c r="E7" s="227"/>
      <c r="F7" s="236"/>
      <c r="G7" s="237" t="s">
        <v>11</v>
      </c>
      <c r="H7" s="238" t="s">
        <v>434</v>
      </c>
      <c r="I7" s="1005" t="s">
        <v>542</v>
      </c>
      <c r="J7" s="223" t="str">
        <f>+'27'!J7</f>
        <v>MG 14 VP HW/OW</v>
      </c>
      <c r="K7" s="246"/>
      <c r="L7" s="250"/>
      <c r="M7" s="126">
        <f>+K7+'27'!M7+L7</f>
        <v>143496</v>
      </c>
    </row>
    <row r="8" spans="1:15" ht="13.5" thickBot="1">
      <c r="A8" s="1003"/>
      <c r="B8" s="224"/>
      <c r="C8" s="225"/>
      <c r="D8" s="226"/>
      <c r="E8" s="228"/>
      <c r="F8" s="239">
        <v>6</v>
      </c>
      <c r="G8" s="240" t="s">
        <v>11</v>
      </c>
      <c r="H8" s="238" t="s">
        <v>568</v>
      </c>
      <c r="I8" s="1006"/>
      <c r="J8" s="223" t="str">
        <f>+'27'!J8</f>
        <v>MG 16,5 VP HW</v>
      </c>
      <c r="K8" s="247"/>
      <c r="L8" s="247"/>
      <c r="M8" s="126">
        <f>+K8+'27'!M8+L8</f>
        <v>93365</v>
      </c>
      <c r="N8" s="158">
        <v>1600</v>
      </c>
      <c r="O8" s="158">
        <f>+N8-N8*0.24</f>
        <v>1216</v>
      </c>
    </row>
    <row r="9" spans="1:15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463</v>
      </c>
      <c r="I9" s="1006"/>
      <c r="J9" s="223" t="str">
        <f>+'27'!J9</f>
        <v>MG 30 VP HW</v>
      </c>
      <c r="K9" s="247"/>
      <c r="L9" s="247"/>
      <c r="M9" s="126">
        <f>+K9+'27'!M9+L9</f>
        <v>4193</v>
      </c>
    </row>
    <row r="10" spans="1:15" ht="13.5" thickBot="1">
      <c r="A10" s="1003"/>
      <c r="B10" s="224"/>
      <c r="C10" s="225"/>
      <c r="D10" s="226"/>
      <c r="E10" s="228"/>
      <c r="F10" s="236"/>
      <c r="G10" s="240"/>
      <c r="H10" s="582" t="s">
        <v>833</v>
      </c>
      <c r="I10" s="1006"/>
      <c r="J10" s="223" t="str">
        <f>+'27'!J10</f>
        <v>MG 17 VP HW</v>
      </c>
      <c r="K10" s="247"/>
      <c r="L10" s="247"/>
      <c r="M10" s="126">
        <f>+K10+'27'!M10+L10</f>
        <v>18114</v>
      </c>
    </row>
    <row r="11" spans="1:15" ht="13.5" thickBot="1">
      <c r="A11" s="1003"/>
      <c r="B11" s="224"/>
      <c r="C11" s="225"/>
      <c r="D11" s="226"/>
      <c r="E11" s="228"/>
      <c r="F11" s="236"/>
      <c r="G11" s="240"/>
      <c r="H11" s="241" t="s">
        <v>824</v>
      </c>
      <c r="I11" s="1006"/>
      <c r="J11" s="223" t="str">
        <f>+'27'!J11</f>
        <v>MG 18 VP HW</v>
      </c>
      <c r="K11" s="247"/>
      <c r="L11" s="247"/>
      <c r="M11" s="126">
        <f>+K11+'27'!M11+L11</f>
        <v>25394</v>
      </c>
    </row>
    <row r="12" spans="1:15" ht="13.5" thickBot="1">
      <c r="A12" s="1003"/>
      <c r="B12" s="224"/>
      <c r="C12" s="225"/>
      <c r="D12" s="226"/>
      <c r="E12" s="228"/>
      <c r="F12" s="236"/>
      <c r="G12" s="240"/>
      <c r="H12" s="241" t="s">
        <v>825</v>
      </c>
      <c r="I12" s="1006"/>
      <c r="J12" s="223" t="str">
        <f>+'27'!J12</f>
        <v>MG 21,5 VP HW</v>
      </c>
      <c r="K12" s="247"/>
      <c r="L12" s="247"/>
      <c r="M12" s="126">
        <f>+K12+'27'!M12+L12</f>
        <v>987</v>
      </c>
    </row>
    <row r="13" spans="1:15" ht="26.25" thickBot="1">
      <c r="A13" s="1003"/>
      <c r="B13" s="224"/>
      <c r="C13" s="225"/>
      <c r="D13" s="225"/>
      <c r="E13" s="228"/>
      <c r="F13" s="236"/>
      <c r="G13" s="240"/>
      <c r="H13" s="241" t="s">
        <v>832</v>
      </c>
      <c r="I13" s="1007"/>
      <c r="J13" s="223" t="str">
        <f>+'27'!J13</f>
        <v>F 10,3 VP OW</v>
      </c>
      <c r="K13" s="247"/>
      <c r="L13" s="247"/>
      <c r="M13" s="126">
        <f>+K13+'27'!M13+L13</f>
        <v>279659</v>
      </c>
    </row>
    <row r="14" spans="1:15" ht="13.5" thickBot="1">
      <c r="A14" s="1004"/>
      <c r="B14" s="174" t="s">
        <v>2</v>
      </c>
      <c r="C14" s="108">
        <f>SUM(C7:C13)</f>
        <v>14184</v>
      </c>
      <c r="D14" s="120">
        <f>SUM(D7:D13)</f>
        <v>264</v>
      </c>
      <c r="E14" s="121">
        <f>SUM(E5:E13)</f>
        <v>0</v>
      </c>
      <c r="F14" s="125">
        <f>SUM(F7:F13)</f>
        <v>16</v>
      </c>
      <c r="G14" s="168"/>
      <c r="H14" s="175"/>
      <c r="I14" s="176"/>
      <c r="J14" s="223" t="str">
        <f>+'27'!J14</f>
        <v>F 12 VP OW</v>
      </c>
      <c r="K14" s="247">
        <f>+C34</f>
        <v>51810</v>
      </c>
      <c r="L14" s="247"/>
      <c r="M14" s="126">
        <f>+K14+'27'!M14+L14</f>
        <v>181489</v>
      </c>
    </row>
    <row r="15" spans="1:15" ht="13.5" customHeight="1" thickBot="1">
      <c r="A15" s="1002" t="s">
        <v>448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542</v>
      </c>
      <c r="J15" s="223" t="str">
        <f>+'27'!J15</f>
        <v>F 13 VP OW</v>
      </c>
      <c r="K15" s="247"/>
      <c r="L15" s="247"/>
      <c r="M15" s="126">
        <f>+K15+'27'!M15+L15</f>
        <v>486505</v>
      </c>
    </row>
    <row r="16" spans="1:15" ht="13.5" thickBot="1">
      <c r="A16" s="1008"/>
      <c r="B16" s="224" t="s">
        <v>551</v>
      </c>
      <c r="C16" s="230">
        <v>18912</v>
      </c>
      <c r="D16" s="231"/>
      <c r="E16" s="232"/>
      <c r="F16" s="236">
        <v>5</v>
      </c>
      <c r="G16" s="240" t="s">
        <v>11</v>
      </c>
      <c r="H16" s="238" t="s">
        <v>569</v>
      </c>
      <c r="I16" s="1006"/>
      <c r="J16" s="223" t="str">
        <f>+'27'!J16</f>
        <v>F 12,5 VP OW</v>
      </c>
      <c r="K16" s="237"/>
      <c r="L16" s="237"/>
      <c r="M16" s="126">
        <f>+K16+'27'!M16+L16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8</v>
      </c>
      <c r="G17" s="240" t="s">
        <v>11</v>
      </c>
      <c r="H17" s="582" t="s">
        <v>428</v>
      </c>
      <c r="I17" s="1006"/>
      <c r="J17" s="223" t="str">
        <f>+'27'!J17</f>
        <v>SN 13 VP OW</v>
      </c>
      <c r="K17" s="237"/>
      <c r="L17" s="237"/>
      <c r="M17" s="126">
        <f>+K17+'27'!M17+L17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833</v>
      </c>
      <c r="I18" s="1006"/>
      <c r="J18" s="223" t="str">
        <f>+'27'!J18</f>
        <v>SN 14 VP OW</v>
      </c>
      <c r="K18" s="247"/>
      <c r="L18" s="247"/>
      <c r="M18" s="126">
        <f>+K18+'27'!M18+L18</f>
        <v>16454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/>
      <c r="I19" s="1006"/>
      <c r="J19" s="223" t="str">
        <f>+'27'!J19</f>
        <v>SN 15 VP OW</v>
      </c>
      <c r="K19" s="247"/>
      <c r="L19" s="247"/>
      <c r="M19" s="126">
        <f>+K19+'27'!M19+L19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+'27'!J20</f>
        <v>0</v>
      </c>
      <c r="K20" s="248"/>
      <c r="L20" s="248"/>
      <c r="M20" s="126">
        <f>+K20+'27'!M20+L20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+'27'!J21</f>
        <v>0</v>
      </c>
      <c r="K21" s="247"/>
      <c r="L21" s="247"/>
      <c r="M21" s="126">
        <f>+K21+'27'!M21+L21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+'27'!J22</f>
        <v>0</v>
      </c>
      <c r="K22" s="247"/>
      <c r="L22" s="247"/>
      <c r="M22" s="126">
        <f>+K22+'27'!M22+L22</f>
        <v>0</v>
      </c>
    </row>
    <row r="23" spans="1:14" ht="13.5" thickBot="1">
      <c r="A23" s="1009"/>
      <c r="B23" s="177" t="s">
        <v>2</v>
      </c>
      <c r="C23" s="109">
        <f>SUM(C16:C22)</f>
        <v>18912</v>
      </c>
      <c r="D23" s="120">
        <f>SUM(D16:D22)</f>
        <v>0</v>
      </c>
      <c r="E23" s="121">
        <f>SUM(E18:E22)</f>
        <v>0</v>
      </c>
      <c r="F23" s="125">
        <f>SUM(F15:F22)</f>
        <v>13</v>
      </c>
      <c r="G23" s="168"/>
      <c r="H23" s="175" t="s">
        <v>234</v>
      </c>
      <c r="I23" s="178"/>
      <c r="J23" s="223">
        <f>+'27'!J23</f>
        <v>0</v>
      </c>
      <c r="K23" s="247"/>
      <c r="L23" s="247"/>
      <c r="M23" s="126">
        <f>+K23+'27'!M23+L23</f>
        <v>0</v>
      </c>
    </row>
    <row r="24" spans="1:14" ht="13.5" customHeight="1" thickBot="1">
      <c r="A24" s="1002" t="s">
        <v>465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542</v>
      </c>
      <c r="J24" s="223">
        <f>+'27'!J24</f>
        <v>0</v>
      </c>
      <c r="K24" s="247"/>
      <c r="L24" s="247"/>
      <c r="M24" s="126">
        <f>+K24+'27'!M24+L24</f>
        <v>0</v>
      </c>
    </row>
    <row r="25" spans="1:14" ht="13.5" customHeight="1" thickBot="1">
      <c r="A25" s="1008"/>
      <c r="B25" s="224" t="s">
        <v>551</v>
      </c>
      <c r="C25" s="234">
        <v>18714</v>
      </c>
      <c r="D25" s="226"/>
      <c r="E25" s="233"/>
      <c r="F25" s="239">
        <v>4</v>
      </c>
      <c r="G25" s="240" t="s">
        <v>11</v>
      </c>
      <c r="H25" s="238" t="s">
        <v>569</v>
      </c>
      <c r="I25" s="1006"/>
      <c r="J25" s="223">
        <f>+'27'!J25</f>
        <v>0</v>
      </c>
      <c r="K25" s="247"/>
      <c r="L25" s="247"/>
      <c r="M25" s="126">
        <f>+K25+'27'!M25+L25</f>
        <v>0</v>
      </c>
    </row>
    <row r="26" spans="1:14" ht="13.5" customHeight="1" thickBot="1">
      <c r="A26" s="1008"/>
      <c r="B26" s="224"/>
      <c r="C26" s="234"/>
      <c r="D26" s="226"/>
      <c r="E26" s="235"/>
      <c r="F26" s="239">
        <v>8</v>
      </c>
      <c r="G26" s="240" t="s">
        <v>11</v>
      </c>
      <c r="H26" s="582" t="s">
        <v>428</v>
      </c>
      <c r="I26" s="1006"/>
      <c r="J26" s="223">
        <f>+'27'!J26</f>
        <v>0</v>
      </c>
      <c r="K26" s="247"/>
      <c r="L26" s="247"/>
      <c r="M26" s="126">
        <f>+K26+'27'!M26+L26</f>
        <v>0</v>
      </c>
    </row>
    <row r="27" spans="1:14" ht="13.5" customHeight="1" thickBot="1">
      <c r="A27" s="1008"/>
      <c r="B27" s="224"/>
      <c r="C27" s="225"/>
      <c r="D27" s="226"/>
      <c r="E27" s="233"/>
      <c r="F27" s="239"/>
      <c r="G27" s="240"/>
      <c r="H27" s="582" t="s">
        <v>833</v>
      </c>
      <c r="I27" s="1006"/>
      <c r="J27" s="223">
        <f>+'27'!J27</f>
        <v>0</v>
      </c>
      <c r="K27" s="247"/>
      <c r="L27" s="247"/>
      <c r="M27" s="126">
        <f>+K27+'27'!M27+L27</f>
        <v>0</v>
      </c>
    </row>
    <row r="28" spans="1:14" ht="13.5" customHeight="1" thickBot="1">
      <c r="A28" s="1008"/>
      <c r="B28" s="224"/>
      <c r="C28" s="225"/>
      <c r="D28" s="226"/>
      <c r="E28" s="233"/>
      <c r="F28" s="239"/>
      <c r="G28" s="240"/>
      <c r="H28" s="241" t="s">
        <v>824</v>
      </c>
      <c r="I28" s="1006"/>
      <c r="J28" s="223">
        <f>+'27'!J28</f>
        <v>0</v>
      </c>
      <c r="K28" s="247"/>
      <c r="L28" s="247"/>
      <c r="M28" s="126">
        <f>+K28+'27'!M28+L28</f>
        <v>0</v>
      </c>
    </row>
    <row r="29" spans="1:14" ht="13.5" customHeight="1" thickBot="1">
      <c r="A29" s="1008"/>
      <c r="B29" s="224"/>
      <c r="C29" s="225"/>
      <c r="D29" s="226"/>
      <c r="E29" s="233"/>
      <c r="F29" s="244"/>
      <c r="G29" s="240"/>
      <c r="H29" s="241" t="s">
        <v>825</v>
      </c>
      <c r="I29" s="1006"/>
      <c r="J29" s="223">
        <f>+'27'!J29</f>
        <v>0</v>
      </c>
      <c r="K29" s="247"/>
      <c r="L29" s="247"/>
      <c r="M29" s="126">
        <f>+K29+'27'!M29+L29</f>
        <v>0</v>
      </c>
    </row>
    <row r="30" spans="1:14" ht="13.5" customHeight="1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+'27'!J30</f>
        <v>0</v>
      </c>
      <c r="K30" s="247"/>
      <c r="L30" s="247"/>
      <c r="M30" s="126">
        <f>+K30+'27'!M30+L30</f>
        <v>0</v>
      </c>
      <c r="N30" s="164"/>
    </row>
    <row r="31" spans="1:14" ht="13.5" customHeight="1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+'27'!J31</f>
        <v>0</v>
      </c>
      <c r="K31" s="247"/>
      <c r="L31" s="247"/>
      <c r="M31" s="126">
        <f>+K31+'27'!M31+L31</f>
        <v>0</v>
      </c>
    </row>
    <row r="32" spans="1:14" ht="13.5" customHeight="1" thickBot="1">
      <c r="A32" s="1009"/>
      <c r="B32" s="174" t="s">
        <v>2</v>
      </c>
      <c r="C32" s="108">
        <f>SUM(C25:C31)</f>
        <v>18714</v>
      </c>
      <c r="D32" s="109">
        <f>SUM(D25:D31)</f>
        <v>0</v>
      </c>
      <c r="E32" s="110">
        <f>SUM(E25:E31)</f>
        <v>0</v>
      </c>
      <c r="F32" s="111">
        <f>SUM(F24:F31)</f>
        <v>12</v>
      </c>
      <c r="G32" s="180"/>
      <c r="H32" s="181"/>
      <c r="I32" s="178"/>
      <c r="J32" s="223">
        <f>+'27'!J32</f>
        <v>0</v>
      </c>
      <c r="K32" s="249"/>
      <c r="L32" s="251"/>
      <c r="M32" s="126">
        <f>+K32+'27'!M32+L32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51810</v>
      </c>
      <c r="D34" s="116">
        <f>D14+D23+D32</f>
        <v>264</v>
      </c>
      <c r="E34" s="116">
        <f>E14+E23+E32</f>
        <v>0</v>
      </c>
      <c r="F34" s="117">
        <f>F14+F23+F32</f>
        <v>41</v>
      </c>
      <c r="H34" s="187"/>
      <c r="I34" s="187"/>
      <c r="J34" s="132" t="s">
        <v>27</v>
      </c>
      <c r="K34" s="133">
        <f>SUM(K7:K32)</f>
        <v>51810</v>
      </c>
      <c r="L34" s="221">
        <f>SUM(L7:L32)</f>
        <v>0</v>
      </c>
      <c r="M34" s="129">
        <f>SUM(M7:M32)</f>
        <v>1481636</v>
      </c>
      <c r="N34" s="164"/>
    </row>
    <row r="35" spans="1:14" ht="13.5" thickBot="1">
      <c r="A35" s="188"/>
      <c r="B35" s="189"/>
      <c r="C35" s="113">
        <f>C34/($C$34+$D$34+$E$34)</f>
        <v>0.99493029150823831</v>
      </c>
      <c r="D35" s="113">
        <f>D34/($C$34+$D$34+$E$34)</f>
        <v>5.0697084917617234E-3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(12*1440)/1440*G42*2.77*1440/1000000</f>
        <v>58.204569600000006</v>
      </c>
      <c r="J37" s="134">
        <f>+I37+'27'!J37</f>
        <v>1668.333811313707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41</v>
      </c>
      <c r="D38" s="127">
        <f>+C38+'27'!D38</f>
        <v>2037</v>
      </c>
      <c r="E38" s="152">
        <f t="shared" ref="E38:E51" si="0">D38/60</f>
        <v>33.950000000000003</v>
      </c>
      <c r="F38" s="337">
        <v>1600</v>
      </c>
      <c r="G38" s="337">
        <f t="shared" ref="G38:G40" si="1">+F38-F38*0.24</f>
        <v>1216</v>
      </c>
      <c r="H38" s="196" t="s">
        <v>63</v>
      </c>
      <c r="I38" s="549">
        <f>17.777+18.112+18.142</f>
        <v>54.030999999999992</v>
      </c>
      <c r="J38" s="136">
        <f>+I38+'27'!J38</f>
        <v>1544.509</v>
      </c>
      <c r="K38" s="137" t="s">
        <v>62</v>
      </c>
      <c r="L38" s="556"/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+C39+'27'!D39</f>
        <v>0</v>
      </c>
      <c r="E39" s="152">
        <f t="shared" si="0"/>
        <v>0</v>
      </c>
      <c r="F39" s="337">
        <v>1600</v>
      </c>
      <c r="G39" s="337">
        <f t="shared" si="1"/>
        <v>1216</v>
      </c>
      <c r="H39" s="196" t="s">
        <v>64</v>
      </c>
      <c r="I39" s="151"/>
      <c r="J39" s="138">
        <f>J37/G4</f>
        <v>59.583350404060965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+C40+'27'!D40</f>
        <v>707</v>
      </c>
      <c r="E40" s="152">
        <f t="shared" si="0"/>
        <v>11.783333333333333</v>
      </c>
      <c r="F40" s="337">
        <v>1600</v>
      </c>
      <c r="G40" s="337">
        <f t="shared" si="1"/>
        <v>1216</v>
      </c>
      <c r="H40" s="196" t="s">
        <v>66</v>
      </c>
      <c r="I40" s="127">
        <f>(K34+L34)/1000</f>
        <v>51.81</v>
      </c>
      <c r="J40" s="140">
        <f>+I40+'27'!J40</f>
        <v>1481.636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+C41+'27'!D41</f>
        <v>166</v>
      </c>
      <c r="E41" s="152">
        <f t="shared" si="0"/>
        <v>2.7666666666666666</v>
      </c>
      <c r="F41" s="337"/>
      <c r="G41" s="337"/>
      <c r="H41" s="196" t="s">
        <v>68</v>
      </c>
      <c r="I41" s="151"/>
      <c r="J41" s="138">
        <f>J40/G4</f>
        <v>52.915571428571425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+C42+'27'!D42</f>
        <v>0</v>
      </c>
      <c r="E42" s="152">
        <f t="shared" si="0"/>
        <v>0</v>
      </c>
      <c r="F42" s="337">
        <f>+(F38*480+F39*480+F40*480)/1440</f>
        <v>1600</v>
      </c>
      <c r="G42" s="337">
        <f>+(G38*480+G39*480+G40*480)/1440</f>
        <v>1216</v>
      </c>
      <c r="H42" s="196" t="s">
        <v>69</v>
      </c>
      <c r="I42" s="254" t="s">
        <v>542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+C43+'27'!D43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+Report1!T36</f>
        <v>124.27</v>
      </c>
      <c r="J43" s="142">
        <f>+I43+'27'!J43</f>
        <v>3555.9390000000003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+C44+'27'!D44</f>
        <v>75</v>
      </c>
      <c r="E44" s="152">
        <f t="shared" si="0"/>
        <v>1.25</v>
      </c>
      <c r="F44" s="337"/>
      <c r="G44" s="338"/>
      <c r="H44" s="197" t="s">
        <v>73</v>
      </c>
      <c r="I44" s="127">
        <f>I43/I38</f>
        <v>2.2999759397382986</v>
      </c>
      <c r="J44" s="143">
        <f>J43/J38</f>
        <v>2.3023103135041625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+C45+'27'!D45</f>
        <v>0</v>
      </c>
      <c r="E45" s="152">
        <f t="shared" si="0"/>
        <v>0</v>
      </c>
      <c r="F45" s="337"/>
      <c r="G45" s="340"/>
      <c r="H45" s="197" t="s">
        <v>74</v>
      </c>
      <c r="I45" s="127">
        <f>I43/I40</f>
        <v>2.3985717043041883</v>
      </c>
      <c r="J45" s="143">
        <f>J43/J40</f>
        <v>2.4000085041130212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+C46+'27'!D46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+SUMIF(Listrik!AR35,"&gt;0")</f>
        <v>52540.800000000294</v>
      </c>
      <c r="J46" s="144">
        <f>+I46+'27'!J46</f>
        <v>1467210.3200000017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+C47+'27'!D47</f>
        <v>0</v>
      </c>
      <c r="E47" s="152">
        <f t="shared" si="0"/>
        <v>0</v>
      </c>
      <c r="F47" s="337"/>
      <c r="G47" s="338"/>
      <c r="H47" s="197" t="s">
        <v>79</v>
      </c>
      <c r="I47" s="127">
        <f>I46/I38</f>
        <v>972.4195369325073</v>
      </c>
      <c r="J47" s="144">
        <f>J46/J38</f>
        <v>949.95258687388787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+C48+'27'!D48</f>
        <v>0</v>
      </c>
      <c r="E48" s="152">
        <f t="shared" si="0"/>
        <v>0</v>
      </c>
      <c r="F48" s="337"/>
      <c r="G48" s="338"/>
      <c r="H48" s="197" t="s">
        <v>80</v>
      </c>
      <c r="I48" s="127">
        <f>I46/I40</f>
        <v>1014.1053850608047</v>
      </c>
      <c r="J48" s="144">
        <f>J46/J40</f>
        <v>990.2636814980209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+C49+'27'!D49</f>
        <v>0</v>
      </c>
      <c r="E49" s="152">
        <f t="shared" si="0"/>
        <v>0</v>
      </c>
      <c r="F49" s="194"/>
      <c r="H49" s="197" t="s">
        <v>81</v>
      </c>
      <c r="I49" s="127">
        <v>0</v>
      </c>
      <c r="J49" s="144">
        <f>+I49+'27'!J49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+C50+'27'!D50</f>
        <v>0</v>
      </c>
      <c r="E50" s="152">
        <f t="shared" si="0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+C51+'27'!D51</f>
        <v>199</v>
      </c>
      <c r="E51" s="152">
        <f t="shared" si="0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41</v>
      </c>
      <c r="D52" s="153">
        <f>SUM(D38:D51)</f>
        <v>3184</v>
      </c>
      <c r="E52" s="154">
        <f>SUM(E38:E51)</f>
        <v>53.06666666666667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2.8472222222222222E-2</v>
      </c>
      <c r="D53" s="155">
        <f>D52/(24*60*G4)</f>
        <v>7.8968253968253965E-2</v>
      </c>
      <c r="E53" s="156">
        <f>E52/(G4*24)</f>
        <v>7.8968253968253979E-2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+D34+'27'!J56</f>
        <v>20072</v>
      </c>
      <c r="K56" s="210">
        <f>J56/(J40+J56/1000)/1000</f>
        <v>1.3366113785103363E-2</v>
      </c>
    </row>
    <row r="57" spans="1:11">
      <c r="A57" s="185"/>
      <c r="I57" s="208" t="s">
        <v>88</v>
      </c>
      <c r="J57" s="209">
        <f>+E34+'27'!J57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10.7109375" style="158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8.42578125" style="158" customWidth="1"/>
    <col min="11" max="11" width="12.5703125" style="158" bestFit="1" customWidth="1"/>
    <col min="12" max="12" width="8.28515625" style="158" customWidth="1"/>
    <col min="13" max="13" width="14.28515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27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200+185+187</f>
        <v>572</v>
      </c>
    </row>
    <row r="7" spans="1:18" ht="13.5" customHeight="1" thickBot="1">
      <c r="A7" s="1002" t="s">
        <v>447</v>
      </c>
      <c r="B7" s="224" t="s">
        <v>519</v>
      </c>
      <c r="C7" s="225">
        <v>19613</v>
      </c>
      <c r="D7" s="226">
        <v>760</v>
      </c>
      <c r="E7" s="227"/>
      <c r="F7" s="236"/>
      <c r="G7" s="237" t="s">
        <v>11</v>
      </c>
      <c r="H7" s="238" t="s">
        <v>434</v>
      </c>
      <c r="I7" s="1005" t="s">
        <v>821</v>
      </c>
      <c r="J7" s="223" t="str">
        <f>+'26'!J7</f>
        <v>MG 14 VP HW/OW</v>
      </c>
      <c r="K7" s="246"/>
      <c r="L7" s="250"/>
      <c r="M7" s="126">
        <f>+K7+'26'!M7+L7</f>
        <v>143496</v>
      </c>
    </row>
    <row r="8" spans="1:18" ht="13.5" thickBot="1">
      <c r="A8" s="1003"/>
      <c r="B8" s="224"/>
      <c r="C8" s="225"/>
      <c r="D8" s="226"/>
      <c r="E8" s="228"/>
      <c r="F8" s="239">
        <v>5</v>
      </c>
      <c r="G8" s="240" t="s">
        <v>11</v>
      </c>
      <c r="H8" s="238" t="s">
        <v>587</v>
      </c>
      <c r="I8" s="1006"/>
      <c r="J8" s="223" t="str">
        <f>+'26'!J8</f>
        <v>MG 16,5 VP HW</v>
      </c>
      <c r="K8" s="247"/>
      <c r="L8" s="247"/>
      <c r="M8" s="126">
        <f>+K8+'26'!M8+L8</f>
        <v>93365</v>
      </c>
      <c r="N8" s="158">
        <v>1620</v>
      </c>
      <c r="O8" s="158">
        <f>+N8-N8*0.16</f>
        <v>1360.8</v>
      </c>
      <c r="P8" s="158">
        <v>420</v>
      </c>
      <c r="Q8" s="158">
        <f>+N8*P8</f>
        <v>680400</v>
      </c>
      <c r="R8" s="158">
        <f>+O8*P8</f>
        <v>571536</v>
      </c>
    </row>
    <row r="9" spans="1:18" ht="13.5" thickBot="1">
      <c r="A9" s="1003"/>
      <c r="B9" s="224"/>
      <c r="C9" s="225"/>
      <c r="D9" s="226"/>
      <c r="E9" s="229"/>
      <c r="F9" s="236">
        <v>9</v>
      </c>
      <c r="G9" s="240" t="s">
        <v>11</v>
      </c>
      <c r="H9" s="582" t="s">
        <v>546</v>
      </c>
      <c r="I9" s="1006"/>
      <c r="J9" s="223" t="str">
        <f>+'26'!J9</f>
        <v>MG 30 VP HW</v>
      </c>
      <c r="K9" s="247"/>
      <c r="L9" s="247"/>
      <c r="M9" s="126">
        <f>+K9+'26'!M9+L9</f>
        <v>4193</v>
      </c>
      <c r="N9" s="158">
        <v>1620</v>
      </c>
      <c r="O9" s="158">
        <f>+N9-N9*0.24</f>
        <v>1231.2</v>
      </c>
      <c r="P9" s="158">
        <v>60</v>
      </c>
      <c r="Q9" s="158">
        <f>+N9*P9</f>
        <v>97200</v>
      </c>
      <c r="R9" s="158">
        <f>+O9*P9</f>
        <v>73872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820</v>
      </c>
      <c r="I10" s="1006"/>
      <c r="J10" s="223" t="str">
        <f>+'26'!J10</f>
        <v>MG 17 VP HW</v>
      </c>
      <c r="K10" s="247"/>
      <c r="L10" s="247"/>
      <c r="M10" s="126">
        <f>+K10+'26'!M10+L10</f>
        <v>18114</v>
      </c>
      <c r="P10" s="158">
        <f>+P8+P9</f>
        <v>480</v>
      </c>
      <c r="Q10" s="158">
        <f t="shared" ref="Q10:R10" si="0">+Q8+Q9</f>
        <v>777600</v>
      </c>
      <c r="R10" s="158">
        <f t="shared" si="0"/>
        <v>645408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 t="s">
        <v>560</v>
      </c>
      <c r="I11" s="1006"/>
      <c r="J11" s="223" t="str">
        <f>+'26'!J11</f>
        <v>MG 18 VP HW</v>
      </c>
      <c r="K11" s="247"/>
      <c r="L11" s="247"/>
      <c r="M11" s="126">
        <f>+K11+'26'!M11+L11</f>
        <v>25394</v>
      </c>
      <c r="Q11" s="158">
        <f>+Q10/P10</f>
        <v>1620</v>
      </c>
      <c r="R11" s="158">
        <f>+R10/P10</f>
        <v>1344.6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805</v>
      </c>
      <c r="I12" s="1006"/>
      <c r="J12" s="223" t="str">
        <f>+'26'!J12</f>
        <v>MG 21,5 VP HW</v>
      </c>
      <c r="K12" s="247"/>
      <c r="L12" s="247"/>
      <c r="M12" s="126">
        <f>+K12+'26'!M12+L12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+'26'!J13</f>
        <v>F 10,3 VP OW</v>
      </c>
      <c r="K13" s="247">
        <f>+C7+C16+C25</f>
        <v>45076</v>
      </c>
      <c r="L13" s="247"/>
      <c r="M13" s="126">
        <f>+K13+'26'!M13+L13</f>
        <v>279659</v>
      </c>
    </row>
    <row r="14" spans="1:18" ht="13.5" thickBot="1">
      <c r="A14" s="1004"/>
      <c r="B14" s="174" t="s">
        <v>2</v>
      </c>
      <c r="C14" s="108">
        <f>SUM(C7:C13)</f>
        <v>19613</v>
      </c>
      <c r="D14" s="120">
        <f>SUM(D7:D13)</f>
        <v>760</v>
      </c>
      <c r="E14" s="121">
        <f>SUM(E5:E13)</f>
        <v>0</v>
      </c>
      <c r="F14" s="125">
        <f>SUM(F7:F13)</f>
        <v>14</v>
      </c>
      <c r="G14" s="168"/>
      <c r="H14" s="175"/>
      <c r="I14" s="176"/>
      <c r="J14" s="223" t="str">
        <f>+'26'!J14</f>
        <v>F 12 VP OW</v>
      </c>
      <c r="K14" s="247">
        <f>+C26</f>
        <v>15451</v>
      </c>
      <c r="L14" s="247"/>
      <c r="M14" s="126">
        <f>+K14+'26'!M14+L14</f>
        <v>129679</v>
      </c>
    </row>
    <row r="15" spans="1:18" ht="13.5" customHeight="1" thickBot="1">
      <c r="A15" s="1002" t="s">
        <v>448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828</v>
      </c>
      <c r="J15" s="223" t="str">
        <f>+'26'!J15</f>
        <v>F 13 VP OW</v>
      </c>
      <c r="K15" s="247"/>
      <c r="L15" s="247"/>
      <c r="M15" s="126">
        <f>+K15+'26'!M15+L15</f>
        <v>486505</v>
      </c>
    </row>
    <row r="16" spans="1:18" ht="13.5" thickBot="1">
      <c r="A16" s="1008"/>
      <c r="B16" s="224" t="s">
        <v>519</v>
      </c>
      <c r="C16" s="230">
        <v>21475</v>
      </c>
      <c r="D16" s="231"/>
      <c r="E16" s="232"/>
      <c r="F16" s="236">
        <v>3</v>
      </c>
      <c r="G16" s="240" t="s">
        <v>11</v>
      </c>
      <c r="H16" s="238" t="s">
        <v>568</v>
      </c>
      <c r="I16" s="1006"/>
      <c r="J16" s="223" t="str">
        <f>+'26'!J16</f>
        <v>F 12,5 VP OW</v>
      </c>
      <c r="K16" s="247"/>
      <c r="L16" s="237"/>
      <c r="M16" s="126">
        <f>+K16+'26'!M16+L16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3</v>
      </c>
      <c r="G17" s="240" t="s">
        <v>11</v>
      </c>
      <c r="H17" s="582" t="s">
        <v>428</v>
      </c>
      <c r="I17" s="1006"/>
      <c r="J17" s="223" t="str">
        <f>+'26'!J17</f>
        <v>SN 13 VP OW</v>
      </c>
      <c r="K17" s="247"/>
      <c r="L17" s="237"/>
      <c r="M17" s="126">
        <f>+K17+'26'!M17+L17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820</v>
      </c>
      <c r="I18" s="1006"/>
      <c r="J18" s="223" t="str">
        <f>+'26'!J18</f>
        <v>SN 14 VP OW</v>
      </c>
      <c r="K18" s="247"/>
      <c r="L18" s="247"/>
      <c r="M18" s="126">
        <f>+K18+'26'!M18+L18</f>
        <v>16454</v>
      </c>
    </row>
    <row r="19" spans="1:14" ht="13.5" thickBot="1">
      <c r="A19" s="1008"/>
      <c r="B19" s="224"/>
      <c r="C19" s="225"/>
      <c r="D19" s="226"/>
      <c r="E19" s="233"/>
      <c r="F19" s="243">
        <v>6</v>
      </c>
      <c r="G19" s="240" t="s">
        <v>11</v>
      </c>
      <c r="H19" s="241" t="s">
        <v>765</v>
      </c>
      <c r="I19" s="1006"/>
      <c r="J19" s="223" t="str">
        <f>+'26'!J19</f>
        <v>SN 15 VP OW</v>
      </c>
      <c r="K19" s="247"/>
      <c r="L19" s="247"/>
      <c r="M19" s="126">
        <f>+K19+'26'!M19+L19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 t="s">
        <v>826</v>
      </c>
      <c r="I20" s="1006"/>
      <c r="J20" s="223">
        <f>+'26'!J20</f>
        <v>0</v>
      </c>
      <c r="K20" s="247"/>
      <c r="L20" s="248"/>
      <c r="M20" s="126">
        <f>+K20+'26'!M20+L20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+'26'!J21</f>
        <v>0</v>
      </c>
      <c r="K21" s="247"/>
      <c r="L21" s="247"/>
      <c r="M21" s="126">
        <f>+K21+'26'!M21+L21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+'26'!J22</f>
        <v>0</v>
      </c>
      <c r="K22" s="247"/>
      <c r="L22" s="247"/>
      <c r="M22" s="126">
        <f>+K22+'26'!M22+L22</f>
        <v>0</v>
      </c>
    </row>
    <row r="23" spans="1:14" ht="13.5" thickBot="1">
      <c r="A23" s="1009"/>
      <c r="B23" s="177" t="s">
        <v>2</v>
      </c>
      <c r="C23" s="109">
        <f>SUM(C16:C22)</f>
        <v>21475</v>
      </c>
      <c r="D23" s="120">
        <f>SUM(D16:D22)</f>
        <v>0</v>
      </c>
      <c r="E23" s="121">
        <f>SUM(E18:E22)</f>
        <v>0</v>
      </c>
      <c r="F23" s="125">
        <f>SUM(F15:F22)</f>
        <v>12</v>
      </c>
      <c r="G23" s="168"/>
      <c r="H23" s="175" t="s">
        <v>234</v>
      </c>
      <c r="I23" s="178"/>
      <c r="J23" s="223">
        <f>+'26'!J23</f>
        <v>0</v>
      </c>
      <c r="K23" s="247"/>
      <c r="L23" s="247"/>
      <c r="M23" s="126">
        <f>+K23+'26'!M23+L23</f>
        <v>0</v>
      </c>
    </row>
    <row r="24" spans="1:14" ht="13.5" customHeight="1" thickBot="1">
      <c r="A24" s="1002" t="s">
        <v>449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829</v>
      </c>
      <c r="J24" s="223">
        <f>+'26'!J24</f>
        <v>0</v>
      </c>
      <c r="K24" s="247"/>
      <c r="L24" s="247"/>
      <c r="M24" s="126">
        <f>+K24+'26'!M24+L24</f>
        <v>0</v>
      </c>
    </row>
    <row r="25" spans="1:14" ht="13.5" thickBot="1">
      <c r="A25" s="1008"/>
      <c r="B25" s="224" t="s">
        <v>519</v>
      </c>
      <c r="C25" s="234">
        <f>1868+2120</f>
        <v>3988</v>
      </c>
      <c r="D25" s="226"/>
      <c r="E25" s="233"/>
      <c r="F25" s="239">
        <v>4</v>
      </c>
      <c r="G25" s="240" t="s">
        <v>11</v>
      </c>
      <c r="H25" s="238" t="s">
        <v>568</v>
      </c>
      <c r="I25" s="1006"/>
      <c r="J25" s="223">
        <f>+'26'!J25</f>
        <v>0</v>
      </c>
      <c r="K25" s="247"/>
      <c r="L25" s="247"/>
      <c r="M25" s="126">
        <f>+K25+'26'!M25+L25</f>
        <v>0</v>
      </c>
    </row>
    <row r="26" spans="1:14" ht="13.5" thickBot="1">
      <c r="A26" s="1008"/>
      <c r="B26" s="224" t="s">
        <v>551</v>
      </c>
      <c r="C26" s="234">
        <f>8267+7184</f>
        <v>15451</v>
      </c>
      <c r="D26" s="226"/>
      <c r="E26" s="235"/>
      <c r="F26" s="239">
        <v>6</v>
      </c>
      <c r="G26" s="240" t="s">
        <v>11</v>
      </c>
      <c r="H26" s="582" t="s">
        <v>428</v>
      </c>
      <c r="I26" s="1006"/>
      <c r="J26" s="223">
        <f>+'26'!J26</f>
        <v>0</v>
      </c>
      <c r="K26" s="247"/>
      <c r="L26" s="247"/>
      <c r="M26" s="126">
        <f>+K26+'26'!M26+L26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827</v>
      </c>
      <c r="I27" s="1006"/>
      <c r="J27" s="223">
        <f>+'26'!J27</f>
        <v>0</v>
      </c>
      <c r="K27" s="247"/>
      <c r="L27" s="247"/>
      <c r="M27" s="126">
        <f>+K27+'26'!M27+L27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824</v>
      </c>
      <c r="I28" s="1006"/>
      <c r="J28" s="223">
        <f>+'26'!J28</f>
        <v>0</v>
      </c>
      <c r="K28" s="247"/>
      <c r="L28" s="247"/>
      <c r="M28" s="126">
        <f>+K28+'26'!M28+L28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 t="s">
        <v>825</v>
      </c>
      <c r="I29" s="1006"/>
      <c r="J29" s="223">
        <f>+'26'!J29</f>
        <v>0</v>
      </c>
      <c r="K29" s="247"/>
      <c r="L29" s="247"/>
      <c r="M29" s="126">
        <f>+K29+'26'!M29+L29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+'26'!J30</f>
        <v>0</v>
      </c>
      <c r="K30" s="247"/>
      <c r="L30" s="247"/>
      <c r="M30" s="126">
        <f>+K30+'26'!M30+L30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+'26'!J31</f>
        <v>0</v>
      </c>
      <c r="K31" s="247"/>
      <c r="L31" s="247"/>
      <c r="M31" s="126">
        <f>+K31+'26'!M31+L31</f>
        <v>0</v>
      </c>
    </row>
    <row r="32" spans="1:14" ht="13.5" thickBot="1">
      <c r="A32" s="1009"/>
      <c r="B32" s="174" t="s">
        <v>2</v>
      </c>
      <c r="C32" s="108">
        <f>SUM(C25:C31)</f>
        <v>19439</v>
      </c>
      <c r="D32" s="109">
        <f>SUM(D25:D31)</f>
        <v>0</v>
      </c>
      <c r="E32" s="110">
        <f>SUM(E25:E31)</f>
        <v>0</v>
      </c>
      <c r="F32" s="111">
        <f>SUM(F24:F31)</f>
        <v>10</v>
      </c>
      <c r="G32" s="180"/>
      <c r="H32" s="181"/>
      <c r="I32" s="178"/>
      <c r="J32" s="223">
        <f>+'26'!J32</f>
        <v>0</v>
      </c>
      <c r="K32" s="249"/>
      <c r="L32" s="251"/>
      <c r="M32" s="126">
        <f>+K32+'26'!M32+L32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60527</v>
      </c>
      <c r="D34" s="116">
        <f>D14+D23+D32</f>
        <v>760</v>
      </c>
      <c r="E34" s="116">
        <f>E14+E23+E32</f>
        <v>0</v>
      </c>
      <c r="F34" s="117">
        <f>F14+F23+F32</f>
        <v>36</v>
      </c>
      <c r="H34" s="187"/>
      <c r="I34" s="187"/>
      <c r="J34" s="132" t="s">
        <v>27</v>
      </c>
      <c r="K34" s="133">
        <f>SUM(K7:K32)</f>
        <v>60527</v>
      </c>
      <c r="L34" s="221">
        <f>SUM(L7:L32)</f>
        <v>0</v>
      </c>
      <c r="M34" s="129">
        <f>SUM(M7:M32)</f>
        <v>1429826</v>
      </c>
      <c r="N34" s="164"/>
    </row>
    <row r="35" spans="1:14" ht="13.5" thickBot="1">
      <c r="A35" s="188"/>
      <c r="B35" s="189"/>
      <c r="C35" s="113">
        <f>C34/($C$34+$D$34+$E$34)</f>
        <v>0.98759932775303083</v>
      </c>
      <c r="D35" s="113">
        <f>D34/($C$34+$D$34+$E$34)</f>
        <v>1.2400672246969177E-2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46"/>
      <c r="G37" s="339"/>
      <c r="H37" s="195" t="s">
        <v>61</v>
      </c>
      <c r="I37" s="252">
        <f>(10.3*900+12*540)/1440*G42*2.77*1440/1000000</f>
        <v>57.248005499999991</v>
      </c>
      <c r="J37" s="134">
        <f>+I37+'26'!J37</f>
        <v>1610.129241713707</v>
      </c>
      <c r="K37" s="135" t="s">
        <v>62</v>
      </c>
      <c r="L37" s="593">
        <f>+I38-L38</f>
        <v>34.625999999999998</v>
      </c>
    </row>
    <row r="38" spans="1:14" ht="17.45" customHeight="1">
      <c r="A38" s="1000" t="s">
        <v>11</v>
      </c>
      <c r="B38" s="1001"/>
      <c r="C38" s="173">
        <f>SUMIF($G$7:$G$31,"Process",$F$7:$F$31)</f>
        <v>36</v>
      </c>
      <c r="D38" s="127">
        <f>+C38+'26'!D38</f>
        <v>1996</v>
      </c>
      <c r="E38" s="152">
        <f t="shared" ref="E38:E51" si="1">D38/60</f>
        <v>33.266666666666666</v>
      </c>
      <c r="F38" s="337">
        <v>1620</v>
      </c>
      <c r="G38" s="337">
        <f t="shared" ref="G38" si="2">+F38-F38*0.16</f>
        <v>1360.8</v>
      </c>
      <c r="H38" s="196" t="s">
        <v>63</v>
      </c>
      <c r="I38" s="549">
        <f>16.465+18.948+19.466</f>
        <v>54.878999999999998</v>
      </c>
      <c r="J38" s="136">
        <f>+I38+'26'!J38</f>
        <v>1490.4780000000001</v>
      </c>
      <c r="K38" s="137" t="s">
        <v>62</v>
      </c>
      <c r="L38" s="556">
        <f>0.787+19.466</f>
        <v>20.253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+C39+'26'!D39</f>
        <v>0</v>
      </c>
      <c r="E39" s="152">
        <f t="shared" si="1"/>
        <v>0</v>
      </c>
      <c r="F39" s="337">
        <v>1620</v>
      </c>
      <c r="G39" s="337">
        <v>1344.6</v>
      </c>
      <c r="H39" s="196" t="s">
        <v>64</v>
      </c>
      <c r="I39" s="151"/>
      <c r="J39" s="138">
        <f>J37/G4</f>
        <v>59.634416359766924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+C40+'26'!D40</f>
        <v>707</v>
      </c>
      <c r="E40" s="152">
        <f t="shared" si="1"/>
        <v>11.783333333333333</v>
      </c>
      <c r="F40" s="337">
        <v>1620</v>
      </c>
      <c r="G40" s="337">
        <v>1231.2</v>
      </c>
      <c r="H40" s="196" t="s">
        <v>66</v>
      </c>
      <c r="I40" s="127">
        <f>(K34+L34)/1000</f>
        <v>60.527000000000001</v>
      </c>
      <c r="J40" s="140">
        <f>+I40+'26'!J40</f>
        <v>1429.826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+C41+'26'!D41</f>
        <v>166</v>
      </c>
      <c r="E41" s="152">
        <f t="shared" si="1"/>
        <v>2.7666666666666666</v>
      </c>
      <c r="F41" s="337"/>
      <c r="G41" s="337"/>
      <c r="H41" s="196" t="s">
        <v>68</v>
      </c>
      <c r="I41" s="151"/>
      <c r="J41" s="138">
        <f>J40/G4</f>
        <v>52.956518518518521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+C42+'26'!D42</f>
        <v>0</v>
      </c>
      <c r="E42" s="152">
        <f t="shared" si="1"/>
        <v>0</v>
      </c>
      <c r="F42" s="337">
        <f>+(F38*480+F39*480+F40*480)/1440</f>
        <v>1620</v>
      </c>
      <c r="G42" s="337">
        <f>+(G38*480+G39*480+G40*480)/1440</f>
        <v>1312.2</v>
      </c>
      <c r="H42" s="196" t="s">
        <v>69</v>
      </c>
      <c r="I42" s="254" t="s">
        <v>830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+C43+'26'!D43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+Report1!T35</f>
        <v>127.277</v>
      </c>
      <c r="J43" s="142">
        <f>+I43+'26'!J43</f>
        <v>3431.6690000000003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+C44+'26'!D44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2.3192295777984295</v>
      </c>
      <c r="J44" s="143">
        <f>J43/J38</f>
        <v>2.3023949363895344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+C45+'26'!D45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2.1028136203677699</v>
      </c>
      <c r="J45" s="143">
        <f>J43/J40</f>
        <v>2.4000605668102275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+C46+'26'!D46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+SUMIF(Listrik!AR34,"&gt;0")</f>
        <v>51927.780000001148</v>
      </c>
      <c r="J46" s="144">
        <f>+I46+'26'!J46</f>
        <v>1414669.5200000014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+C47+'26'!D47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946.22314546549956</v>
      </c>
      <c r="J47" s="144">
        <f>J46/J38</f>
        <v>949.13814226040324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+C48+'26'!D48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857.92753647134577</v>
      </c>
      <c r="J48" s="144">
        <f>J46/J40</f>
        <v>989.3997731192477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+C49+'26'!D49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+I49+'26'!J49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+C50+'26'!D50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+C51+'26'!D51</f>
        <v>199</v>
      </c>
      <c r="E51" s="152">
        <f t="shared" si="1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36</v>
      </c>
      <c r="D52" s="153">
        <f>SUM(D38:D51)</f>
        <v>3143</v>
      </c>
      <c r="E52" s="154">
        <f>SUM(E38:E51)</f>
        <v>52.383333333333333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2.5000000000000001E-2</v>
      </c>
      <c r="D53" s="155">
        <f>D52/(24*60*G4)</f>
        <v>8.0838477366255143E-2</v>
      </c>
      <c r="E53" s="156">
        <f>E52/(G4*24)</f>
        <v>8.0838477366255143E-2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+D34+'26'!J56</f>
        <v>19808</v>
      </c>
      <c r="K56" s="210">
        <f>J56/(J40+J56/1000)/1000</f>
        <v>1.3664138672244166E-2</v>
      </c>
    </row>
    <row r="57" spans="1:11">
      <c r="A57" s="185"/>
      <c r="I57" s="208" t="s">
        <v>88</v>
      </c>
      <c r="J57" s="209">
        <f>+E34+'26'!J57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zoomScale="80" zoomScaleNormal="80" workbookViewId="0">
      <selection activeCell="E19" sqref="E19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5.140625" style="158" bestFit="1" customWidth="1"/>
    <col min="8" max="8" width="64.85546875" style="158" customWidth="1"/>
    <col min="9" max="9" width="14.7109375" style="158" bestFit="1" customWidth="1"/>
    <col min="10" max="10" width="18.42578125" style="158" customWidth="1"/>
    <col min="11" max="11" width="14" style="158" bestFit="1" customWidth="1"/>
    <col min="12" max="12" width="8.28515625" style="158" customWidth="1"/>
    <col min="13" max="13" width="17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26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208+251+406</f>
        <v>865</v>
      </c>
    </row>
    <row r="7" spans="1:18" ht="13.5" customHeight="1" thickBot="1">
      <c r="A7" s="1002" t="s">
        <v>447</v>
      </c>
      <c r="B7" s="224" t="s">
        <v>519</v>
      </c>
      <c r="C7" s="225">
        <v>17276</v>
      </c>
      <c r="D7" s="226"/>
      <c r="E7" s="227"/>
      <c r="F7" s="236"/>
      <c r="G7" s="237" t="s">
        <v>11</v>
      </c>
      <c r="H7" s="238" t="s">
        <v>434</v>
      </c>
      <c r="I7" s="1005" t="s">
        <v>816</v>
      </c>
      <c r="J7" s="223" t="str">
        <f>+'25'!J7</f>
        <v>MG 14 VP HW/OW</v>
      </c>
      <c r="K7" s="246"/>
      <c r="L7" s="250"/>
      <c r="M7" s="126">
        <f>+K7+'25'!M7+L7</f>
        <v>143496</v>
      </c>
    </row>
    <row r="8" spans="1:18" ht="13.5" thickBot="1">
      <c r="A8" s="1003"/>
      <c r="B8" s="224"/>
      <c r="C8" s="225"/>
      <c r="D8" s="226"/>
      <c r="E8" s="228"/>
      <c r="F8" s="239">
        <v>3</v>
      </c>
      <c r="G8" s="240" t="s">
        <v>11</v>
      </c>
      <c r="H8" s="238" t="s">
        <v>568</v>
      </c>
      <c r="I8" s="1006"/>
      <c r="J8" s="223" t="str">
        <f>+'25'!J8</f>
        <v>MG 16,5 VP HW</v>
      </c>
      <c r="K8" s="247"/>
      <c r="L8" s="247"/>
      <c r="M8" s="126">
        <f>+K8+'25'!M8+L8</f>
        <v>93365</v>
      </c>
      <c r="N8" s="158">
        <v>1630</v>
      </c>
      <c r="O8" s="158">
        <f>+N8-N8*0.16</f>
        <v>1369.2</v>
      </c>
    </row>
    <row r="9" spans="1:18" ht="13.5" thickBot="1">
      <c r="A9" s="1003"/>
      <c r="B9" s="224"/>
      <c r="C9" s="225"/>
      <c r="D9" s="226"/>
      <c r="E9" s="229"/>
      <c r="F9" s="236">
        <v>4</v>
      </c>
      <c r="G9" s="240" t="s">
        <v>11</v>
      </c>
      <c r="H9" s="582" t="s">
        <v>546</v>
      </c>
      <c r="I9" s="1006"/>
      <c r="J9" s="223" t="str">
        <f>+'25'!J9</f>
        <v>MG 30 VP HW</v>
      </c>
      <c r="K9" s="247"/>
      <c r="L9" s="247"/>
      <c r="M9" s="126">
        <f>+K9+'25'!M9+L9</f>
        <v>4193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812</v>
      </c>
      <c r="I10" s="1006"/>
      <c r="J10" s="223" t="str">
        <f>+'25'!J10</f>
        <v>MG 17 VP HW</v>
      </c>
      <c r="K10" s="247"/>
      <c r="L10" s="247"/>
      <c r="M10" s="126">
        <f>+K10+'25'!M10+L10</f>
        <v>18114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 t="s">
        <v>560</v>
      </c>
      <c r="I11" s="1006"/>
      <c r="J11" s="223" t="str">
        <f>+'25'!J11</f>
        <v>MG 18 VP HW</v>
      </c>
      <c r="K11" s="247"/>
      <c r="L11" s="247"/>
      <c r="M11" s="126">
        <f>+K11+'25'!M11+L11</f>
        <v>25394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805</v>
      </c>
      <c r="I12" s="1006"/>
      <c r="J12" s="223" t="str">
        <f>+'25'!J12</f>
        <v>MG 21,5 VP HW</v>
      </c>
      <c r="K12" s="247"/>
      <c r="L12" s="247"/>
      <c r="M12" s="126">
        <f>+K12+'25'!M12+L12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+'25'!J13</f>
        <v>F 10,3 VP OW</v>
      </c>
      <c r="K13" s="247">
        <f>+C34</f>
        <v>51796</v>
      </c>
      <c r="L13" s="247"/>
      <c r="M13" s="126">
        <f>+K13+'25'!M13+L13</f>
        <v>234583</v>
      </c>
    </row>
    <row r="14" spans="1:18" ht="13.5" thickBot="1">
      <c r="A14" s="1004"/>
      <c r="B14" s="174" t="s">
        <v>2</v>
      </c>
      <c r="C14" s="108">
        <f>SUM(C7:C13)</f>
        <v>17276</v>
      </c>
      <c r="D14" s="120">
        <f>SUM(D7:D13)</f>
        <v>0</v>
      </c>
      <c r="E14" s="121">
        <f>SUM(E5:E13)</f>
        <v>0</v>
      </c>
      <c r="F14" s="125">
        <f>SUM(F7:F13)</f>
        <v>7</v>
      </c>
      <c r="G14" s="168"/>
      <c r="H14" s="175"/>
      <c r="I14" s="176"/>
      <c r="J14" s="223" t="str">
        <f>+'25'!J14</f>
        <v>F 12 VP OW</v>
      </c>
      <c r="K14" s="247"/>
      <c r="L14" s="247"/>
      <c r="M14" s="126">
        <f>+K14+'25'!M14+L14</f>
        <v>114228</v>
      </c>
    </row>
    <row r="15" spans="1:18" ht="13.5" customHeight="1" thickBot="1">
      <c r="A15" s="1002" t="s">
        <v>448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819</v>
      </c>
      <c r="J15" s="223" t="str">
        <f>+'25'!J15</f>
        <v>F 13 VP OW</v>
      </c>
      <c r="K15" s="247"/>
      <c r="L15" s="247"/>
      <c r="M15" s="126">
        <f>+K15+'25'!M15+L15</f>
        <v>486505</v>
      </c>
    </row>
    <row r="16" spans="1:18" ht="13.5" thickBot="1">
      <c r="A16" s="1008"/>
      <c r="B16" s="224" t="s">
        <v>519</v>
      </c>
      <c r="C16" s="230">
        <v>17472</v>
      </c>
      <c r="D16" s="231"/>
      <c r="E16" s="232"/>
      <c r="F16" s="236">
        <v>4</v>
      </c>
      <c r="G16" s="240" t="s">
        <v>11</v>
      </c>
      <c r="H16" s="238" t="s">
        <v>568</v>
      </c>
      <c r="I16" s="1006"/>
      <c r="J16" s="223" t="str">
        <f>+'25'!J16</f>
        <v>F 12,5 VP OW</v>
      </c>
      <c r="K16" s="247"/>
      <c r="L16" s="237"/>
      <c r="M16" s="126">
        <f>+K16+'25'!M16+L16</f>
        <v>91232</v>
      </c>
      <c r="N16" s="158">
        <v>1670</v>
      </c>
      <c r="O16" s="158">
        <f>+N16-N16*0.16</f>
        <v>1402.8</v>
      </c>
      <c r="P16" s="158">
        <f>180+40</f>
        <v>220</v>
      </c>
      <c r="Q16" s="158">
        <f>+N16*P16</f>
        <v>367400</v>
      </c>
      <c r="R16" s="158">
        <f>+O16*P16</f>
        <v>308616</v>
      </c>
    </row>
    <row r="17" spans="1:23" ht="13.5" thickBot="1">
      <c r="A17" s="1008"/>
      <c r="B17" s="224"/>
      <c r="C17" s="225"/>
      <c r="D17" s="226"/>
      <c r="E17" s="233"/>
      <c r="F17" s="236">
        <v>8</v>
      </c>
      <c r="G17" s="240" t="s">
        <v>11</v>
      </c>
      <c r="H17" s="582" t="s">
        <v>428</v>
      </c>
      <c r="I17" s="1006"/>
      <c r="J17" s="223" t="str">
        <f>+'25'!J17</f>
        <v>SN 13 VP OW</v>
      </c>
      <c r="K17" s="247"/>
      <c r="L17" s="237"/>
      <c r="M17" s="126">
        <f>+K17+'25'!M17+L17</f>
        <v>112808</v>
      </c>
      <c r="N17" s="158">
        <v>1620</v>
      </c>
      <c r="O17" s="158">
        <f>+N17-N17*0.16</f>
        <v>1360.8</v>
      </c>
      <c r="P17" s="158">
        <f>20+240</f>
        <v>260</v>
      </c>
      <c r="Q17" s="158">
        <f>+N17*P17</f>
        <v>421200</v>
      </c>
      <c r="R17" s="158">
        <f>+O17*P17</f>
        <v>353808</v>
      </c>
    </row>
    <row r="18" spans="1:23" ht="13.5" thickBot="1">
      <c r="A18" s="1008"/>
      <c r="B18" s="224"/>
      <c r="C18" s="225"/>
      <c r="D18" s="226"/>
      <c r="E18" s="233"/>
      <c r="F18" s="236"/>
      <c r="G18" s="240"/>
      <c r="H18" s="582" t="s">
        <v>817</v>
      </c>
      <c r="I18" s="1006"/>
      <c r="J18" s="223" t="str">
        <f>+'25'!J18</f>
        <v>SN 14 VP OW</v>
      </c>
      <c r="K18" s="247"/>
      <c r="L18" s="247"/>
      <c r="M18" s="126">
        <f>+K18+'25'!M18+L18</f>
        <v>16454</v>
      </c>
      <c r="P18" s="158">
        <f>SUM(P16:P17)</f>
        <v>480</v>
      </c>
      <c r="Q18" s="158">
        <f t="shared" ref="Q18:R18" si="0">SUM(Q16:Q17)</f>
        <v>788600</v>
      </c>
      <c r="R18" s="158">
        <f t="shared" si="0"/>
        <v>662424</v>
      </c>
    </row>
    <row r="19" spans="1:23" ht="13.5" thickBot="1">
      <c r="A19" s="1008"/>
      <c r="B19" s="224"/>
      <c r="C19" s="225"/>
      <c r="D19" s="226"/>
      <c r="E19" s="233"/>
      <c r="F19" s="243"/>
      <c r="G19" s="240"/>
      <c r="H19" s="241" t="s">
        <v>560</v>
      </c>
      <c r="I19" s="1006"/>
      <c r="J19" s="223" t="str">
        <f>+'25'!J19</f>
        <v>SN 15 VP OW</v>
      </c>
      <c r="K19" s="247"/>
      <c r="L19" s="247"/>
      <c r="M19" s="126">
        <f>+K19+'25'!M19+L19</f>
        <v>27940</v>
      </c>
      <c r="Q19" s="158">
        <f>+Q18/P18</f>
        <v>1642.9166666666667</v>
      </c>
      <c r="R19" s="158">
        <f>+R18/P18</f>
        <v>1380.05</v>
      </c>
    </row>
    <row r="20" spans="1:23" ht="13.5" customHeight="1" thickBot="1">
      <c r="A20" s="1008"/>
      <c r="B20" s="224"/>
      <c r="C20" s="225"/>
      <c r="D20" s="226"/>
      <c r="E20" s="233"/>
      <c r="F20" s="236"/>
      <c r="G20" s="240"/>
      <c r="H20" s="241" t="s">
        <v>805</v>
      </c>
      <c r="I20" s="1006"/>
      <c r="J20" s="223">
        <f>+'25'!J20</f>
        <v>0</v>
      </c>
      <c r="K20" s="247"/>
      <c r="L20" s="248"/>
      <c r="M20" s="126">
        <f>+K20+'25'!M20+L20</f>
        <v>0</v>
      </c>
    </row>
    <row r="21" spans="1:23" ht="26.25" thickBot="1">
      <c r="A21" s="1008"/>
      <c r="B21" s="224"/>
      <c r="C21" s="225"/>
      <c r="D21" s="226"/>
      <c r="E21" s="233"/>
      <c r="F21" s="239"/>
      <c r="G21" s="240"/>
      <c r="H21" s="498" t="s">
        <v>818</v>
      </c>
      <c r="I21" s="1006"/>
      <c r="J21" s="223">
        <f>+'25'!J21</f>
        <v>0</v>
      </c>
      <c r="K21" s="247"/>
      <c r="L21" s="247"/>
      <c r="M21" s="126">
        <f>+K21+'25'!M21+L21</f>
        <v>0</v>
      </c>
    </row>
    <row r="22" spans="1:23" ht="13.5" thickBot="1">
      <c r="A22" s="1008"/>
      <c r="B22" s="224"/>
      <c r="C22" s="225"/>
      <c r="D22" s="226"/>
      <c r="E22" s="233"/>
      <c r="F22" s="244"/>
      <c r="G22" s="240"/>
      <c r="H22" s="241" t="s">
        <v>835</v>
      </c>
      <c r="I22" s="1007"/>
      <c r="J22" s="223">
        <f>+'25'!J22</f>
        <v>0</v>
      </c>
      <c r="K22" s="247"/>
      <c r="L22" s="247"/>
      <c r="M22" s="126">
        <f>+K22+'25'!M22+L22</f>
        <v>0</v>
      </c>
      <c r="N22" s="190" t="s">
        <v>92</v>
      </c>
      <c r="O22" s="608" t="s">
        <v>836</v>
      </c>
      <c r="P22" s="608" t="s">
        <v>836</v>
      </c>
      <c r="Q22" s="608" t="s">
        <v>837</v>
      </c>
      <c r="R22" s="608" t="s">
        <v>838</v>
      </c>
      <c r="S22" s="608" t="s">
        <v>839</v>
      </c>
      <c r="T22" s="608" t="s">
        <v>840</v>
      </c>
      <c r="U22" s="609" t="s">
        <v>841</v>
      </c>
      <c r="V22" s="608" t="s">
        <v>842</v>
      </c>
      <c r="W22" s="608" t="s">
        <v>843</v>
      </c>
    </row>
    <row r="23" spans="1:23" ht="13.5" thickBot="1">
      <c r="A23" s="1009"/>
      <c r="B23" s="177" t="s">
        <v>2</v>
      </c>
      <c r="C23" s="109">
        <f>SUM(C16:C22)</f>
        <v>17472</v>
      </c>
      <c r="D23" s="120">
        <f>SUM(D16:D22)</f>
        <v>0</v>
      </c>
      <c r="E23" s="121">
        <f>SUM(E18:E22)</f>
        <v>0</v>
      </c>
      <c r="F23" s="125">
        <f>SUM(F15:F22)</f>
        <v>12</v>
      </c>
      <c r="G23" s="168"/>
      <c r="H23" s="175" t="s">
        <v>234</v>
      </c>
      <c r="I23" s="178"/>
      <c r="J23" s="223">
        <f>+'25'!J23</f>
        <v>0</v>
      </c>
      <c r="K23" s="247"/>
      <c r="L23" s="247"/>
      <c r="M23" s="126">
        <f>+K23+'25'!M23+L23</f>
        <v>0</v>
      </c>
      <c r="N23" s="610">
        <v>10.3</v>
      </c>
      <c r="O23" s="208">
        <v>1670</v>
      </c>
      <c r="P23" s="208">
        <v>1670</v>
      </c>
      <c r="Q23" s="208">
        <f>+O23-O23*0.16</f>
        <v>1402.8</v>
      </c>
      <c r="R23" s="611">
        <f>1-(Q23/P23)</f>
        <v>0.16000000000000003</v>
      </c>
      <c r="S23" s="612">
        <v>9</v>
      </c>
      <c r="T23" s="613">
        <f>+'Trim Rwd'!H99</f>
        <v>266</v>
      </c>
      <c r="U23" s="614">
        <f>(O23*(1-R23)*N23*T23*S23)/100000000</f>
        <v>0.34590522960000003</v>
      </c>
      <c r="V23" s="615">
        <f>+C30/1000</f>
        <v>0</v>
      </c>
      <c r="W23" s="616">
        <f>SUM(V23:V25)/SUM(U23:U25)</f>
        <v>0</v>
      </c>
    </row>
    <row r="24" spans="1:23" ht="13.5" customHeight="1" thickBot="1">
      <c r="A24" s="1002" t="s">
        <v>449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821</v>
      </c>
      <c r="J24" s="223">
        <f>+'25'!J24</f>
        <v>0</v>
      </c>
      <c r="K24" s="247"/>
      <c r="L24" s="247"/>
      <c r="M24" s="126">
        <f>+K24+'25'!M24+L24</f>
        <v>0</v>
      </c>
    </row>
    <row r="25" spans="1:23" ht="13.5" thickBot="1">
      <c r="A25" s="1008"/>
      <c r="B25" s="224" t="s">
        <v>519</v>
      </c>
      <c r="C25" s="234">
        <v>17048</v>
      </c>
      <c r="D25" s="226"/>
      <c r="E25" s="233"/>
      <c r="F25" s="239">
        <v>5</v>
      </c>
      <c r="G25" s="240" t="s">
        <v>11</v>
      </c>
      <c r="H25" s="238" t="s">
        <v>568</v>
      </c>
      <c r="I25" s="1006"/>
      <c r="J25" s="223">
        <f>+'25'!J25</f>
        <v>0</v>
      </c>
      <c r="K25" s="247"/>
      <c r="L25" s="247"/>
      <c r="M25" s="126">
        <f>+K25+'25'!M25+L25</f>
        <v>0</v>
      </c>
    </row>
    <row r="26" spans="1:23" ht="13.5" thickBot="1">
      <c r="A26" s="1008"/>
      <c r="B26" s="224"/>
      <c r="C26" s="234"/>
      <c r="D26" s="226"/>
      <c r="E26" s="235"/>
      <c r="F26" s="239">
        <v>8</v>
      </c>
      <c r="G26" s="240" t="s">
        <v>11</v>
      </c>
      <c r="H26" s="582" t="s">
        <v>546</v>
      </c>
      <c r="I26" s="1006"/>
      <c r="J26" s="223">
        <f>+'25'!J26</f>
        <v>0</v>
      </c>
      <c r="K26" s="247"/>
      <c r="L26" s="247"/>
      <c r="M26" s="126">
        <f>+K26+'25'!M26+L26</f>
        <v>0</v>
      </c>
    </row>
    <row r="27" spans="1:23" ht="13.5" thickBot="1">
      <c r="A27" s="1008"/>
      <c r="B27" s="224"/>
      <c r="C27" s="225"/>
      <c r="D27" s="226"/>
      <c r="E27" s="233"/>
      <c r="F27" s="239"/>
      <c r="G27" s="240"/>
      <c r="H27" s="582" t="s">
        <v>820</v>
      </c>
      <c r="I27" s="1006"/>
      <c r="J27" s="223">
        <f>+'25'!J27</f>
        <v>0</v>
      </c>
      <c r="K27" s="247"/>
      <c r="L27" s="247"/>
      <c r="M27" s="126">
        <f>+K27+'25'!M27+L27</f>
        <v>0</v>
      </c>
    </row>
    <row r="28" spans="1:23" ht="13.5" thickBot="1">
      <c r="A28" s="1008"/>
      <c r="B28" s="224"/>
      <c r="C28" s="225"/>
      <c r="D28" s="226"/>
      <c r="E28" s="233"/>
      <c r="F28" s="239"/>
      <c r="G28" s="240"/>
      <c r="H28" s="241" t="s">
        <v>560</v>
      </c>
      <c r="I28" s="1006"/>
      <c r="J28" s="223">
        <f>+'25'!J28</f>
        <v>0</v>
      </c>
      <c r="K28" s="247"/>
      <c r="L28" s="247"/>
      <c r="M28" s="126">
        <f>+K28+'25'!M28+L28</f>
        <v>0</v>
      </c>
    </row>
    <row r="29" spans="1:23" ht="13.5" thickBot="1">
      <c r="A29" s="1008"/>
      <c r="B29" s="224"/>
      <c r="C29" s="225"/>
      <c r="D29" s="226"/>
      <c r="E29" s="233"/>
      <c r="F29" s="244"/>
      <c r="G29" s="240"/>
      <c r="H29" s="241" t="s">
        <v>805</v>
      </c>
      <c r="I29" s="1006"/>
      <c r="J29" s="223">
        <f>+'25'!J29</f>
        <v>0</v>
      </c>
      <c r="K29" s="247"/>
      <c r="L29" s="247"/>
      <c r="M29" s="126">
        <f>+K29+'25'!M29+L29</f>
        <v>0</v>
      </c>
    </row>
    <row r="30" spans="1:23" ht="13.5" thickBot="1">
      <c r="A30" s="1008"/>
      <c r="B30" s="224"/>
      <c r="C30" s="234"/>
      <c r="D30" s="226"/>
      <c r="E30" s="233"/>
      <c r="F30" s="244"/>
      <c r="G30" s="240"/>
      <c r="H30" s="241" t="s">
        <v>560</v>
      </c>
      <c r="I30" s="1006"/>
      <c r="J30" s="223">
        <f>+'25'!J30</f>
        <v>0</v>
      </c>
      <c r="K30" s="247"/>
      <c r="L30" s="247"/>
      <c r="M30" s="126">
        <f>+K30+'25'!M30+L30</f>
        <v>0</v>
      </c>
      <c r="N30" s="164"/>
    </row>
    <row r="31" spans="1:23" ht="13.5" thickBot="1">
      <c r="A31" s="1008"/>
      <c r="B31" s="224"/>
      <c r="C31" s="234"/>
      <c r="D31" s="226"/>
      <c r="E31" s="233"/>
      <c r="F31" s="244"/>
      <c r="G31" s="245"/>
      <c r="H31" s="460" t="s">
        <v>805</v>
      </c>
      <c r="I31" s="1007"/>
      <c r="J31" s="223">
        <f>+'25'!J31</f>
        <v>0</v>
      </c>
      <c r="K31" s="247"/>
      <c r="L31" s="247"/>
      <c r="M31" s="126">
        <f>+K31+'25'!M31+L31</f>
        <v>0</v>
      </c>
    </row>
    <row r="32" spans="1:23" ht="13.5" thickBot="1">
      <c r="A32" s="1009"/>
      <c r="B32" s="174" t="s">
        <v>2</v>
      </c>
      <c r="C32" s="108">
        <f>SUM(C25:C31)</f>
        <v>17048</v>
      </c>
      <c r="D32" s="109">
        <f>SUM(D25:D31)</f>
        <v>0</v>
      </c>
      <c r="E32" s="110">
        <f>SUM(E25:E31)</f>
        <v>0</v>
      </c>
      <c r="F32" s="111">
        <f>SUM(F24:F31)</f>
        <v>13</v>
      </c>
      <c r="G32" s="180"/>
      <c r="H32" s="181"/>
      <c r="I32" s="178"/>
      <c r="J32" s="223">
        <f>+'25'!J32</f>
        <v>0</v>
      </c>
      <c r="K32" s="249"/>
      <c r="L32" s="251"/>
      <c r="M32" s="126">
        <f>+K32+'25'!M32+L32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51796</v>
      </c>
      <c r="D34" s="116">
        <f>D14+D23+D32</f>
        <v>0</v>
      </c>
      <c r="E34" s="116">
        <f>E14+E23+E32</f>
        <v>0</v>
      </c>
      <c r="F34" s="117">
        <f>F14+F23+F32</f>
        <v>32</v>
      </c>
      <c r="H34" s="187"/>
      <c r="I34" s="187"/>
      <c r="J34" s="132" t="s">
        <v>27</v>
      </c>
      <c r="K34" s="133">
        <f>SUM(K7:K32)</f>
        <v>51796</v>
      </c>
      <c r="L34" s="221">
        <f>SUM(L7:L32)</f>
        <v>0</v>
      </c>
      <c r="M34" s="129">
        <f>SUM(M7:M32)</f>
        <v>1369299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(10.3*1440)/1440*G42*2.77*1440/1000000</f>
        <v>56.286641543999998</v>
      </c>
      <c r="J37" s="134">
        <f>+I37+'25'!J37</f>
        <v>1552.8812362137069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32</v>
      </c>
      <c r="D38" s="127">
        <f>+C38+'25'!D38</f>
        <v>1960</v>
      </c>
      <c r="E38" s="152">
        <f t="shared" ref="E38:E51" si="1">D38/60</f>
        <v>32.666666666666664</v>
      </c>
      <c r="F38" s="337">
        <v>1630</v>
      </c>
      <c r="G38" s="337">
        <v>1369.2</v>
      </c>
      <c r="H38" s="196" t="s">
        <v>63</v>
      </c>
      <c r="I38" s="549">
        <f>17.956+20.331+18.627</f>
        <v>56.914000000000001</v>
      </c>
      <c r="J38" s="136">
        <f>+I38+'25'!J38</f>
        <v>1435.5990000000002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+C39+'25'!D39</f>
        <v>0</v>
      </c>
      <c r="E39" s="152">
        <f t="shared" si="1"/>
        <v>0</v>
      </c>
      <c r="F39" s="337">
        <v>1642.9166666666667</v>
      </c>
      <c r="G39" s="337">
        <v>1380.05</v>
      </c>
      <c r="H39" s="196" t="s">
        <v>64</v>
      </c>
      <c r="I39" s="151"/>
      <c r="J39" s="138">
        <f>J37/G4</f>
        <v>59.726201392834881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+C40+'25'!D40</f>
        <v>707</v>
      </c>
      <c r="E40" s="152">
        <f t="shared" si="1"/>
        <v>11.783333333333333</v>
      </c>
      <c r="F40" s="337">
        <v>1620</v>
      </c>
      <c r="G40" s="337">
        <v>1360.8</v>
      </c>
      <c r="H40" s="196" t="s">
        <v>66</v>
      </c>
      <c r="I40" s="127">
        <f>(K34+L34)/1000</f>
        <v>51.795999999999999</v>
      </c>
      <c r="J40" s="140">
        <f>+I40+'25'!J40</f>
        <v>1369.299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+C41+'25'!D41</f>
        <v>166</v>
      </c>
      <c r="E41" s="152">
        <f t="shared" si="1"/>
        <v>2.7666666666666666</v>
      </c>
      <c r="F41" s="337"/>
      <c r="G41" s="337"/>
      <c r="H41" s="196" t="s">
        <v>68</v>
      </c>
      <c r="I41" s="151"/>
      <c r="J41" s="138">
        <f>J40/G4</f>
        <v>52.665346153846151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+C42+'25'!D42</f>
        <v>0</v>
      </c>
      <c r="E42" s="152">
        <f t="shared" si="1"/>
        <v>0</v>
      </c>
      <c r="F42" s="337">
        <f>+(F38*480+F39*480+F40*480)/1440</f>
        <v>1630.9722222222222</v>
      </c>
      <c r="G42" s="337">
        <f>+(G38*480+G39*480+G40*480)/1440</f>
        <v>1370.0166666666667</v>
      </c>
      <c r="H42" s="196" t="s">
        <v>69</v>
      </c>
      <c r="I42" s="254" t="s">
        <v>822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+C43+'25'!D43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+Report1!T34</f>
        <v>129.50300000000001</v>
      </c>
      <c r="J43" s="142">
        <f>+I43+'25'!J43</f>
        <v>3304.3920000000003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+C44+'25'!D44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2.2754155392346349</v>
      </c>
      <c r="J44" s="143">
        <f>J43/J38</f>
        <v>2.3017513943656969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+C45+'25'!D45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2.500250984632018</v>
      </c>
      <c r="J45" s="143">
        <f>J43/J40</f>
        <v>2.4131997467317219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+C46+'25'!D46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+SUMIF(Listrik!AR33,"&gt;0")</f>
        <v>53214.459999998508</v>
      </c>
      <c r="J46" s="144">
        <f>+I46+'25'!J46</f>
        <v>1362741.7400000002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+C47+'25'!D47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934.99771585196095</v>
      </c>
      <c r="J47" s="144">
        <f>J46/J38</f>
        <v>949.24957456782852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+C48+'25'!D48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1027.3855123947508</v>
      </c>
      <c r="J48" s="144">
        <f>J46/J40</f>
        <v>995.21122851911832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+C49+'25'!D49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+I49+'25'!J49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+C50+'25'!D50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+C51+'25'!D51</f>
        <v>199</v>
      </c>
      <c r="E51" s="152">
        <f t="shared" si="1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32</v>
      </c>
      <c r="D52" s="153">
        <f>SUM(D38:D51)</f>
        <v>3107</v>
      </c>
      <c r="E52" s="154">
        <f>SUM(E38:E51)</f>
        <v>51.783333333333331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2.2222222222222223E-2</v>
      </c>
      <c r="D53" s="155">
        <f>D52/(24*60*G4)</f>
        <v>8.2986111111111108E-2</v>
      </c>
      <c r="E53" s="156">
        <f>E52/(G4*24)</f>
        <v>8.2986111111111108E-2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+D34+'25'!J56</f>
        <v>19048</v>
      </c>
      <c r="K56" s="210">
        <f>J56/(J40+J56/1000)/1000</f>
        <v>1.3719912961240957E-2</v>
      </c>
    </row>
    <row r="57" spans="1:11">
      <c r="A57" s="185"/>
      <c r="I57" s="208" t="s">
        <v>88</v>
      </c>
      <c r="J57" s="209">
        <f>+E34+'25'!J57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8.28515625" style="158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42578125" style="158" bestFit="1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29</v>
      </c>
      <c r="G4" s="163">
        <v>25</v>
      </c>
      <c r="H4" s="163" t="str">
        <f>+'1'!H4</f>
        <v>.11.25</v>
      </c>
    </row>
    <row r="5" spans="1:15" ht="13.5" thickBot="1">
      <c r="C5" s="164"/>
      <c r="D5" s="164"/>
    </row>
    <row r="6" spans="1:15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155+237+0</f>
        <v>392</v>
      </c>
    </row>
    <row r="7" spans="1:15" ht="13.5" customHeight="1" thickBot="1">
      <c r="A7" s="1002" t="s">
        <v>447</v>
      </c>
      <c r="B7" s="224" t="s">
        <v>519</v>
      </c>
      <c r="C7" s="225">
        <v>14826</v>
      </c>
      <c r="D7" s="226"/>
      <c r="E7" s="227"/>
      <c r="F7" s="236"/>
      <c r="G7" s="237" t="s">
        <v>11</v>
      </c>
      <c r="H7" s="238" t="s">
        <v>434</v>
      </c>
      <c r="I7" s="1005" t="s">
        <v>815</v>
      </c>
      <c r="J7" s="223" t="str">
        <f>+'24'!J7</f>
        <v>MG 14 VP HW/OW</v>
      </c>
      <c r="K7" s="246"/>
      <c r="L7" s="250"/>
      <c r="M7" s="126">
        <f>+K7+'24'!M7+L7</f>
        <v>143496</v>
      </c>
    </row>
    <row r="8" spans="1:15" ht="13.5" thickBot="1">
      <c r="A8" s="1003"/>
      <c r="B8" s="224"/>
      <c r="C8" s="225"/>
      <c r="D8" s="226"/>
      <c r="E8" s="228"/>
      <c r="F8" s="239">
        <v>5</v>
      </c>
      <c r="G8" s="240" t="s">
        <v>11</v>
      </c>
      <c r="H8" s="238" t="s">
        <v>569</v>
      </c>
      <c r="I8" s="1006"/>
      <c r="J8" s="223" t="str">
        <f>+'24'!J8</f>
        <v>MG 16,5 VP HW</v>
      </c>
      <c r="K8" s="247"/>
      <c r="L8" s="247"/>
      <c r="M8" s="126">
        <f>+K8+'24'!M8+L8</f>
        <v>93365</v>
      </c>
      <c r="N8" s="158">
        <v>1570</v>
      </c>
      <c r="O8" s="158">
        <f>+N8-N8*0.16</f>
        <v>1318.8</v>
      </c>
    </row>
    <row r="9" spans="1:15" ht="13.5" thickBot="1">
      <c r="A9" s="1003"/>
      <c r="B9" s="224"/>
      <c r="C9" s="225"/>
      <c r="D9" s="226"/>
      <c r="E9" s="229"/>
      <c r="F9" s="236">
        <v>7</v>
      </c>
      <c r="G9" s="240" t="s">
        <v>11</v>
      </c>
      <c r="H9" s="582" t="s">
        <v>546</v>
      </c>
      <c r="I9" s="1006"/>
      <c r="J9" s="223" t="str">
        <f>+'24'!J9</f>
        <v>MG 30 VP HW</v>
      </c>
      <c r="K9" s="247"/>
      <c r="L9" s="247"/>
      <c r="M9" s="126">
        <f>+K9+'24'!M9+L9</f>
        <v>4193</v>
      </c>
      <c r="N9" s="158">
        <v>1600</v>
      </c>
      <c r="O9" s="158">
        <f t="shared" ref="O9:O10" si="0">+N9-N9*0.16</f>
        <v>1344</v>
      </c>
    </row>
    <row r="10" spans="1:15" ht="13.5" thickBot="1">
      <c r="A10" s="1003"/>
      <c r="B10" s="224"/>
      <c r="C10" s="225"/>
      <c r="D10" s="226"/>
      <c r="E10" s="228"/>
      <c r="F10" s="236"/>
      <c r="G10" s="240"/>
      <c r="H10" s="582" t="s">
        <v>809</v>
      </c>
      <c r="I10" s="1006"/>
      <c r="J10" s="223" t="str">
        <f>+'24'!J10</f>
        <v>MG 17 VP HW</v>
      </c>
      <c r="K10" s="247"/>
      <c r="L10" s="247"/>
      <c r="M10" s="126">
        <f>+K10+'24'!M10+L10</f>
        <v>18114</v>
      </c>
      <c r="N10" s="158">
        <v>1630</v>
      </c>
      <c r="O10" s="158">
        <f t="shared" si="0"/>
        <v>1369.2</v>
      </c>
    </row>
    <row r="11" spans="1:15" ht="13.5" thickBot="1">
      <c r="A11" s="1003"/>
      <c r="B11" s="224"/>
      <c r="C11" s="225"/>
      <c r="D11" s="226"/>
      <c r="E11" s="228"/>
      <c r="F11" s="236"/>
      <c r="G11" s="240"/>
      <c r="H11" s="241" t="s">
        <v>560</v>
      </c>
      <c r="I11" s="1006"/>
      <c r="J11" s="223" t="str">
        <f>+'24'!J11</f>
        <v>MG 18 VP HW</v>
      </c>
      <c r="K11" s="247"/>
      <c r="L11" s="247"/>
      <c r="M11" s="126">
        <f>+K11+'24'!M11+L11</f>
        <v>25394</v>
      </c>
    </row>
    <row r="12" spans="1:15" ht="13.5" thickBot="1">
      <c r="A12" s="1003"/>
      <c r="B12" s="224"/>
      <c r="C12" s="225"/>
      <c r="D12" s="226"/>
      <c r="E12" s="228"/>
      <c r="F12" s="236"/>
      <c r="G12" s="240"/>
      <c r="H12" s="241" t="s">
        <v>805</v>
      </c>
      <c r="I12" s="1006"/>
      <c r="J12" s="223" t="str">
        <f>+'24'!J12</f>
        <v>MG 21,5 VP HW</v>
      </c>
      <c r="K12" s="247"/>
      <c r="L12" s="247"/>
      <c r="M12" s="126">
        <f>+K12+'24'!M12+L12</f>
        <v>987</v>
      </c>
    </row>
    <row r="13" spans="1:15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+'24'!J13</f>
        <v>F 10,3 VP OW</v>
      </c>
      <c r="K13" s="247">
        <f>+C34</f>
        <v>53747</v>
      </c>
      <c r="L13" s="247"/>
      <c r="M13" s="126">
        <f>+K13+'24'!M13+L13</f>
        <v>182787</v>
      </c>
    </row>
    <row r="14" spans="1:15" ht="13.5" thickBot="1">
      <c r="A14" s="1004"/>
      <c r="B14" s="174" t="s">
        <v>2</v>
      </c>
      <c r="C14" s="108">
        <f>SUM(C7:C13)</f>
        <v>14826</v>
      </c>
      <c r="D14" s="120">
        <f>SUM(D7:D13)</f>
        <v>0</v>
      </c>
      <c r="E14" s="121">
        <f>SUM(E5:E13)</f>
        <v>0</v>
      </c>
      <c r="F14" s="125">
        <f>SUM(F7:F13)</f>
        <v>12</v>
      </c>
      <c r="G14" s="168"/>
      <c r="H14" s="175"/>
      <c r="I14" s="176"/>
      <c r="J14" s="223" t="str">
        <f>+'24'!J14</f>
        <v>F 12 VP OW</v>
      </c>
      <c r="K14" s="247"/>
      <c r="L14" s="247"/>
      <c r="M14" s="126">
        <f>+K14+'24'!M14+L14</f>
        <v>114228</v>
      </c>
    </row>
    <row r="15" spans="1:15" ht="13.5" customHeight="1" thickBot="1">
      <c r="A15" s="1002" t="s">
        <v>448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516</v>
      </c>
      <c r="J15" s="223" t="str">
        <f>+'24'!J15</f>
        <v>F 13 VP OW</v>
      </c>
      <c r="K15" s="247"/>
      <c r="L15" s="247"/>
      <c r="M15" s="126">
        <f>+K15+'24'!M15+L15</f>
        <v>486505</v>
      </c>
    </row>
    <row r="16" spans="1:15" ht="13.5" thickBot="1">
      <c r="A16" s="1008"/>
      <c r="B16" s="224" t="s">
        <v>519</v>
      </c>
      <c r="C16" s="230">
        <v>18948</v>
      </c>
      <c r="D16" s="231"/>
      <c r="E16" s="232"/>
      <c r="F16" s="236">
        <v>3</v>
      </c>
      <c r="G16" s="240" t="s">
        <v>11</v>
      </c>
      <c r="H16" s="238" t="s">
        <v>568</v>
      </c>
      <c r="I16" s="1006"/>
      <c r="J16" s="223" t="str">
        <f>+'24'!J16</f>
        <v>F 12,5 VP OW</v>
      </c>
      <c r="K16" s="237"/>
      <c r="L16" s="237"/>
      <c r="M16" s="126">
        <f>+K16+'24'!M16+L16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3</v>
      </c>
      <c r="G17" s="240" t="s">
        <v>11</v>
      </c>
      <c r="H17" s="582" t="s">
        <v>546</v>
      </c>
      <c r="I17" s="1006"/>
      <c r="J17" s="223" t="str">
        <f>+'24'!J17</f>
        <v>SN 13 VP OW</v>
      </c>
      <c r="K17" s="237"/>
      <c r="L17" s="237"/>
      <c r="M17" s="126">
        <f>+K17+'24'!M17+L17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814</v>
      </c>
      <c r="I18" s="1006"/>
      <c r="J18" s="223" t="str">
        <f>+'24'!J18</f>
        <v>SN 14 VP OW</v>
      </c>
      <c r="K18" s="247"/>
      <c r="L18" s="247"/>
      <c r="M18" s="126">
        <f>+K18+'24'!M18+L18</f>
        <v>16454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 t="s">
        <v>813</v>
      </c>
      <c r="I19" s="1006"/>
      <c r="J19" s="223" t="str">
        <f>+'24'!J19</f>
        <v>SN 15 VP OW</v>
      </c>
      <c r="K19" s="247"/>
      <c r="L19" s="247"/>
      <c r="M19" s="126">
        <f>+K19+'24'!M19+L19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+'24'!J20</f>
        <v>0</v>
      </c>
      <c r="K20" s="248"/>
      <c r="L20" s="248"/>
      <c r="M20" s="126">
        <f>+K20+'24'!M20+L20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+'24'!J21</f>
        <v>0</v>
      </c>
      <c r="K21" s="247"/>
      <c r="L21" s="247"/>
      <c r="M21" s="126">
        <f>+K21+'24'!M21+L21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+'24'!J22</f>
        <v>0</v>
      </c>
      <c r="K22" s="247"/>
      <c r="L22" s="247"/>
      <c r="M22" s="126">
        <f>+K22+'24'!M22+L22</f>
        <v>0</v>
      </c>
    </row>
    <row r="23" spans="1:14" ht="13.5" thickBot="1">
      <c r="A23" s="1009"/>
      <c r="B23" s="177" t="s">
        <v>2</v>
      </c>
      <c r="C23" s="109">
        <f>SUM(C16:C22)</f>
        <v>18948</v>
      </c>
      <c r="D23" s="120">
        <f>SUM(D16:D22)</f>
        <v>0</v>
      </c>
      <c r="E23" s="121">
        <f>SUM(E18:E22)</f>
        <v>0</v>
      </c>
      <c r="F23" s="125">
        <f>SUM(F15:F22)</f>
        <v>6</v>
      </c>
      <c r="G23" s="168"/>
      <c r="H23" s="175" t="s">
        <v>234</v>
      </c>
      <c r="I23" s="178"/>
      <c r="J23" s="223">
        <f>+'24'!J23</f>
        <v>0</v>
      </c>
      <c r="K23" s="247"/>
      <c r="L23" s="247"/>
      <c r="M23" s="126">
        <f>+K23+'24'!M23+L23</f>
        <v>0</v>
      </c>
    </row>
    <row r="24" spans="1:14" ht="13.5" customHeight="1" thickBot="1">
      <c r="A24" s="1002" t="s">
        <v>449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816</v>
      </c>
      <c r="J24" s="223">
        <f>+'24'!J24</f>
        <v>0</v>
      </c>
      <c r="K24" s="247"/>
      <c r="L24" s="247"/>
      <c r="M24" s="126">
        <f>+K24+'24'!M24+L24</f>
        <v>0</v>
      </c>
    </row>
    <row r="25" spans="1:14" ht="13.5" thickBot="1">
      <c r="A25" s="1008"/>
      <c r="B25" s="224" t="s">
        <v>519</v>
      </c>
      <c r="C25" s="234">
        <v>19973</v>
      </c>
      <c r="D25" s="226"/>
      <c r="E25" s="233"/>
      <c r="F25" s="239">
        <v>3</v>
      </c>
      <c r="G25" s="240" t="s">
        <v>11</v>
      </c>
      <c r="H25" s="238" t="s">
        <v>569</v>
      </c>
      <c r="I25" s="1006"/>
      <c r="J25" s="223">
        <f>+'24'!J25</f>
        <v>0</v>
      </c>
      <c r="K25" s="247"/>
      <c r="L25" s="247"/>
      <c r="M25" s="126">
        <f>+K25+'24'!M25+L25</f>
        <v>0</v>
      </c>
    </row>
    <row r="26" spans="1:14" ht="13.5" thickBot="1">
      <c r="A26" s="1008"/>
      <c r="B26" s="224"/>
      <c r="C26" s="234"/>
      <c r="D26" s="226"/>
      <c r="E26" s="235"/>
      <c r="F26" s="239">
        <v>6</v>
      </c>
      <c r="G26" s="240" t="s">
        <v>11</v>
      </c>
      <c r="H26" s="582" t="s">
        <v>513</v>
      </c>
      <c r="I26" s="1006"/>
      <c r="J26" s="223">
        <f>+'24'!J26</f>
        <v>0</v>
      </c>
      <c r="K26" s="247"/>
      <c r="L26" s="247"/>
      <c r="M26" s="126">
        <f>+K26+'24'!M26+L26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812</v>
      </c>
      <c r="I27" s="1006"/>
      <c r="J27" s="223">
        <f>+'24'!J27</f>
        <v>0</v>
      </c>
      <c r="K27" s="247"/>
      <c r="L27" s="247"/>
      <c r="M27" s="126">
        <f>+K27+'24'!M27+L27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810</v>
      </c>
      <c r="I28" s="1006"/>
      <c r="J28" s="223">
        <f>+'24'!J28</f>
        <v>0</v>
      </c>
      <c r="K28" s="247"/>
      <c r="L28" s="247"/>
      <c r="M28" s="126">
        <f>+K28+'24'!M28+L28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 t="s">
        <v>811</v>
      </c>
      <c r="I29" s="1006"/>
      <c r="J29" s="223">
        <f>+'24'!J29</f>
        <v>0</v>
      </c>
      <c r="K29" s="247"/>
      <c r="L29" s="247"/>
      <c r="M29" s="126">
        <f>+K29+'24'!M29+L29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+'24'!J30</f>
        <v>0</v>
      </c>
      <c r="K30" s="247"/>
      <c r="L30" s="247"/>
      <c r="M30" s="126">
        <f>+K30+'24'!M30+L30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+'24'!J31</f>
        <v>0</v>
      </c>
      <c r="K31" s="247"/>
      <c r="L31" s="247"/>
      <c r="M31" s="126">
        <f>+K31+'24'!M31+L31</f>
        <v>0</v>
      </c>
    </row>
    <row r="32" spans="1:14" ht="13.5" thickBot="1">
      <c r="A32" s="1009"/>
      <c r="B32" s="174" t="s">
        <v>2</v>
      </c>
      <c r="C32" s="108">
        <f>SUM(C25:C31)</f>
        <v>19973</v>
      </c>
      <c r="D32" s="109">
        <f>SUM(D25:D31)</f>
        <v>0</v>
      </c>
      <c r="E32" s="110">
        <f>SUM(E25:E31)</f>
        <v>0</v>
      </c>
      <c r="F32" s="111">
        <f>SUM(F24:F31)</f>
        <v>9</v>
      </c>
      <c r="G32" s="180"/>
      <c r="H32" s="181"/>
      <c r="I32" s="178"/>
      <c r="J32" s="223">
        <f>+'24'!J32</f>
        <v>0</v>
      </c>
      <c r="K32" s="249"/>
      <c r="L32" s="251"/>
      <c r="M32" s="126">
        <f>+K32+'24'!M32+L32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53747</v>
      </c>
      <c r="D34" s="116">
        <f>D14+D23+D32</f>
        <v>0</v>
      </c>
      <c r="E34" s="116">
        <f>E14+E23+E32</f>
        <v>0</v>
      </c>
      <c r="F34" s="117">
        <f>F14+F23+F32</f>
        <v>27</v>
      </c>
      <c r="H34" s="187"/>
      <c r="I34" s="187"/>
      <c r="J34" s="132" t="s">
        <v>27</v>
      </c>
      <c r="K34" s="133">
        <f>SUM(K7:K32)</f>
        <v>53747</v>
      </c>
      <c r="L34" s="221">
        <f>SUM(L7:L32)</f>
        <v>0</v>
      </c>
      <c r="M34" s="129">
        <f>SUM(M7:M32)</f>
        <v>1317503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(10.3*1440)/1440*G42*2.77*1440/1000000</f>
        <v>55.21775616</v>
      </c>
      <c r="J37" s="134">
        <f>+I37+'24'!J37</f>
        <v>1496.5945946697068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27</v>
      </c>
      <c r="D38" s="127">
        <f>+C38+'24'!D38</f>
        <v>1928</v>
      </c>
      <c r="E38" s="152">
        <f t="shared" ref="E38:E51" si="1">D38/60</f>
        <v>32.133333333333333</v>
      </c>
      <c r="F38" s="337">
        <v>1570</v>
      </c>
      <c r="G38" s="337">
        <f>+F38-F38*0.16</f>
        <v>1318.8</v>
      </c>
      <c r="H38" s="196" t="s">
        <v>63</v>
      </c>
      <c r="I38" s="549">
        <f>16.901+18.984+15.942</f>
        <v>51.827000000000005</v>
      </c>
      <c r="J38" s="136">
        <f>+I38+'24'!J38</f>
        <v>1378.6850000000002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+C39+'24'!D39</f>
        <v>0</v>
      </c>
      <c r="E39" s="152">
        <f t="shared" si="1"/>
        <v>0</v>
      </c>
      <c r="F39" s="337">
        <v>1600</v>
      </c>
      <c r="G39" s="337">
        <f t="shared" ref="G39:G40" si="2">+F39-F39*0.16</f>
        <v>1344</v>
      </c>
      <c r="H39" s="196" t="s">
        <v>64</v>
      </c>
      <c r="I39" s="151"/>
      <c r="J39" s="138">
        <f>J37/G4</f>
        <v>59.863783786788275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+C40+'24'!D40</f>
        <v>707</v>
      </c>
      <c r="E40" s="152">
        <f t="shared" si="1"/>
        <v>11.783333333333333</v>
      </c>
      <c r="F40" s="337">
        <v>1630</v>
      </c>
      <c r="G40" s="337">
        <f t="shared" si="2"/>
        <v>1369.2</v>
      </c>
      <c r="H40" s="196" t="s">
        <v>66</v>
      </c>
      <c r="I40" s="127">
        <f>(K34+L34)/1000</f>
        <v>53.747</v>
      </c>
      <c r="J40" s="140">
        <f>+I40+'24'!J40</f>
        <v>1317.5029999999999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+C41+'24'!D41</f>
        <v>166</v>
      </c>
      <c r="E41" s="152">
        <f t="shared" si="1"/>
        <v>2.7666666666666666</v>
      </c>
      <c r="F41" s="337"/>
      <c r="G41" s="337"/>
      <c r="H41" s="196" t="s">
        <v>68</v>
      </c>
      <c r="I41" s="151"/>
      <c r="J41" s="138">
        <f>J40/G4</f>
        <v>52.700119999999998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+C42+'24'!D42</f>
        <v>0</v>
      </c>
      <c r="E42" s="152">
        <f t="shared" si="1"/>
        <v>0</v>
      </c>
      <c r="F42" s="337">
        <f>+(F38*480+F39*480+F40*480)/1440</f>
        <v>1600</v>
      </c>
      <c r="G42" s="337">
        <f>+(G38*480+G39*480+G40*480)/1440</f>
        <v>1344</v>
      </c>
      <c r="H42" s="196" t="s">
        <v>69</v>
      </c>
      <c r="I42" s="254" t="s">
        <v>516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+C43+'24'!D43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+Report1!T33</f>
        <v>125.011</v>
      </c>
      <c r="J43" s="142">
        <f>+I43+'24'!J43</f>
        <v>3174.8890000000001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+C44+'24'!D44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2.4120825052578767</v>
      </c>
      <c r="J44" s="143">
        <f>J43/J38</f>
        <v>2.3028385744386859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+C45+'24'!D45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2.3259158650715386</v>
      </c>
      <c r="J45" s="143">
        <f>J43/J40</f>
        <v>2.4097774350418937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+C46+'24'!D46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+SUMIF(Listrik!AR32,"&gt;0")</f>
        <v>54506.640000000159</v>
      </c>
      <c r="J46" s="144">
        <f>+I46+'24'!J46</f>
        <v>1309527.2800000017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+C47+'24'!D47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1051.7035522025228</v>
      </c>
      <c r="J47" s="144">
        <f>J46/J38</f>
        <v>949.83791076279317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+C48+'24'!D48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1014.133626062853</v>
      </c>
      <c r="J48" s="144">
        <f>J46/J40</f>
        <v>993.94633636507979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+C49+'24'!D49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+I49+'24'!J49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+C50+'24'!D50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+C51+'24'!D51</f>
        <v>199</v>
      </c>
      <c r="E51" s="152">
        <f t="shared" si="1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27</v>
      </c>
      <c r="D52" s="153">
        <f>SUM(D38:D51)</f>
        <v>3075</v>
      </c>
      <c r="E52" s="154">
        <f>SUM(E38:E51)</f>
        <v>51.25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1.8749999999999999E-2</v>
      </c>
      <c r="D53" s="155">
        <f>D52/(24*60*G4)</f>
        <v>8.5416666666666669E-2</v>
      </c>
      <c r="E53" s="156">
        <f>E52/(G4*24)</f>
        <v>8.5416666666666669E-2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+D34+'24'!J56</f>
        <v>19048</v>
      </c>
      <c r="K56" s="210">
        <f>J56/(J40+J56/1000)/1000</f>
        <v>1.4251607308662371E-2</v>
      </c>
    </row>
    <row r="57" spans="1:11">
      <c r="A57" s="185"/>
      <c r="I57" s="208" t="s">
        <v>88</v>
      </c>
      <c r="J57" s="209">
        <f>+E34+'24'!J57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3.57031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24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115+215+224</f>
        <v>554</v>
      </c>
    </row>
    <row r="7" spans="1:18" ht="13.5" customHeight="1" thickBot="1">
      <c r="A7" s="1002" t="s">
        <v>465</v>
      </c>
      <c r="B7" s="224" t="s">
        <v>552</v>
      </c>
      <c r="C7" s="225">
        <v>21375</v>
      </c>
      <c r="D7" s="226"/>
      <c r="E7" s="227"/>
      <c r="F7" s="236">
        <v>20</v>
      </c>
      <c r="G7" s="237" t="s">
        <v>11</v>
      </c>
      <c r="H7" s="238" t="s">
        <v>439</v>
      </c>
      <c r="I7" s="1005" t="s">
        <v>740</v>
      </c>
      <c r="J7" s="223" t="str">
        <f>+'23'!J7</f>
        <v>MG 14 VP HW/OW</v>
      </c>
      <c r="K7" s="246"/>
      <c r="L7" s="250"/>
      <c r="M7" s="126">
        <f>+K7+'23'!M7+L7</f>
        <v>143496</v>
      </c>
    </row>
    <row r="8" spans="1:18" ht="13.5" thickBot="1">
      <c r="A8" s="1003"/>
      <c r="B8" s="224"/>
      <c r="C8" s="225"/>
      <c r="D8" s="226"/>
      <c r="E8" s="228"/>
      <c r="F8" s="239">
        <v>6</v>
      </c>
      <c r="G8" s="240" t="s">
        <v>11</v>
      </c>
      <c r="H8" s="238" t="s">
        <v>568</v>
      </c>
      <c r="I8" s="1006"/>
      <c r="J8" s="223" t="str">
        <f>+'23'!J8</f>
        <v>MG 16,5 VP HW</v>
      </c>
      <c r="K8" s="247"/>
      <c r="L8" s="247"/>
      <c r="M8" s="126">
        <f>+K8+'23'!M8+L8</f>
        <v>93365</v>
      </c>
      <c r="N8" s="158">
        <v>1650</v>
      </c>
      <c r="O8" s="158">
        <f>+N8-N8*0.24</f>
        <v>1254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428</v>
      </c>
      <c r="I9" s="1006"/>
      <c r="J9" s="223" t="str">
        <f>+'23'!J9</f>
        <v>MG 30 VP HW</v>
      </c>
      <c r="K9" s="247"/>
      <c r="L9" s="247"/>
      <c r="M9" s="126">
        <f>+K9+'23'!M9+L9</f>
        <v>4193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739</v>
      </c>
      <c r="I10" s="1006"/>
      <c r="J10" s="223" t="str">
        <f>+'23'!J10</f>
        <v>MG 17 VP HW</v>
      </c>
      <c r="K10" s="247"/>
      <c r="L10" s="247"/>
      <c r="M10" s="126">
        <f>+K10+'23'!M10+L10</f>
        <v>18114</v>
      </c>
    </row>
    <row r="11" spans="1:18" ht="26.25" thickBot="1">
      <c r="A11" s="1003"/>
      <c r="B11" s="224"/>
      <c r="C11" s="225"/>
      <c r="D11" s="226"/>
      <c r="E11" s="228"/>
      <c r="F11" s="236"/>
      <c r="G11" s="240"/>
      <c r="H11" s="241" t="s">
        <v>770</v>
      </c>
      <c r="I11" s="1006"/>
      <c r="J11" s="223" t="str">
        <f>+'23'!J11</f>
        <v>MG 18 VP HW</v>
      </c>
      <c r="K11" s="247"/>
      <c r="L11" s="247"/>
      <c r="M11" s="126">
        <f>+K11+'23'!M11+L11</f>
        <v>25394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+'23'!J12</f>
        <v>MG 21,5 VP HW</v>
      </c>
      <c r="K12" s="247"/>
      <c r="L12" s="247"/>
      <c r="M12" s="126">
        <f>+K12+'23'!M12+L12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+'23'!J13</f>
        <v>F 10,3 VP OW</v>
      </c>
      <c r="K13" s="247">
        <f>+C26</f>
        <v>13102</v>
      </c>
      <c r="L13" s="247"/>
      <c r="M13" s="126">
        <f>+K13+'23'!M13+L13</f>
        <v>129040</v>
      </c>
    </row>
    <row r="14" spans="1:18" ht="13.5" thickBot="1">
      <c r="A14" s="1004"/>
      <c r="B14" s="174" t="s">
        <v>2</v>
      </c>
      <c r="C14" s="108">
        <f>SUM(C7:C13)</f>
        <v>21375</v>
      </c>
      <c r="D14" s="120">
        <f>SUM(D7:D13)</f>
        <v>0</v>
      </c>
      <c r="E14" s="121">
        <f>SUM(E5:E13)</f>
        <v>0</v>
      </c>
      <c r="F14" s="125">
        <f>SUM(F7:F13)</f>
        <v>36</v>
      </c>
      <c r="G14" s="168"/>
      <c r="H14" s="175"/>
      <c r="I14" s="176"/>
      <c r="J14" s="223" t="str">
        <f>+'23'!J14</f>
        <v>F 12 VP OW</v>
      </c>
      <c r="K14" s="247"/>
      <c r="L14" s="247"/>
      <c r="M14" s="126">
        <f>+K14+'23'!M14+L14</f>
        <v>114228</v>
      </c>
    </row>
    <row r="15" spans="1:18" ht="13.5" customHeight="1" thickBot="1">
      <c r="A15" s="1002" t="s">
        <v>448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584</v>
      </c>
      <c r="J15" s="223" t="str">
        <f>+'23'!J15</f>
        <v>F 13 VP OW</v>
      </c>
      <c r="K15" s="247">
        <f>+C7+C16+C25</f>
        <v>42862</v>
      </c>
      <c r="L15" s="247"/>
      <c r="M15" s="126">
        <f>+K15+'23'!M15+L15</f>
        <v>486505</v>
      </c>
    </row>
    <row r="16" spans="1:18" ht="13.5" thickBot="1">
      <c r="A16" s="1008"/>
      <c r="B16" s="224" t="s">
        <v>552</v>
      </c>
      <c r="C16" s="230">
        <f>13229+773+3506</f>
        <v>17508</v>
      </c>
      <c r="D16" s="231"/>
      <c r="E16" s="232"/>
      <c r="F16" s="236">
        <v>5</v>
      </c>
      <c r="G16" s="240" t="s">
        <v>11</v>
      </c>
      <c r="H16" s="238" t="s">
        <v>587</v>
      </c>
      <c r="I16" s="1006"/>
      <c r="J16" s="223" t="str">
        <f>+'23'!J16</f>
        <v>F 12,5 VP OW</v>
      </c>
      <c r="K16" s="247"/>
      <c r="L16" s="247"/>
      <c r="M16" s="126">
        <f>+K16+'23'!M16+L16</f>
        <v>91232</v>
      </c>
      <c r="N16" s="158">
        <v>1650</v>
      </c>
      <c r="O16" s="158">
        <f>+N16-N16*0.24</f>
        <v>1254</v>
      </c>
      <c r="P16" s="158">
        <v>420</v>
      </c>
      <c r="Q16" s="158">
        <f>+N16*P16</f>
        <v>693000</v>
      </c>
      <c r="R16" s="158">
        <f>+O16*P16</f>
        <v>526680</v>
      </c>
    </row>
    <row r="17" spans="1:18" ht="13.5" thickBot="1">
      <c r="A17" s="1008"/>
      <c r="B17" s="224"/>
      <c r="C17" s="225"/>
      <c r="D17" s="226"/>
      <c r="E17" s="233"/>
      <c r="F17" s="236">
        <v>6</v>
      </c>
      <c r="G17" s="240" t="s">
        <v>11</v>
      </c>
      <c r="H17" s="582" t="s">
        <v>544</v>
      </c>
      <c r="I17" s="1006"/>
      <c r="J17" s="223" t="str">
        <f>+'23'!J17</f>
        <v>SN 13 VP OW</v>
      </c>
      <c r="K17" s="247"/>
      <c r="L17" s="247"/>
      <c r="M17" s="126">
        <f>+K17+'23'!M17+L17</f>
        <v>112808</v>
      </c>
      <c r="N17" s="158">
        <v>1550</v>
      </c>
      <c r="O17" s="158">
        <f>+N17-N17*0.16</f>
        <v>1302</v>
      </c>
      <c r="P17" s="158">
        <v>60</v>
      </c>
      <c r="Q17" s="158">
        <f>+N17*P17</f>
        <v>93000</v>
      </c>
      <c r="R17" s="158">
        <f>+O17*P17</f>
        <v>78120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739</v>
      </c>
      <c r="I18" s="1006"/>
      <c r="J18" s="223" t="str">
        <f>+'23'!J18</f>
        <v>SN 14 VP OW</v>
      </c>
      <c r="K18" s="247"/>
      <c r="L18" s="247"/>
      <c r="M18" s="126">
        <f>+K18+'23'!M18+L18</f>
        <v>16454</v>
      </c>
      <c r="P18" s="158">
        <f>SUM(P16:P17)</f>
        <v>480</v>
      </c>
      <c r="Q18" s="158">
        <f t="shared" ref="Q18:R18" si="0">SUM(Q16:Q17)</f>
        <v>786000</v>
      </c>
      <c r="R18" s="158">
        <f t="shared" si="0"/>
        <v>604800</v>
      </c>
    </row>
    <row r="19" spans="1:18" ht="26.25" thickBot="1">
      <c r="A19" s="1008"/>
      <c r="B19" s="224"/>
      <c r="C19" s="225"/>
      <c r="D19" s="226"/>
      <c r="E19" s="233"/>
      <c r="F19" s="243">
        <v>15</v>
      </c>
      <c r="G19" s="240" t="s">
        <v>11</v>
      </c>
      <c r="H19" s="241" t="s">
        <v>806</v>
      </c>
      <c r="I19" s="1006"/>
      <c r="J19" s="223" t="str">
        <f>+'23'!J19</f>
        <v>SN 15 VP OW</v>
      </c>
      <c r="K19" s="247"/>
      <c r="L19" s="247"/>
      <c r="M19" s="126">
        <f>+K19+'23'!M19+L19</f>
        <v>27940</v>
      </c>
      <c r="Q19" s="158">
        <f>+Q18/P18</f>
        <v>1637.5</v>
      </c>
      <c r="R19" s="158">
        <f>+R18/P18</f>
        <v>1260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 t="s">
        <v>802</v>
      </c>
      <c r="I20" s="1006"/>
      <c r="J20" s="223">
        <f>+'23'!J20</f>
        <v>0</v>
      </c>
      <c r="K20" s="247"/>
      <c r="L20" s="247"/>
      <c r="M20" s="126">
        <f>+K20+'23'!M20+L20</f>
        <v>0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 t="s">
        <v>803</v>
      </c>
      <c r="I21" s="1006"/>
      <c r="J21" s="223">
        <f>+'23'!J21</f>
        <v>0</v>
      </c>
      <c r="K21" s="247"/>
      <c r="L21" s="247"/>
      <c r="M21" s="126">
        <f>+K21+'23'!M21+L21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+'23'!J22</f>
        <v>0</v>
      </c>
      <c r="K22" s="247"/>
      <c r="L22" s="247"/>
      <c r="M22" s="126">
        <f>+K22+'23'!M22+L22</f>
        <v>0</v>
      </c>
    </row>
    <row r="23" spans="1:18" ht="13.5" thickBot="1">
      <c r="A23" s="1009"/>
      <c r="B23" s="177" t="s">
        <v>2</v>
      </c>
      <c r="C23" s="109">
        <f>SUM(C16:C22)</f>
        <v>17508</v>
      </c>
      <c r="D23" s="120">
        <f>SUM(D16:D22)</f>
        <v>0</v>
      </c>
      <c r="E23" s="121">
        <f>SUM(E18:E22)</f>
        <v>0</v>
      </c>
      <c r="F23" s="125">
        <f>SUM(F15:F22)</f>
        <v>26</v>
      </c>
      <c r="G23" s="168"/>
      <c r="H23" s="175" t="s">
        <v>234</v>
      </c>
      <c r="I23" s="178"/>
      <c r="J23" s="223">
        <f>+'23'!J23</f>
        <v>0</v>
      </c>
      <c r="K23" s="247"/>
      <c r="L23" s="247"/>
      <c r="M23" s="126">
        <f>+K23+'23'!M23+L23</f>
        <v>0</v>
      </c>
    </row>
    <row r="24" spans="1:18" ht="13.5" customHeight="1" thickBot="1">
      <c r="A24" s="1002" t="s">
        <v>449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584</v>
      </c>
      <c r="J24" s="223">
        <f>+'23'!J24</f>
        <v>0</v>
      </c>
      <c r="K24" s="247"/>
      <c r="L24" s="247"/>
      <c r="M24" s="126">
        <f>+K24+'23'!M24+L24</f>
        <v>0</v>
      </c>
    </row>
    <row r="25" spans="1:18" ht="13.5" thickBot="1">
      <c r="A25" s="1008"/>
      <c r="B25" s="224" t="s">
        <v>552</v>
      </c>
      <c r="C25" s="234">
        <f>3761+218</f>
        <v>3979</v>
      </c>
      <c r="D25" s="226"/>
      <c r="E25" s="233"/>
      <c r="F25" s="239">
        <v>8</v>
      </c>
      <c r="G25" s="240" t="s">
        <v>11</v>
      </c>
      <c r="H25" s="238" t="s">
        <v>587</v>
      </c>
      <c r="I25" s="1006"/>
      <c r="J25" s="223">
        <f>+'23'!J25</f>
        <v>0</v>
      </c>
      <c r="K25" s="247"/>
      <c r="L25" s="247"/>
      <c r="M25" s="126">
        <f>+K25+'23'!M25+L25</f>
        <v>0</v>
      </c>
    </row>
    <row r="26" spans="1:18" ht="13.5" thickBot="1">
      <c r="A26" s="1008"/>
      <c r="B26" s="224" t="s">
        <v>519</v>
      </c>
      <c r="C26" s="234">
        <v>13102</v>
      </c>
      <c r="D26" s="226"/>
      <c r="E26" s="235"/>
      <c r="F26" s="239">
        <v>5</v>
      </c>
      <c r="G26" s="240" t="s">
        <v>11</v>
      </c>
      <c r="H26" s="582" t="s">
        <v>428</v>
      </c>
      <c r="I26" s="1006"/>
      <c r="J26" s="223">
        <f>+'23'!J26</f>
        <v>0</v>
      </c>
      <c r="K26" s="247"/>
      <c r="L26" s="247"/>
      <c r="M26" s="126">
        <f>+K26+'23'!M26+L26</f>
        <v>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804</v>
      </c>
      <c r="I27" s="1006"/>
      <c r="J27" s="223">
        <f>+'23'!J27</f>
        <v>0</v>
      </c>
      <c r="K27" s="247"/>
      <c r="L27" s="247"/>
      <c r="M27" s="126">
        <f>+K27+'23'!M27+L27</f>
        <v>0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 t="s">
        <v>560</v>
      </c>
      <c r="I28" s="1006"/>
      <c r="J28" s="223">
        <f>+'23'!J28</f>
        <v>0</v>
      </c>
      <c r="K28" s="247"/>
      <c r="L28" s="247"/>
      <c r="M28" s="126">
        <f>+K28+'23'!M28+L28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 t="s">
        <v>805</v>
      </c>
      <c r="I29" s="1006"/>
      <c r="J29" s="223">
        <f>+'23'!J29</f>
        <v>0</v>
      </c>
      <c r="K29" s="247"/>
      <c r="L29" s="247"/>
      <c r="M29" s="126">
        <f>+K29+'23'!M29+L29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+'23'!J30</f>
        <v>0</v>
      </c>
      <c r="K30" s="247"/>
      <c r="L30" s="247"/>
      <c r="M30" s="126">
        <f>+K30+'23'!M30+L30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+'23'!J31</f>
        <v>0</v>
      </c>
      <c r="K31" s="247"/>
      <c r="L31" s="247"/>
      <c r="M31" s="126">
        <f>+K31+'23'!M31+L31</f>
        <v>0</v>
      </c>
    </row>
    <row r="32" spans="1:18" ht="13.5" thickBot="1">
      <c r="A32" s="1009"/>
      <c r="B32" s="174" t="s">
        <v>2</v>
      </c>
      <c r="C32" s="108">
        <f>SUM(C25:C31)</f>
        <v>17081</v>
      </c>
      <c r="D32" s="109">
        <f>SUM(D25:D31)</f>
        <v>0</v>
      </c>
      <c r="E32" s="110">
        <f>SUM(E25:E31)</f>
        <v>0</v>
      </c>
      <c r="F32" s="111">
        <f>SUM(F24:F31)</f>
        <v>13</v>
      </c>
      <c r="G32" s="180"/>
      <c r="H32" s="181"/>
      <c r="I32" s="178"/>
      <c r="J32" s="223">
        <f>+'23'!J32</f>
        <v>0</v>
      </c>
      <c r="K32" s="249"/>
      <c r="L32" s="251"/>
      <c r="M32" s="126">
        <f>+K32+'23'!M32+L32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55964</v>
      </c>
      <c r="D34" s="116">
        <f>D14+D23+D32</f>
        <v>0</v>
      </c>
      <c r="E34" s="116">
        <f>E14+E23+E32</f>
        <v>0</v>
      </c>
      <c r="F34" s="117">
        <f>F14+F23+F32</f>
        <v>75</v>
      </c>
      <c r="H34" s="187"/>
      <c r="I34" s="187"/>
      <c r="J34" s="132" t="s">
        <v>27</v>
      </c>
      <c r="K34" s="133">
        <f>SUM(K7:K32)</f>
        <v>55964</v>
      </c>
      <c r="L34" s="221">
        <f>SUM(L7:L32)</f>
        <v>0</v>
      </c>
      <c r="M34" s="129">
        <f>SUM(M7:M32)</f>
        <v>1263756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(13*900+10.3*540)/1440*G42*2.77*1440/1000000</f>
        <v>60.821621280000002</v>
      </c>
      <c r="J37" s="134">
        <f>+I37+'23'!J37</f>
        <v>1441.3768385097069</v>
      </c>
      <c r="K37" s="135" t="s">
        <v>62</v>
      </c>
      <c r="L37" s="556">
        <f>+I38-L38</f>
        <v>38.405000000000001</v>
      </c>
    </row>
    <row r="38" spans="1:14" ht="17.45" customHeight="1">
      <c r="A38" s="1000" t="s">
        <v>11</v>
      </c>
      <c r="B38" s="1001"/>
      <c r="C38" s="173">
        <f>SUMIF($G$7:$G$31,"Process",$F$7:$F$31)</f>
        <v>75</v>
      </c>
      <c r="D38" s="127">
        <f>+C38+'23'!D38</f>
        <v>1901</v>
      </c>
      <c r="E38" s="152">
        <f t="shared" ref="E38:E51" si="1">D38/60</f>
        <v>31.683333333333334</v>
      </c>
      <c r="F38" s="337">
        <v>1650</v>
      </c>
      <c r="G38" s="337">
        <v>1254</v>
      </c>
      <c r="H38" s="196" t="s">
        <v>63</v>
      </c>
      <c r="I38" s="549">
        <f>17.61+21.226+17.97</f>
        <v>56.805999999999997</v>
      </c>
      <c r="J38" s="136">
        <f>+I38+'23'!J38</f>
        <v>1326.8580000000002</v>
      </c>
      <c r="K38" s="137" t="s">
        <v>62</v>
      </c>
      <c r="L38" s="158">
        <f>0.431+17.97</f>
        <v>18.401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+C39+'23'!D39</f>
        <v>0</v>
      </c>
      <c r="E39" s="152">
        <f t="shared" si="1"/>
        <v>0</v>
      </c>
      <c r="F39" s="337">
        <v>1637.5</v>
      </c>
      <c r="G39" s="337">
        <v>1260</v>
      </c>
      <c r="H39" s="196" t="s">
        <v>64</v>
      </c>
      <c r="I39" s="151"/>
      <c r="J39" s="138">
        <f>J37/G4</f>
        <v>60.057368271237785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+C40+'23'!D40</f>
        <v>707</v>
      </c>
      <c r="E40" s="152">
        <f t="shared" si="1"/>
        <v>11.783333333333333</v>
      </c>
      <c r="F40" s="337">
        <v>1550</v>
      </c>
      <c r="G40" s="337">
        <v>1302</v>
      </c>
      <c r="H40" s="196" t="s">
        <v>66</v>
      </c>
      <c r="I40" s="127">
        <f>(K34+L34)/1000</f>
        <v>55.963999999999999</v>
      </c>
      <c r="J40" s="140">
        <f>+I40+'23'!J40</f>
        <v>1263.7559999999999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+C41+'23'!D41</f>
        <v>166</v>
      </c>
      <c r="E41" s="152">
        <f t="shared" si="1"/>
        <v>2.7666666666666666</v>
      </c>
      <c r="F41" s="337"/>
      <c r="G41" s="337"/>
      <c r="H41" s="196" t="s">
        <v>68</v>
      </c>
      <c r="I41" s="151"/>
      <c r="J41" s="138">
        <f>J40/G4</f>
        <v>52.656499999999994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+C42+'23'!D42</f>
        <v>0</v>
      </c>
      <c r="E42" s="152">
        <f t="shared" si="1"/>
        <v>0</v>
      </c>
      <c r="F42" s="337">
        <f>+(F38*480+F39*480+F40*480)/1440</f>
        <v>1612.5</v>
      </c>
      <c r="G42" s="337">
        <f>+(G38*480+G39*480+G40*480)/1440</f>
        <v>1272</v>
      </c>
      <c r="H42" s="196" t="s">
        <v>69</v>
      </c>
      <c r="I42" s="254" t="s">
        <v>807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+C43+'23'!D43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+Report1!T32</f>
        <v>128.20599999999999</v>
      </c>
      <c r="J43" s="142">
        <f>+I43+'23'!J43</f>
        <v>3049.8780000000002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+C44+'23'!D44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2.2569094813928103</v>
      </c>
      <c r="J44" s="143">
        <f>J43/J38</f>
        <v>2.2985715125507022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+C45+'23'!D45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2.2908655564291327</v>
      </c>
      <c r="J45" s="143">
        <f>J43/J40</f>
        <v>2.4133440316010373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+C46+'23'!D46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+SUMIF(Listrik!AR31,"&gt;0")</f>
        <v>54771.680000001514</v>
      </c>
      <c r="J46" s="144">
        <f>+I46+'23'!J46</f>
        <v>1255020.6400000015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+C47+'23'!D47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964.18828996939612</v>
      </c>
      <c r="J47" s="144">
        <f>J46/J38</f>
        <v>945.85904444936943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+C48+'23'!D48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978.69487527699084</v>
      </c>
      <c r="J48" s="144">
        <f>J46/J40</f>
        <v>993.08777960302598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+C49+'23'!D49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+I49+'23'!J49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+C50+'23'!D50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+C51+'23'!D51</f>
        <v>199</v>
      </c>
      <c r="E51" s="152">
        <f t="shared" si="1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75</v>
      </c>
      <c r="D52" s="153">
        <f>SUM(D38:D51)</f>
        <v>3048</v>
      </c>
      <c r="E52" s="154">
        <f>SUM(E38:E51)</f>
        <v>50.800000000000004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5.2083333333333336E-2</v>
      </c>
      <c r="D53" s="155">
        <f>D52/(24*60*G4)</f>
        <v>8.819444444444445E-2</v>
      </c>
      <c r="E53" s="156">
        <f>E52/(G4*24)</f>
        <v>8.819444444444445E-2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+D34+'23'!J56</f>
        <v>19048</v>
      </c>
      <c r="K56" s="210">
        <f>J56/(J40+J56/1000)/1000</f>
        <v>1.4848722018328601E-2</v>
      </c>
    </row>
    <row r="57" spans="1:11">
      <c r="A57" s="185"/>
      <c r="I57" s="208" t="s">
        <v>88</v>
      </c>
      <c r="J57" s="209">
        <f>+E34+'23'!J57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10"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3.710937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23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200+227+172</f>
        <v>599</v>
      </c>
    </row>
    <row r="7" spans="1:18" ht="13.5" customHeight="1" thickBot="1">
      <c r="A7" s="1002" t="s">
        <v>465</v>
      </c>
      <c r="B7" s="224" t="s">
        <v>552</v>
      </c>
      <c r="C7" s="225">
        <v>12436</v>
      </c>
      <c r="D7" s="226"/>
      <c r="E7" s="227"/>
      <c r="F7" s="236"/>
      <c r="G7" s="237" t="s">
        <v>11</v>
      </c>
      <c r="H7" s="238" t="s">
        <v>434</v>
      </c>
      <c r="I7" s="1005" t="s">
        <v>794</v>
      </c>
      <c r="J7" s="223" t="str">
        <f>+'22'!J7</f>
        <v>MG 14 VP HW/OW</v>
      </c>
      <c r="K7" s="246"/>
      <c r="L7" s="250"/>
      <c r="M7" s="126">
        <f>+K7+'22'!M7+L7</f>
        <v>143496</v>
      </c>
    </row>
    <row r="8" spans="1:18" ht="13.5" thickBot="1">
      <c r="A8" s="1003"/>
      <c r="B8" s="224"/>
      <c r="C8" s="225"/>
      <c r="D8" s="226"/>
      <c r="E8" s="228"/>
      <c r="F8" s="239">
        <v>4</v>
      </c>
      <c r="G8" s="240" t="s">
        <v>11</v>
      </c>
      <c r="H8" s="238" t="s">
        <v>568</v>
      </c>
      <c r="I8" s="1006"/>
      <c r="J8" s="223" t="str">
        <f>+'22'!J8</f>
        <v>MG 16,5 VP HW</v>
      </c>
      <c r="K8" s="247"/>
      <c r="L8" s="247"/>
      <c r="M8" s="126">
        <f>+K8+'22'!M8+L8</f>
        <v>93365</v>
      </c>
      <c r="N8" s="158">
        <v>1680</v>
      </c>
      <c r="O8" s="158">
        <f>+N8-N8*0.24</f>
        <v>1276.8</v>
      </c>
      <c r="P8" s="158">
        <v>350</v>
      </c>
      <c r="Q8" s="158">
        <f>+N8*P8</f>
        <v>588000</v>
      </c>
      <c r="R8" s="158">
        <f>+O8*P8</f>
        <v>446880</v>
      </c>
    </row>
    <row r="9" spans="1:18" ht="13.5" thickBot="1">
      <c r="A9" s="1003"/>
      <c r="B9" s="224"/>
      <c r="C9" s="225"/>
      <c r="D9" s="226"/>
      <c r="E9" s="229"/>
      <c r="F9" s="236">
        <v>4</v>
      </c>
      <c r="G9" s="240" t="s">
        <v>11</v>
      </c>
      <c r="H9" s="582" t="s">
        <v>428</v>
      </c>
      <c r="I9" s="1006"/>
      <c r="J9" s="223" t="str">
        <f>+'22'!J9</f>
        <v>MG 30 VP HW</v>
      </c>
      <c r="K9" s="247"/>
      <c r="L9" s="247"/>
      <c r="M9" s="126">
        <f>+K9+'22'!M9+L9</f>
        <v>4193</v>
      </c>
      <c r="N9" s="158">
        <v>1650</v>
      </c>
      <c r="O9" s="158">
        <f>+N9-N9*0.24</f>
        <v>1254</v>
      </c>
      <c r="P9" s="158">
        <v>60</v>
      </c>
      <c r="Q9" s="158">
        <f>+N9*P9</f>
        <v>99000</v>
      </c>
      <c r="R9" s="158">
        <f>+O9*P9</f>
        <v>75240</v>
      </c>
    </row>
    <row r="10" spans="1:18" ht="26.25" thickBot="1">
      <c r="A10" s="1003"/>
      <c r="B10" s="224"/>
      <c r="C10" s="225"/>
      <c r="D10" s="226"/>
      <c r="E10" s="228" t="s">
        <v>653</v>
      </c>
      <c r="F10" s="236">
        <v>70</v>
      </c>
      <c r="G10" s="240" t="s">
        <v>65</v>
      </c>
      <c r="H10" s="582" t="s">
        <v>790</v>
      </c>
      <c r="I10" s="1006"/>
      <c r="J10" s="223" t="str">
        <f>+'22'!J10</f>
        <v>MG 17 VP HW</v>
      </c>
      <c r="K10" s="247"/>
      <c r="L10" s="247"/>
      <c r="M10" s="126">
        <f>+K10+'22'!M10+L10</f>
        <v>18114</v>
      </c>
      <c r="P10" s="158">
        <f>SUM(P8:P9)</f>
        <v>410</v>
      </c>
      <c r="Q10" s="158">
        <f t="shared" ref="Q10:R10" si="0">SUM(Q8:Q9)</f>
        <v>687000</v>
      </c>
      <c r="R10" s="158">
        <f t="shared" si="0"/>
        <v>522120</v>
      </c>
    </row>
    <row r="11" spans="1:18" ht="26.25" thickBot="1">
      <c r="A11" s="1003"/>
      <c r="B11" s="224"/>
      <c r="C11" s="225"/>
      <c r="D11" s="226"/>
      <c r="E11" s="228"/>
      <c r="F11" s="236"/>
      <c r="G11" s="240"/>
      <c r="H11" s="241" t="s">
        <v>791</v>
      </c>
      <c r="I11" s="1006"/>
      <c r="J11" s="223" t="str">
        <f>+'22'!J11</f>
        <v>MG 18 VP HW</v>
      </c>
      <c r="K11" s="247"/>
      <c r="L11" s="247"/>
      <c r="M11" s="126">
        <f>+K11+'22'!M11+L11</f>
        <v>25394</v>
      </c>
      <c r="Q11" s="158">
        <f>+Q10/P10</f>
        <v>1675.6097560975609</v>
      </c>
      <c r="R11" s="158">
        <f>+R10/P10</f>
        <v>1273.4634146341464</v>
      </c>
    </row>
    <row r="12" spans="1:18" ht="39" thickBot="1">
      <c r="A12" s="1003"/>
      <c r="B12" s="224"/>
      <c r="C12" s="225"/>
      <c r="D12" s="226"/>
      <c r="E12" s="228" t="s">
        <v>669</v>
      </c>
      <c r="F12" s="236">
        <v>20</v>
      </c>
      <c r="G12" s="240" t="s">
        <v>65</v>
      </c>
      <c r="H12" s="241" t="s">
        <v>793</v>
      </c>
      <c r="I12" s="1006"/>
      <c r="J12" s="223" t="str">
        <f>+'22'!J12</f>
        <v>MG 21,5 VP HW</v>
      </c>
      <c r="K12" s="247"/>
      <c r="L12" s="247"/>
      <c r="M12" s="126">
        <f>+K12+'22'!M12+L12</f>
        <v>987</v>
      </c>
    </row>
    <row r="13" spans="1:18" ht="51.75" thickBot="1">
      <c r="A13" s="1003"/>
      <c r="B13" s="224"/>
      <c r="C13" s="225"/>
      <c r="D13" s="225"/>
      <c r="E13" s="228"/>
      <c r="F13" s="236"/>
      <c r="G13" s="240"/>
      <c r="H13" s="241" t="s">
        <v>792</v>
      </c>
      <c r="I13" s="1007"/>
      <c r="J13" s="223" t="str">
        <f>+'22'!J13</f>
        <v>F 10,3 VP OW</v>
      </c>
      <c r="K13" s="247"/>
      <c r="L13" s="247"/>
      <c r="M13" s="126">
        <f>+K13+'22'!M13+L13</f>
        <v>115938</v>
      </c>
    </row>
    <row r="14" spans="1:18" ht="13.5" thickBot="1">
      <c r="A14" s="1004"/>
      <c r="B14" s="174" t="s">
        <v>2</v>
      </c>
      <c r="C14" s="108">
        <f>SUM(C7:C13)</f>
        <v>12436</v>
      </c>
      <c r="D14" s="120">
        <f>SUM(D7:D13)</f>
        <v>0</v>
      </c>
      <c r="E14" s="121">
        <f>SUM(E5:E13)</f>
        <v>0</v>
      </c>
      <c r="F14" s="125">
        <f>SUM(F7:F13)</f>
        <v>98</v>
      </c>
      <c r="G14" s="168"/>
      <c r="H14" s="175"/>
      <c r="I14" s="176"/>
      <c r="J14" s="223" t="str">
        <f>+'22'!J14</f>
        <v>F 12 VP OW</v>
      </c>
      <c r="K14" s="247"/>
      <c r="L14" s="247"/>
      <c r="M14" s="126">
        <f>+K14+'22'!M14+L14</f>
        <v>114228</v>
      </c>
    </row>
    <row r="15" spans="1:18" ht="13.5" customHeight="1" thickBot="1">
      <c r="A15" s="1002" t="s">
        <v>448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740</v>
      </c>
      <c r="J15" s="223" t="str">
        <f>+'22'!J15</f>
        <v>F 13 VP OW</v>
      </c>
      <c r="K15" s="247">
        <f>+C34</f>
        <v>51460</v>
      </c>
      <c r="L15" s="247"/>
      <c r="M15" s="126">
        <f>+K15+'22'!M15+L15</f>
        <v>443643</v>
      </c>
    </row>
    <row r="16" spans="1:18" ht="13.5" thickBot="1">
      <c r="A16" s="1008"/>
      <c r="B16" s="224" t="s">
        <v>552</v>
      </c>
      <c r="C16" s="230">
        <v>18016</v>
      </c>
      <c r="D16" s="231"/>
      <c r="E16" s="232"/>
      <c r="F16" s="236">
        <v>4</v>
      </c>
      <c r="G16" s="240" t="s">
        <v>11</v>
      </c>
      <c r="H16" s="238" t="s">
        <v>568</v>
      </c>
      <c r="I16" s="1006"/>
      <c r="J16" s="223" t="str">
        <f>+'22'!J16</f>
        <v>F 12,5 VP OW</v>
      </c>
      <c r="K16" s="247"/>
      <c r="L16" s="237"/>
      <c r="M16" s="126">
        <f>+K16+'22'!M16+L16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428</v>
      </c>
      <c r="I17" s="1006"/>
      <c r="J17" s="223" t="str">
        <f>+'22'!J17</f>
        <v>SN 13 VP OW</v>
      </c>
      <c r="K17" s="247"/>
      <c r="L17" s="237"/>
      <c r="M17" s="126">
        <f>+K17+'22'!M17+L17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739</v>
      </c>
      <c r="I18" s="1006"/>
      <c r="J18" s="223" t="str">
        <f>+'22'!J18</f>
        <v>SN 14 VP OW</v>
      </c>
      <c r="K18" s="247"/>
      <c r="L18" s="247"/>
      <c r="M18" s="126">
        <f>+K18+'22'!M18+L18</f>
        <v>16454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 t="s">
        <v>765</v>
      </c>
      <c r="I19" s="1006"/>
      <c r="J19" s="223" t="str">
        <f>+'22'!J19</f>
        <v>SN 15 VP OW</v>
      </c>
      <c r="K19" s="247"/>
      <c r="L19" s="247"/>
      <c r="M19" s="126">
        <f>+K19+'22'!M19+L19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+'22'!J20</f>
        <v>0</v>
      </c>
      <c r="K20" s="247"/>
      <c r="L20" s="248"/>
      <c r="M20" s="126">
        <f>+K20+'22'!M20+L20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+'22'!J21</f>
        <v>0</v>
      </c>
      <c r="K21" s="247"/>
      <c r="L21" s="247"/>
      <c r="M21" s="126">
        <f>+K21+'22'!M21+L21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+'22'!J22</f>
        <v>0</v>
      </c>
      <c r="K22" s="247"/>
      <c r="L22" s="247"/>
      <c r="M22" s="126">
        <f>+K22+'22'!M22+L22</f>
        <v>0</v>
      </c>
    </row>
    <row r="23" spans="1:14" ht="13.5" thickBot="1">
      <c r="A23" s="1009"/>
      <c r="B23" s="177" t="s">
        <v>2</v>
      </c>
      <c r="C23" s="109">
        <f>SUM(C16:C22)</f>
        <v>18016</v>
      </c>
      <c r="D23" s="120">
        <f>SUM(D16:D22)</f>
        <v>0</v>
      </c>
      <c r="E23" s="121">
        <f>SUM(E18:E22)</f>
        <v>0</v>
      </c>
      <c r="F23" s="125">
        <f>SUM(F15:F22)</f>
        <v>14</v>
      </c>
      <c r="G23" s="168"/>
      <c r="H23" s="175" t="s">
        <v>234</v>
      </c>
      <c r="I23" s="178"/>
      <c r="J23" s="223">
        <f>+'22'!J23</f>
        <v>0</v>
      </c>
      <c r="K23" s="247"/>
      <c r="L23" s="247"/>
      <c r="M23" s="126">
        <f>+K23+'22'!M23+L23</f>
        <v>0</v>
      </c>
    </row>
    <row r="24" spans="1:14" ht="13.5" customHeight="1" thickBot="1">
      <c r="A24" s="1002" t="s">
        <v>449</v>
      </c>
      <c r="B24" s="179"/>
      <c r="C24" s="122"/>
      <c r="D24" s="123"/>
      <c r="E24" s="124"/>
      <c r="F24" s="244">
        <v>10</v>
      </c>
      <c r="G24" s="237" t="s">
        <v>11</v>
      </c>
      <c r="H24" s="238" t="s">
        <v>414</v>
      </c>
      <c r="I24" s="1005" t="s">
        <v>740</v>
      </c>
      <c r="J24" s="223">
        <f>+'22'!J24</f>
        <v>0</v>
      </c>
      <c r="K24" s="247"/>
      <c r="L24" s="247"/>
      <c r="M24" s="126">
        <f>+K24+'22'!M24+L24</f>
        <v>0</v>
      </c>
    </row>
    <row r="25" spans="1:14" ht="13.5" thickBot="1">
      <c r="A25" s="1008"/>
      <c r="B25" s="224" t="s">
        <v>552</v>
      </c>
      <c r="C25" s="234">
        <v>21008</v>
      </c>
      <c r="D25" s="226"/>
      <c r="E25" s="233"/>
      <c r="F25" s="239">
        <v>8</v>
      </c>
      <c r="G25" s="240" t="s">
        <v>11</v>
      </c>
      <c r="H25" s="238" t="s">
        <v>587</v>
      </c>
      <c r="I25" s="1006"/>
      <c r="J25" s="223">
        <f>+'22'!J25</f>
        <v>0</v>
      </c>
      <c r="K25" s="247"/>
      <c r="L25" s="247"/>
      <c r="M25" s="126">
        <f>+K25+'22'!M25+L25</f>
        <v>0</v>
      </c>
    </row>
    <row r="26" spans="1:14" ht="13.5" thickBot="1">
      <c r="A26" s="1008"/>
      <c r="B26" s="224"/>
      <c r="C26" s="234"/>
      <c r="D26" s="226"/>
      <c r="E26" s="235"/>
      <c r="F26" s="239">
        <v>10</v>
      </c>
      <c r="G26" s="240" t="s">
        <v>11</v>
      </c>
      <c r="H26" s="582" t="s">
        <v>544</v>
      </c>
      <c r="I26" s="1006"/>
      <c r="J26" s="223">
        <f>+'22'!J26</f>
        <v>0</v>
      </c>
      <c r="K26" s="247"/>
      <c r="L26" s="247"/>
      <c r="M26" s="126">
        <f>+K26+'22'!M26+L26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739</v>
      </c>
      <c r="I27" s="1006"/>
      <c r="J27" s="223">
        <f>+'22'!J27</f>
        <v>0</v>
      </c>
      <c r="K27" s="247"/>
      <c r="L27" s="247"/>
      <c r="M27" s="126">
        <f>+K27+'22'!M27+L27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560</v>
      </c>
      <c r="I28" s="1006"/>
      <c r="J28" s="223">
        <f>+'22'!J28</f>
        <v>0</v>
      </c>
      <c r="K28" s="247"/>
      <c r="L28" s="247"/>
      <c r="M28" s="126">
        <f>+K28+'22'!M28+L28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+'22'!J29</f>
        <v>0</v>
      </c>
      <c r="K29" s="247"/>
      <c r="L29" s="247"/>
      <c r="M29" s="126">
        <f>+K29+'22'!M29+L29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+'22'!J30</f>
        <v>0</v>
      </c>
      <c r="K30" s="247"/>
      <c r="L30" s="247"/>
      <c r="M30" s="126">
        <f>+K30+'22'!M30+L30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+'22'!J31</f>
        <v>0</v>
      </c>
      <c r="K31" s="247"/>
      <c r="L31" s="247"/>
      <c r="M31" s="126">
        <f>+K31+'22'!M31+L31</f>
        <v>0</v>
      </c>
    </row>
    <row r="32" spans="1:14" ht="13.5" thickBot="1">
      <c r="A32" s="1009"/>
      <c r="B32" s="174" t="s">
        <v>2</v>
      </c>
      <c r="C32" s="108">
        <f>SUM(C25:C31)</f>
        <v>21008</v>
      </c>
      <c r="D32" s="109">
        <f>SUM(D25:D31)</f>
        <v>0</v>
      </c>
      <c r="E32" s="110">
        <f>SUM(E25:E31)</f>
        <v>0</v>
      </c>
      <c r="F32" s="111">
        <f>SUM(F24:F31)</f>
        <v>28</v>
      </c>
      <c r="G32" s="180"/>
      <c r="H32" s="181"/>
      <c r="I32" s="178"/>
      <c r="J32" s="223">
        <f>+'22'!J32</f>
        <v>0</v>
      </c>
      <c r="K32" s="249"/>
      <c r="L32" s="251"/>
      <c r="M32" s="126">
        <f>+K32+'22'!M32+L32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51460</v>
      </c>
      <c r="D34" s="116">
        <f>D14+D23+D32</f>
        <v>0</v>
      </c>
      <c r="E34" s="116">
        <f>E14+E23+E32</f>
        <v>0</v>
      </c>
      <c r="F34" s="117">
        <f>F14+F23+F32</f>
        <v>140</v>
      </c>
      <c r="H34" s="187"/>
      <c r="I34" s="187"/>
      <c r="J34" s="132" t="s">
        <v>27</v>
      </c>
      <c r="K34" s="133">
        <f>SUM(K7:K32)</f>
        <v>51460</v>
      </c>
      <c r="L34" s="221">
        <f>SUM(L7:L32)</f>
        <v>0</v>
      </c>
      <c r="M34" s="129">
        <f>SUM(M7:M32)</f>
        <v>1207792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(13*1370)/1370*G42*2.77*1370/1000000</f>
        <v>62.151819600000003</v>
      </c>
      <c r="J37" s="134">
        <f>+I37+'22'!J37</f>
        <v>1380.5552172297068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50</v>
      </c>
      <c r="D38" s="127">
        <f>+C38+'22'!D38</f>
        <v>1826</v>
      </c>
      <c r="E38" s="152">
        <f t="shared" ref="E38:E51" si="1">D38/60</f>
        <v>30.433333333333334</v>
      </c>
      <c r="F38" s="337">
        <v>1675.6097560975609</v>
      </c>
      <c r="G38" s="337">
        <v>1273.4634146341464</v>
      </c>
      <c r="H38" s="196" t="s">
        <v>63</v>
      </c>
      <c r="I38" s="549">
        <f>17.784+19.82+21.526</f>
        <v>59.129999999999995</v>
      </c>
      <c r="J38" s="136">
        <f>+I38+'22'!J38</f>
        <v>1270.0520000000001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+C39+'22'!D39</f>
        <v>0</v>
      </c>
      <c r="E39" s="152">
        <f t="shared" si="1"/>
        <v>0</v>
      </c>
      <c r="F39" s="337">
        <v>1650</v>
      </c>
      <c r="G39" s="337">
        <f t="shared" ref="G39:G40" si="2">+F39-F39*0.24</f>
        <v>1254</v>
      </c>
      <c r="H39" s="196" t="s">
        <v>64</v>
      </c>
      <c r="I39" s="151"/>
      <c r="J39" s="138">
        <f>J37/G4</f>
        <v>60.024139879552472</v>
      </c>
      <c r="K39" s="139" t="s">
        <v>62</v>
      </c>
      <c r="L39" s="556"/>
    </row>
    <row r="40" spans="1:14" ht="17.45" customHeight="1">
      <c r="A40" s="996" t="s">
        <v>65</v>
      </c>
      <c r="B40" s="997"/>
      <c r="C40" s="173">
        <f>SUMIF($G$7:$G$31,"Mechanical",$F$7:$F$31)</f>
        <v>90</v>
      </c>
      <c r="D40" s="127">
        <f>+C40+'22'!D40</f>
        <v>707</v>
      </c>
      <c r="E40" s="152">
        <f t="shared" si="1"/>
        <v>11.783333333333333</v>
      </c>
      <c r="F40" s="337">
        <v>1650</v>
      </c>
      <c r="G40" s="337">
        <f t="shared" si="2"/>
        <v>1254</v>
      </c>
      <c r="H40" s="196" t="s">
        <v>66</v>
      </c>
      <c r="I40" s="127">
        <f>(K34+L34)/1000</f>
        <v>51.46</v>
      </c>
      <c r="J40" s="140">
        <f>+I40+'22'!J40</f>
        <v>1207.7919999999999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+C41+'22'!D41</f>
        <v>166</v>
      </c>
      <c r="E41" s="152">
        <f t="shared" si="1"/>
        <v>2.7666666666666666</v>
      </c>
      <c r="F41" s="337"/>
      <c r="G41" s="337"/>
      <c r="H41" s="196" t="s">
        <v>68</v>
      </c>
      <c r="I41" s="151"/>
      <c r="J41" s="138">
        <f>J40/G4</f>
        <v>52.51269565217391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+C42+'22'!D42</f>
        <v>0</v>
      </c>
      <c r="E42" s="152">
        <f t="shared" si="1"/>
        <v>0</v>
      </c>
      <c r="F42" s="337">
        <f>+(F38*410+F39*480+F40*480)/1370</f>
        <v>1657.6642335766423</v>
      </c>
      <c r="G42" s="337">
        <f>+(G38*410+G39*480+G40*480)/1370</f>
        <v>1259.8248175182482</v>
      </c>
      <c r="H42" s="196" t="s">
        <v>69</v>
      </c>
      <c r="I42" s="254" t="s">
        <v>795</v>
      </c>
      <c r="J42" s="141"/>
      <c r="K42" s="139" t="s">
        <v>70</v>
      </c>
    </row>
    <row r="43" spans="1:14" ht="17.45" customHeight="1">
      <c r="A43" s="996" t="s">
        <v>202</v>
      </c>
      <c r="B43" s="997"/>
      <c r="C43" s="173">
        <f>SUMIF($G$7:$G$31,"Change Grade",$F$7:$F$31)</f>
        <v>0</v>
      </c>
      <c r="D43" s="127">
        <f>+C43+'22'!D43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+Report1!T31</f>
        <v>131.047</v>
      </c>
      <c r="J43" s="142">
        <f>+I43+'22'!J43</f>
        <v>2921.672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+C44+'22'!D44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2.2162523253847457</v>
      </c>
      <c r="J44" s="143">
        <f>J43/J38</f>
        <v>2.3004349428212385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+C45+'22'!D45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2.5465798678585307</v>
      </c>
      <c r="J45" s="143">
        <f>J43/J40</f>
        <v>2.419019168863513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+C46+'22'!D46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+SUMIF(Listrik!AR30,"&gt;0")</f>
        <v>54181.600000000937</v>
      </c>
      <c r="J46" s="144">
        <f>+I46+'22'!J46</f>
        <v>1200248.96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+C47+'22'!D47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916.31320818537017</v>
      </c>
      <c r="J47" s="144">
        <f>J46/J38</f>
        <v>945.03922674032231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+C48+'22'!D48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1052.8876797512812</v>
      </c>
      <c r="J48" s="144">
        <f>J46/J40</f>
        <v>993.75468623736538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+C49+'22'!D49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+I49+'22'!J49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+C50+'22'!D50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+C51+'22'!D51</f>
        <v>199</v>
      </c>
      <c r="E51" s="152">
        <f t="shared" si="1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140</v>
      </c>
      <c r="D52" s="153">
        <f>SUM(D38:D51)</f>
        <v>2973</v>
      </c>
      <c r="E52" s="154">
        <f>SUM(E38:E51)</f>
        <v>49.550000000000004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9.7222222222222224E-2</v>
      </c>
      <c r="D53" s="155">
        <f>D52/(24*60*G4)</f>
        <v>8.9764492753623193E-2</v>
      </c>
      <c r="E53" s="156">
        <f>E52/(G4*24)</f>
        <v>8.9764492753623193E-2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+D34+'22'!J56</f>
        <v>19048</v>
      </c>
      <c r="K56" s="210">
        <f>J56/(J40+J56/1000)/1000</f>
        <v>1.5526066968797889E-2</v>
      </c>
    </row>
    <row r="57" spans="1:11">
      <c r="A57" s="185"/>
      <c r="I57" s="208" t="s">
        <v>88</v>
      </c>
      <c r="J57" s="209">
        <f>+E34+'22'!J57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opLeftCell="B1" zoomScale="80" zoomScaleNormal="80" workbookViewId="0">
      <selection activeCell="F28" sqref="F28:F29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7109375" style="158" bestFit="1" customWidth="1"/>
    <col min="12" max="12" width="8.28515625" style="158" customWidth="1"/>
    <col min="13" max="13" width="15.28515625" style="158" customWidth="1"/>
    <col min="14" max="16384" width="9.140625" style="158"/>
  </cols>
  <sheetData>
    <row r="1" spans="1:16" ht="15.75">
      <c r="A1" s="157"/>
    </row>
    <row r="2" spans="1:16" ht="15.75">
      <c r="A2" s="344" t="s">
        <v>147</v>
      </c>
    </row>
    <row r="3" spans="1:16" ht="15">
      <c r="A3" s="159"/>
    </row>
    <row r="4" spans="1:16" ht="20.25">
      <c r="A4" s="160" t="s">
        <v>3</v>
      </c>
      <c r="B4" s="161"/>
      <c r="F4" s="162" t="s">
        <v>29</v>
      </c>
      <c r="G4" s="163">
        <v>22</v>
      </c>
      <c r="H4" s="163" t="str">
        <f>+'1'!H4</f>
        <v>.11.25</v>
      </c>
    </row>
    <row r="5" spans="1:16" ht="13.5" thickBot="1">
      <c r="C5" s="164"/>
      <c r="D5" s="164"/>
    </row>
    <row r="6" spans="1:16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215+191+214</f>
        <v>620</v>
      </c>
    </row>
    <row r="7" spans="1:16" ht="13.5" customHeight="1" thickBot="1">
      <c r="A7" s="1002" t="s">
        <v>465</v>
      </c>
      <c r="B7" s="224" t="s">
        <v>552</v>
      </c>
      <c r="C7" s="225">
        <v>19984</v>
      </c>
      <c r="D7" s="226">
        <v>567</v>
      </c>
      <c r="E7" s="227"/>
      <c r="F7" s="236">
        <v>10</v>
      </c>
      <c r="G7" s="237" t="s">
        <v>11</v>
      </c>
      <c r="H7" s="238" t="s">
        <v>414</v>
      </c>
      <c r="I7" s="1005" t="s">
        <v>779</v>
      </c>
      <c r="J7" s="223" t="str">
        <f>+'21'!J7</f>
        <v>MG 14 VP HW/OW</v>
      </c>
      <c r="K7" s="246"/>
      <c r="L7" s="250"/>
      <c r="M7" s="126">
        <f>+K7+'21'!M7+L7</f>
        <v>143496</v>
      </c>
    </row>
    <row r="8" spans="1:16" ht="13.5" thickBot="1">
      <c r="A8" s="1003"/>
      <c r="B8" s="224"/>
      <c r="C8" s="225"/>
      <c r="D8" s="226"/>
      <c r="E8" s="228"/>
      <c r="F8" s="239">
        <v>5</v>
      </c>
      <c r="G8" s="240" t="s">
        <v>11</v>
      </c>
      <c r="H8" s="238" t="s">
        <v>568</v>
      </c>
      <c r="I8" s="1006"/>
      <c r="J8" s="223" t="str">
        <f>+'21'!J8</f>
        <v>MG 16,5 VP HW</v>
      </c>
      <c r="K8" s="247"/>
      <c r="L8" s="247"/>
      <c r="M8" s="126">
        <f>+K8+'21'!M8+L8</f>
        <v>93365</v>
      </c>
      <c r="N8" s="158">
        <v>1670</v>
      </c>
      <c r="O8" s="158">
        <f>+N8-N8*0.24</f>
        <v>1269.2</v>
      </c>
      <c r="P8" s="158">
        <v>480</v>
      </c>
    </row>
    <row r="9" spans="1:16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428</v>
      </c>
      <c r="I9" s="1006"/>
      <c r="J9" s="223" t="str">
        <f>+'21'!J9</f>
        <v>MG 30 VP HW</v>
      </c>
      <c r="K9" s="247"/>
      <c r="L9" s="247"/>
      <c r="M9" s="126">
        <f>+K9+'21'!M9+L9</f>
        <v>4193</v>
      </c>
      <c r="N9" s="158">
        <v>1670</v>
      </c>
      <c r="O9" s="158">
        <f t="shared" ref="O9:O10" si="0">+N9-N9*0.24</f>
        <v>1269.2</v>
      </c>
      <c r="P9" s="158">
        <v>480</v>
      </c>
    </row>
    <row r="10" spans="1:16" ht="13.5" thickBot="1">
      <c r="A10" s="1003"/>
      <c r="B10" s="224"/>
      <c r="C10" s="225"/>
      <c r="D10" s="226"/>
      <c r="E10" s="228"/>
      <c r="F10" s="236"/>
      <c r="G10" s="240"/>
      <c r="H10" s="582" t="s">
        <v>777</v>
      </c>
      <c r="I10" s="1006"/>
      <c r="J10" s="223" t="str">
        <f>+'21'!J10</f>
        <v>MG 17 VP HW</v>
      </c>
      <c r="K10" s="247"/>
      <c r="L10" s="247"/>
      <c r="M10" s="126">
        <f>+K10+'21'!M10+L10</f>
        <v>18114</v>
      </c>
      <c r="N10" s="158">
        <v>1670</v>
      </c>
      <c r="O10" s="158">
        <f t="shared" si="0"/>
        <v>1269.2</v>
      </c>
      <c r="P10" s="158">
        <f>480-222</f>
        <v>258</v>
      </c>
    </row>
    <row r="11" spans="1:16" ht="26.25" thickBot="1">
      <c r="A11" s="1003"/>
      <c r="B11" s="224"/>
      <c r="C11" s="225"/>
      <c r="D11" s="226"/>
      <c r="E11" s="228"/>
      <c r="F11" s="236"/>
      <c r="G11" s="240"/>
      <c r="H11" s="241" t="s">
        <v>770</v>
      </c>
      <c r="I11" s="1006"/>
      <c r="J11" s="223" t="str">
        <f>+'21'!J11</f>
        <v>MG 18 VP HW</v>
      </c>
      <c r="K11" s="247"/>
      <c r="L11" s="247"/>
      <c r="M11" s="126">
        <f>+K11+'21'!M11+L11</f>
        <v>25394</v>
      </c>
      <c r="P11" s="158">
        <f>SUM(P8:P10)</f>
        <v>1218</v>
      </c>
    </row>
    <row r="12" spans="1:16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+'21'!J12</f>
        <v>MG 21,5 VP HW</v>
      </c>
      <c r="K12" s="247"/>
      <c r="L12" s="247"/>
      <c r="M12" s="126">
        <f>+K12+'21'!M12+L12</f>
        <v>987</v>
      </c>
    </row>
    <row r="13" spans="1:16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+'21'!J13</f>
        <v>F 10,3 VP OW</v>
      </c>
      <c r="K13" s="247"/>
      <c r="L13" s="247"/>
      <c r="M13" s="126">
        <f>+K13+'21'!M13+L13</f>
        <v>115938</v>
      </c>
    </row>
    <row r="14" spans="1:16" ht="13.5" thickBot="1">
      <c r="A14" s="1004"/>
      <c r="B14" s="174" t="s">
        <v>2</v>
      </c>
      <c r="C14" s="108">
        <f>SUM(C7:C13)</f>
        <v>19984</v>
      </c>
      <c r="D14" s="120">
        <f>SUM(D7:D13)</f>
        <v>567</v>
      </c>
      <c r="E14" s="121">
        <f>SUM(E5:E13)</f>
        <v>0</v>
      </c>
      <c r="F14" s="125">
        <f>SUM(F7:F13)</f>
        <v>25</v>
      </c>
      <c r="G14" s="168"/>
      <c r="H14" s="175"/>
      <c r="I14" s="176"/>
      <c r="J14" s="223" t="str">
        <f>+'21'!J14</f>
        <v>F 12 VP OW</v>
      </c>
      <c r="K14" s="247"/>
      <c r="L14" s="247"/>
      <c r="M14" s="126">
        <f>+K14+'21'!M14+L14</f>
        <v>114228</v>
      </c>
    </row>
    <row r="15" spans="1:16" ht="13.5" customHeight="1" thickBot="1">
      <c r="A15" s="1002" t="s">
        <v>447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779</v>
      </c>
      <c r="J15" s="223" t="str">
        <f>+'21'!J15</f>
        <v>F 13 VP OW</v>
      </c>
      <c r="K15" s="247">
        <f>+C34</f>
        <v>54898</v>
      </c>
      <c r="L15" s="247"/>
      <c r="M15" s="126">
        <f>+K15+'21'!M15+L15</f>
        <v>392183</v>
      </c>
    </row>
    <row r="16" spans="1:16" ht="13.5" thickBot="1">
      <c r="A16" s="1008"/>
      <c r="B16" s="224" t="s">
        <v>552</v>
      </c>
      <c r="C16" s="230">
        <v>22339</v>
      </c>
      <c r="D16" s="231">
        <v>265</v>
      </c>
      <c r="E16" s="232"/>
      <c r="F16" s="236">
        <v>4</v>
      </c>
      <c r="G16" s="240" t="s">
        <v>11</v>
      </c>
      <c r="H16" s="238" t="s">
        <v>568</v>
      </c>
      <c r="I16" s="1006"/>
      <c r="J16" s="223" t="str">
        <f>+'21'!J16</f>
        <v>F 12,5 VP OW</v>
      </c>
      <c r="K16" s="247"/>
      <c r="L16" s="237"/>
      <c r="M16" s="126">
        <f>+K16+'21'!M16+L16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463</v>
      </c>
      <c r="I17" s="1006"/>
      <c r="J17" s="223" t="str">
        <f>+'21'!J17</f>
        <v>SN 13 VP OW</v>
      </c>
      <c r="K17" s="247"/>
      <c r="L17" s="237"/>
      <c r="M17" s="126">
        <f>+K17+'21'!M17+L17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777</v>
      </c>
      <c r="I18" s="1006"/>
      <c r="J18" s="223" t="str">
        <f>+'21'!J18</f>
        <v>SN 14 VP OW</v>
      </c>
      <c r="K18" s="247"/>
      <c r="L18" s="247"/>
      <c r="M18" s="126">
        <f>+K18+'21'!M18+L18</f>
        <v>16454</v>
      </c>
    </row>
    <row r="19" spans="1:14" ht="26.25" thickBot="1">
      <c r="A19" s="1008"/>
      <c r="B19" s="224"/>
      <c r="C19" s="225"/>
      <c r="D19" s="226"/>
      <c r="E19" s="233"/>
      <c r="F19" s="243"/>
      <c r="G19" s="240"/>
      <c r="H19" s="241" t="s">
        <v>770</v>
      </c>
      <c r="I19" s="1006"/>
      <c r="J19" s="223" t="str">
        <f>+'21'!J19</f>
        <v>SN 15 VP OW</v>
      </c>
      <c r="K19" s="237"/>
      <c r="L19" s="247"/>
      <c r="M19" s="126">
        <f>+K19+'21'!M19+L19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+'21'!J20</f>
        <v>0</v>
      </c>
      <c r="K20" s="237"/>
      <c r="L20" s="248"/>
      <c r="M20" s="126">
        <f>+K20+'21'!M20+L20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+'21'!J21</f>
        <v>0</v>
      </c>
      <c r="K21" s="237"/>
      <c r="L21" s="247"/>
      <c r="M21" s="126">
        <f>+K21+'21'!M21+L21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+'21'!J22</f>
        <v>0</v>
      </c>
      <c r="K22" s="237"/>
      <c r="L22" s="247"/>
      <c r="M22" s="126">
        <f>+K22+'21'!M22+L22</f>
        <v>0</v>
      </c>
    </row>
    <row r="23" spans="1:14" ht="13.5" thickBot="1">
      <c r="A23" s="1009"/>
      <c r="B23" s="177" t="s">
        <v>2</v>
      </c>
      <c r="C23" s="109">
        <f>SUM(C16:C22)</f>
        <v>22339</v>
      </c>
      <c r="D23" s="120">
        <f>SUM(D16:D22)</f>
        <v>265</v>
      </c>
      <c r="E23" s="121">
        <f>SUM(E18:E22)</f>
        <v>0</v>
      </c>
      <c r="F23" s="125">
        <f>SUM(F15:F22)</f>
        <v>14</v>
      </c>
      <c r="G23" s="168"/>
      <c r="H23" s="175" t="s">
        <v>234</v>
      </c>
      <c r="I23" s="178"/>
      <c r="J23" s="223">
        <f>+'21'!J23</f>
        <v>0</v>
      </c>
      <c r="K23" s="237"/>
      <c r="L23" s="247"/>
      <c r="M23" s="126">
        <f>+K23+'21'!M23+L23</f>
        <v>0</v>
      </c>
    </row>
    <row r="24" spans="1:14" ht="13.5" customHeight="1" thickBot="1">
      <c r="A24" s="1002" t="s">
        <v>449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779</v>
      </c>
      <c r="J24" s="223">
        <f>+'21'!J24</f>
        <v>0</v>
      </c>
      <c r="K24" s="237"/>
      <c r="L24" s="247"/>
      <c r="M24" s="126">
        <f>+K24+'21'!M24+L24</f>
        <v>0</v>
      </c>
    </row>
    <row r="25" spans="1:14" ht="13.5" thickBot="1">
      <c r="A25" s="1008"/>
      <c r="B25" s="224" t="s">
        <v>552</v>
      </c>
      <c r="C25" s="234">
        <v>12575</v>
      </c>
      <c r="D25" s="226">
        <v>792</v>
      </c>
      <c r="E25" s="233"/>
      <c r="F25" s="239">
        <v>4</v>
      </c>
      <c r="G25" s="240" t="s">
        <v>11</v>
      </c>
      <c r="H25" s="238" t="s">
        <v>569</v>
      </c>
      <c r="I25" s="1006"/>
      <c r="J25" s="223">
        <f>+'21'!J25</f>
        <v>0</v>
      </c>
      <c r="K25" s="237"/>
      <c r="L25" s="247"/>
      <c r="M25" s="126">
        <f>+K25+'21'!M25+L25</f>
        <v>0</v>
      </c>
    </row>
    <row r="26" spans="1:14" ht="13.5" thickBot="1">
      <c r="A26" s="1008"/>
      <c r="B26" s="224"/>
      <c r="C26" s="234"/>
      <c r="D26" s="226"/>
      <c r="E26" s="235"/>
      <c r="F26" s="239">
        <v>5</v>
      </c>
      <c r="G26" s="240" t="s">
        <v>11</v>
      </c>
      <c r="H26" s="582" t="s">
        <v>512</v>
      </c>
      <c r="I26" s="1006"/>
      <c r="J26" s="223">
        <f>+'21'!J26</f>
        <v>0</v>
      </c>
      <c r="K26" s="237"/>
      <c r="L26" s="247"/>
      <c r="M26" s="126">
        <f>+K26+'21'!M26+L26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777</v>
      </c>
      <c r="I27" s="1006"/>
      <c r="J27" s="223">
        <f>+'21'!J27</f>
        <v>0</v>
      </c>
      <c r="K27" s="237"/>
      <c r="L27" s="247"/>
      <c r="M27" s="126">
        <f>+K27+'21'!M27+L27</f>
        <v>0</v>
      </c>
    </row>
    <row r="28" spans="1:14" ht="39" thickBot="1">
      <c r="A28" s="1008"/>
      <c r="B28" s="224"/>
      <c r="C28" s="225"/>
      <c r="D28" s="226"/>
      <c r="E28" s="233" t="s">
        <v>653</v>
      </c>
      <c r="F28" s="239">
        <v>142</v>
      </c>
      <c r="G28" s="240" t="s">
        <v>65</v>
      </c>
      <c r="H28" s="241" t="s">
        <v>787</v>
      </c>
      <c r="I28" s="1006"/>
      <c r="J28" s="223">
        <f>+'21'!J28</f>
        <v>0</v>
      </c>
      <c r="K28" s="237"/>
      <c r="L28" s="247"/>
      <c r="M28" s="126">
        <f>+K28+'21'!M28+L28</f>
        <v>0</v>
      </c>
    </row>
    <row r="29" spans="1:14" ht="26.25" thickBot="1">
      <c r="A29" s="1008"/>
      <c r="B29" s="224"/>
      <c r="C29" s="225"/>
      <c r="D29" s="226"/>
      <c r="E29" s="233" t="s">
        <v>653</v>
      </c>
      <c r="F29" s="239">
        <f>20+60</f>
        <v>80</v>
      </c>
      <c r="G29" s="240" t="s">
        <v>65</v>
      </c>
      <c r="H29" s="241" t="s">
        <v>788</v>
      </c>
      <c r="I29" s="1006"/>
      <c r="J29" s="223">
        <f>+'21'!J29</f>
        <v>0</v>
      </c>
      <c r="K29" s="237"/>
      <c r="L29" s="247"/>
      <c r="M29" s="126">
        <f>+K29+'21'!M29+L29</f>
        <v>0</v>
      </c>
    </row>
    <row r="30" spans="1:14" ht="26.25" thickBot="1">
      <c r="A30" s="1008"/>
      <c r="B30" s="224"/>
      <c r="C30" s="234"/>
      <c r="D30" s="226"/>
      <c r="E30" s="233"/>
      <c r="F30" s="244"/>
      <c r="G30" s="240"/>
      <c r="H30" s="241" t="s">
        <v>789</v>
      </c>
      <c r="I30" s="1006"/>
      <c r="J30" s="223">
        <f>+'21'!J30</f>
        <v>0</v>
      </c>
      <c r="K30" s="247"/>
      <c r="L30" s="247"/>
      <c r="M30" s="126">
        <f>+K30+'21'!M30+L30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+'21'!J31</f>
        <v>0</v>
      </c>
      <c r="K31" s="247"/>
      <c r="L31" s="247"/>
      <c r="M31" s="126">
        <f>+K31+'21'!M31+L31</f>
        <v>0</v>
      </c>
    </row>
    <row r="32" spans="1:14" ht="13.5" thickBot="1">
      <c r="A32" s="1009"/>
      <c r="B32" s="174" t="s">
        <v>2</v>
      </c>
      <c r="C32" s="108">
        <f>SUM(C25:C31)</f>
        <v>12575</v>
      </c>
      <c r="D32" s="109">
        <f>SUM(D25:D31)</f>
        <v>792</v>
      </c>
      <c r="E32" s="110">
        <f>SUM(E25:E31)</f>
        <v>0</v>
      </c>
      <c r="F32" s="111">
        <f>SUM(F24:F31)</f>
        <v>231</v>
      </c>
      <c r="G32" s="180"/>
      <c r="H32" s="181"/>
      <c r="I32" s="178"/>
      <c r="J32" s="223">
        <f>+'21'!J32</f>
        <v>0</v>
      </c>
      <c r="K32" s="249"/>
      <c r="L32" s="251"/>
      <c r="M32" s="126">
        <f>+K32+'21'!M32+L32</f>
        <v>0</v>
      </c>
    </row>
    <row r="33" spans="1:14" ht="13.5" thickBot="1">
      <c r="A33" s="182"/>
      <c r="B33" s="183"/>
      <c r="C33" s="112">
        <f>C32/($C$32+$D$32+$E$32)</f>
        <v>0.94074960724171464</v>
      </c>
      <c r="D33" s="113">
        <f>D32/($C$32+$D$32+$E$32)</f>
        <v>5.9250392758285329E-2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54898</v>
      </c>
      <c r="D34" s="116">
        <f>D14+D23+D32</f>
        <v>1624</v>
      </c>
      <c r="E34" s="116">
        <f>E14+E23+E32</f>
        <v>0</v>
      </c>
      <c r="F34" s="117">
        <f>F14+F23+F32</f>
        <v>270</v>
      </c>
      <c r="H34" s="187"/>
      <c r="I34" s="187"/>
      <c r="J34" s="132" t="s">
        <v>27</v>
      </c>
      <c r="K34" s="133">
        <f>SUM(K7:K32)</f>
        <v>54898</v>
      </c>
      <c r="L34" s="221">
        <f>SUM(L7:L32)</f>
        <v>0</v>
      </c>
      <c r="M34" s="129">
        <f>SUM(M7:M32)</f>
        <v>1156332</v>
      </c>
      <c r="N34" s="164"/>
    </row>
    <row r="35" spans="1:14" ht="13.5" thickBot="1">
      <c r="A35" s="188"/>
      <c r="B35" s="189"/>
      <c r="C35" s="113">
        <f>C34/($C$34+$D$34+$E$34)</f>
        <v>0.97126782491773112</v>
      </c>
      <c r="D35" s="113">
        <f>D34/($C$34+$D$34+$E$34)</f>
        <v>2.873217508226885E-2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(13*1218)/1218*G42*2.77*1218/1000000</f>
        <v>55.667340456000005</v>
      </c>
      <c r="J37" s="134">
        <f>+I37+'21'!J37</f>
        <v>1318.4033976297069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48</v>
      </c>
      <c r="D38" s="127">
        <f>+C38+'21'!D38</f>
        <v>1776</v>
      </c>
      <c r="E38" s="152">
        <f t="shared" ref="E38:E51" si="1">D38/60</f>
        <v>29.6</v>
      </c>
      <c r="F38" s="337">
        <v>1670</v>
      </c>
      <c r="G38" s="337">
        <f>+F38-F38*0.24</f>
        <v>1269.2</v>
      </c>
      <c r="H38" s="196" t="s">
        <v>63</v>
      </c>
      <c r="I38" s="549">
        <f>20.185+20.769+11.63</f>
        <v>52.583999999999996</v>
      </c>
      <c r="J38" s="136">
        <f>+I38+'21'!J38</f>
        <v>1210.922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+C39+'21'!D39</f>
        <v>0</v>
      </c>
      <c r="E39" s="152">
        <f t="shared" si="1"/>
        <v>0</v>
      </c>
      <c r="F39" s="337">
        <v>1670</v>
      </c>
      <c r="G39" s="337">
        <f t="shared" ref="G39:G40" si="2">+F39-F39*0.24</f>
        <v>1269.2</v>
      </c>
      <c r="H39" s="196" t="s">
        <v>64</v>
      </c>
      <c r="I39" s="151"/>
      <c r="J39" s="138">
        <f>J37/G4</f>
        <v>59.927427164986675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222</v>
      </c>
      <c r="D40" s="127">
        <f>+C40+'21'!D40</f>
        <v>617</v>
      </c>
      <c r="E40" s="152">
        <f t="shared" si="1"/>
        <v>10.283333333333333</v>
      </c>
      <c r="F40" s="337">
        <v>1670</v>
      </c>
      <c r="G40" s="337">
        <f t="shared" si="2"/>
        <v>1269.2</v>
      </c>
      <c r="H40" s="196" t="s">
        <v>66</v>
      </c>
      <c r="I40" s="127">
        <f>(K34+L34)/1000</f>
        <v>54.898000000000003</v>
      </c>
      <c r="J40" s="140">
        <f>+I40+'21'!J40</f>
        <v>1156.3319999999999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+C41+'21'!D41</f>
        <v>166</v>
      </c>
      <c r="E41" s="152">
        <f t="shared" si="1"/>
        <v>2.7666666666666666</v>
      </c>
      <c r="F41" s="337"/>
      <c r="G41" s="337"/>
      <c r="H41" s="196" t="s">
        <v>68</v>
      </c>
      <c r="I41" s="151"/>
      <c r="J41" s="138">
        <f>J40/G4</f>
        <v>52.560545454545448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+C42+'21'!D42</f>
        <v>0</v>
      </c>
      <c r="E42" s="152">
        <f t="shared" si="1"/>
        <v>0</v>
      </c>
      <c r="F42" s="337">
        <f>+(F38*480+F39*480+F40*258)/1218</f>
        <v>1670</v>
      </c>
      <c r="G42" s="337">
        <f>+(G38*480+G39*480+G40*258)/1218</f>
        <v>1269.2</v>
      </c>
      <c r="H42" s="196" t="s">
        <v>69</v>
      </c>
      <c r="I42" s="254" t="s">
        <v>779</v>
      </c>
      <c r="J42" s="141"/>
      <c r="K42" s="139" t="s">
        <v>70</v>
      </c>
    </row>
    <row r="43" spans="1:14" ht="17.45" customHeight="1">
      <c r="A43" s="996" t="s">
        <v>202</v>
      </c>
      <c r="B43" s="997"/>
      <c r="C43" s="173">
        <f>SUMIF($G$7:$G$31,"Change Grade",$F$7:$F$31)</f>
        <v>0</v>
      </c>
      <c r="D43" s="127">
        <f>+C43+'21'!D43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+Report1!T30</f>
        <v>123.97099999999999</v>
      </c>
      <c r="J43" s="142">
        <f>+I43+'21'!J43</f>
        <v>2790.625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+C44+'21'!D44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2.3575802525483036</v>
      </c>
      <c r="J44" s="143">
        <f>J43/J38</f>
        <v>2.3045456272162865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+C45+'21'!D45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2.2582061277277856</v>
      </c>
      <c r="J45" s="143">
        <f>J43/J40</f>
        <v>2.4133423618822278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+C46+'21'!D46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+SUMIF(Listrik!AR29,"&gt;0")</f>
        <v>54511.699999997312</v>
      </c>
      <c r="J46" s="144">
        <f>+I46+'21'!J46</f>
        <v>1146067.3599999989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+C47+'21'!D47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1036.65944013383</v>
      </c>
      <c r="J47" s="144">
        <f>J46/J38</f>
        <v>946.44193432772624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+C48+'21'!D48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992.96331378187381</v>
      </c>
      <c r="J48" s="144">
        <f>J46/J40</f>
        <v>991.12310305344749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+C49+'21'!D49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+I49+'21'!J49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+C50+'21'!D50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+C51+'21'!D51</f>
        <v>199</v>
      </c>
      <c r="E51" s="152">
        <f t="shared" si="1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270</v>
      </c>
      <c r="D52" s="153">
        <f>SUM(D38:D51)</f>
        <v>2833</v>
      </c>
      <c r="E52" s="154">
        <f>SUM(E38:E51)</f>
        <v>47.216666666666669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0.1875</v>
      </c>
      <c r="D53" s="155">
        <f>D52/(24*60*G4)</f>
        <v>8.9425505050505047E-2</v>
      </c>
      <c r="E53" s="156">
        <f>E52/(G4*24)</f>
        <v>8.9425505050505061E-2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+D34+'21'!J56</f>
        <v>19048</v>
      </c>
      <c r="K56" s="210">
        <f>J56/(J40+J56/1000)/1000</f>
        <v>1.6205822797733499E-2</v>
      </c>
    </row>
    <row r="57" spans="1:11">
      <c r="A57" s="185"/>
      <c r="I57" s="208" t="s">
        <v>88</v>
      </c>
      <c r="J57" s="209">
        <f>+E34+'21'!J57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opLeftCell="A5"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710937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7109375" style="158" customWidth="1"/>
    <col min="14" max="16384" width="9.140625" style="158"/>
  </cols>
  <sheetData>
    <row r="1" spans="1:16" ht="15.75">
      <c r="A1" s="157"/>
    </row>
    <row r="2" spans="1:16" ht="15.75">
      <c r="A2" s="344" t="s">
        <v>147</v>
      </c>
    </row>
    <row r="3" spans="1:16" ht="15">
      <c r="A3" s="159"/>
    </row>
    <row r="4" spans="1:16" ht="20.25">
      <c r="A4" s="160" t="s">
        <v>3</v>
      </c>
      <c r="B4" s="161"/>
      <c r="F4" s="162" t="s">
        <v>29</v>
      </c>
      <c r="G4" s="163">
        <v>21</v>
      </c>
      <c r="H4" s="163" t="str">
        <f>+'1'!H4</f>
        <v>.11.25</v>
      </c>
    </row>
    <row r="5" spans="1:16" ht="13.5" thickBot="1">
      <c r="C5" s="164"/>
      <c r="D5" s="164"/>
    </row>
    <row r="6" spans="1:16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213+210+212</f>
        <v>635</v>
      </c>
    </row>
    <row r="7" spans="1:16" ht="13.5" customHeight="1" thickBot="1">
      <c r="A7" s="1002" t="s">
        <v>465</v>
      </c>
      <c r="B7" s="224" t="s">
        <v>552</v>
      </c>
      <c r="C7" s="225">
        <v>19543</v>
      </c>
      <c r="D7" s="226"/>
      <c r="E7" s="227"/>
      <c r="F7" s="236"/>
      <c r="G7" s="237" t="s">
        <v>11</v>
      </c>
      <c r="H7" s="238" t="s">
        <v>434</v>
      </c>
      <c r="I7" s="1005" t="s">
        <v>768</v>
      </c>
      <c r="J7" s="342" t="str">
        <f>+'20'!J7</f>
        <v>MG 14 VP HW/OW</v>
      </c>
      <c r="K7" s="246"/>
      <c r="L7" s="250"/>
      <c r="M7" s="126">
        <f>+K7+'20'!M7+L7</f>
        <v>143496</v>
      </c>
    </row>
    <row r="8" spans="1:16" ht="13.5" thickBot="1">
      <c r="A8" s="1003"/>
      <c r="B8" s="224"/>
      <c r="C8" s="225"/>
      <c r="D8" s="226"/>
      <c r="E8" s="228"/>
      <c r="F8" s="239">
        <v>7</v>
      </c>
      <c r="G8" s="240" t="s">
        <v>11</v>
      </c>
      <c r="H8" s="238" t="s">
        <v>568</v>
      </c>
      <c r="I8" s="1006"/>
      <c r="J8" s="223" t="str">
        <f>+'20'!J8</f>
        <v>MG 16,5 VP HW</v>
      </c>
      <c r="K8" s="247"/>
      <c r="L8" s="247"/>
      <c r="M8" s="126">
        <f>+K8+'20'!M8+L8</f>
        <v>93365</v>
      </c>
      <c r="N8" s="158">
        <v>1660</v>
      </c>
      <c r="O8" s="158">
        <f>+N8-N8*0.24</f>
        <v>1261.5999999999999</v>
      </c>
      <c r="P8" s="158">
        <v>480</v>
      </c>
    </row>
    <row r="9" spans="1:16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428</v>
      </c>
      <c r="I9" s="1006"/>
      <c r="J9" s="223" t="str">
        <f>+'20'!J9</f>
        <v>MG 30 VP HW</v>
      </c>
      <c r="K9" s="247"/>
      <c r="L9" s="247"/>
      <c r="M9" s="126">
        <f>+K9+'20'!M9+L9</f>
        <v>4193</v>
      </c>
      <c r="N9" s="158">
        <v>1660</v>
      </c>
      <c r="O9" s="158">
        <f>+N9-N9*0.24</f>
        <v>1261.5999999999999</v>
      </c>
      <c r="P9" s="158">
        <v>480</v>
      </c>
    </row>
    <row r="10" spans="1:16" ht="13.5" thickBot="1">
      <c r="A10" s="1003"/>
      <c r="B10" s="224"/>
      <c r="C10" s="225"/>
      <c r="D10" s="226"/>
      <c r="E10" s="228"/>
      <c r="F10" s="236"/>
      <c r="G10" s="240"/>
      <c r="H10" s="582" t="s">
        <v>766</v>
      </c>
      <c r="I10" s="1006"/>
      <c r="J10" s="223" t="str">
        <f>+'20'!J10</f>
        <v>MG 17 VP HW</v>
      </c>
      <c r="K10" s="247"/>
      <c r="L10" s="247"/>
      <c r="M10" s="126">
        <f>+K10+'20'!M10+L10</f>
        <v>18114</v>
      </c>
      <c r="N10" s="158">
        <v>1670</v>
      </c>
      <c r="O10" s="158">
        <f>+N10-N10*0.24</f>
        <v>1269.2</v>
      </c>
      <c r="P10" s="158">
        <v>480</v>
      </c>
    </row>
    <row r="11" spans="1:16" ht="26.25" thickBot="1">
      <c r="A11" s="1003"/>
      <c r="B11" s="224"/>
      <c r="C11" s="225"/>
      <c r="D11" s="226"/>
      <c r="E11" s="233" t="s">
        <v>669</v>
      </c>
      <c r="F11" s="236">
        <v>16</v>
      </c>
      <c r="G11" s="240" t="s">
        <v>67</v>
      </c>
      <c r="H11" s="241" t="s">
        <v>772</v>
      </c>
      <c r="I11" s="1006"/>
      <c r="J11" s="223" t="str">
        <f>+'20'!J11</f>
        <v>MG 18 VP HW</v>
      </c>
      <c r="K11" s="247"/>
      <c r="L11" s="247"/>
      <c r="M11" s="126">
        <f>+K11+'20'!M11+L11</f>
        <v>25394</v>
      </c>
    </row>
    <row r="12" spans="1:16" ht="13.5" thickBot="1">
      <c r="A12" s="1003"/>
      <c r="B12" s="224"/>
      <c r="C12" s="225"/>
      <c r="D12" s="226"/>
      <c r="E12" s="233" t="s">
        <v>669</v>
      </c>
      <c r="F12" s="236">
        <v>14</v>
      </c>
      <c r="G12" s="240" t="s">
        <v>65</v>
      </c>
      <c r="H12" s="241" t="s">
        <v>771</v>
      </c>
      <c r="I12" s="1006"/>
      <c r="J12" s="223" t="str">
        <f>+'20'!J12</f>
        <v>MG 21,5 VP HW</v>
      </c>
      <c r="K12" s="247"/>
      <c r="L12" s="247"/>
      <c r="M12" s="126">
        <f>+K12+'20'!M12+L12</f>
        <v>987</v>
      </c>
    </row>
    <row r="13" spans="1:16" ht="26.25" thickBot="1">
      <c r="A13" s="1003"/>
      <c r="B13" s="224"/>
      <c r="C13" s="225"/>
      <c r="D13" s="225"/>
      <c r="E13" s="228"/>
      <c r="F13" s="236"/>
      <c r="G13" s="240"/>
      <c r="H13" s="241" t="s">
        <v>770</v>
      </c>
      <c r="I13" s="1007"/>
      <c r="J13" s="223" t="str">
        <f>+'20'!J13</f>
        <v>F 10,3 VP OW</v>
      </c>
      <c r="K13" s="247"/>
      <c r="L13" s="247"/>
      <c r="M13" s="126">
        <f>+K13+'20'!M13+L13</f>
        <v>115938</v>
      </c>
    </row>
    <row r="14" spans="1:16" ht="13.5" thickBot="1">
      <c r="A14" s="1004"/>
      <c r="B14" s="174" t="s">
        <v>2</v>
      </c>
      <c r="C14" s="108">
        <f>SUM(C7:C13)</f>
        <v>19543</v>
      </c>
      <c r="D14" s="120">
        <f>SUM(D7:D13)</f>
        <v>0</v>
      </c>
      <c r="E14" s="121">
        <f>SUM(E5:E13)</f>
        <v>0</v>
      </c>
      <c r="F14" s="125">
        <f>SUM(F7:F13)</f>
        <v>47</v>
      </c>
      <c r="G14" s="168"/>
      <c r="H14" s="175"/>
      <c r="I14" s="176"/>
      <c r="J14" s="223" t="str">
        <f>+'20'!J14</f>
        <v>F 12 VP OW</v>
      </c>
      <c r="K14" s="247"/>
      <c r="L14" s="247"/>
      <c r="M14" s="126">
        <f>+K14+'20'!M14+L14</f>
        <v>114228</v>
      </c>
    </row>
    <row r="15" spans="1:16" ht="13.5" customHeight="1" thickBot="1">
      <c r="A15" s="1002" t="s">
        <v>447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768</v>
      </c>
      <c r="J15" s="223" t="str">
        <f>+'20'!J15</f>
        <v>F 13 VP OW</v>
      </c>
      <c r="K15" s="247">
        <f>+C34</f>
        <v>56138</v>
      </c>
      <c r="L15" s="247"/>
      <c r="M15" s="126">
        <f>+K15+'20'!M15+L15</f>
        <v>337285</v>
      </c>
    </row>
    <row r="16" spans="1:16" ht="13.5" thickBot="1">
      <c r="A16" s="1008"/>
      <c r="B16" s="224" t="s">
        <v>552</v>
      </c>
      <c r="C16" s="230">
        <v>16362</v>
      </c>
      <c r="D16" s="231">
        <v>264</v>
      </c>
      <c r="E16" s="232"/>
      <c r="F16" s="236">
        <v>5</v>
      </c>
      <c r="G16" s="240" t="s">
        <v>11</v>
      </c>
      <c r="H16" s="238" t="s">
        <v>568</v>
      </c>
      <c r="I16" s="1006"/>
      <c r="J16" s="223" t="str">
        <f>+'20'!J16</f>
        <v>F 12,5 VP OW</v>
      </c>
      <c r="K16" s="247"/>
      <c r="L16" s="237"/>
      <c r="M16" s="126">
        <f>+K16+'20'!M16+L16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8</v>
      </c>
      <c r="G17" s="240" t="s">
        <v>11</v>
      </c>
      <c r="H17" s="582" t="s">
        <v>428</v>
      </c>
      <c r="I17" s="1006"/>
      <c r="J17" s="223" t="str">
        <f>+'20'!J17</f>
        <v>SN 13 VP OW</v>
      </c>
      <c r="K17" s="247"/>
      <c r="L17" s="237"/>
      <c r="M17" s="126">
        <f>+K17+'20'!M17+L17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766</v>
      </c>
      <c r="I18" s="1006"/>
      <c r="J18" s="223" t="str">
        <f>+'20'!J18</f>
        <v>SN 14 VP OW</v>
      </c>
      <c r="K18" s="247"/>
      <c r="L18" s="247"/>
      <c r="M18" s="126">
        <f>+K18+'20'!M18+L18</f>
        <v>16454</v>
      </c>
    </row>
    <row r="19" spans="1:14" ht="26.25" thickBot="1">
      <c r="A19" s="1008"/>
      <c r="B19" s="224"/>
      <c r="C19" s="225"/>
      <c r="D19" s="226"/>
      <c r="E19" s="233"/>
      <c r="F19" s="243"/>
      <c r="G19" s="240"/>
      <c r="H19" s="241" t="s">
        <v>774</v>
      </c>
      <c r="I19" s="1006"/>
      <c r="J19" s="223" t="str">
        <f>+'20'!J19</f>
        <v>SN 15 VP OW</v>
      </c>
      <c r="K19" s="247"/>
      <c r="L19" s="247"/>
      <c r="M19" s="126">
        <f>+K19+'20'!M19+L19</f>
        <v>27940</v>
      </c>
    </row>
    <row r="20" spans="1:14" ht="26.25" thickBot="1">
      <c r="A20" s="1008"/>
      <c r="B20" s="224"/>
      <c r="C20" s="225"/>
      <c r="D20" s="226"/>
      <c r="E20" s="233" t="s">
        <v>669</v>
      </c>
      <c r="F20" s="236">
        <v>70</v>
      </c>
      <c r="G20" s="240" t="s">
        <v>67</v>
      </c>
      <c r="H20" s="241" t="s">
        <v>775</v>
      </c>
      <c r="I20" s="1006"/>
      <c r="J20" s="223">
        <f>+'20'!J20</f>
        <v>0</v>
      </c>
      <c r="K20" s="247"/>
      <c r="L20" s="248"/>
      <c r="M20" s="126">
        <f>+K20+'20'!M20+L20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 t="s">
        <v>776</v>
      </c>
      <c r="I21" s="1006"/>
      <c r="J21" s="223">
        <f>+'20'!J21</f>
        <v>0</v>
      </c>
      <c r="K21" s="247"/>
      <c r="L21" s="247"/>
      <c r="M21" s="126">
        <f>+K21+'20'!M21+L21</f>
        <v>0</v>
      </c>
    </row>
    <row r="22" spans="1:14" ht="39" thickBot="1">
      <c r="A22" s="1008"/>
      <c r="B22" s="224"/>
      <c r="C22" s="225"/>
      <c r="D22" s="226"/>
      <c r="E22" s="233"/>
      <c r="F22" s="244"/>
      <c r="G22" s="240"/>
      <c r="H22" s="241" t="s">
        <v>773</v>
      </c>
      <c r="I22" s="1007"/>
      <c r="J22" s="223">
        <f>+'20'!J22</f>
        <v>0</v>
      </c>
      <c r="K22" s="247"/>
      <c r="L22" s="247"/>
      <c r="M22" s="126">
        <f>+K22+'20'!M22+L22</f>
        <v>0</v>
      </c>
    </row>
    <row r="23" spans="1:14" ht="13.5" thickBot="1">
      <c r="A23" s="1009"/>
      <c r="B23" s="177" t="s">
        <v>2</v>
      </c>
      <c r="C23" s="109">
        <f>SUM(C16:C22)</f>
        <v>16362</v>
      </c>
      <c r="D23" s="120">
        <f>SUM(D16:D22)</f>
        <v>264</v>
      </c>
      <c r="E23" s="121">
        <f>SUM(E18:E22)</f>
        <v>0</v>
      </c>
      <c r="F23" s="125">
        <f>SUM(F15:F22)</f>
        <v>83</v>
      </c>
      <c r="G23" s="168"/>
      <c r="H23" s="175" t="s">
        <v>234</v>
      </c>
      <c r="I23" s="178"/>
      <c r="J23" s="223">
        <f>+'20'!J23</f>
        <v>0</v>
      </c>
      <c r="K23" s="247"/>
      <c r="L23" s="247"/>
      <c r="M23" s="126">
        <f>+K23+'20'!M23+L23</f>
        <v>0</v>
      </c>
    </row>
    <row r="24" spans="1:14" ht="13.5" customHeight="1" thickBot="1">
      <c r="A24" s="1002" t="s">
        <v>449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779</v>
      </c>
      <c r="J24" s="223">
        <f>+'20'!J24</f>
        <v>0</v>
      </c>
      <c r="K24" s="247"/>
      <c r="L24" s="247"/>
      <c r="M24" s="126">
        <f>+K24+'20'!M24+L24</f>
        <v>0</v>
      </c>
    </row>
    <row r="25" spans="1:14" ht="13.5" thickBot="1">
      <c r="A25" s="1008"/>
      <c r="B25" s="224" t="s">
        <v>552</v>
      </c>
      <c r="C25" s="234">
        <v>20233</v>
      </c>
      <c r="D25" s="226">
        <v>559</v>
      </c>
      <c r="E25" s="233"/>
      <c r="F25" s="239">
        <v>7</v>
      </c>
      <c r="G25" s="240" t="s">
        <v>11</v>
      </c>
      <c r="H25" s="238" t="s">
        <v>587</v>
      </c>
      <c r="I25" s="1006"/>
      <c r="J25" s="223">
        <f>+'20'!J25</f>
        <v>0</v>
      </c>
      <c r="K25" s="247"/>
      <c r="L25" s="247"/>
      <c r="M25" s="126">
        <f>+K25+'20'!M25+L25</f>
        <v>0</v>
      </c>
    </row>
    <row r="26" spans="1:14" ht="13.5" thickBot="1">
      <c r="A26" s="1008"/>
      <c r="B26" s="224"/>
      <c r="C26" s="234"/>
      <c r="D26" s="226"/>
      <c r="E26" s="235"/>
      <c r="F26" s="239">
        <v>10</v>
      </c>
      <c r="G26" s="240" t="s">
        <v>11</v>
      </c>
      <c r="H26" s="582" t="s">
        <v>463</v>
      </c>
      <c r="I26" s="1006"/>
      <c r="J26" s="223">
        <f>+'20'!J26</f>
        <v>0</v>
      </c>
      <c r="K26" s="247"/>
      <c r="L26" s="247"/>
      <c r="M26" s="126">
        <f>+K26+'20'!M26+L26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777</v>
      </c>
      <c r="I27" s="1006"/>
      <c r="J27" s="223">
        <f>+'20'!J27</f>
        <v>0</v>
      </c>
      <c r="K27" s="247"/>
      <c r="L27" s="247"/>
      <c r="M27" s="126">
        <f>+K27+'20'!M27+L27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778</v>
      </c>
      <c r="I28" s="1006"/>
      <c r="J28" s="223">
        <f>+'20'!J28</f>
        <v>0</v>
      </c>
      <c r="K28" s="247"/>
      <c r="L28" s="247"/>
      <c r="M28" s="126">
        <f>+K28+'20'!M28+L28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+'20'!J29</f>
        <v>0</v>
      </c>
      <c r="K29" s="247"/>
      <c r="L29" s="247"/>
      <c r="M29" s="126">
        <f>+K29+'20'!M29+L29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+'20'!J30</f>
        <v>0</v>
      </c>
      <c r="K30" s="247"/>
      <c r="L30" s="247"/>
      <c r="M30" s="126">
        <f>+K30+'20'!M30+L30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+'20'!J31</f>
        <v>0</v>
      </c>
      <c r="K31" s="247"/>
      <c r="L31" s="247"/>
      <c r="M31" s="126">
        <f>+K31+'20'!M31+L31</f>
        <v>0</v>
      </c>
    </row>
    <row r="32" spans="1:14" ht="13.5" thickBot="1">
      <c r="A32" s="1009"/>
      <c r="B32" s="174" t="s">
        <v>2</v>
      </c>
      <c r="C32" s="108">
        <f>SUM(C25:C31)</f>
        <v>20233</v>
      </c>
      <c r="D32" s="109">
        <f>SUM(D25:D31)</f>
        <v>559</v>
      </c>
      <c r="E32" s="110">
        <f>SUM(E25:E31)</f>
        <v>0</v>
      </c>
      <c r="F32" s="111">
        <f>SUM(F24:F31)</f>
        <v>17</v>
      </c>
      <c r="G32" s="180"/>
      <c r="H32" s="181"/>
      <c r="I32" s="178"/>
      <c r="J32" s="223">
        <f>+'20'!J32</f>
        <v>0</v>
      </c>
      <c r="K32" s="249"/>
      <c r="L32" s="251"/>
      <c r="M32" s="126">
        <f>+K32+'20'!M32+L32</f>
        <v>0</v>
      </c>
    </row>
    <row r="33" spans="1:14" ht="13.5" thickBot="1">
      <c r="A33" s="182"/>
      <c r="B33" s="183"/>
      <c r="C33" s="112">
        <f>C32/($C$32+$D$32+$E$32)</f>
        <v>0.97311465948441711</v>
      </c>
      <c r="D33" s="113">
        <f>D32/($C$32+$D$32+$E$32)</f>
        <v>2.6885340515582917E-2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56138</v>
      </c>
      <c r="D34" s="116">
        <f>D14+D23+D32</f>
        <v>823</v>
      </c>
      <c r="E34" s="116">
        <f>E14+E23+E32</f>
        <v>0</v>
      </c>
      <c r="F34" s="117">
        <f>F14+F23+F32</f>
        <v>147</v>
      </c>
      <c r="H34" s="187"/>
      <c r="I34" s="187"/>
      <c r="J34" s="132" t="s">
        <v>27</v>
      </c>
      <c r="K34" s="133">
        <f>SUM(K7:K32)</f>
        <v>56138</v>
      </c>
      <c r="L34" s="221">
        <f>SUM(L7:L32)</f>
        <v>0</v>
      </c>
      <c r="M34" s="129">
        <f>SUM(M7:M32)</f>
        <v>1101434</v>
      </c>
      <c r="N34" s="164"/>
    </row>
    <row r="35" spans="1:14" ht="13.5" thickBot="1">
      <c r="A35" s="188"/>
      <c r="B35" s="189"/>
      <c r="C35" s="113">
        <f>C34/($C$34+$D$34+$E$34)</f>
        <v>0.98555151770509652</v>
      </c>
      <c r="D35" s="113">
        <f>D34/($C$34+$D$34+$E$34)</f>
        <v>1.4448482294903531E-2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(13*1440)/1440*G42*2.77*1440/1000000</f>
        <v>65.550875520000005</v>
      </c>
      <c r="J37" s="134">
        <f>+I37+'20'!J37</f>
        <v>1262.736057173707</v>
      </c>
      <c r="K37" s="135" t="s">
        <v>62</v>
      </c>
      <c r="L37" s="556"/>
    </row>
    <row r="38" spans="1:14" ht="17.45" customHeight="1">
      <c r="A38" s="1000" t="s">
        <v>11</v>
      </c>
      <c r="B38" s="1001"/>
      <c r="C38" s="173">
        <f>SUMIF($G$7:$G$31,"Process",$F$7:$F$31)</f>
        <v>47</v>
      </c>
      <c r="D38" s="127">
        <f>+C38+'20'!D38</f>
        <v>1728</v>
      </c>
      <c r="E38" s="152">
        <f t="shared" ref="E38:E51" si="0">D38/60</f>
        <v>28.8</v>
      </c>
      <c r="F38" s="337">
        <v>1660</v>
      </c>
      <c r="G38" s="337">
        <f>+F38-F38*0.24</f>
        <v>1261.5999999999999</v>
      </c>
      <c r="H38" s="196" t="s">
        <v>63</v>
      </c>
      <c r="I38" s="253">
        <f>21.209+16.626+22.694</f>
        <v>60.528999999999996</v>
      </c>
      <c r="J38" s="136">
        <f>+I38+'20'!J38</f>
        <v>1158.338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+C39+'20'!D39</f>
        <v>0</v>
      </c>
      <c r="E39" s="152">
        <f t="shared" si="0"/>
        <v>0</v>
      </c>
      <c r="F39" s="337">
        <v>1660</v>
      </c>
      <c r="G39" s="337">
        <f>+F39-F39*0.24</f>
        <v>1261.5999999999999</v>
      </c>
      <c r="H39" s="196" t="s">
        <v>64</v>
      </c>
      <c r="I39" s="151"/>
      <c r="J39" s="138">
        <f>J37/G4</f>
        <v>60.130288436843188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14</v>
      </c>
      <c r="D40" s="127">
        <f>+C40+'20'!D40</f>
        <v>395</v>
      </c>
      <c r="E40" s="152">
        <f t="shared" si="0"/>
        <v>6.583333333333333</v>
      </c>
      <c r="F40" s="337">
        <v>1670</v>
      </c>
      <c r="G40" s="337">
        <f>+F40-F40*0.24</f>
        <v>1269.2</v>
      </c>
      <c r="H40" s="196" t="s">
        <v>66</v>
      </c>
      <c r="I40" s="127">
        <f>(K34+L34)/1000</f>
        <v>56.137999999999998</v>
      </c>
      <c r="J40" s="140">
        <f>+I40+'20'!J40</f>
        <v>1101.434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86</v>
      </c>
      <c r="D41" s="127">
        <f>+C41+'20'!D41</f>
        <v>166</v>
      </c>
      <c r="E41" s="152">
        <f t="shared" si="0"/>
        <v>2.7666666666666666</v>
      </c>
      <c r="F41" s="337"/>
      <c r="G41" s="337"/>
      <c r="H41" s="196" t="s">
        <v>68</v>
      </c>
      <c r="I41" s="151"/>
      <c r="J41" s="138">
        <f>J40/G4</f>
        <v>52.449238095238094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+C42+'20'!D42</f>
        <v>0</v>
      </c>
      <c r="E42" s="152">
        <f t="shared" si="0"/>
        <v>0</v>
      </c>
      <c r="F42" s="337">
        <f>+(F38*480+F39*480+F40*480)/1440</f>
        <v>1663.3333333333333</v>
      </c>
      <c r="G42" s="337">
        <f>+(G38*480+G39*480+G40*480)/1440</f>
        <v>1264.1333333333334</v>
      </c>
      <c r="H42" s="196" t="s">
        <v>69</v>
      </c>
      <c r="I42" s="254" t="s">
        <v>780</v>
      </c>
      <c r="J42" s="141"/>
      <c r="K42" s="139" t="s">
        <v>70</v>
      </c>
    </row>
    <row r="43" spans="1:14" ht="17.45" customHeight="1">
      <c r="A43" s="996" t="s">
        <v>202</v>
      </c>
      <c r="B43" s="997"/>
      <c r="C43" s="173">
        <f>SUMIF($G$7:$G$31,"Change Grade",$F$7:$F$31)</f>
        <v>0</v>
      </c>
      <c r="D43" s="127">
        <f>+C43+'20'!D43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+Report1!T29</f>
        <v>132.78200000000001</v>
      </c>
      <c r="J43" s="142">
        <f>+I43+'20'!J43</f>
        <v>2666.654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+C44+'20'!D44</f>
        <v>75</v>
      </c>
      <c r="E44" s="152">
        <f t="shared" si="0"/>
        <v>1.25</v>
      </c>
      <c r="F44" s="337"/>
      <c r="G44" s="338"/>
      <c r="H44" s="197" t="s">
        <v>73</v>
      </c>
      <c r="I44" s="127">
        <f>I43/I38</f>
        <v>2.1936922797336815</v>
      </c>
      <c r="J44" s="143">
        <f>J43/J38</f>
        <v>2.3021380633286657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+C45+'20'!D45</f>
        <v>0</v>
      </c>
      <c r="E45" s="152">
        <f t="shared" si="0"/>
        <v>0</v>
      </c>
      <c r="F45" s="337"/>
      <c r="G45" s="340"/>
      <c r="H45" s="197" t="s">
        <v>74</v>
      </c>
      <c r="I45" s="127">
        <f>I43/I40</f>
        <v>2.3652784210338811</v>
      </c>
      <c r="J45" s="143">
        <f>J43/J40</f>
        <v>2.4210747080623989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+C46+'20'!D46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+SUMIF(Listrik!AR28,"&gt;0")</f>
        <v>54296.020000001634</v>
      </c>
      <c r="J46" s="144">
        <f>+I46+'20'!J46</f>
        <v>1091555.6600000015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+C47+'20'!D47</f>
        <v>0</v>
      </c>
      <c r="E47" s="152">
        <f t="shared" si="0"/>
        <v>0</v>
      </c>
      <c r="F47" s="337"/>
      <c r="G47" s="338"/>
      <c r="H47" s="197" t="s">
        <v>79</v>
      </c>
      <c r="I47" s="127">
        <f>I46/I38</f>
        <v>897.02489715676188</v>
      </c>
      <c r="J47" s="144">
        <f>J46/J38</f>
        <v>942.34641356840712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+C48+'20'!D48</f>
        <v>0</v>
      </c>
      <c r="E48" s="152">
        <f t="shared" si="0"/>
        <v>0</v>
      </c>
      <c r="F48" s="337"/>
      <c r="G48" s="338"/>
      <c r="H48" s="197" t="s">
        <v>80</v>
      </c>
      <c r="I48" s="127">
        <f>I46/I40</f>
        <v>967.18835726248949</v>
      </c>
      <c r="J48" s="144">
        <f>J46/J40</f>
        <v>991.03138272470392</v>
      </c>
      <c r="K48" s="139" t="s">
        <v>23</v>
      </c>
    </row>
    <row r="49" spans="1:11" ht="17.45" customHeight="1">
      <c r="A49" s="1014" t="s">
        <v>19</v>
      </c>
      <c r="B49" s="997"/>
      <c r="C49" s="173">
        <f>SUMIF($G$7:$G$31,"Others",$F$7:$F$31)</f>
        <v>0</v>
      </c>
      <c r="D49" s="127">
        <f>+C49+'20'!D49</f>
        <v>0</v>
      </c>
      <c r="E49" s="152">
        <f t="shared" si="0"/>
        <v>0</v>
      </c>
      <c r="F49" s="194"/>
      <c r="H49" s="197" t="s">
        <v>81</v>
      </c>
      <c r="I49" s="127">
        <v>0</v>
      </c>
      <c r="J49" s="144">
        <f>+I49+'20'!J49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+C50+'20'!D50</f>
        <v>0</v>
      </c>
      <c r="E50" s="152">
        <f t="shared" si="0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+C51+'20'!D51</f>
        <v>199</v>
      </c>
      <c r="E51" s="152">
        <f t="shared" si="0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147</v>
      </c>
      <c r="D52" s="153">
        <f>SUM(D38:D51)</f>
        <v>2563</v>
      </c>
      <c r="E52" s="154">
        <f>SUM(E38:E51)</f>
        <v>42.716666666666669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0.10208333333333333</v>
      </c>
      <c r="D53" s="155">
        <f>D52/(24*60*G4)</f>
        <v>8.4755291005291E-2</v>
      </c>
      <c r="E53" s="156">
        <f>E52/(G4*24)</f>
        <v>8.4755291005291014E-2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+D34+'20'!J56</f>
        <v>17424</v>
      </c>
      <c r="K56" s="210">
        <f>J56/(J40+J56/1000)/1000</f>
        <v>1.5573021777562479E-2</v>
      </c>
    </row>
    <row r="57" spans="1:11">
      <c r="A57" s="185"/>
      <c r="I57" s="208" t="s">
        <v>88</v>
      </c>
      <c r="J57" s="209">
        <f>+E34+'20'!J57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D17" sqref="D17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5.425781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20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212+201+235</f>
        <v>648</v>
      </c>
    </row>
    <row r="7" spans="1:18" ht="13.5" customHeight="1" thickBot="1">
      <c r="A7" s="1002" t="s">
        <v>465</v>
      </c>
      <c r="B7" s="224" t="s">
        <v>552</v>
      </c>
      <c r="C7" s="225">
        <v>16239</v>
      </c>
      <c r="D7" s="226">
        <v>1806</v>
      </c>
      <c r="E7" s="227"/>
      <c r="F7" s="236"/>
      <c r="G7" s="237" t="s">
        <v>11</v>
      </c>
      <c r="H7" s="238" t="s">
        <v>434</v>
      </c>
      <c r="I7" s="1005" t="s">
        <v>542</v>
      </c>
      <c r="J7" s="223" t="str">
        <f>+'19'!J7</f>
        <v>MG 14 VP HW/OW</v>
      </c>
      <c r="K7" s="246"/>
      <c r="L7" s="250"/>
      <c r="M7" s="126">
        <f>+K7+'19'!M7+L7</f>
        <v>143496</v>
      </c>
      <c r="N7" s="158">
        <v>1700</v>
      </c>
      <c r="O7" s="158">
        <f>+N7-N7*0.24</f>
        <v>1292</v>
      </c>
      <c r="P7" s="158">
        <v>360</v>
      </c>
      <c r="Q7" s="158">
        <f>+N7*P7</f>
        <v>612000</v>
      </c>
      <c r="R7" s="158">
        <f>+O7*P7</f>
        <v>465120</v>
      </c>
    </row>
    <row r="8" spans="1:18" ht="13.5" thickBot="1">
      <c r="A8" s="1003"/>
      <c r="B8" s="224"/>
      <c r="C8" s="225"/>
      <c r="D8" s="226"/>
      <c r="E8" s="228"/>
      <c r="F8" s="239">
        <v>3</v>
      </c>
      <c r="G8" s="240" t="s">
        <v>11</v>
      </c>
      <c r="H8" s="238" t="s">
        <v>587</v>
      </c>
      <c r="I8" s="1006"/>
      <c r="J8" s="223" t="str">
        <f>+'19'!J8</f>
        <v>MG 16,5 VP HW</v>
      </c>
      <c r="K8" s="247"/>
      <c r="L8" s="247"/>
      <c r="M8" s="126">
        <f>+K8+'19'!M8+L8</f>
        <v>93365</v>
      </c>
      <c r="N8" s="158">
        <v>1600</v>
      </c>
      <c r="O8" s="158">
        <f>+N8-N8*0.24</f>
        <v>1216</v>
      </c>
      <c r="P8" s="158">
        <v>120</v>
      </c>
      <c r="Q8" s="158">
        <f>+N8*P8</f>
        <v>192000</v>
      </c>
      <c r="R8" s="158">
        <f>+O8*P8</f>
        <v>145920</v>
      </c>
    </row>
    <row r="9" spans="1:18" ht="13.5" thickBot="1">
      <c r="A9" s="1003"/>
      <c r="B9" s="224"/>
      <c r="C9" s="225"/>
      <c r="D9" s="226"/>
      <c r="E9" s="229"/>
      <c r="F9" s="236">
        <v>5</v>
      </c>
      <c r="G9" s="240" t="s">
        <v>11</v>
      </c>
      <c r="H9" s="582" t="s">
        <v>463</v>
      </c>
      <c r="I9" s="1006"/>
      <c r="J9" s="223" t="str">
        <f>+'19'!J9</f>
        <v>MG 30 VP HW</v>
      </c>
      <c r="K9" s="247"/>
      <c r="L9" s="247"/>
      <c r="M9" s="126">
        <f>+K9+'19'!M9+L9</f>
        <v>4193</v>
      </c>
      <c r="Q9" s="158">
        <f>+Q8/P8</f>
        <v>1600</v>
      </c>
      <c r="R9" s="158">
        <f>+R8/P8</f>
        <v>1216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752</v>
      </c>
      <c r="I10" s="1006"/>
      <c r="J10" s="223" t="str">
        <f>+'19'!J10</f>
        <v>MG 17 VP HW</v>
      </c>
      <c r="K10" s="247"/>
      <c r="L10" s="247"/>
      <c r="M10" s="126">
        <f>+K10+'19'!M10+L10</f>
        <v>18114</v>
      </c>
    </row>
    <row r="11" spans="1:18" ht="26.25" thickBot="1">
      <c r="A11" s="1003"/>
      <c r="B11" s="224"/>
      <c r="C11" s="225"/>
      <c r="D11" s="226"/>
      <c r="E11" s="228" t="s">
        <v>669</v>
      </c>
      <c r="F11" s="236">
        <v>28</v>
      </c>
      <c r="G11" s="240" t="s">
        <v>65</v>
      </c>
      <c r="H11" s="241" t="s">
        <v>758</v>
      </c>
      <c r="I11" s="1006"/>
      <c r="J11" s="223" t="str">
        <f>+'19'!J11</f>
        <v>MG 18 VP HW</v>
      </c>
      <c r="K11" s="247"/>
      <c r="L11" s="247"/>
      <c r="M11" s="126">
        <f>+K11+'19'!M11+L11</f>
        <v>25394</v>
      </c>
    </row>
    <row r="12" spans="1:18" ht="39" thickBot="1">
      <c r="A12" s="1003"/>
      <c r="B12" s="224"/>
      <c r="C12" s="225"/>
      <c r="D12" s="226"/>
      <c r="E12" s="228"/>
      <c r="F12" s="236"/>
      <c r="G12" s="240"/>
      <c r="H12" s="241" t="s">
        <v>759</v>
      </c>
      <c r="I12" s="1006"/>
      <c r="J12" s="223" t="str">
        <f>+'19'!J12</f>
        <v>MG 21,5 VP HW</v>
      </c>
      <c r="K12" s="247"/>
      <c r="L12" s="247"/>
      <c r="M12" s="126">
        <f>+K12+'19'!M12+L12</f>
        <v>987</v>
      </c>
    </row>
    <row r="13" spans="1:18" ht="39" thickBot="1">
      <c r="A13" s="1003"/>
      <c r="B13" s="224"/>
      <c r="C13" s="225"/>
      <c r="D13" s="225"/>
      <c r="E13" s="228"/>
      <c r="F13" s="236"/>
      <c r="G13" s="240"/>
      <c r="H13" s="241" t="s">
        <v>760</v>
      </c>
      <c r="I13" s="1007"/>
      <c r="J13" s="223" t="str">
        <f>+'19'!J13</f>
        <v>F 10,3 VP OW</v>
      </c>
      <c r="K13" s="247"/>
      <c r="L13" s="247"/>
      <c r="M13" s="126">
        <f>+K13+'19'!M13+L13</f>
        <v>115938</v>
      </c>
    </row>
    <row r="14" spans="1:18" ht="13.5" thickBot="1">
      <c r="A14" s="1004"/>
      <c r="B14" s="174" t="s">
        <v>2</v>
      </c>
      <c r="C14" s="108">
        <f>SUM(C7:C13)</f>
        <v>16239</v>
      </c>
      <c r="D14" s="120">
        <f>SUM(D7:D13)</f>
        <v>1806</v>
      </c>
      <c r="E14" s="121">
        <f>SUM(E5:E13)</f>
        <v>0</v>
      </c>
      <c r="F14" s="125">
        <f>SUM(F7:F13)</f>
        <v>36</v>
      </c>
      <c r="G14" s="168"/>
      <c r="H14" s="175"/>
      <c r="I14" s="176"/>
      <c r="J14" s="223" t="str">
        <f>+'19'!J14</f>
        <v>F 12 VP OW</v>
      </c>
      <c r="K14" s="247"/>
      <c r="L14" s="247"/>
      <c r="M14" s="126">
        <f>+K14+'19'!M14+L14</f>
        <v>114228</v>
      </c>
    </row>
    <row r="15" spans="1:18" ht="13.5" customHeight="1" thickBot="1">
      <c r="A15" s="1002" t="s">
        <v>447</v>
      </c>
      <c r="B15" s="174"/>
      <c r="C15" s="122">
        <f>+C14/C34</f>
        <v>0.28136532963700944</v>
      </c>
      <c r="D15" s="122">
        <f t="shared" ref="D15:E15" si="0">+D14/D34</f>
        <v>0.77677419354838706</v>
      </c>
      <c r="E15" s="122" t="e">
        <f t="shared" si="0"/>
        <v>#DIV/0!</v>
      </c>
      <c r="F15" s="236">
        <v>10</v>
      </c>
      <c r="G15" s="237" t="s">
        <v>11</v>
      </c>
      <c r="H15" s="238" t="s">
        <v>414</v>
      </c>
      <c r="I15" s="1005" t="s">
        <v>767</v>
      </c>
      <c r="J15" s="223" t="str">
        <f>+'19'!J15</f>
        <v>F 13 VP OW</v>
      </c>
      <c r="K15" s="247">
        <f>+C34</f>
        <v>57715</v>
      </c>
      <c r="L15" s="247"/>
      <c r="M15" s="126">
        <f>+K15+'19'!M15+L15</f>
        <v>281147</v>
      </c>
      <c r="N15" s="158">
        <v>1620</v>
      </c>
      <c r="O15" s="158">
        <f>+N15-N15*0.24</f>
        <v>1231.2</v>
      </c>
      <c r="P15" s="158">
        <v>480</v>
      </c>
    </row>
    <row r="16" spans="1:18" ht="13.5" thickBot="1">
      <c r="A16" s="1008"/>
      <c r="B16" s="224" t="s">
        <v>552</v>
      </c>
      <c r="C16" s="230">
        <v>21060</v>
      </c>
      <c r="D16" s="231">
        <v>519</v>
      </c>
      <c r="E16" s="232"/>
      <c r="F16" s="236">
        <v>4</v>
      </c>
      <c r="G16" s="240" t="s">
        <v>11</v>
      </c>
      <c r="H16" s="238" t="s">
        <v>568</v>
      </c>
      <c r="I16" s="1006"/>
      <c r="J16" s="223" t="str">
        <f>+'19'!J16</f>
        <v>F 12,5 VP OW</v>
      </c>
      <c r="K16" s="247"/>
      <c r="L16" s="237"/>
      <c r="M16" s="126">
        <f>+K16+'19'!M16+L16</f>
        <v>91232</v>
      </c>
      <c r="N16" s="158">
        <v>1660</v>
      </c>
      <c r="O16" s="158">
        <f>+N16-N16*0.24</f>
        <v>1261.5999999999999</v>
      </c>
      <c r="P16" s="158">
        <v>480</v>
      </c>
    </row>
    <row r="17" spans="1:14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463</v>
      </c>
      <c r="I17" s="1006"/>
      <c r="J17" s="223" t="str">
        <f>+'19'!J17</f>
        <v>SN 13 VP OW</v>
      </c>
      <c r="K17" s="247"/>
      <c r="L17" s="237"/>
      <c r="M17" s="126">
        <f>+K17+'19'!M17+L17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761</v>
      </c>
      <c r="I18" s="1006"/>
      <c r="J18" s="223" t="str">
        <f>+'19'!J18</f>
        <v>SN 14 VP OW</v>
      </c>
      <c r="K18" s="247"/>
      <c r="L18" s="247"/>
      <c r="M18" s="126">
        <f>+K18+'19'!M18+L18</f>
        <v>16454</v>
      </c>
    </row>
    <row r="19" spans="1:14" ht="26.25" thickBot="1">
      <c r="A19" s="1008"/>
      <c r="B19" s="224"/>
      <c r="C19" s="225"/>
      <c r="D19" s="226"/>
      <c r="E19" s="233"/>
      <c r="F19" s="243"/>
      <c r="G19" s="240"/>
      <c r="H19" s="241" t="s">
        <v>762</v>
      </c>
      <c r="I19" s="1006"/>
      <c r="J19" s="223" t="str">
        <f>+'19'!J19</f>
        <v>SN 15 VP OW</v>
      </c>
      <c r="K19" s="247"/>
      <c r="L19" s="247"/>
      <c r="M19" s="126">
        <f>+K19+'19'!M19+L19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+'19'!J20</f>
        <v>0</v>
      </c>
      <c r="K20" s="248"/>
      <c r="L20" s="248"/>
      <c r="M20" s="126">
        <f>+K20+'19'!M20+L20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+'19'!J21</f>
        <v>0</v>
      </c>
      <c r="K21" s="248"/>
      <c r="L21" s="247"/>
      <c r="M21" s="126">
        <f>+K21+'19'!M21+L21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+'19'!J22</f>
        <v>0</v>
      </c>
      <c r="K22" s="248"/>
      <c r="L22" s="247"/>
      <c r="M22" s="126">
        <f>+K22+'19'!M22+L22</f>
        <v>0</v>
      </c>
    </row>
    <row r="23" spans="1:14" ht="13.5" thickBot="1">
      <c r="A23" s="1009"/>
      <c r="B23" s="177" t="s">
        <v>2</v>
      </c>
      <c r="C23" s="109">
        <f>SUM(C16:C22)</f>
        <v>21060</v>
      </c>
      <c r="D23" s="120">
        <f>SUM(D16:D22)</f>
        <v>519</v>
      </c>
      <c r="E23" s="121">
        <f>SUM(E18:E22)</f>
        <v>0</v>
      </c>
      <c r="F23" s="125">
        <f>SUM(F15:F22)</f>
        <v>24</v>
      </c>
      <c r="G23" s="168"/>
      <c r="H23" s="175" t="s">
        <v>234</v>
      </c>
      <c r="I23" s="178"/>
      <c r="J23" s="223">
        <f>+'19'!J23</f>
        <v>0</v>
      </c>
      <c r="K23" s="248"/>
      <c r="L23" s="247"/>
      <c r="M23" s="126">
        <f>+K23+'19'!M23+L23</f>
        <v>0</v>
      </c>
    </row>
    <row r="24" spans="1:14" ht="13.5" customHeight="1" thickBot="1">
      <c r="A24" s="1002" t="s">
        <v>703</v>
      </c>
      <c r="B24" s="179"/>
      <c r="C24" s="122">
        <f>+C23/C34</f>
        <v>0.36489647405353892</v>
      </c>
      <c r="D24" s="122">
        <f t="shared" ref="D24:E24" si="1">+D23/D34</f>
        <v>0.22322580645161291</v>
      </c>
      <c r="E24" s="122" t="e">
        <f t="shared" si="1"/>
        <v>#DIV/0!</v>
      </c>
      <c r="F24" s="244"/>
      <c r="G24" s="237" t="s">
        <v>11</v>
      </c>
      <c r="H24" s="238" t="s">
        <v>434</v>
      </c>
      <c r="I24" s="1005" t="s">
        <v>768</v>
      </c>
      <c r="J24" s="223">
        <f>+'19'!J24</f>
        <v>0</v>
      </c>
      <c r="K24" s="248"/>
      <c r="L24" s="247"/>
      <c r="M24" s="126">
        <f>+K24+'19'!M24+L24</f>
        <v>0</v>
      </c>
    </row>
    <row r="25" spans="1:14" ht="13.5" thickBot="1">
      <c r="A25" s="1008"/>
      <c r="B25" s="224" t="s">
        <v>552</v>
      </c>
      <c r="C25" s="234">
        <v>20416</v>
      </c>
      <c r="D25" s="226"/>
      <c r="E25" s="233"/>
      <c r="F25" s="239">
        <v>4</v>
      </c>
      <c r="G25" s="240" t="s">
        <v>11</v>
      </c>
      <c r="H25" s="238" t="s">
        <v>587</v>
      </c>
      <c r="I25" s="1006"/>
      <c r="J25" s="223">
        <f>+'19'!J25</f>
        <v>0</v>
      </c>
      <c r="K25" s="248"/>
      <c r="L25" s="247"/>
      <c r="M25" s="126">
        <f>+K25+'19'!M25+L25</f>
        <v>0</v>
      </c>
    </row>
    <row r="26" spans="1:14" ht="13.5" thickBot="1">
      <c r="A26" s="1008"/>
      <c r="B26" s="224"/>
      <c r="C26" s="234"/>
      <c r="D26" s="226"/>
      <c r="E26" s="235"/>
      <c r="F26" s="239">
        <v>10</v>
      </c>
      <c r="G26" s="240" t="s">
        <v>11</v>
      </c>
      <c r="H26" s="582" t="s">
        <v>463</v>
      </c>
      <c r="I26" s="1006"/>
      <c r="J26" s="223">
        <f>+'19'!J26</f>
        <v>0</v>
      </c>
      <c r="K26" s="248"/>
      <c r="L26" s="247"/>
      <c r="M26" s="126">
        <f>+K26+'19'!M26+L26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766</v>
      </c>
      <c r="I27" s="1006"/>
      <c r="J27" s="223">
        <f>+'19'!J27</f>
        <v>0</v>
      </c>
      <c r="K27" s="247"/>
      <c r="L27" s="247"/>
      <c r="M27" s="126">
        <f>+K27+'19'!M27+L27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763</v>
      </c>
      <c r="I28" s="1006"/>
      <c r="J28" s="223">
        <f>+'19'!J28</f>
        <v>0</v>
      </c>
      <c r="K28" s="247"/>
      <c r="L28" s="247"/>
      <c r="M28" s="126">
        <f>+K28+'19'!M28+L28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 t="s">
        <v>764</v>
      </c>
      <c r="I29" s="1006"/>
      <c r="J29" s="223">
        <f>+'19'!J29</f>
        <v>0</v>
      </c>
      <c r="K29" s="247"/>
      <c r="L29" s="247"/>
      <c r="M29" s="126">
        <f>+K29+'19'!M29+L29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 t="s">
        <v>765</v>
      </c>
      <c r="I30" s="1006"/>
      <c r="J30" s="223">
        <f>+'19'!J30</f>
        <v>0</v>
      </c>
      <c r="K30" s="247"/>
      <c r="L30" s="247"/>
      <c r="M30" s="126">
        <f>+K30+'19'!M30+L30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+'19'!J31</f>
        <v>0</v>
      </c>
      <c r="K31" s="247"/>
      <c r="L31" s="247"/>
      <c r="M31" s="126">
        <f>+K31+'19'!M31+L31</f>
        <v>0</v>
      </c>
    </row>
    <row r="32" spans="1:14" ht="13.5" thickBot="1">
      <c r="A32" s="1009"/>
      <c r="B32" s="174" t="s">
        <v>2</v>
      </c>
      <c r="C32" s="108">
        <f>SUM(C25:C31)</f>
        <v>20416</v>
      </c>
      <c r="D32" s="109">
        <f>SUM(D25:D31)</f>
        <v>0</v>
      </c>
      <c r="E32" s="110">
        <f>SUM(E25:E31)</f>
        <v>0</v>
      </c>
      <c r="F32" s="111">
        <f>SUM(F24:F31)</f>
        <v>14</v>
      </c>
      <c r="G32" s="180"/>
      <c r="H32" s="181"/>
      <c r="I32" s="178"/>
      <c r="J32" s="223">
        <f>+'19'!J32</f>
        <v>0</v>
      </c>
      <c r="K32" s="249"/>
      <c r="L32" s="251"/>
      <c r="M32" s="126">
        <f>+K32+'19'!M32+L32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57715</v>
      </c>
      <c r="D34" s="116">
        <f>D14+D23+D32</f>
        <v>2325</v>
      </c>
      <c r="E34" s="116">
        <f>E14+E23+E32</f>
        <v>0</v>
      </c>
      <c r="F34" s="117">
        <f>F14+F23+F32</f>
        <v>74</v>
      </c>
      <c r="H34" s="187"/>
      <c r="I34" s="187"/>
      <c r="J34" s="132" t="s">
        <v>27</v>
      </c>
      <c r="K34" s="133">
        <f>SUM(K7:K32)</f>
        <v>57715</v>
      </c>
      <c r="L34" s="221">
        <f>SUM(L7:L32)</f>
        <v>0</v>
      </c>
      <c r="M34" s="129">
        <f>SUM(M7:M32)</f>
        <v>1045296</v>
      </c>
      <c r="N34" s="164"/>
    </row>
    <row r="35" spans="1:14" ht="13.5" thickBot="1">
      <c r="A35" s="188"/>
      <c r="B35" s="189"/>
      <c r="C35" s="113">
        <f>C34/($C$34+$D$34+$E$34)</f>
        <v>0.96127581612258495</v>
      </c>
      <c r="D35" s="113">
        <f>D34/($C$34+$D$34+$E$34)</f>
        <v>3.872418387741506E-2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(13*1440)/1440*G42*2.77*1440/1000000</f>
        <v>64.105866239999997</v>
      </c>
      <c r="J37" s="134">
        <f>+I37+'19'!J37</f>
        <v>1197.1851816537069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46</v>
      </c>
      <c r="D38" s="127">
        <f>+C38+'19'!D38</f>
        <v>1681</v>
      </c>
      <c r="E38" s="152">
        <f t="shared" ref="E38:E51" si="2">D38/60</f>
        <v>28.016666666666666</v>
      </c>
      <c r="F38" s="337">
        <v>1600</v>
      </c>
      <c r="G38" s="337">
        <v>1216</v>
      </c>
      <c r="H38" s="196" t="s">
        <v>63</v>
      </c>
      <c r="I38" s="549">
        <f>18.584+21.12+18.387</f>
        <v>58.091000000000001</v>
      </c>
      <c r="J38" s="136">
        <f>+I38+'19'!J38</f>
        <v>1097.809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+C39+'19'!D39</f>
        <v>0</v>
      </c>
      <c r="E39" s="152">
        <f t="shared" si="2"/>
        <v>0</v>
      </c>
      <c r="F39" s="337">
        <v>1620</v>
      </c>
      <c r="G39" s="337">
        <f>+F39-F39*0.24</f>
        <v>1231.2</v>
      </c>
      <c r="H39" s="196" t="s">
        <v>64</v>
      </c>
      <c r="I39" s="151"/>
      <c r="J39" s="138">
        <f>J37/G4</f>
        <v>59.859259082685341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28</v>
      </c>
      <c r="D40" s="127">
        <f>+C40+'19'!D40</f>
        <v>381</v>
      </c>
      <c r="E40" s="152">
        <f t="shared" si="2"/>
        <v>6.35</v>
      </c>
      <c r="F40" s="337">
        <v>1660</v>
      </c>
      <c r="G40" s="337">
        <f>+F40-F40*0.24</f>
        <v>1261.5999999999999</v>
      </c>
      <c r="H40" s="196" t="s">
        <v>66</v>
      </c>
      <c r="I40" s="127">
        <f>(K34+L34)/1000</f>
        <v>57.715000000000003</v>
      </c>
      <c r="J40" s="140">
        <f>+I40+'19'!J40</f>
        <v>1045.296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+C41+'19'!D41</f>
        <v>80</v>
      </c>
      <c r="E41" s="152">
        <f t="shared" si="2"/>
        <v>1.3333333333333333</v>
      </c>
      <c r="F41" s="337"/>
      <c r="G41" s="337"/>
      <c r="H41" s="196" t="s">
        <v>68</v>
      </c>
      <c r="I41" s="151"/>
      <c r="J41" s="138">
        <f>J40/G4</f>
        <v>52.264800000000001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+C42+'19'!D42</f>
        <v>0</v>
      </c>
      <c r="E42" s="152">
        <f t="shared" si="2"/>
        <v>0</v>
      </c>
      <c r="F42" s="337">
        <f>+(F38*480+F39*480+F40*480)/1440</f>
        <v>1626.6666666666667</v>
      </c>
      <c r="G42" s="337">
        <f>+(G38*480+G39*480+G40*480)/1440</f>
        <v>1236.2666666666667</v>
      </c>
      <c r="H42" s="196" t="s">
        <v>69</v>
      </c>
      <c r="I42" s="254" t="s">
        <v>769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+C43+'19'!D43</f>
        <v>0</v>
      </c>
      <c r="E43" s="152">
        <f t="shared" si="2"/>
        <v>0</v>
      </c>
      <c r="F43" s="337"/>
      <c r="G43" s="338"/>
      <c r="H43" s="197" t="s">
        <v>72</v>
      </c>
      <c r="I43" s="127">
        <f>+Report1!T28</f>
        <v>134.458</v>
      </c>
      <c r="J43" s="142">
        <f>+I43+'19'!J43</f>
        <v>2533.8719999999998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+C44+'19'!D44</f>
        <v>75</v>
      </c>
      <c r="E44" s="152">
        <f t="shared" si="2"/>
        <v>1.25</v>
      </c>
      <c r="F44" s="337"/>
      <c r="G44" s="338"/>
      <c r="H44" s="197" t="s">
        <v>73</v>
      </c>
      <c r="I44" s="127">
        <f>I43/I38</f>
        <v>2.3146098362913361</v>
      </c>
      <c r="J44" s="143">
        <f>J43/J38</f>
        <v>2.3081173501037067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+C45+'19'!D45</f>
        <v>0</v>
      </c>
      <c r="E45" s="152">
        <f t="shared" si="2"/>
        <v>0</v>
      </c>
      <c r="F45" s="337"/>
      <c r="G45" s="340"/>
      <c r="H45" s="197" t="s">
        <v>74</v>
      </c>
      <c r="I45" s="127">
        <f>I43/I40</f>
        <v>2.3296889889976606</v>
      </c>
      <c r="J45" s="143">
        <f>J43/J40</f>
        <v>2.4240712678514025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+C46+'19'!D46</f>
        <v>0</v>
      </c>
      <c r="E46" s="152">
        <f t="shared" si="2"/>
        <v>0</v>
      </c>
      <c r="F46" s="337"/>
      <c r="G46" s="338"/>
      <c r="H46" s="197" t="s">
        <v>76</v>
      </c>
      <c r="I46" s="149">
        <f>+SUMIF(Listrik!AR27,"&gt;0")</f>
        <v>55439.059999999343</v>
      </c>
      <c r="J46" s="144">
        <f>+I46+'19'!J46</f>
        <v>1037259.64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+C47+'19'!D47</f>
        <v>0</v>
      </c>
      <c r="E47" s="152">
        <f t="shared" si="2"/>
        <v>0</v>
      </c>
      <c r="F47" s="337"/>
      <c r="G47" s="338"/>
      <c r="H47" s="197" t="s">
        <v>79</v>
      </c>
      <c r="I47" s="127">
        <f>I46/I38</f>
        <v>954.34852214627642</v>
      </c>
      <c r="J47" s="144">
        <f>J46/J38</f>
        <v>944.84526907686131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+C48+'19'!D48</f>
        <v>0</v>
      </c>
      <c r="E48" s="152">
        <f t="shared" si="2"/>
        <v>0</v>
      </c>
      <c r="F48" s="337"/>
      <c r="G48" s="338"/>
      <c r="H48" s="197" t="s">
        <v>80</v>
      </c>
      <c r="I48" s="127">
        <f>I46/I40</f>
        <v>960.5658840855815</v>
      </c>
      <c r="J48" s="144">
        <f>J46/J40</f>
        <v>992.31188103656757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+C49+'19'!D49</f>
        <v>0</v>
      </c>
      <c r="E49" s="152">
        <f t="shared" si="2"/>
        <v>0</v>
      </c>
      <c r="F49" s="194"/>
      <c r="H49" s="197" t="s">
        <v>81</v>
      </c>
      <c r="I49" s="127">
        <v>0</v>
      </c>
      <c r="J49" s="144">
        <f>+I49+'19'!J49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+C50+'19'!D50</f>
        <v>0</v>
      </c>
      <c r="E50" s="152">
        <f t="shared" si="2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+C51+'19'!D51</f>
        <v>199</v>
      </c>
      <c r="E51" s="152">
        <f t="shared" si="2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74</v>
      </c>
      <c r="D52" s="153">
        <f>SUM(D38:D51)</f>
        <v>2416</v>
      </c>
      <c r="E52" s="154">
        <f>SUM(E38:E51)</f>
        <v>40.266666666666673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5.1388888888888887E-2</v>
      </c>
      <c r="D53" s="155">
        <f>D52/(24*60*G4)</f>
        <v>8.3888888888888888E-2</v>
      </c>
      <c r="E53" s="156">
        <f>E52/(G4*24)</f>
        <v>8.3888888888888902E-2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+D34+'19'!J56</f>
        <v>16601</v>
      </c>
      <c r="K56" s="210">
        <f>J56/(J40+J56/1000)/1000</f>
        <v>1.5633342970175074E-2</v>
      </c>
    </row>
    <row r="57" spans="1:11">
      <c r="A57" s="185"/>
      <c r="I57" s="208" t="s">
        <v>88</v>
      </c>
      <c r="J57" s="209">
        <f>+E34+'19'!J57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8.7109375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9.42578125" style="158" bestFit="1" customWidth="1"/>
    <col min="11" max="11" width="12.5703125" style="158" bestFit="1" customWidth="1"/>
    <col min="12" max="12" width="8.28515625" style="158" customWidth="1"/>
    <col min="13" max="13" width="14.140625" style="158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29</v>
      </c>
      <c r="G4" s="163">
        <v>19</v>
      </c>
      <c r="H4" s="163" t="str">
        <f>+'1'!H4</f>
        <v>.11.25</v>
      </c>
    </row>
    <row r="5" spans="1:15" ht="13.5" thickBot="1">
      <c r="C5" s="164"/>
      <c r="D5" s="164"/>
    </row>
    <row r="6" spans="1:15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187+196+254</f>
        <v>637</v>
      </c>
    </row>
    <row r="7" spans="1:15" ht="13.5" customHeight="1" thickBot="1">
      <c r="A7" s="1002" t="s">
        <v>465</v>
      </c>
      <c r="B7" s="224" t="s">
        <v>552</v>
      </c>
      <c r="C7" s="225">
        <v>19435</v>
      </c>
      <c r="D7" s="226">
        <v>263</v>
      </c>
      <c r="E7" s="227"/>
      <c r="F7" s="236"/>
      <c r="G7" s="237" t="s">
        <v>11</v>
      </c>
      <c r="H7" s="238" t="s">
        <v>434</v>
      </c>
      <c r="I7" s="1005" t="s">
        <v>740</v>
      </c>
      <c r="J7" s="223" t="str">
        <f>+'18'!J7</f>
        <v>MG 14 VP HW/OW</v>
      </c>
      <c r="K7" s="246"/>
      <c r="L7" s="250"/>
      <c r="M7" s="126">
        <f>+K7+'18'!M7+L7</f>
        <v>143496</v>
      </c>
    </row>
    <row r="8" spans="1:15" ht="13.5" thickBot="1">
      <c r="A8" s="1003"/>
      <c r="B8" s="224"/>
      <c r="C8" s="225"/>
      <c r="D8" s="226"/>
      <c r="E8" s="228"/>
      <c r="F8" s="239">
        <v>5</v>
      </c>
      <c r="G8" s="240" t="s">
        <v>11</v>
      </c>
      <c r="H8" s="238" t="s">
        <v>587</v>
      </c>
      <c r="I8" s="1006"/>
      <c r="J8" s="223" t="str">
        <f>+'18'!J8</f>
        <v>MG 16,5 VP HW</v>
      </c>
      <c r="K8" s="247"/>
      <c r="L8" s="247"/>
      <c r="M8" s="126">
        <f>+K8+'18'!M8+L8</f>
        <v>93365</v>
      </c>
      <c r="N8" s="158">
        <v>1650</v>
      </c>
      <c r="O8" s="158">
        <f>+N8-N8*0.24</f>
        <v>1254</v>
      </c>
    </row>
    <row r="9" spans="1:15" ht="13.5" thickBot="1">
      <c r="A9" s="1003"/>
      <c r="B9" s="224"/>
      <c r="C9" s="225"/>
      <c r="D9" s="226"/>
      <c r="E9" s="229"/>
      <c r="F9" s="236">
        <v>7</v>
      </c>
      <c r="G9" s="240" t="s">
        <v>11</v>
      </c>
      <c r="H9" s="582" t="s">
        <v>463</v>
      </c>
      <c r="I9" s="1006"/>
      <c r="J9" s="223" t="str">
        <f>+'18'!J9</f>
        <v>MG 30 VP HW</v>
      </c>
      <c r="K9" s="247"/>
      <c r="L9" s="247"/>
      <c r="M9" s="126">
        <f>+K9+'18'!M9+L9</f>
        <v>4193</v>
      </c>
      <c r="N9" s="158">
        <v>1700</v>
      </c>
      <c r="O9" s="158">
        <f>+N9-N9*0.24</f>
        <v>1292</v>
      </c>
    </row>
    <row r="10" spans="1:15" ht="13.5" thickBot="1">
      <c r="A10" s="1003"/>
      <c r="B10" s="224"/>
      <c r="C10" s="225"/>
      <c r="D10" s="226"/>
      <c r="E10" s="228"/>
      <c r="F10" s="236"/>
      <c r="G10" s="240"/>
      <c r="H10" s="582" t="s">
        <v>739</v>
      </c>
      <c r="I10" s="1006"/>
      <c r="J10" s="223" t="str">
        <f>+'18'!J10</f>
        <v>MG 17 VP HW</v>
      </c>
      <c r="K10" s="247"/>
      <c r="L10" s="247"/>
      <c r="M10" s="126">
        <f>+K10+'18'!M10+L10</f>
        <v>18114</v>
      </c>
    </row>
    <row r="11" spans="1:15" ht="13.5" thickBot="1">
      <c r="A11" s="1003"/>
      <c r="B11" s="224"/>
      <c r="C11" s="225"/>
      <c r="D11" s="226"/>
      <c r="E11" s="228"/>
      <c r="F11" s="236"/>
      <c r="G11" s="240"/>
      <c r="H11" s="241"/>
      <c r="I11" s="1006"/>
      <c r="J11" s="223" t="str">
        <f>+'18'!J11</f>
        <v>MG 18 VP HW</v>
      </c>
      <c r="K11" s="247"/>
      <c r="L11" s="247"/>
      <c r="M11" s="126">
        <f>+K11+'18'!M11+L11</f>
        <v>25394</v>
      </c>
    </row>
    <row r="12" spans="1:15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+'18'!J12</f>
        <v>MG 21,5 VP HW</v>
      </c>
      <c r="K12" s="247"/>
      <c r="L12" s="247"/>
      <c r="M12" s="126">
        <f>+K12+'18'!M12+L12</f>
        <v>987</v>
      </c>
    </row>
    <row r="13" spans="1:15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+'18'!J13</f>
        <v>F 10,3 VP OW</v>
      </c>
      <c r="K13" s="247"/>
      <c r="L13" s="247"/>
      <c r="M13" s="126">
        <f>+K13+'18'!M13+L13</f>
        <v>115938</v>
      </c>
    </row>
    <row r="14" spans="1:15" ht="13.5" thickBot="1">
      <c r="A14" s="1004"/>
      <c r="B14" s="174" t="s">
        <v>2</v>
      </c>
      <c r="C14" s="108">
        <f>SUM(C7:C13)</f>
        <v>19435</v>
      </c>
      <c r="D14" s="120">
        <f>SUM(D7:D13)</f>
        <v>263</v>
      </c>
      <c r="E14" s="121">
        <f>SUM(E5:E13)</f>
        <v>0</v>
      </c>
      <c r="F14" s="125">
        <f>SUM(F7:F13)</f>
        <v>12</v>
      </c>
      <c r="G14" s="168"/>
      <c r="H14" s="175"/>
      <c r="I14" s="176"/>
      <c r="J14" s="223" t="str">
        <f>+'18'!J14</f>
        <v>F 12 VP OW</v>
      </c>
      <c r="K14" s="247"/>
      <c r="L14" s="247"/>
      <c r="M14" s="126">
        <f>+K14+'18'!M14+L14</f>
        <v>114228</v>
      </c>
    </row>
    <row r="15" spans="1:15" ht="13.5" customHeight="1" thickBot="1">
      <c r="A15" s="1002" t="s">
        <v>447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753</v>
      </c>
      <c r="J15" s="223" t="str">
        <f>+'18'!J15</f>
        <v>F 13 VP OW</v>
      </c>
      <c r="K15" s="247">
        <f>+C34</f>
        <v>62713</v>
      </c>
      <c r="L15" s="247"/>
      <c r="M15" s="126">
        <f>+K15+'18'!M15+L15</f>
        <v>223432</v>
      </c>
    </row>
    <row r="16" spans="1:15" ht="13.5" thickBot="1">
      <c r="A16" s="1008"/>
      <c r="B16" s="224" t="s">
        <v>552</v>
      </c>
      <c r="C16" s="230">
        <v>22705</v>
      </c>
      <c r="D16" s="231"/>
      <c r="E16" s="232"/>
      <c r="F16" s="236">
        <v>7</v>
      </c>
      <c r="G16" s="240" t="s">
        <v>11</v>
      </c>
      <c r="H16" s="238" t="s">
        <v>587</v>
      </c>
      <c r="I16" s="1006"/>
      <c r="J16" s="223" t="str">
        <f>+'18'!J16</f>
        <v>F 12,5 VP OW</v>
      </c>
      <c r="K16" s="247"/>
      <c r="L16" s="237"/>
      <c r="M16" s="126">
        <f>+K16+'18'!M16+L16</f>
        <v>91232</v>
      </c>
    </row>
    <row r="17" spans="1:14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463</v>
      </c>
      <c r="I17" s="1006"/>
      <c r="J17" s="223" t="str">
        <f>+'18'!J17</f>
        <v>SN 13 VP OW</v>
      </c>
      <c r="K17" s="247"/>
      <c r="L17" s="237"/>
      <c r="M17" s="126">
        <f>+K17+'18'!M17+L17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752</v>
      </c>
      <c r="I18" s="1006"/>
      <c r="J18" s="223" t="str">
        <f>+'18'!J18</f>
        <v>SN 14 VP OW</v>
      </c>
      <c r="K18" s="247"/>
      <c r="L18" s="247"/>
      <c r="M18" s="126">
        <f>+K18+'18'!M18+L18</f>
        <v>16454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/>
      <c r="I19" s="1006"/>
      <c r="J19" s="223" t="str">
        <f>+'18'!J19</f>
        <v>SN 15 VP OW</v>
      </c>
      <c r="K19" s="247"/>
      <c r="L19" s="247"/>
      <c r="M19" s="126">
        <f>+K19+'18'!M19+L19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+'18'!J20</f>
        <v>0</v>
      </c>
      <c r="K20" s="247"/>
      <c r="L20" s="248"/>
      <c r="M20" s="126">
        <f>+K20+'18'!M20+L20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+'18'!J21</f>
        <v>0</v>
      </c>
      <c r="K21" s="247"/>
      <c r="L21" s="247"/>
      <c r="M21" s="126">
        <f>+K21+'18'!M21+L21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+'18'!J22</f>
        <v>0</v>
      </c>
      <c r="K22" s="247"/>
      <c r="L22" s="247"/>
      <c r="M22" s="126">
        <f>+K22+'18'!M22+L22</f>
        <v>0</v>
      </c>
    </row>
    <row r="23" spans="1:14" ht="13.5" thickBot="1">
      <c r="A23" s="1009"/>
      <c r="B23" s="177" t="s">
        <v>2</v>
      </c>
      <c r="C23" s="109">
        <f>SUM(C16:C22)</f>
        <v>22705</v>
      </c>
      <c r="D23" s="120">
        <f>SUM(D16:D22)</f>
        <v>0</v>
      </c>
      <c r="E23" s="121">
        <f>SUM(E18:E22)</f>
        <v>0</v>
      </c>
      <c r="F23" s="125">
        <f>SUM(F15:F22)</f>
        <v>17</v>
      </c>
      <c r="G23" s="168"/>
      <c r="H23" s="175" t="s">
        <v>234</v>
      </c>
      <c r="I23" s="178"/>
      <c r="J23" s="223">
        <f>+'18'!J23</f>
        <v>0</v>
      </c>
      <c r="K23" s="247"/>
      <c r="L23" s="247"/>
      <c r="M23" s="126">
        <f>+K23+'18'!M23+L23</f>
        <v>0</v>
      </c>
    </row>
    <row r="24" spans="1:14" ht="13.5" customHeight="1" thickBot="1">
      <c r="A24" s="1002" t="s">
        <v>703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753</v>
      </c>
      <c r="J24" s="223">
        <f>+'18'!J24</f>
        <v>0</v>
      </c>
      <c r="K24" s="247"/>
      <c r="L24" s="247"/>
      <c r="M24" s="126">
        <f>+K24+'18'!M24+L24</f>
        <v>0</v>
      </c>
    </row>
    <row r="25" spans="1:14" ht="13.5" thickBot="1">
      <c r="A25" s="1008"/>
      <c r="B25" s="224" t="s">
        <v>552</v>
      </c>
      <c r="C25" s="234">
        <v>20573</v>
      </c>
      <c r="D25" s="226"/>
      <c r="E25" s="233"/>
      <c r="F25" s="239">
        <v>5</v>
      </c>
      <c r="G25" s="240" t="s">
        <v>11</v>
      </c>
      <c r="H25" s="238" t="s">
        <v>587</v>
      </c>
      <c r="I25" s="1006"/>
      <c r="J25" s="223">
        <f>+'18'!J25</f>
        <v>0</v>
      </c>
      <c r="K25" s="247"/>
      <c r="L25" s="247"/>
      <c r="M25" s="126">
        <f>+K25+'18'!M25+L25</f>
        <v>0</v>
      </c>
    </row>
    <row r="26" spans="1:14" ht="13.5" thickBot="1">
      <c r="A26" s="1008"/>
      <c r="B26" s="224"/>
      <c r="C26" s="234"/>
      <c r="D26" s="226"/>
      <c r="E26" s="235"/>
      <c r="F26" s="239">
        <v>5</v>
      </c>
      <c r="G26" s="240" t="s">
        <v>11</v>
      </c>
      <c r="H26" s="582" t="s">
        <v>428</v>
      </c>
      <c r="I26" s="1006"/>
      <c r="J26" s="223">
        <f>+'18'!J26</f>
        <v>0</v>
      </c>
      <c r="K26" s="247"/>
      <c r="L26" s="247"/>
      <c r="M26" s="126">
        <f>+K26+'18'!M26+L26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752</v>
      </c>
      <c r="I27" s="1006"/>
      <c r="J27" s="223">
        <f>+'18'!J27</f>
        <v>0</v>
      </c>
      <c r="K27" s="247"/>
      <c r="L27" s="247"/>
      <c r="M27" s="126">
        <f>+K27+'18'!M27+L27</f>
        <v>0</v>
      </c>
    </row>
    <row r="28" spans="1:14" ht="13.5" thickBot="1">
      <c r="A28" s="1008"/>
      <c r="B28" s="224"/>
      <c r="C28" s="225"/>
      <c r="D28" s="226"/>
      <c r="E28" s="233"/>
      <c r="F28" s="239">
        <v>25</v>
      </c>
      <c r="G28" s="240" t="s">
        <v>11</v>
      </c>
      <c r="H28" s="241" t="s">
        <v>750</v>
      </c>
      <c r="I28" s="1006"/>
      <c r="J28" s="223">
        <f>+'18'!J28</f>
        <v>0</v>
      </c>
      <c r="K28" s="247"/>
      <c r="L28" s="247"/>
      <c r="M28" s="126">
        <f>+K28+'18'!M28+L28</f>
        <v>0</v>
      </c>
    </row>
    <row r="29" spans="1:14" ht="26.25" thickBot="1">
      <c r="A29" s="1008"/>
      <c r="B29" s="224"/>
      <c r="C29" s="225"/>
      <c r="D29" s="226"/>
      <c r="E29" s="233"/>
      <c r="F29" s="244"/>
      <c r="G29" s="240"/>
      <c r="H29" s="241" t="s">
        <v>751</v>
      </c>
      <c r="I29" s="1006"/>
      <c r="J29" s="223">
        <f>+'18'!J29</f>
        <v>0</v>
      </c>
      <c r="K29" s="247"/>
      <c r="L29" s="247"/>
      <c r="M29" s="126">
        <f>+K29+'18'!M29+L29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+'18'!J30</f>
        <v>0</v>
      </c>
      <c r="K30" s="247"/>
      <c r="L30" s="247"/>
      <c r="M30" s="126">
        <f>+K30+'18'!M30+L30</f>
        <v>0</v>
      </c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+'18'!J31</f>
        <v>0</v>
      </c>
      <c r="K31" s="247"/>
      <c r="L31" s="247"/>
      <c r="M31" s="126">
        <f>+K31+'18'!M31+L31</f>
        <v>0</v>
      </c>
      <c r="N31" s="164"/>
    </row>
    <row r="32" spans="1:14" ht="13.5" thickBot="1">
      <c r="A32" s="1009"/>
      <c r="B32" s="174" t="s">
        <v>2</v>
      </c>
      <c r="C32" s="108">
        <f>SUM(C25:C31)</f>
        <v>20573</v>
      </c>
      <c r="D32" s="109">
        <f>SUM(D25:D31)</f>
        <v>0</v>
      </c>
      <c r="E32" s="110">
        <f>SUM(E25:E31)</f>
        <v>0</v>
      </c>
      <c r="F32" s="111">
        <f>SUM(F24:F31)</f>
        <v>35</v>
      </c>
      <c r="G32" s="180"/>
      <c r="H32" s="181"/>
      <c r="I32" s="178"/>
      <c r="J32" s="223">
        <f>+'18'!J32</f>
        <v>0</v>
      </c>
      <c r="K32" s="249"/>
      <c r="L32" s="251"/>
      <c r="M32" s="126">
        <f>+K32+'18'!M32+L32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62713</v>
      </c>
      <c r="D34" s="116">
        <f>D14+D23+D32</f>
        <v>263</v>
      </c>
      <c r="E34" s="116">
        <f>E14+E23+E32</f>
        <v>0</v>
      </c>
      <c r="F34" s="117">
        <f>F14+F23+F32</f>
        <v>64</v>
      </c>
      <c r="H34" s="187"/>
      <c r="I34" s="187"/>
      <c r="J34" s="132" t="s">
        <v>27</v>
      </c>
      <c r="K34" s="133">
        <f>SUM(K7:K32)</f>
        <v>62713</v>
      </c>
      <c r="L34" s="221">
        <f>SUM(L7:L32)</f>
        <v>0</v>
      </c>
      <c r="M34" s="129">
        <f>SUM(M7:M32)</f>
        <v>987581</v>
      </c>
    </row>
    <row r="35" spans="1:14" ht="13.5" thickBot="1">
      <c r="A35" s="188"/>
      <c r="B35" s="189"/>
      <c r="C35" s="113">
        <f>C34/($C$34+$D$34+$E$34)</f>
        <v>0.99582380589430897</v>
      </c>
      <c r="D35" s="113">
        <f>D34/($C$34+$D$34+$E$34)</f>
        <v>4.1761941056910569E-3</v>
      </c>
      <c r="E35" s="118">
        <f>E34/($C$34+$D$34+$E$34)</f>
        <v>0</v>
      </c>
      <c r="K35" s="164"/>
      <c r="N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(13*1440)/1440*G42*2.77*1440/1000000</f>
        <v>66.339062399999989</v>
      </c>
      <c r="J37" s="134">
        <f>+I37+'18'!J37</f>
        <v>1133.0793154137068</v>
      </c>
      <c r="K37" s="135" t="s">
        <v>62</v>
      </c>
      <c r="L37" s="556"/>
    </row>
    <row r="38" spans="1:14" ht="17.45" customHeight="1">
      <c r="A38" s="1000" t="s">
        <v>11</v>
      </c>
      <c r="B38" s="1001"/>
      <c r="C38" s="173">
        <f>SUMIF($G$7:$G$31,"Process",$F$7:$F$31)</f>
        <v>64</v>
      </c>
      <c r="D38" s="127">
        <f>+C38+'18'!D38</f>
        <v>1635</v>
      </c>
      <c r="E38" s="152">
        <f t="shared" ref="E38:E51" si="0">D38/60</f>
        <v>27.25</v>
      </c>
      <c r="F38" s="337">
        <v>1650</v>
      </c>
      <c r="G38" s="337">
        <f>+F38-F38*0.24</f>
        <v>1254</v>
      </c>
      <c r="H38" s="196" t="s">
        <v>63</v>
      </c>
      <c r="I38" s="549">
        <f>22.187+21.729+20.084</f>
        <v>64</v>
      </c>
      <c r="J38" s="136">
        <f>+I38+'18'!J38</f>
        <v>1039.7180000000001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+C39+'18'!D39</f>
        <v>0</v>
      </c>
      <c r="E39" s="152">
        <f t="shared" si="0"/>
        <v>0</v>
      </c>
      <c r="F39" s="337">
        <v>1700</v>
      </c>
      <c r="G39" s="337">
        <f>+F39-F39*0.24</f>
        <v>1292</v>
      </c>
      <c r="H39" s="196" t="s">
        <v>64</v>
      </c>
      <c r="I39" s="151"/>
      <c r="J39" s="138">
        <f>J37/G4</f>
        <v>59.635753442826676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+C40+'18'!D40</f>
        <v>353</v>
      </c>
      <c r="E40" s="152">
        <f t="shared" si="0"/>
        <v>5.8833333333333337</v>
      </c>
      <c r="F40" s="337">
        <v>1700</v>
      </c>
      <c r="G40" s="337">
        <f>+F40-F40*0.24</f>
        <v>1292</v>
      </c>
      <c r="H40" s="196" t="s">
        <v>66</v>
      </c>
      <c r="I40" s="127">
        <f>(K34+L34)/1000</f>
        <v>62.713000000000001</v>
      </c>
      <c r="J40" s="140">
        <f>+I40+'18'!J40</f>
        <v>987.58100000000013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+C41+'18'!D41</f>
        <v>80</v>
      </c>
      <c r="E41" s="152">
        <f t="shared" si="0"/>
        <v>1.3333333333333333</v>
      </c>
      <c r="F41" s="337"/>
      <c r="G41" s="337"/>
      <c r="H41" s="196" t="s">
        <v>68</v>
      </c>
      <c r="I41" s="151"/>
      <c r="J41" s="138">
        <f>J40/G4</f>
        <v>51.977947368421063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+C42+'18'!D42</f>
        <v>0</v>
      </c>
      <c r="E42" s="152">
        <f t="shared" si="0"/>
        <v>0</v>
      </c>
      <c r="F42" s="337">
        <f>+(F38*480+F39*480+F40*480)/1440</f>
        <v>1683.3333333333333</v>
      </c>
      <c r="G42" s="337">
        <f>+(G38*480+G39*480+G40*480)/1440</f>
        <v>1279.3333333333333</v>
      </c>
      <c r="H42" s="196" t="s">
        <v>69</v>
      </c>
      <c r="I42" s="254" t="s">
        <v>754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+C43+'18'!D43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+Report1!T27</f>
        <v>136.767</v>
      </c>
      <c r="J43" s="142">
        <f>+I43+'18'!J43</f>
        <v>2399.4139999999998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+C44+'18'!D44</f>
        <v>75</v>
      </c>
      <c r="E44" s="152">
        <f t="shared" si="0"/>
        <v>1.25</v>
      </c>
      <c r="F44" s="337"/>
      <c r="G44" s="338"/>
      <c r="H44" s="197" t="s">
        <v>73</v>
      </c>
      <c r="I44" s="127">
        <f>I43/I38</f>
        <v>2.1369843749999999</v>
      </c>
      <c r="J44" s="143">
        <f>J43/J38</f>
        <v>2.3077546026903444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+C45+'18'!D45</f>
        <v>0</v>
      </c>
      <c r="E45" s="152">
        <f t="shared" si="0"/>
        <v>0</v>
      </c>
      <c r="F45" s="337"/>
      <c r="G45" s="340"/>
      <c r="H45" s="197" t="s">
        <v>74</v>
      </c>
      <c r="I45" s="127">
        <f>I43/I40</f>
        <v>2.1808396983081657</v>
      </c>
      <c r="J45" s="143">
        <f>J43/J40</f>
        <v>2.4295870414679905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+C46+'18'!D46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+SUMIF(Listrik!AR26,"&gt;0")</f>
        <v>55795.99999999869</v>
      </c>
      <c r="J46" s="144">
        <f>+I46+'18'!J46</f>
        <v>981820.58000000066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+C47+'18'!D47</f>
        <v>0</v>
      </c>
      <c r="E47" s="152">
        <f t="shared" si="0"/>
        <v>0</v>
      </c>
      <c r="F47" s="337"/>
      <c r="G47" s="338"/>
      <c r="H47" s="197" t="s">
        <v>79</v>
      </c>
      <c r="I47" s="127">
        <f>I46/I38</f>
        <v>871.81249999997954</v>
      </c>
      <c r="J47" s="144">
        <f>J46/J38</f>
        <v>944.31430445563183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+C48+'18'!D48</f>
        <v>0</v>
      </c>
      <c r="E48" s="152">
        <f t="shared" si="0"/>
        <v>0</v>
      </c>
      <c r="F48" s="337"/>
      <c r="G48" s="338"/>
      <c r="H48" s="197" t="s">
        <v>80</v>
      </c>
      <c r="I48" s="127">
        <f>I46/I40</f>
        <v>889.70388914577029</v>
      </c>
      <c r="J48" s="144">
        <f>J46/J40</f>
        <v>994.16714173318496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+C49+'18'!D49</f>
        <v>0</v>
      </c>
      <c r="E49" s="152">
        <f t="shared" si="0"/>
        <v>0</v>
      </c>
      <c r="F49" s="194"/>
      <c r="H49" s="197" t="s">
        <v>81</v>
      </c>
      <c r="I49" s="127">
        <v>0</v>
      </c>
      <c r="J49" s="144">
        <f>+I49+'18'!J49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+C50+'18'!D50</f>
        <v>0</v>
      </c>
      <c r="E50" s="152">
        <f t="shared" si="0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+C51+'18'!D51</f>
        <v>199</v>
      </c>
      <c r="E51" s="152">
        <f t="shared" si="0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64</v>
      </c>
      <c r="D52" s="153">
        <f>SUM(D38:D51)</f>
        <v>2342</v>
      </c>
      <c r="E52" s="154">
        <f>SUM(E38:E51)</f>
        <v>39.033333333333339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4.4444444444444446E-2</v>
      </c>
      <c r="D53" s="155">
        <f>D52/(24*60*G4)</f>
        <v>8.5599415204678356E-2</v>
      </c>
      <c r="E53" s="156">
        <f>E52/(G4*24)</f>
        <v>8.559941520467837E-2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+D34+'18'!J56</f>
        <v>14276</v>
      </c>
      <c r="K56" s="210">
        <f>J56/(J40+J56/1000)/1000</f>
        <v>1.4249538606807159E-2</v>
      </c>
    </row>
    <row r="57" spans="1:11">
      <c r="A57" s="185"/>
      <c r="I57" s="208" t="s">
        <v>88</v>
      </c>
      <c r="J57" s="209">
        <f>+E34+'18'!J57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7" zoomScale="85" zoomScaleNormal="80" zoomScaleSheetLayoutView="85" workbookViewId="0">
      <selection activeCell="A7" sqref="A7:B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2.28515625" style="158" customWidth="1"/>
    <col min="8" max="8" width="64.85546875" style="158" customWidth="1"/>
    <col min="9" max="9" width="14.7109375" style="158" bestFit="1" customWidth="1"/>
    <col min="10" max="10" width="19.42578125" style="158" bestFit="1" customWidth="1"/>
    <col min="11" max="11" width="12.5703125" style="158" bestFit="1" customWidth="1"/>
    <col min="12" max="12" width="8.28515625" style="158" customWidth="1"/>
    <col min="13" max="13" width="15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18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175+150+264</f>
        <v>589</v>
      </c>
    </row>
    <row r="7" spans="1:18" ht="13.5" customHeight="1" thickBot="1">
      <c r="A7" s="1002" t="s">
        <v>449</v>
      </c>
      <c r="B7" s="224" t="s">
        <v>551</v>
      </c>
      <c r="C7" s="225">
        <f>7540+6325</f>
        <v>13865</v>
      </c>
      <c r="D7" s="226"/>
      <c r="E7" s="227"/>
      <c r="F7" s="236">
        <v>10</v>
      </c>
      <c r="G7" s="237" t="s">
        <v>11</v>
      </c>
      <c r="H7" s="238" t="s">
        <v>414</v>
      </c>
      <c r="I7" s="1005" t="s">
        <v>726</v>
      </c>
      <c r="J7" s="223" t="str">
        <f>+'17'!J7</f>
        <v>MG 14 VP HW/OW</v>
      </c>
      <c r="K7" s="246"/>
      <c r="L7" s="250"/>
      <c r="M7" s="126">
        <f>+K7+'17'!M7+L7</f>
        <v>143496</v>
      </c>
    </row>
    <row r="8" spans="1:18" ht="13.5" thickBot="1">
      <c r="A8" s="1003"/>
      <c r="B8" s="224" t="s">
        <v>552</v>
      </c>
      <c r="C8" s="225">
        <f>3088+182</f>
        <v>3270</v>
      </c>
      <c r="D8" s="226"/>
      <c r="E8" s="228"/>
      <c r="F8" s="239">
        <v>8</v>
      </c>
      <c r="G8" s="240" t="s">
        <v>11</v>
      </c>
      <c r="H8" s="238" t="s">
        <v>568</v>
      </c>
      <c r="I8" s="1006"/>
      <c r="J8" s="223" t="str">
        <f>+'17'!J8</f>
        <v>MG 16,5 VP HW</v>
      </c>
      <c r="K8" s="247"/>
      <c r="L8" s="247"/>
      <c r="M8" s="126">
        <f>+K8+'17'!M8+L8</f>
        <v>93365</v>
      </c>
      <c r="N8" s="158">
        <v>1550</v>
      </c>
      <c r="O8" s="158">
        <f>+N8-N8*0.24</f>
        <v>1178</v>
      </c>
      <c r="P8" s="158">
        <f>240+20</f>
        <v>260</v>
      </c>
      <c r="Q8" s="158">
        <f>+N8*P8</f>
        <v>403000</v>
      </c>
      <c r="R8" s="158">
        <f>+O8*P8</f>
        <v>306280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544</v>
      </c>
      <c r="I9" s="1006"/>
      <c r="J9" s="223" t="str">
        <f>+'17'!J9</f>
        <v>MG 30 VP HW</v>
      </c>
      <c r="K9" s="247"/>
      <c r="L9" s="247"/>
      <c r="M9" s="126">
        <f>+K9+'17'!M9+L9</f>
        <v>4193</v>
      </c>
      <c r="N9" s="158">
        <v>1600</v>
      </c>
      <c r="O9" s="158">
        <f>+N9-N9*0.24</f>
        <v>1216</v>
      </c>
      <c r="P9" s="158">
        <f>40+180</f>
        <v>220</v>
      </c>
      <c r="Q9" s="158">
        <f>+N9*P9</f>
        <v>352000</v>
      </c>
      <c r="R9" s="158">
        <f>+O9*P9</f>
        <v>267520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737</v>
      </c>
      <c r="I10" s="1006"/>
      <c r="J10" s="223" t="str">
        <f>+'17'!J10</f>
        <v>MG 17 VP HW</v>
      </c>
      <c r="K10" s="247"/>
      <c r="L10" s="247"/>
      <c r="M10" s="126">
        <f>+K10+'17'!M10+L10</f>
        <v>18114</v>
      </c>
      <c r="P10" s="158">
        <f>SUM(P8:P9)</f>
        <v>480</v>
      </c>
      <c r="Q10" s="158">
        <f t="shared" ref="Q10:R10" si="0">SUM(Q8:Q9)</f>
        <v>755000</v>
      </c>
      <c r="R10" s="158">
        <f t="shared" si="0"/>
        <v>573800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 t="s">
        <v>736</v>
      </c>
      <c r="I11" s="1006"/>
      <c r="J11" s="223" t="str">
        <f>+'17'!J11</f>
        <v>MG 18 VP HW</v>
      </c>
      <c r="K11" s="247"/>
      <c r="L11" s="247"/>
      <c r="M11" s="126">
        <f>+K11+'17'!M11+L11</f>
        <v>25394</v>
      </c>
      <c r="Q11" s="158">
        <f>+Q10/P10</f>
        <v>1572.9166666666667</v>
      </c>
      <c r="R11" s="158">
        <f>+R10/P10</f>
        <v>1195.4166666666667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738</v>
      </c>
      <c r="I12" s="1006"/>
      <c r="J12" s="223" t="str">
        <f>+'17'!J12</f>
        <v>MG 21,5 VP HW</v>
      </c>
      <c r="K12" s="247"/>
      <c r="L12" s="247"/>
      <c r="M12" s="126">
        <f>+K12+'17'!M12+L12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+'17'!J13</f>
        <v>F 10,3 VP OW</v>
      </c>
      <c r="K13" s="247"/>
      <c r="L13" s="247"/>
      <c r="M13" s="126">
        <f>+K13+'17'!M13+L13</f>
        <v>115938</v>
      </c>
    </row>
    <row r="14" spans="1:18" ht="13.5" thickBot="1">
      <c r="A14" s="1004"/>
      <c r="B14" s="174" t="s">
        <v>2</v>
      </c>
      <c r="C14" s="108">
        <f>SUM(C7:C13)</f>
        <v>17135</v>
      </c>
      <c r="D14" s="120">
        <f>SUM(D7:D13)</f>
        <v>0</v>
      </c>
      <c r="E14" s="121">
        <f>SUM(E5:E13)</f>
        <v>0</v>
      </c>
      <c r="F14" s="125">
        <f>SUM(F7:F13)</f>
        <v>28</v>
      </c>
      <c r="G14" s="168"/>
      <c r="H14" s="175"/>
      <c r="I14" s="176"/>
      <c r="J14" s="223" t="str">
        <f>+'17'!J14</f>
        <v>F 12 VP OW</v>
      </c>
      <c r="K14" s="247">
        <f>+C7</f>
        <v>13865</v>
      </c>
      <c r="L14" s="247"/>
      <c r="M14" s="126">
        <f>+K14+'17'!M14+L14</f>
        <v>114228</v>
      </c>
    </row>
    <row r="15" spans="1:18" ht="13.5" customHeight="1" thickBot="1">
      <c r="A15" s="1002" t="s">
        <v>447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542</v>
      </c>
      <c r="J15" s="223" t="str">
        <f>+'17'!J15</f>
        <v>F 13 VP OW</v>
      </c>
      <c r="K15" s="247">
        <f>+C8+C16+C25</f>
        <v>31571</v>
      </c>
      <c r="L15" s="247"/>
      <c r="M15" s="126">
        <f>+K15+'17'!M15+L15</f>
        <v>160719</v>
      </c>
    </row>
    <row r="16" spans="1:18" ht="13.5" thickBot="1">
      <c r="A16" s="1008"/>
      <c r="B16" s="224" t="s">
        <v>552</v>
      </c>
      <c r="C16" s="230">
        <v>10075</v>
      </c>
      <c r="D16" s="231">
        <v>280</v>
      </c>
      <c r="E16" s="232"/>
      <c r="F16" s="236">
        <v>2</v>
      </c>
      <c r="G16" s="240" t="s">
        <v>11</v>
      </c>
      <c r="H16" s="238" t="s">
        <v>433</v>
      </c>
      <c r="I16" s="1006"/>
      <c r="J16" s="223" t="str">
        <f>+'17'!J16</f>
        <v>F 12,5 VP OW</v>
      </c>
      <c r="K16" s="237"/>
      <c r="L16" s="237"/>
      <c r="M16" s="126">
        <f>+K16+'17'!M16+L16</f>
        <v>91232</v>
      </c>
      <c r="N16" s="158">
        <v>1600</v>
      </c>
      <c r="O16" s="158">
        <f>+N16-N16*0.24</f>
        <v>1216</v>
      </c>
      <c r="P16" s="158">
        <f>220+480-170</f>
        <v>530</v>
      </c>
      <c r="Q16" s="158">
        <f>+N16*P16</f>
        <v>848000</v>
      </c>
      <c r="R16" s="158">
        <f>+O16*P16</f>
        <v>644480</v>
      </c>
    </row>
    <row r="17" spans="1:18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428</v>
      </c>
      <c r="I17" s="1006"/>
      <c r="J17" s="223" t="str">
        <f>+'17'!J17</f>
        <v>SN 13 VP OW</v>
      </c>
      <c r="K17" s="237"/>
      <c r="L17" s="237"/>
      <c r="M17" s="126">
        <f>+K17+'17'!M17+L17</f>
        <v>112808</v>
      </c>
      <c r="N17" s="158">
        <v>1650</v>
      </c>
      <c r="O17" s="158">
        <f>+N17-N17*0.24</f>
        <v>1254</v>
      </c>
      <c r="P17" s="158">
        <v>480</v>
      </c>
      <c r="Q17" s="158">
        <f>+N17*P17</f>
        <v>792000</v>
      </c>
      <c r="R17" s="158">
        <f>+O17*P17</f>
        <v>601920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735</v>
      </c>
      <c r="I18" s="1006"/>
      <c r="J18" s="223" t="str">
        <f>+'17'!J18</f>
        <v>SN 14 VP OW</v>
      </c>
      <c r="K18" s="247"/>
      <c r="L18" s="247"/>
      <c r="M18" s="126">
        <f>+K18+'17'!M18+L18</f>
        <v>16454</v>
      </c>
      <c r="P18" s="158">
        <f>SUM(P16:P17)</f>
        <v>1010</v>
      </c>
      <c r="Q18" s="158">
        <f t="shared" ref="Q18" si="1">SUM(Q16:Q17)</f>
        <v>1640000</v>
      </c>
      <c r="R18" s="158">
        <f t="shared" ref="R18" si="2">SUM(R16:R17)</f>
        <v>1246400</v>
      </c>
    </row>
    <row r="19" spans="1:18" ht="39" thickBot="1">
      <c r="A19" s="1008"/>
      <c r="B19" s="224"/>
      <c r="C19" s="225"/>
      <c r="D19" s="226"/>
      <c r="E19" s="233" t="s">
        <v>653</v>
      </c>
      <c r="F19" s="236">
        <f>20+120</f>
        <v>140</v>
      </c>
      <c r="G19" s="240" t="s">
        <v>65</v>
      </c>
      <c r="H19" s="241" t="s">
        <v>729</v>
      </c>
      <c r="I19" s="1006"/>
      <c r="J19" s="223" t="str">
        <f>+'17'!J19</f>
        <v>SN 15 VP OW</v>
      </c>
      <c r="K19" s="247"/>
      <c r="L19" s="247"/>
      <c r="M19" s="126">
        <f>+K19+'17'!M19+L19</f>
        <v>27940</v>
      </c>
      <c r="Q19" s="158">
        <f>+Q18/P18</f>
        <v>1623.7623762376238</v>
      </c>
      <c r="R19" s="158">
        <f>+R18/P18</f>
        <v>1234.0594059405942</v>
      </c>
    </row>
    <row r="20" spans="1:18" ht="51.75" thickBot="1">
      <c r="A20" s="1008"/>
      <c r="B20" s="224"/>
      <c r="C20" s="225"/>
      <c r="D20" s="226"/>
      <c r="E20" s="233" t="s">
        <v>653</v>
      </c>
      <c r="F20" s="236">
        <v>30</v>
      </c>
      <c r="G20" s="240" t="s">
        <v>65</v>
      </c>
      <c r="H20" s="241" t="s">
        <v>730</v>
      </c>
      <c r="I20" s="1006"/>
      <c r="J20" s="223">
        <f>+'17'!J20</f>
        <v>0</v>
      </c>
      <c r="K20" s="248"/>
      <c r="L20" s="248"/>
      <c r="M20" s="126">
        <f>+K20+'17'!M20+L20</f>
        <v>0</v>
      </c>
    </row>
    <row r="21" spans="1:18" ht="13.5" thickBot="1">
      <c r="A21" s="1008"/>
      <c r="B21" s="224"/>
      <c r="C21" s="225"/>
      <c r="D21" s="226"/>
      <c r="E21" s="233"/>
      <c r="F21" s="236"/>
      <c r="G21" s="240"/>
      <c r="H21" s="241" t="s">
        <v>731</v>
      </c>
      <c r="I21" s="1006"/>
      <c r="J21" s="223">
        <f>+'17'!J21</f>
        <v>0</v>
      </c>
      <c r="K21" s="247"/>
      <c r="L21" s="247"/>
      <c r="M21" s="126">
        <f>+K21+'17'!M21+L21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+'17'!J22</f>
        <v>0</v>
      </c>
      <c r="K22" s="247"/>
      <c r="L22" s="247"/>
      <c r="M22" s="126">
        <f>+K22+'17'!M22+L22</f>
        <v>0</v>
      </c>
    </row>
    <row r="23" spans="1:18" ht="13.5" thickBot="1">
      <c r="A23" s="1009"/>
      <c r="B23" s="177" t="s">
        <v>2</v>
      </c>
      <c r="C23" s="109">
        <f>SUM(C16:C22)</f>
        <v>10075</v>
      </c>
      <c r="D23" s="120">
        <f>SUM(D16:D22)</f>
        <v>280</v>
      </c>
      <c r="E23" s="121">
        <f>SUM(E18:E22)</f>
        <v>0</v>
      </c>
      <c r="F23" s="125">
        <f>SUM(F15:F22)</f>
        <v>182</v>
      </c>
      <c r="G23" s="168"/>
      <c r="H23" s="175" t="s">
        <v>234</v>
      </c>
      <c r="I23" s="178"/>
      <c r="J23" s="223">
        <f>+'17'!J23</f>
        <v>0</v>
      </c>
      <c r="K23" s="247"/>
      <c r="L23" s="247"/>
      <c r="M23" s="126">
        <f>+K23+'17'!M23+L23</f>
        <v>0</v>
      </c>
    </row>
    <row r="24" spans="1:18" ht="13.5" customHeight="1" thickBot="1">
      <c r="A24" s="1002" t="s">
        <v>703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740</v>
      </c>
      <c r="J24" s="223">
        <f>+'17'!J24</f>
        <v>0</v>
      </c>
      <c r="K24" s="247"/>
      <c r="L24" s="247"/>
      <c r="M24" s="126">
        <f>+K24+'17'!M24+L24</f>
        <v>0</v>
      </c>
    </row>
    <row r="25" spans="1:18" ht="13.5" thickBot="1">
      <c r="A25" s="1008"/>
      <c r="B25" s="224" t="s">
        <v>551</v>
      </c>
      <c r="C25" s="234">
        <v>18226</v>
      </c>
      <c r="D25" s="226"/>
      <c r="E25" s="233"/>
      <c r="F25" s="239">
        <v>5</v>
      </c>
      <c r="G25" s="240" t="s">
        <v>11</v>
      </c>
      <c r="H25" s="238" t="s">
        <v>587</v>
      </c>
      <c r="I25" s="1006"/>
      <c r="J25" s="223">
        <f>+'17'!J25</f>
        <v>0</v>
      </c>
      <c r="K25" s="247"/>
      <c r="L25" s="247"/>
      <c r="M25" s="126">
        <f>+K25+'17'!M25+L25</f>
        <v>0</v>
      </c>
    </row>
    <row r="26" spans="1:18" ht="13.5" thickBot="1">
      <c r="A26" s="1008"/>
      <c r="B26" s="224"/>
      <c r="C26" s="234"/>
      <c r="D26" s="226"/>
      <c r="E26" s="235"/>
      <c r="F26" s="239">
        <v>5</v>
      </c>
      <c r="G26" s="240" t="s">
        <v>11</v>
      </c>
      <c r="H26" s="582" t="s">
        <v>463</v>
      </c>
      <c r="I26" s="1006"/>
      <c r="J26" s="223">
        <f>+'17'!J26</f>
        <v>0</v>
      </c>
      <c r="K26" s="247"/>
      <c r="L26" s="247"/>
      <c r="M26" s="126">
        <f>+K26+'17'!M26+L26</f>
        <v>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739</v>
      </c>
      <c r="I27" s="1006"/>
      <c r="J27" s="223">
        <f>+'17'!J27</f>
        <v>0</v>
      </c>
      <c r="K27" s="247"/>
      <c r="L27" s="247"/>
      <c r="M27" s="126">
        <f>+K27+'17'!M27+L27</f>
        <v>0</v>
      </c>
    </row>
    <row r="28" spans="1:18" ht="26.25" thickBot="1">
      <c r="A28" s="1008"/>
      <c r="B28" s="224"/>
      <c r="C28" s="225"/>
      <c r="D28" s="226"/>
      <c r="E28" s="233" t="s">
        <v>669</v>
      </c>
      <c r="F28" s="239">
        <v>30</v>
      </c>
      <c r="G28" s="240" t="s">
        <v>65</v>
      </c>
      <c r="H28" s="241" t="s">
        <v>732</v>
      </c>
      <c r="I28" s="1006"/>
      <c r="J28" s="223">
        <f>+'17'!J28</f>
        <v>0</v>
      </c>
      <c r="K28" s="247"/>
      <c r="L28" s="247"/>
      <c r="M28" s="126">
        <f>+K28+'17'!M28+L28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 t="s">
        <v>733</v>
      </c>
      <c r="I29" s="1006"/>
      <c r="J29" s="223">
        <f>+'17'!J29</f>
        <v>0</v>
      </c>
      <c r="K29" s="247"/>
      <c r="L29" s="247"/>
      <c r="M29" s="126">
        <f>+K29+'17'!M29+L29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 t="s">
        <v>734</v>
      </c>
      <c r="I30" s="1006"/>
      <c r="J30" s="223">
        <f>+'17'!J30</f>
        <v>0</v>
      </c>
      <c r="K30" s="247"/>
      <c r="L30" s="247"/>
      <c r="M30" s="126">
        <f>+K30+'17'!M30+L30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+'17'!J31</f>
        <v>0</v>
      </c>
      <c r="K31" s="247"/>
      <c r="L31" s="247"/>
      <c r="M31" s="126">
        <f>+K31+'17'!M31+L31</f>
        <v>0</v>
      </c>
    </row>
    <row r="32" spans="1:18" ht="13.5" thickBot="1">
      <c r="A32" s="1009"/>
      <c r="B32" s="174" t="s">
        <v>2</v>
      </c>
      <c r="C32" s="108">
        <f>SUM(C25:C31)</f>
        <v>18226</v>
      </c>
      <c r="D32" s="109">
        <f>SUM(D25:D31)</f>
        <v>0</v>
      </c>
      <c r="E32" s="110">
        <f>SUM(E25:E31)</f>
        <v>0</v>
      </c>
      <c r="F32" s="111">
        <f>SUM(F24:F31)</f>
        <v>40</v>
      </c>
      <c r="G32" s="180"/>
      <c r="H32" s="181"/>
      <c r="I32" s="178"/>
      <c r="J32" s="223">
        <f>+'17'!J32</f>
        <v>0</v>
      </c>
      <c r="K32" s="249"/>
      <c r="L32" s="251"/>
      <c r="M32" s="126">
        <f>+K32+'17'!M32+L32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45436</v>
      </c>
      <c r="D34" s="116">
        <f>D14+D23+D32</f>
        <v>280</v>
      </c>
      <c r="E34" s="116">
        <f>E14+E23+E32</f>
        <v>0</v>
      </c>
      <c r="F34" s="117">
        <f>F14+F23+F32</f>
        <v>250</v>
      </c>
      <c r="H34" s="187"/>
      <c r="I34" s="187"/>
      <c r="J34" s="132" t="s">
        <v>27</v>
      </c>
      <c r="K34" s="133">
        <f>SUM(K7:K32)</f>
        <v>45436</v>
      </c>
      <c r="L34" s="221">
        <f>SUM(L7:L32)</f>
        <v>0</v>
      </c>
      <c r="M34" s="129">
        <f>SUM(M7:M32)</f>
        <v>924868</v>
      </c>
      <c r="N34" s="164"/>
    </row>
    <row r="35" spans="1:14" ht="13.5" thickBot="1">
      <c r="A35" s="188"/>
      <c r="B35" s="189"/>
      <c r="C35" s="113">
        <f>C34/($C$34+$D$34+$E$34)</f>
        <v>0.99387522967888708</v>
      </c>
      <c r="D35" s="113">
        <f>D34/($C$34+$D$34+$E$34)</f>
        <v>6.1247703211129581E-3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(12*260+13*1010)/1270*G42*2.77*1270/1000000</f>
        <v>55.031502755905507</v>
      </c>
      <c r="J37" s="134">
        <f>+I37+'17'!J37</f>
        <v>1066.7402530137067</v>
      </c>
      <c r="K37" s="135" t="s">
        <v>62</v>
      </c>
      <c r="N37" s="158">
        <f>17.462-0.848-2.51-2.475-1.449</f>
        <v>10.180000000000001</v>
      </c>
    </row>
    <row r="38" spans="1:14" ht="17.45" customHeight="1">
      <c r="A38" s="1000" t="s">
        <v>11</v>
      </c>
      <c r="B38" s="1001"/>
      <c r="C38" s="173">
        <f>SUMIF($G$7:$G$31,"Process",$F$7:$F$31)</f>
        <v>50</v>
      </c>
      <c r="D38" s="127">
        <f>+C38+'17'!D38</f>
        <v>1571</v>
      </c>
      <c r="E38" s="152">
        <f t="shared" ref="E38:E51" si="3">D38/60</f>
        <v>26.183333333333334</v>
      </c>
      <c r="F38" s="337">
        <v>1572.9166666666667</v>
      </c>
      <c r="G38" s="337">
        <v>1195.4166666666667</v>
      </c>
      <c r="H38" s="196" t="s">
        <v>63</v>
      </c>
      <c r="I38" s="549">
        <f>17.462+13.458+20.175</f>
        <v>51.094999999999999</v>
      </c>
      <c r="J38" s="136">
        <f>+I38+'17'!J38</f>
        <v>975.71800000000007</v>
      </c>
      <c r="K38" s="137" t="s">
        <v>62</v>
      </c>
      <c r="N38" s="556">
        <f>+I38-N37</f>
        <v>40.914999999999999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+C39+'17'!D39</f>
        <v>0</v>
      </c>
      <c r="E39" s="152">
        <f t="shared" si="3"/>
        <v>0</v>
      </c>
      <c r="F39" s="337">
        <v>1600</v>
      </c>
      <c r="G39" s="337">
        <f>+F39-F39*0.24</f>
        <v>1216</v>
      </c>
      <c r="H39" s="196" t="s">
        <v>64</v>
      </c>
      <c r="I39" s="151"/>
      <c r="J39" s="138">
        <f>J37/G4</f>
        <v>59.26334738965037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200</v>
      </c>
      <c r="D40" s="127">
        <f>+C40+'17'!D40</f>
        <v>353</v>
      </c>
      <c r="E40" s="152">
        <f t="shared" si="3"/>
        <v>5.8833333333333337</v>
      </c>
      <c r="F40" s="337">
        <v>1650</v>
      </c>
      <c r="G40" s="337">
        <f>+F40-F40*0.24</f>
        <v>1254</v>
      </c>
      <c r="H40" s="196" t="s">
        <v>66</v>
      </c>
      <c r="I40" s="127">
        <f>(K34+L34)/1000</f>
        <v>45.436</v>
      </c>
      <c r="J40" s="140">
        <f>+I40+'17'!J40</f>
        <v>924.86800000000017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+C41+'17'!D41</f>
        <v>80</v>
      </c>
      <c r="E41" s="152">
        <f t="shared" si="3"/>
        <v>1.3333333333333333</v>
      </c>
      <c r="F41" s="337"/>
      <c r="G41" s="337"/>
      <c r="H41" s="196" t="s">
        <v>68</v>
      </c>
      <c r="I41" s="151"/>
      <c r="J41" s="138">
        <f>J40/G4</f>
        <v>51.381555555555565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+C42+'17'!D42</f>
        <v>0</v>
      </c>
      <c r="E42" s="152">
        <f t="shared" si="3"/>
        <v>0</v>
      </c>
      <c r="F42" s="337">
        <f>+(F38*480+F39*310+F40*480)/1270</f>
        <v>1608.6614173228347</v>
      </c>
      <c r="G42" s="337">
        <f>+(G38*480+G39*310+G40*480)/1270</f>
        <v>1222.5826771653544</v>
      </c>
      <c r="H42" s="196" t="s">
        <v>69</v>
      </c>
      <c r="I42" s="254" t="s">
        <v>741</v>
      </c>
      <c r="J42" s="141"/>
      <c r="K42" s="139" t="s">
        <v>70</v>
      </c>
    </row>
    <row r="43" spans="1:14" ht="17.45" customHeight="1">
      <c r="A43" s="996" t="s">
        <v>202</v>
      </c>
      <c r="B43" s="997"/>
      <c r="C43" s="173">
        <f>SUMIF($G$7:$G$31,"Change GRade",$F$7:$F$31)</f>
        <v>0</v>
      </c>
      <c r="D43" s="127">
        <f>+C43+'17'!D43</f>
        <v>0</v>
      </c>
      <c r="E43" s="152">
        <f t="shared" si="3"/>
        <v>0</v>
      </c>
      <c r="F43" s="337"/>
      <c r="G43" s="338"/>
      <c r="H43" s="197" t="s">
        <v>72</v>
      </c>
      <c r="I43" s="127">
        <f>+Report1!T26</f>
        <v>123.029</v>
      </c>
      <c r="J43" s="142">
        <f>+I43+'17'!J43</f>
        <v>2262.6469999999999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+C44+'17'!D44</f>
        <v>75</v>
      </c>
      <c r="E44" s="152">
        <f t="shared" si="3"/>
        <v>1.25</v>
      </c>
      <c r="F44" s="337"/>
      <c r="G44" s="338"/>
      <c r="H44" s="197" t="s">
        <v>73</v>
      </c>
      <c r="I44" s="127">
        <f>I43/I38</f>
        <v>2.4078481260397298</v>
      </c>
      <c r="J44" s="143">
        <f>J43/J38</f>
        <v>2.3189558868443543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+C45+'17'!D45</f>
        <v>0</v>
      </c>
      <c r="E45" s="152">
        <f t="shared" si="3"/>
        <v>0</v>
      </c>
      <c r="F45" s="337"/>
      <c r="G45" s="340"/>
      <c r="H45" s="197" t="s">
        <v>74</v>
      </c>
      <c r="I45" s="127">
        <f>I43/I40</f>
        <v>2.7077427590456904</v>
      </c>
      <c r="J45" s="143">
        <f>J43/J40</f>
        <v>2.4464539804599137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+C46+'17'!D46</f>
        <v>0</v>
      </c>
      <c r="E46" s="152">
        <f t="shared" si="3"/>
        <v>0</v>
      </c>
      <c r="F46" s="337"/>
      <c r="G46" s="338"/>
      <c r="H46" s="197" t="s">
        <v>76</v>
      </c>
      <c r="I46" s="149">
        <f>+SUMIF(Listrik!AR25,"&gt;0")</f>
        <v>50933.880000000092</v>
      </c>
      <c r="J46" s="144">
        <f>+I46+'17'!J46</f>
        <v>926024.58000000194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+C47+'17'!D47</f>
        <v>0</v>
      </c>
      <c r="E47" s="152">
        <f t="shared" si="3"/>
        <v>0</v>
      </c>
      <c r="F47" s="337"/>
      <c r="G47" s="338"/>
      <c r="H47" s="197" t="s">
        <v>79</v>
      </c>
      <c r="I47" s="127">
        <f>I46/I38</f>
        <v>996.84665818573433</v>
      </c>
      <c r="J47" s="144">
        <f>J46/J38</f>
        <v>949.06989519513002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+C48+'17'!D48</f>
        <v>0</v>
      </c>
      <c r="E48" s="152">
        <f t="shared" si="3"/>
        <v>0</v>
      </c>
      <c r="F48" s="337"/>
      <c r="G48" s="338"/>
      <c r="H48" s="197" t="s">
        <v>80</v>
      </c>
      <c r="I48" s="127">
        <f>I46/I40</f>
        <v>1121.0027291134804</v>
      </c>
      <c r="J48" s="144">
        <f>J46/J40</f>
        <v>1001.2505352115131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+C49+'17'!D49</f>
        <v>0</v>
      </c>
      <c r="E49" s="152">
        <f t="shared" si="3"/>
        <v>0</v>
      </c>
      <c r="F49" s="194"/>
      <c r="H49" s="197" t="s">
        <v>81</v>
      </c>
      <c r="I49" s="127">
        <v>0</v>
      </c>
      <c r="J49" s="144">
        <f>+I49+'17'!J49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+C50+'17'!D50</f>
        <v>0</v>
      </c>
      <c r="E50" s="152">
        <f t="shared" si="3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+C51+'17'!D51</f>
        <v>199</v>
      </c>
      <c r="E51" s="152">
        <f t="shared" si="3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250</v>
      </c>
      <c r="D52" s="153">
        <f>SUM(D38:D51)</f>
        <v>2278</v>
      </c>
      <c r="E52" s="154">
        <f>SUM(E38:E51)</f>
        <v>37.966666666666676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0.1736111111111111</v>
      </c>
      <c r="D53" s="155">
        <f>D52/(24*60*G4)</f>
        <v>8.7885802469135799E-2</v>
      </c>
      <c r="E53" s="156">
        <f>E52/(G4*24)</f>
        <v>8.7885802469135826E-2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+D34+'17'!J56</f>
        <v>14013</v>
      </c>
      <c r="K56" s="210">
        <f>J56/(J40+J56/1000)/1000</f>
        <v>1.492521416452138E-2</v>
      </c>
    </row>
    <row r="57" spans="1:11">
      <c r="A57" s="185"/>
      <c r="I57" s="208" t="s">
        <v>88</v>
      </c>
      <c r="J57" s="209">
        <f>+E34+'17'!J57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58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17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145+195+220</f>
        <v>560</v>
      </c>
    </row>
    <row r="7" spans="1:18" ht="13.5" customHeight="1" thickBot="1">
      <c r="A7" s="1002" t="s">
        <v>449</v>
      </c>
      <c r="B7" s="224" t="s">
        <v>552</v>
      </c>
      <c r="C7" s="225">
        <v>17234</v>
      </c>
      <c r="D7" s="226">
        <v>800</v>
      </c>
      <c r="E7" s="227"/>
      <c r="F7" s="236">
        <v>5</v>
      </c>
      <c r="G7" s="237" t="s">
        <v>11</v>
      </c>
      <c r="H7" s="238" t="s">
        <v>438</v>
      </c>
      <c r="I7" s="1005" t="s">
        <v>717</v>
      </c>
      <c r="J7" s="223" t="str">
        <f>+'16'!J7</f>
        <v>MG 14 VP HW/OW</v>
      </c>
      <c r="K7" s="246"/>
      <c r="L7" s="250"/>
      <c r="M7" s="126">
        <f>+K7+'16'!M7+L7</f>
        <v>143496</v>
      </c>
    </row>
    <row r="8" spans="1:18" ht="13.5" thickBot="1">
      <c r="A8" s="1003"/>
      <c r="B8" s="224"/>
      <c r="C8" s="225"/>
      <c r="D8" s="226"/>
      <c r="E8" s="228"/>
      <c r="F8" s="239">
        <v>5</v>
      </c>
      <c r="G8" s="240" t="s">
        <v>11</v>
      </c>
      <c r="H8" s="238" t="s">
        <v>568</v>
      </c>
      <c r="I8" s="1006"/>
      <c r="J8" s="223" t="str">
        <f>+'16'!J8</f>
        <v>MG 16,5 VP HW</v>
      </c>
      <c r="K8" s="247"/>
      <c r="L8" s="247"/>
      <c r="M8" s="126">
        <f>+K8+'16'!M8+L8</f>
        <v>93365</v>
      </c>
      <c r="N8" s="158">
        <v>1550</v>
      </c>
      <c r="O8" s="158">
        <f>+N8-N8*0.24</f>
        <v>1178</v>
      </c>
      <c r="P8" s="158">
        <f>360+41+70</f>
        <v>471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544</v>
      </c>
      <c r="I9" s="1006"/>
      <c r="J9" s="223" t="str">
        <f>+'16'!J9</f>
        <v>MG 30 VP HW</v>
      </c>
      <c r="K9" s="247"/>
      <c r="L9" s="247"/>
      <c r="M9" s="126">
        <f>+K9+'16'!M9+L9</f>
        <v>4193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691</v>
      </c>
      <c r="I10" s="1006"/>
      <c r="J10" s="223" t="str">
        <f>+'16'!J10</f>
        <v>MG 17 VP HW</v>
      </c>
      <c r="K10" s="247"/>
      <c r="L10" s="247"/>
      <c r="M10" s="126">
        <f>+K10+'16'!M10+L10</f>
        <v>18114</v>
      </c>
    </row>
    <row r="11" spans="1:18" ht="26.25" thickBot="1">
      <c r="A11" s="1003"/>
      <c r="B11" s="224"/>
      <c r="C11" s="225"/>
      <c r="D11" s="226"/>
      <c r="E11" s="228"/>
      <c r="F11" s="236"/>
      <c r="G11" s="240"/>
      <c r="H11" s="241" t="s">
        <v>705</v>
      </c>
      <c r="I11" s="1006"/>
      <c r="J11" s="223" t="str">
        <f>+'16'!J11</f>
        <v>MG 18 VP HW</v>
      </c>
      <c r="K11" s="247"/>
      <c r="L11" s="247"/>
      <c r="M11" s="126">
        <f>+K11+'16'!M11+L11</f>
        <v>25394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706</v>
      </c>
      <c r="I12" s="1006"/>
      <c r="J12" s="223" t="str">
        <f>+'16'!J12</f>
        <v>MG 21,5 VP HW</v>
      </c>
      <c r="K12" s="247"/>
      <c r="L12" s="247"/>
      <c r="M12" s="126">
        <f>+K12+'16'!M12+L12</f>
        <v>987</v>
      </c>
    </row>
    <row r="13" spans="1:18" ht="13.5" thickBot="1">
      <c r="A13" s="1003"/>
      <c r="B13" s="224"/>
      <c r="C13" s="225"/>
      <c r="D13" s="225"/>
      <c r="E13" s="228"/>
      <c r="F13" s="236">
        <v>79</v>
      </c>
      <c r="G13" s="240" t="s">
        <v>720</v>
      </c>
      <c r="H13" s="241" t="s">
        <v>707</v>
      </c>
      <c r="I13" s="1007"/>
      <c r="J13" s="223" t="str">
        <f>+'16'!J13</f>
        <v>F 10,3 VP OW</v>
      </c>
      <c r="K13" s="247"/>
      <c r="L13" s="247"/>
      <c r="M13" s="126">
        <f>+K13+'16'!M13+L13</f>
        <v>115938</v>
      </c>
    </row>
    <row r="14" spans="1:18" ht="13.5" thickBot="1">
      <c r="A14" s="1004"/>
      <c r="B14" s="174" t="s">
        <v>2</v>
      </c>
      <c r="C14" s="108">
        <f>SUM(C7:C13)</f>
        <v>17234</v>
      </c>
      <c r="D14" s="120">
        <f>SUM(D7:D13)</f>
        <v>800</v>
      </c>
      <c r="E14" s="121">
        <f>SUM(E5:E13)</f>
        <v>0</v>
      </c>
      <c r="F14" s="125">
        <f>SUM(F7:F13)</f>
        <v>99</v>
      </c>
      <c r="G14" s="168"/>
      <c r="H14" s="175"/>
      <c r="I14" s="176"/>
      <c r="J14" s="223" t="str">
        <f>+'16'!J14</f>
        <v>F 12 VP OW</v>
      </c>
      <c r="K14" s="247">
        <f>+C17+C25</f>
        <v>23595</v>
      </c>
      <c r="L14" s="247"/>
      <c r="M14" s="126">
        <f>+K14+'16'!M14+L14</f>
        <v>100363</v>
      </c>
    </row>
    <row r="15" spans="1:18" ht="13.5" customHeight="1" thickBot="1">
      <c r="A15" s="1002" t="s">
        <v>447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718</v>
      </c>
      <c r="J15" s="223" t="str">
        <f>+'16'!J15</f>
        <v>F 13 VP OW</v>
      </c>
      <c r="K15" s="247">
        <f>+C7+C16</f>
        <v>21671</v>
      </c>
      <c r="L15" s="247"/>
      <c r="M15" s="126">
        <f>+K15+'16'!M15+L15</f>
        <v>129148</v>
      </c>
      <c r="N15" s="158">
        <v>1650</v>
      </c>
      <c r="O15" s="158">
        <f>+N15-N15*0.24</f>
        <v>1254</v>
      </c>
      <c r="P15" s="158">
        <f>60+10</f>
        <v>70</v>
      </c>
      <c r="Q15" s="158">
        <f>+N15*P15</f>
        <v>115500</v>
      </c>
      <c r="R15" s="158">
        <f>+O15*P15</f>
        <v>87780</v>
      </c>
    </row>
    <row r="16" spans="1:18" ht="13.5" thickBot="1">
      <c r="A16" s="1008"/>
      <c r="B16" s="224" t="s">
        <v>552</v>
      </c>
      <c r="C16" s="230">
        <f>4189+248</f>
        <v>4437</v>
      </c>
      <c r="D16" s="231"/>
      <c r="E16" s="232"/>
      <c r="F16" s="236">
        <v>5</v>
      </c>
      <c r="G16" s="240" t="s">
        <v>11</v>
      </c>
      <c r="H16" s="238" t="s">
        <v>433</v>
      </c>
      <c r="I16" s="1006"/>
      <c r="J16" s="223" t="str">
        <f>+'16'!J16</f>
        <v>F 12,5 VP OW</v>
      </c>
      <c r="K16" s="247"/>
      <c r="L16" s="237"/>
      <c r="M16" s="126">
        <f>+K16+'16'!M16+L16</f>
        <v>91232</v>
      </c>
      <c r="N16" s="158">
        <v>1600</v>
      </c>
      <c r="O16" s="158">
        <f>+N16-N16*0.24</f>
        <v>1216</v>
      </c>
      <c r="P16" s="158">
        <f>50+240</f>
        <v>290</v>
      </c>
      <c r="Q16" s="158">
        <f>+N16*P16</f>
        <v>464000</v>
      </c>
      <c r="R16" s="158">
        <f>+O16*P16</f>
        <v>352640</v>
      </c>
    </row>
    <row r="17" spans="1:18" ht="13.5" thickBot="1">
      <c r="A17" s="1008"/>
      <c r="B17" s="224" t="s">
        <v>551</v>
      </c>
      <c r="C17" s="225">
        <f>1505+5058</f>
        <v>6563</v>
      </c>
      <c r="D17" s="226">
        <v>255</v>
      </c>
      <c r="E17" s="233"/>
      <c r="F17" s="236">
        <v>10</v>
      </c>
      <c r="G17" s="240" t="s">
        <v>11</v>
      </c>
      <c r="H17" s="582" t="s">
        <v>544</v>
      </c>
      <c r="I17" s="1006"/>
      <c r="J17" s="223" t="str">
        <f>+'16'!J17</f>
        <v>SN 13 VP OW</v>
      </c>
      <c r="K17" s="247"/>
      <c r="L17" s="237"/>
      <c r="M17" s="126">
        <f>+K17+'16'!M17+L17</f>
        <v>112808</v>
      </c>
      <c r="P17" s="158">
        <f>SUM(P15:P16)</f>
        <v>360</v>
      </c>
      <c r="Q17" s="158">
        <f t="shared" ref="Q17:R17" si="0">SUM(Q15:Q16)</f>
        <v>579500</v>
      </c>
      <c r="R17" s="158">
        <f t="shared" si="0"/>
        <v>440420</v>
      </c>
    </row>
    <row r="18" spans="1:18" ht="13.5" thickBot="1">
      <c r="A18" s="1008"/>
      <c r="B18" s="224"/>
      <c r="C18" s="225"/>
      <c r="D18" s="226"/>
      <c r="E18" s="233"/>
      <c r="F18" s="236">
        <v>120</v>
      </c>
      <c r="G18" s="240" t="s">
        <v>720</v>
      </c>
      <c r="H18" s="582" t="s">
        <v>708</v>
      </c>
      <c r="I18" s="1006"/>
      <c r="J18" s="223" t="str">
        <f>+'16'!J18</f>
        <v>SN 14 VP OW</v>
      </c>
      <c r="K18" s="247"/>
      <c r="L18" s="247"/>
      <c r="M18" s="126">
        <f>+K18+'16'!M18+L18</f>
        <v>16454</v>
      </c>
      <c r="Q18" s="158">
        <f>+Q17/P17</f>
        <v>1609.7222222222222</v>
      </c>
      <c r="R18" s="158">
        <f>+R17/P17</f>
        <v>1223.3888888888889</v>
      </c>
    </row>
    <row r="19" spans="1:18" ht="39" thickBot="1">
      <c r="A19" s="1008"/>
      <c r="B19" s="224"/>
      <c r="C19" s="225"/>
      <c r="D19" s="226"/>
      <c r="E19" s="233"/>
      <c r="F19" s="243"/>
      <c r="G19" s="240"/>
      <c r="H19" s="599" t="s">
        <v>711</v>
      </c>
      <c r="I19" s="1006"/>
      <c r="J19" s="223" t="str">
        <f>+'16'!J19</f>
        <v>SN 15 VP OW</v>
      </c>
      <c r="K19" s="247"/>
      <c r="L19" s="247"/>
      <c r="M19" s="126">
        <f>+K19+'16'!M19+L19</f>
        <v>27940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 t="s">
        <v>709</v>
      </c>
      <c r="I20" s="1006"/>
      <c r="J20" s="223">
        <f>+'16'!J20</f>
        <v>0</v>
      </c>
      <c r="K20" s="248"/>
      <c r="L20" s="248"/>
      <c r="M20" s="126">
        <f>+K20+'16'!M20+L20</f>
        <v>0</v>
      </c>
    </row>
    <row r="21" spans="1:18" ht="13.5" thickBot="1">
      <c r="A21" s="1008"/>
      <c r="B21" s="224"/>
      <c r="C21" s="225"/>
      <c r="D21" s="226"/>
      <c r="E21" s="233"/>
      <c r="F21" s="236">
        <v>5</v>
      </c>
      <c r="G21" s="240" t="s">
        <v>11</v>
      </c>
      <c r="H21" s="241" t="s">
        <v>710</v>
      </c>
      <c r="I21" s="1006"/>
      <c r="J21" s="223">
        <f>+'16'!J21</f>
        <v>0</v>
      </c>
      <c r="K21" s="247"/>
      <c r="L21" s="247"/>
      <c r="M21" s="126">
        <f>+K21+'16'!M21+L21</f>
        <v>0</v>
      </c>
    </row>
    <row r="22" spans="1:18" ht="26.25" thickBot="1">
      <c r="A22" s="1008"/>
      <c r="B22" s="224"/>
      <c r="C22" s="225"/>
      <c r="D22" s="226"/>
      <c r="E22" s="233"/>
      <c r="F22" s="244"/>
      <c r="G22" s="240"/>
      <c r="H22" s="241" t="s">
        <v>712</v>
      </c>
      <c r="I22" s="1007"/>
      <c r="J22" s="223">
        <f>+'16'!J22</f>
        <v>0</v>
      </c>
      <c r="K22" s="247"/>
      <c r="L22" s="247"/>
      <c r="M22" s="126">
        <f>+K22+'16'!M22+L22</f>
        <v>0</v>
      </c>
    </row>
    <row r="23" spans="1:18" ht="13.5" thickBot="1">
      <c r="A23" s="1009"/>
      <c r="B23" s="177" t="s">
        <v>2</v>
      </c>
      <c r="C23" s="109">
        <f>SUM(C16:C22)</f>
        <v>11000</v>
      </c>
      <c r="D23" s="120">
        <f>SUM(D16:D22)</f>
        <v>255</v>
      </c>
      <c r="E23" s="121">
        <f>SUM(E18:E22)</f>
        <v>0</v>
      </c>
      <c r="F23" s="125">
        <f>SUM(F15:F22)</f>
        <v>140</v>
      </c>
      <c r="G23" s="168"/>
      <c r="H23" s="175" t="s">
        <v>234</v>
      </c>
      <c r="I23" s="178"/>
      <c r="J23" s="223">
        <f>+'16'!J23</f>
        <v>0</v>
      </c>
      <c r="K23" s="247"/>
      <c r="L23" s="247"/>
      <c r="M23" s="126">
        <f>+K23+'16'!M23+L23</f>
        <v>0</v>
      </c>
    </row>
    <row r="24" spans="1:18" ht="13.5" customHeight="1" thickBot="1">
      <c r="A24" s="1002" t="s">
        <v>703</v>
      </c>
      <c r="B24" s="179"/>
      <c r="C24" s="122"/>
      <c r="D24" s="123"/>
      <c r="E24" s="124"/>
      <c r="F24" s="244">
        <v>10</v>
      </c>
      <c r="G24" s="237" t="s">
        <v>11</v>
      </c>
      <c r="H24" s="238" t="s">
        <v>414</v>
      </c>
      <c r="I24" s="1005" t="s">
        <v>719</v>
      </c>
      <c r="J24" s="223">
        <f>+'16'!J24</f>
        <v>0</v>
      </c>
      <c r="K24" s="247"/>
      <c r="L24" s="247"/>
      <c r="M24" s="126">
        <f>+K24+'16'!M24+L24</f>
        <v>0</v>
      </c>
    </row>
    <row r="25" spans="1:18" ht="13.5" thickBot="1">
      <c r="A25" s="1008"/>
      <c r="B25" s="224" t="s">
        <v>551</v>
      </c>
      <c r="C25" s="234">
        <v>17032</v>
      </c>
      <c r="D25" s="226">
        <v>250</v>
      </c>
      <c r="E25" s="233"/>
      <c r="F25" s="239">
        <v>6</v>
      </c>
      <c r="G25" s="240" t="s">
        <v>11</v>
      </c>
      <c r="H25" s="238" t="s">
        <v>587</v>
      </c>
      <c r="I25" s="1006"/>
      <c r="J25" s="223">
        <f>+'16'!J25</f>
        <v>0</v>
      </c>
      <c r="K25" s="247"/>
      <c r="L25" s="247"/>
      <c r="M25" s="126">
        <f>+K25+'16'!M25+L25</f>
        <v>0</v>
      </c>
      <c r="N25" s="158">
        <v>1600</v>
      </c>
      <c r="O25" s="158">
        <f>+N25-N25*0.24</f>
        <v>1216</v>
      </c>
      <c r="P25" s="158">
        <f>30+290</f>
        <v>320</v>
      </c>
      <c r="Q25" s="158">
        <f>+N25*P25</f>
        <v>512000</v>
      </c>
      <c r="R25" s="158">
        <f>+O25*P25</f>
        <v>389120</v>
      </c>
    </row>
    <row r="26" spans="1:18" ht="13.5" thickBot="1">
      <c r="A26" s="1008"/>
      <c r="B26" s="224"/>
      <c r="C26" s="234"/>
      <c r="D26" s="226"/>
      <c r="E26" s="235"/>
      <c r="F26" s="239">
        <v>10</v>
      </c>
      <c r="G26" s="240" t="s">
        <v>11</v>
      </c>
      <c r="H26" s="582" t="s">
        <v>544</v>
      </c>
      <c r="I26" s="1006"/>
      <c r="J26" s="223">
        <f>+'16'!J26</f>
        <v>0</v>
      </c>
      <c r="K26" s="247"/>
      <c r="L26" s="247"/>
      <c r="M26" s="126">
        <f>+K26+'16'!M26+L26</f>
        <v>0</v>
      </c>
      <c r="N26" s="158">
        <v>1580</v>
      </c>
      <c r="O26" s="158">
        <f>+N26-N26*0.24</f>
        <v>1200.8</v>
      </c>
      <c r="P26" s="158">
        <v>30</v>
      </c>
      <c r="Q26" s="158">
        <f>+N26*P26</f>
        <v>47400</v>
      </c>
      <c r="R26" s="158">
        <f>+O26*P26</f>
        <v>36024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713</v>
      </c>
      <c r="I27" s="1006"/>
      <c r="J27" s="223">
        <f>+'16'!J27</f>
        <v>0</v>
      </c>
      <c r="K27" s="247"/>
      <c r="L27" s="247"/>
      <c r="M27" s="126">
        <f>+K27+'16'!M27+L27</f>
        <v>0</v>
      </c>
      <c r="N27" s="158">
        <v>1560</v>
      </c>
      <c r="O27" s="158">
        <f>+N27-N27*0.24</f>
        <v>1185.5999999999999</v>
      </c>
      <c r="P27" s="158">
        <f>420</f>
        <v>420</v>
      </c>
      <c r="Q27" s="158">
        <f>+N27*P27</f>
        <v>655200</v>
      </c>
      <c r="R27" s="158">
        <f>+O27*P27</f>
        <v>497951.99999999994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 t="s">
        <v>714</v>
      </c>
      <c r="I28" s="1006"/>
      <c r="J28" s="223">
        <f>+'16'!J28</f>
        <v>0</v>
      </c>
      <c r="K28" s="247"/>
      <c r="L28" s="247"/>
      <c r="M28" s="126">
        <f>+K28+'16'!M28+L28</f>
        <v>0</v>
      </c>
      <c r="P28" s="158">
        <f>SUM(P25:P27)</f>
        <v>770</v>
      </c>
      <c r="Q28" s="158">
        <f t="shared" ref="Q28:R28" si="1">SUM(Q25:Q27)</f>
        <v>1214600</v>
      </c>
      <c r="R28" s="158">
        <f t="shared" si="1"/>
        <v>923096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 t="s">
        <v>715</v>
      </c>
      <c r="I29" s="1006"/>
      <c r="J29" s="223">
        <f>+'16'!J29</f>
        <v>0</v>
      </c>
      <c r="K29" s="247"/>
      <c r="L29" s="247"/>
      <c r="M29" s="126">
        <f>+K29+'16'!M29+L29</f>
        <v>0</v>
      </c>
      <c r="Q29" s="158">
        <f>+Q28/P28</f>
        <v>1577.4025974025974</v>
      </c>
      <c r="R29" s="158">
        <f>+R28/P28</f>
        <v>1198.8259740259741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 t="s">
        <v>716</v>
      </c>
      <c r="I30" s="1006"/>
      <c r="J30" s="223">
        <f>+'16'!J30</f>
        <v>0</v>
      </c>
      <c r="K30" s="247"/>
      <c r="L30" s="247"/>
      <c r="M30" s="126">
        <f>+K30+'16'!M30+L30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+'16'!J31</f>
        <v>0</v>
      </c>
      <c r="K31" s="247"/>
      <c r="L31" s="247"/>
      <c r="M31" s="126">
        <f>+K31+'16'!M31+L31</f>
        <v>0</v>
      </c>
    </row>
    <row r="32" spans="1:18" ht="13.5" thickBot="1">
      <c r="A32" s="1009"/>
      <c r="B32" s="174" t="s">
        <v>2</v>
      </c>
      <c r="C32" s="108">
        <f>SUM(C25:C31)</f>
        <v>17032</v>
      </c>
      <c r="D32" s="109">
        <f>SUM(D25:D31)</f>
        <v>250</v>
      </c>
      <c r="E32" s="110">
        <f>SUM(E25:E31)</f>
        <v>0</v>
      </c>
      <c r="F32" s="111">
        <f>SUM(F24:F31)</f>
        <v>26</v>
      </c>
      <c r="G32" s="180"/>
      <c r="H32" s="181"/>
      <c r="I32" s="178"/>
      <c r="J32" s="223">
        <f>+'16'!J32</f>
        <v>0</v>
      </c>
      <c r="K32" s="249"/>
      <c r="L32" s="251"/>
      <c r="M32" s="126">
        <f>+K32+'16'!M32+L32</f>
        <v>0</v>
      </c>
    </row>
    <row r="33" spans="1:14" ht="13.5" thickBot="1">
      <c r="A33" s="182"/>
      <c r="B33" s="183"/>
      <c r="C33" s="112">
        <f>C32/($C$32+$D$32+$E$32)</f>
        <v>0.98553408170350654</v>
      </c>
      <c r="D33" s="113">
        <f>D32/($C$32+$D$32+$E$32)</f>
        <v>1.4465918296493461E-2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45266</v>
      </c>
      <c r="D34" s="116">
        <f>D14+D23+D32</f>
        <v>1305</v>
      </c>
      <c r="E34" s="116">
        <f>E14+E23+E32</f>
        <v>0</v>
      </c>
      <c r="F34" s="117">
        <f>F14+F23+F32</f>
        <v>265</v>
      </c>
      <c r="H34" s="187"/>
      <c r="I34" s="187"/>
      <c r="J34" s="132" t="s">
        <v>27</v>
      </c>
      <c r="K34" s="133">
        <f>SUM(K7:K32)</f>
        <v>45266</v>
      </c>
      <c r="L34" s="221">
        <f>SUM(L7:L32)</f>
        <v>0</v>
      </c>
      <c r="M34" s="129">
        <f>SUM(M7:M32)</f>
        <v>879432</v>
      </c>
      <c r="N34" s="164"/>
    </row>
    <row r="35" spans="1:14" ht="13.5" thickBot="1">
      <c r="A35" s="188"/>
      <c r="B35" s="189"/>
      <c r="C35" s="113">
        <f>C34/($C$34+$D$34+$E$34)</f>
        <v>0.97197826973867862</v>
      </c>
      <c r="D35" s="113">
        <f>D34/($C$34+$D$34+$E$34)</f>
        <v>2.8021730261321424E-2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(13*471+12*770)/1241*G42*2.77*1241/1000000</f>
        <v>50.862715898098315</v>
      </c>
      <c r="J37" s="134">
        <f>+I37+'16'!J37</f>
        <v>1011.7087502578013</v>
      </c>
      <c r="K37" s="135" t="s">
        <v>62</v>
      </c>
      <c r="L37" s="158">
        <f>0.53+1.166+1.944+17.075</f>
        <v>20.715</v>
      </c>
    </row>
    <row r="38" spans="1:14" ht="17.45" customHeight="1">
      <c r="A38" s="1000" t="s">
        <v>11</v>
      </c>
      <c r="B38" s="1001"/>
      <c r="C38" s="173">
        <f>SUMIF($G$7:$G$31,"Process",$F$7:$F$31)</f>
        <v>66</v>
      </c>
      <c r="D38" s="127">
        <f>+C38+'16'!D38</f>
        <v>1521</v>
      </c>
      <c r="E38" s="152">
        <f t="shared" ref="E38:E51" si="2">D38/60</f>
        <v>25.35</v>
      </c>
      <c r="F38" s="337">
        <v>1550</v>
      </c>
      <c r="G38" s="337">
        <v>1178</v>
      </c>
      <c r="H38" s="196" t="s">
        <v>63</v>
      </c>
      <c r="I38" s="549">
        <f>17.075+12.504+17.779</f>
        <v>47.358000000000004</v>
      </c>
      <c r="J38" s="136">
        <f>+I38+'16'!J38</f>
        <v>924.62300000000005</v>
      </c>
      <c r="K38" s="137" t="s">
        <v>62</v>
      </c>
      <c r="L38" s="556">
        <f>+I38-L37</f>
        <v>26.643000000000004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+C39+'16'!D39</f>
        <v>0</v>
      </c>
      <c r="E39" s="152">
        <f t="shared" si="2"/>
        <v>0</v>
      </c>
      <c r="F39" s="337">
        <v>1609.7222222222222</v>
      </c>
      <c r="G39" s="337">
        <v>1223.3888888888889</v>
      </c>
      <c r="H39" s="196" t="s">
        <v>64</v>
      </c>
      <c r="I39" s="151"/>
      <c r="J39" s="138">
        <f>J37/G4</f>
        <v>59.512279426929489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+C40+'16'!D40</f>
        <v>153</v>
      </c>
      <c r="E40" s="152">
        <f t="shared" si="2"/>
        <v>2.5499999999999998</v>
      </c>
      <c r="F40" s="337">
        <v>1563.75</v>
      </c>
      <c r="G40" s="337">
        <v>1188.45</v>
      </c>
      <c r="H40" s="196" t="s">
        <v>66</v>
      </c>
      <c r="I40" s="127">
        <f>(K34+L34)/1000</f>
        <v>45.265999999999998</v>
      </c>
      <c r="J40" s="140">
        <f>+I40+'16'!J40</f>
        <v>879.43200000000013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+C41+'16'!D41</f>
        <v>80</v>
      </c>
      <c r="E41" s="152">
        <f t="shared" si="2"/>
        <v>1.3333333333333333</v>
      </c>
      <c r="F41" s="337"/>
      <c r="G41" s="337"/>
      <c r="H41" s="196" t="s">
        <v>68</v>
      </c>
      <c r="I41" s="151"/>
      <c r="J41" s="138">
        <f>J40/G4</f>
        <v>51.731294117647067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+C42+'16'!D42</f>
        <v>0</v>
      </c>
      <c r="E42" s="152">
        <f t="shared" si="2"/>
        <v>0</v>
      </c>
      <c r="F42" s="337">
        <f>+(F38*401+F39*360+F40*480)/1241</f>
        <v>1572.6430298146656</v>
      </c>
      <c r="G42" s="337">
        <f>+(G38*401+G39*360+G40*480)/1241</f>
        <v>1195.208702659146</v>
      </c>
      <c r="H42" s="196" t="s">
        <v>69</v>
      </c>
      <c r="I42" s="254" t="s">
        <v>726</v>
      </c>
      <c r="J42" s="141"/>
      <c r="K42" s="139" t="s">
        <v>70</v>
      </c>
    </row>
    <row r="43" spans="1:14" ht="17.45" customHeight="1">
      <c r="A43" s="996" t="s">
        <v>202</v>
      </c>
      <c r="B43" s="997"/>
      <c r="C43" s="173">
        <f>SUMIF($G$7:$G$31,"Change Grade",$F$7:$F$31)</f>
        <v>0</v>
      </c>
      <c r="D43" s="127">
        <f>+C43+'16'!D43</f>
        <v>0</v>
      </c>
      <c r="E43" s="152">
        <f t="shared" si="2"/>
        <v>0</v>
      </c>
      <c r="F43" s="337"/>
      <c r="G43" s="338"/>
      <c r="H43" s="197" t="s">
        <v>72</v>
      </c>
      <c r="I43" s="127">
        <f>+Report1!T25</f>
        <v>111.85</v>
      </c>
      <c r="J43" s="142">
        <f>+I43+'16'!J43</f>
        <v>2139.6179999999999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+C44+'16'!D44</f>
        <v>75</v>
      </c>
      <c r="E44" s="152">
        <f t="shared" si="2"/>
        <v>1.25</v>
      </c>
      <c r="F44" s="337"/>
      <c r="G44" s="338"/>
      <c r="H44" s="197" t="s">
        <v>73</v>
      </c>
      <c r="I44" s="127">
        <f>I43/I38</f>
        <v>2.3617973731998814</v>
      </c>
      <c r="J44" s="143">
        <f>J43/J38</f>
        <v>2.3140436696902413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+C45+'16'!D45</f>
        <v>0</v>
      </c>
      <c r="E45" s="152">
        <f t="shared" si="2"/>
        <v>0</v>
      </c>
      <c r="F45" s="337"/>
      <c r="G45" s="340"/>
      <c r="H45" s="197" t="s">
        <v>74</v>
      </c>
      <c r="I45" s="127">
        <f>I43/I40</f>
        <v>2.4709494985198606</v>
      </c>
      <c r="J45" s="143">
        <f>J43/J40</f>
        <v>2.4329544524192883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+C46+'16'!D46</f>
        <v>0</v>
      </c>
      <c r="E46" s="152">
        <f t="shared" si="2"/>
        <v>0</v>
      </c>
      <c r="F46" s="337"/>
      <c r="G46" s="338"/>
      <c r="H46" s="197" t="s">
        <v>76</v>
      </c>
      <c r="I46" s="149">
        <f>+SUMIF(Listrik!AR24,"&gt;0")</f>
        <v>48979.060000000165</v>
      </c>
      <c r="J46" s="144">
        <f>+I46+'16'!J46</f>
        <v>875090.70000000182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+C47+'16'!D47</f>
        <v>0</v>
      </c>
      <c r="E47" s="152">
        <f t="shared" si="2"/>
        <v>0</v>
      </c>
      <c r="F47" s="337"/>
      <c r="G47" s="338"/>
      <c r="H47" s="197" t="s">
        <v>79</v>
      </c>
      <c r="I47" s="127">
        <f>I46/I38</f>
        <v>1034.2299083576199</v>
      </c>
      <c r="J47" s="144">
        <f>J46/J38</f>
        <v>946.42973406458827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+C48+'16'!D48</f>
        <v>0</v>
      </c>
      <c r="E48" s="152">
        <f t="shared" si="2"/>
        <v>0</v>
      </c>
      <c r="F48" s="337"/>
      <c r="G48" s="338"/>
      <c r="H48" s="197" t="s">
        <v>80</v>
      </c>
      <c r="I48" s="127">
        <f>I46/I40</f>
        <v>1082.0275703618647</v>
      </c>
      <c r="J48" s="144">
        <f>J46/J40</f>
        <v>995.06351827088588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+C49+'16'!D49</f>
        <v>0</v>
      </c>
      <c r="E49" s="152">
        <f t="shared" si="2"/>
        <v>0</v>
      </c>
      <c r="F49" s="194"/>
      <c r="H49" s="197" t="s">
        <v>81</v>
      </c>
      <c r="I49" s="127">
        <v>0</v>
      </c>
      <c r="J49" s="144">
        <f>+I49+'16'!J49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+C50+'16'!D50</f>
        <v>0</v>
      </c>
      <c r="E50" s="152">
        <f t="shared" si="2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199</v>
      </c>
      <c r="D51" s="127">
        <f>+C51+'16'!D51</f>
        <v>199</v>
      </c>
      <c r="E51" s="152">
        <f t="shared" si="2"/>
        <v>3.3166666666666669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265</v>
      </c>
      <c r="D52" s="153">
        <f>SUM(D38:D51)</f>
        <v>2028</v>
      </c>
      <c r="E52" s="154">
        <f>SUM(E38:E51)</f>
        <v>33.800000000000004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0.18402777777777779</v>
      </c>
      <c r="D53" s="155">
        <f>D52/(24*60*G4)</f>
        <v>8.2843137254901958E-2</v>
      </c>
      <c r="E53" s="156">
        <f>E52/(G4*24)</f>
        <v>8.2843137254901972E-2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+D34+'16'!J56</f>
        <v>13733</v>
      </c>
      <c r="K56" s="210">
        <f>J56/(J40+J56/1000)/1000</f>
        <v>1.5375658472958522E-2</v>
      </c>
    </row>
    <row r="57" spans="1:11">
      <c r="A57" s="185"/>
      <c r="I57" s="208" t="s">
        <v>88</v>
      </c>
      <c r="J57" s="209">
        <f>+E34+'16'!J57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16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170+170+181</f>
        <v>521</v>
      </c>
    </row>
    <row r="7" spans="1:18" ht="13.5" customHeight="1" thickBot="1">
      <c r="A7" s="1002" t="s">
        <v>449</v>
      </c>
      <c r="B7" s="224" t="s">
        <v>551</v>
      </c>
      <c r="C7" s="225">
        <f>5659+5130</f>
        <v>10789</v>
      </c>
      <c r="D7" s="226">
        <v>270</v>
      </c>
      <c r="E7" s="227"/>
      <c r="F7" s="236"/>
      <c r="G7" s="237" t="s">
        <v>11</v>
      </c>
      <c r="H7" s="238" t="s">
        <v>434</v>
      </c>
      <c r="I7" s="1005" t="s">
        <v>688</v>
      </c>
      <c r="J7" s="223" t="str">
        <f>+'15'!J7</f>
        <v>MG 14 VP HW/OW</v>
      </c>
      <c r="K7" s="246"/>
      <c r="L7" s="250"/>
      <c r="M7" s="126">
        <f>+K7+'15'!M7+L7</f>
        <v>143496</v>
      </c>
    </row>
    <row r="8" spans="1:18" ht="13.5" thickBot="1">
      <c r="A8" s="1003"/>
      <c r="B8" s="224" t="s">
        <v>552</v>
      </c>
      <c r="C8" s="225">
        <f>4686+266</f>
        <v>4952</v>
      </c>
      <c r="D8" s="226"/>
      <c r="E8" s="228"/>
      <c r="F8" s="239">
        <v>5</v>
      </c>
      <c r="G8" s="240" t="s">
        <v>11</v>
      </c>
      <c r="H8" s="238" t="s">
        <v>568</v>
      </c>
      <c r="I8" s="1006"/>
      <c r="J8" s="223" t="str">
        <f>+'15'!J8</f>
        <v>MG 16,5 VP HW</v>
      </c>
      <c r="K8" s="247"/>
      <c r="L8" s="247"/>
      <c r="M8" s="126">
        <f>+K8+'15'!M8+L8</f>
        <v>93365</v>
      </c>
    </row>
    <row r="9" spans="1:18" ht="13.5" thickBot="1">
      <c r="A9" s="1003"/>
      <c r="B9" s="224"/>
      <c r="C9" s="225"/>
      <c r="D9" s="226"/>
      <c r="E9" s="229"/>
      <c r="F9" s="236">
        <v>5</v>
      </c>
      <c r="G9" s="240" t="s">
        <v>11</v>
      </c>
      <c r="H9" s="582" t="s">
        <v>428</v>
      </c>
      <c r="I9" s="1006"/>
      <c r="J9" s="223" t="str">
        <f>+'15'!J9</f>
        <v>MG 30 VP HW</v>
      </c>
      <c r="K9" s="247"/>
      <c r="L9" s="247"/>
      <c r="M9" s="126">
        <f>+K9+'15'!M9+L9</f>
        <v>4193</v>
      </c>
      <c r="N9" s="158">
        <v>1540</v>
      </c>
      <c r="O9" s="158">
        <f>+N9-N9*0.24</f>
        <v>1170.4000000000001</v>
      </c>
      <c r="P9" s="158">
        <f>120+45</f>
        <v>165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681</v>
      </c>
      <c r="I10" s="1006"/>
      <c r="J10" s="223" t="str">
        <f>+'15'!J10</f>
        <v>MG 17 VP HW</v>
      </c>
      <c r="K10" s="247"/>
      <c r="L10" s="247"/>
      <c r="M10" s="126">
        <f>+K10+'15'!M10+L10</f>
        <v>18114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 t="s">
        <v>682</v>
      </c>
      <c r="I11" s="1006"/>
      <c r="J11" s="223" t="str">
        <f>+'15'!J11</f>
        <v>MG 18 VP HW</v>
      </c>
      <c r="K11" s="247"/>
      <c r="L11" s="247"/>
      <c r="M11" s="126">
        <f>+K11+'15'!M11+L11</f>
        <v>25394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683</v>
      </c>
      <c r="I12" s="1006"/>
      <c r="J12" s="223" t="str">
        <f>+'15'!J12</f>
        <v>MG 21,5 VP HW</v>
      </c>
      <c r="K12" s="247"/>
      <c r="L12" s="247"/>
      <c r="M12" s="126">
        <f>+K12+'15'!M12+L12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+'15'!J13</f>
        <v>F 10,3 VP OW</v>
      </c>
      <c r="K13" s="247"/>
      <c r="L13" s="247"/>
      <c r="M13" s="126">
        <f>+K13+'15'!M13+L13</f>
        <v>115938</v>
      </c>
    </row>
    <row r="14" spans="1:18" ht="13.5" thickBot="1">
      <c r="A14" s="1004"/>
      <c r="B14" s="174" t="s">
        <v>2</v>
      </c>
      <c r="C14" s="108">
        <f>SUM(C7:C13)</f>
        <v>15741</v>
      </c>
      <c r="D14" s="120">
        <f>SUM(D7:D13)</f>
        <v>270</v>
      </c>
      <c r="E14" s="121">
        <f>SUM(E5:E13)</f>
        <v>0</v>
      </c>
      <c r="F14" s="125">
        <f>SUM(F7:F13)</f>
        <v>10</v>
      </c>
      <c r="G14" s="168"/>
      <c r="H14" s="175"/>
      <c r="I14" s="176"/>
      <c r="J14" s="223" t="str">
        <f>+'15'!J14</f>
        <v>F 12 VP OW</v>
      </c>
      <c r="K14" s="247">
        <f>+C7</f>
        <v>10789</v>
      </c>
      <c r="L14" s="247"/>
      <c r="M14" s="126">
        <f>+K14+'15'!M14+L14</f>
        <v>76768</v>
      </c>
    </row>
    <row r="15" spans="1:18" ht="13.5" customHeight="1" thickBot="1">
      <c r="A15" s="1002" t="s">
        <v>465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689</v>
      </c>
      <c r="J15" s="223" t="str">
        <f>+'15'!J15</f>
        <v>F 13 VP OW</v>
      </c>
      <c r="K15" s="247">
        <f>+C8+C16+C25</f>
        <v>44887</v>
      </c>
      <c r="L15" s="247"/>
      <c r="M15" s="126">
        <f>+K15+'15'!M15+L15</f>
        <v>107477</v>
      </c>
    </row>
    <row r="16" spans="1:18" ht="13.5" thickBot="1">
      <c r="A16" s="1008"/>
      <c r="B16" s="224" t="s">
        <v>552</v>
      </c>
      <c r="C16" s="230">
        <f>19479+1198</f>
        <v>20677</v>
      </c>
      <c r="D16" s="231"/>
      <c r="E16" s="232"/>
      <c r="F16" s="236">
        <v>5</v>
      </c>
      <c r="G16" s="240" t="s">
        <v>11</v>
      </c>
      <c r="H16" s="238" t="s">
        <v>587</v>
      </c>
      <c r="I16" s="1006"/>
      <c r="J16" s="223" t="str">
        <f>+'15'!J16</f>
        <v>F 12,5 VP OW</v>
      </c>
      <c r="K16" s="247"/>
      <c r="L16" s="237"/>
      <c r="M16" s="126">
        <f>+K16+'15'!M16+L16</f>
        <v>91232</v>
      </c>
      <c r="N16" s="158">
        <v>1540</v>
      </c>
      <c r="O16" s="158">
        <f>+N16-N16*0.24</f>
        <v>1170.4000000000001</v>
      </c>
      <c r="P16" s="158">
        <f>30+60+315</f>
        <v>405</v>
      </c>
      <c r="Q16" s="158">
        <f>+N16*P16</f>
        <v>623700</v>
      </c>
      <c r="R16" s="158">
        <f>+O16*P16</f>
        <v>474012.00000000006</v>
      </c>
    </row>
    <row r="17" spans="1:18" ht="13.5" thickBot="1">
      <c r="A17" s="1008"/>
      <c r="B17" s="224"/>
      <c r="C17" s="225"/>
      <c r="D17" s="226"/>
      <c r="E17" s="233"/>
      <c r="F17" s="236">
        <v>5</v>
      </c>
      <c r="G17" s="240" t="s">
        <v>11</v>
      </c>
      <c r="H17" s="582" t="s">
        <v>428</v>
      </c>
      <c r="I17" s="1006"/>
      <c r="J17" s="223" t="str">
        <f>+'15'!J17</f>
        <v>SN 13 VP OW</v>
      </c>
      <c r="K17" s="247"/>
      <c r="L17" s="237"/>
      <c r="M17" s="126">
        <f>+K17+'15'!M17+L17</f>
        <v>112808</v>
      </c>
      <c r="N17" s="158">
        <v>1580</v>
      </c>
      <c r="O17" s="158">
        <f>+N17-N17*0.24</f>
        <v>1200.8</v>
      </c>
      <c r="P17" s="158">
        <v>60</v>
      </c>
      <c r="Q17" s="158">
        <f>+N17*P17</f>
        <v>94800</v>
      </c>
      <c r="R17" s="158">
        <f>+O17*P17</f>
        <v>72048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684</v>
      </c>
      <c r="I18" s="1006"/>
      <c r="J18" s="223" t="str">
        <f>+'15'!J18</f>
        <v>SN 14 VP OW</v>
      </c>
      <c r="K18" s="247"/>
      <c r="L18" s="247"/>
      <c r="M18" s="126">
        <f>+K18+'15'!M18+L18</f>
        <v>16454</v>
      </c>
      <c r="N18" s="158">
        <v>1550</v>
      </c>
      <c r="O18" s="158">
        <f>+N18-N18*0.24</f>
        <v>1178</v>
      </c>
      <c r="P18" s="158">
        <f>30+300+480</f>
        <v>810</v>
      </c>
      <c r="Q18" s="158">
        <f>+N18*P18</f>
        <v>1255500</v>
      </c>
      <c r="R18" s="158">
        <f>+O18*P18</f>
        <v>954180</v>
      </c>
    </row>
    <row r="19" spans="1:18" ht="13.5" thickBot="1">
      <c r="A19" s="1008"/>
      <c r="B19" s="224"/>
      <c r="C19" s="225"/>
      <c r="D19" s="226"/>
      <c r="E19" s="233"/>
      <c r="F19" s="243"/>
      <c r="G19" s="240"/>
      <c r="H19" s="241" t="s">
        <v>685</v>
      </c>
      <c r="I19" s="1006"/>
      <c r="J19" s="223" t="str">
        <f>+'15'!J19</f>
        <v>SN 15 VP OW</v>
      </c>
      <c r="K19" s="247"/>
      <c r="L19" s="247"/>
      <c r="M19" s="126">
        <f>+K19+'15'!M19+L19</f>
        <v>27940</v>
      </c>
      <c r="P19" s="158">
        <f>SUM(P16:P18)</f>
        <v>1275</v>
      </c>
      <c r="Q19" s="158">
        <f t="shared" ref="Q19:R19" si="0">SUM(Q16:Q18)</f>
        <v>1974000</v>
      </c>
      <c r="R19" s="158">
        <f t="shared" si="0"/>
        <v>1500240</v>
      </c>
    </row>
    <row r="20" spans="1:18" ht="26.25" thickBot="1">
      <c r="A20" s="1008"/>
      <c r="B20" s="224"/>
      <c r="C20" s="225"/>
      <c r="D20" s="226"/>
      <c r="E20" s="233"/>
      <c r="F20" s="236"/>
      <c r="G20" s="240"/>
      <c r="H20" s="241" t="s">
        <v>686</v>
      </c>
      <c r="I20" s="1006"/>
      <c r="J20" s="223">
        <f>+'15'!J20</f>
        <v>0</v>
      </c>
      <c r="K20" s="248"/>
      <c r="L20" s="248"/>
      <c r="M20" s="126">
        <f>+K20+'15'!M20+L20</f>
        <v>0</v>
      </c>
      <c r="Q20" s="158">
        <f>+Q19/P19</f>
        <v>1548.2352941176471</v>
      </c>
      <c r="R20" s="158">
        <f>+R19/P19</f>
        <v>1176.6588235294118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 t="s">
        <v>687</v>
      </c>
      <c r="I21" s="1006"/>
      <c r="J21" s="223">
        <f>+'15'!J21</f>
        <v>0</v>
      </c>
      <c r="K21" s="247"/>
      <c r="L21" s="247"/>
      <c r="M21" s="126">
        <f>+K21+'15'!M21+L21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+'15'!J22</f>
        <v>0</v>
      </c>
      <c r="K22" s="247"/>
      <c r="L22" s="247"/>
      <c r="M22" s="126">
        <f>+K22+'15'!M22+L22</f>
        <v>0</v>
      </c>
    </row>
    <row r="23" spans="1:18" ht="13.5" thickBot="1">
      <c r="A23" s="1009"/>
      <c r="B23" s="177" t="s">
        <v>2</v>
      </c>
      <c r="C23" s="109">
        <f>SUM(C16:C22)</f>
        <v>20677</v>
      </c>
      <c r="D23" s="120">
        <f>SUM(D16:D22)</f>
        <v>0</v>
      </c>
      <c r="E23" s="121">
        <f>SUM(E18:E22)</f>
        <v>0</v>
      </c>
      <c r="F23" s="125">
        <f>SUM(F15:F22)</f>
        <v>10</v>
      </c>
      <c r="G23" s="168"/>
      <c r="H23" s="175" t="s">
        <v>234</v>
      </c>
      <c r="I23" s="178"/>
      <c r="J23" s="223">
        <f>+'15'!J23</f>
        <v>0</v>
      </c>
      <c r="K23" s="247"/>
      <c r="L23" s="247"/>
      <c r="M23" s="126">
        <f>+K23+'15'!M23+L23</f>
        <v>0</v>
      </c>
    </row>
    <row r="24" spans="1:18" ht="13.5" customHeight="1" thickBot="1">
      <c r="A24" s="1002" t="s">
        <v>703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690</v>
      </c>
      <c r="J24" s="223">
        <f>+'15'!J24</f>
        <v>0</v>
      </c>
      <c r="K24" s="247"/>
      <c r="L24" s="247"/>
      <c r="M24" s="126">
        <f>+K24+'15'!M24+L24</f>
        <v>0</v>
      </c>
    </row>
    <row r="25" spans="1:18" ht="13.5" thickBot="1">
      <c r="A25" s="1008"/>
      <c r="B25" s="224" t="s">
        <v>552</v>
      </c>
      <c r="C25" s="234">
        <v>19258</v>
      </c>
      <c r="D25" s="226"/>
      <c r="E25" s="233"/>
      <c r="F25" s="239">
        <v>3</v>
      </c>
      <c r="G25" s="240" t="s">
        <v>11</v>
      </c>
      <c r="H25" s="238" t="s">
        <v>587</v>
      </c>
      <c r="I25" s="1006"/>
      <c r="J25" s="223">
        <f>+'15'!J25</f>
        <v>0</v>
      </c>
      <c r="K25" s="247"/>
      <c r="L25" s="247"/>
      <c r="M25" s="126">
        <f>+K25+'15'!M25+L25</f>
        <v>0</v>
      </c>
    </row>
    <row r="26" spans="1:18" ht="13.5" thickBot="1">
      <c r="A26" s="1008"/>
      <c r="B26" s="224"/>
      <c r="C26" s="234"/>
      <c r="D26" s="226"/>
      <c r="E26" s="235"/>
      <c r="F26" s="239">
        <v>5</v>
      </c>
      <c r="G26" s="240" t="s">
        <v>11</v>
      </c>
      <c r="H26" s="582" t="s">
        <v>428</v>
      </c>
      <c r="I26" s="1006"/>
      <c r="J26" s="223">
        <f>+'15'!J26</f>
        <v>0</v>
      </c>
      <c r="K26" s="247"/>
      <c r="L26" s="247"/>
      <c r="M26" s="126">
        <f>+K26+'15'!M26+L26</f>
        <v>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691</v>
      </c>
      <c r="I27" s="1006"/>
      <c r="J27" s="223">
        <f>+'15'!J27</f>
        <v>0</v>
      </c>
      <c r="K27" s="247"/>
      <c r="L27" s="247"/>
      <c r="M27" s="126">
        <f>+K27+'15'!M27+L27</f>
        <v>0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/>
      <c r="I28" s="1006"/>
      <c r="J28" s="223">
        <f>+'15'!J28</f>
        <v>0</v>
      </c>
      <c r="K28" s="247"/>
      <c r="L28" s="247"/>
      <c r="M28" s="126">
        <f>+K28+'15'!M28+L28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+'15'!J29</f>
        <v>0</v>
      </c>
      <c r="K29" s="247"/>
      <c r="L29" s="247"/>
      <c r="M29" s="126">
        <f>+K29+'15'!M29+L29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+'15'!J30</f>
        <v>0</v>
      </c>
      <c r="K30" s="247"/>
      <c r="L30" s="247"/>
      <c r="M30" s="126">
        <f>+K30+'15'!M30+L30</f>
        <v>0</v>
      </c>
    </row>
    <row r="31" spans="1:18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+'15'!J31</f>
        <v>0</v>
      </c>
      <c r="K31" s="247"/>
      <c r="L31" s="247"/>
      <c r="M31" s="126">
        <f>+K31+'15'!M31+L31</f>
        <v>0</v>
      </c>
      <c r="N31" s="164"/>
    </row>
    <row r="32" spans="1:18" ht="13.5" thickBot="1">
      <c r="A32" s="1009"/>
      <c r="B32" s="174" t="s">
        <v>2</v>
      </c>
      <c r="C32" s="108">
        <f>SUM(C25:C31)</f>
        <v>19258</v>
      </c>
      <c r="D32" s="109">
        <f>SUM(D25:D31)</f>
        <v>0</v>
      </c>
      <c r="E32" s="110">
        <f>SUM(E25:E31)</f>
        <v>0</v>
      </c>
      <c r="F32" s="111">
        <f>SUM(F24:F31)</f>
        <v>8</v>
      </c>
      <c r="G32" s="180"/>
      <c r="H32" s="181"/>
      <c r="I32" s="178"/>
      <c r="J32" s="223">
        <f>+'15'!J32</f>
        <v>0</v>
      </c>
      <c r="K32" s="249"/>
      <c r="L32" s="251"/>
      <c r="M32" s="126">
        <f>+K32+'15'!M32+L32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55676</v>
      </c>
      <c r="D34" s="116">
        <f>D14+D23+D32</f>
        <v>270</v>
      </c>
      <c r="E34" s="116">
        <f>E14+E23+E32</f>
        <v>0</v>
      </c>
      <c r="F34" s="117">
        <f>F14+F23+F32</f>
        <v>28</v>
      </c>
      <c r="H34" s="187"/>
      <c r="I34" s="187"/>
      <c r="J34" s="132" t="s">
        <v>27</v>
      </c>
      <c r="K34" s="133">
        <f>SUM(K7:K32)</f>
        <v>55676</v>
      </c>
      <c r="L34" s="221">
        <f>SUM(L7:L32)</f>
        <v>0</v>
      </c>
      <c r="M34" s="129">
        <f>SUM(M7:M32)</f>
        <v>834166</v>
      </c>
    </row>
    <row r="35" spans="1:14" ht="13.5" thickBot="1">
      <c r="A35" s="188"/>
      <c r="B35" s="189"/>
      <c r="C35" s="113">
        <f>C34/($C$34+$D$34+$E$34)</f>
        <v>0.99517391770635966</v>
      </c>
      <c r="D35" s="113">
        <f>D34/($C$34+$D$34+$E$34)</f>
        <v>4.8260822936402959E-3</v>
      </c>
      <c r="E35" s="118">
        <f>E34/($C$34+$D$34+$E$34)</f>
        <v>0</v>
      </c>
      <c r="K35" s="164"/>
      <c r="N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(12*165+13*1275)/1440*G42*2.77*1440/1000000</f>
        <v>60.433004129999993</v>
      </c>
      <c r="J37" s="134">
        <f>+I37+'15'!J37</f>
        <v>960.84603435970291</v>
      </c>
      <c r="K37" s="135" t="s">
        <v>62</v>
      </c>
      <c r="L37" s="158">
        <f>2.299+2.299+2.299+0.756</f>
        <v>7.6530000000000005</v>
      </c>
    </row>
    <row r="38" spans="1:14" ht="17.45" customHeight="1">
      <c r="A38" s="1000" t="s">
        <v>11</v>
      </c>
      <c r="B38" s="1001"/>
      <c r="C38" s="173">
        <f>SUMIF($G$7:$G$31,"Process",$F$7:$F$31)</f>
        <v>28</v>
      </c>
      <c r="D38" s="127">
        <f>+C38+'15'!D38</f>
        <v>1455</v>
      </c>
      <c r="E38" s="152">
        <f t="shared" ref="E38:E51" si="1">D38/60</f>
        <v>24.25</v>
      </c>
      <c r="F38" s="337">
        <v>1540</v>
      </c>
      <c r="G38" s="337">
        <f>+F38-F38*0.24</f>
        <v>1170.4000000000001</v>
      </c>
      <c r="H38" s="196" t="s">
        <v>63</v>
      </c>
      <c r="I38" s="549">
        <f>18.189+20.385+19.716</f>
        <v>58.29</v>
      </c>
      <c r="J38" s="136">
        <f>+I38+'15'!J38</f>
        <v>877.26499999999999</v>
      </c>
      <c r="K38" s="137" t="s">
        <v>62</v>
      </c>
      <c r="L38" s="556">
        <f>+I38-L37</f>
        <v>50.637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+C39+'15'!D39</f>
        <v>0</v>
      </c>
      <c r="E39" s="152">
        <f t="shared" si="1"/>
        <v>0</v>
      </c>
      <c r="F39" s="337">
        <v>1551</v>
      </c>
      <c r="G39" s="337">
        <v>1179</v>
      </c>
      <c r="H39" s="196" t="s">
        <v>64</v>
      </c>
      <c r="I39" s="151"/>
      <c r="J39" s="138">
        <f>J37/G4</f>
        <v>60.052877147481432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+C40+'15'!D40</f>
        <v>153</v>
      </c>
      <c r="E40" s="152">
        <f t="shared" si="1"/>
        <v>2.5499999999999998</v>
      </c>
      <c r="F40" s="337">
        <v>1550</v>
      </c>
      <c r="G40" s="337">
        <v>1178</v>
      </c>
      <c r="H40" s="196" t="s">
        <v>66</v>
      </c>
      <c r="I40" s="127">
        <f>(K34+L34)/1000</f>
        <v>55.676000000000002</v>
      </c>
      <c r="J40" s="140">
        <f>+I40+'15'!J40</f>
        <v>834.16600000000017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+C41+'15'!D41</f>
        <v>80</v>
      </c>
      <c r="E41" s="152">
        <f t="shared" si="1"/>
        <v>1.3333333333333333</v>
      </c>
      <c r="F41" s="337"/>
      <c r="G41" s="337"/>
      <c r="H41" s="196" t="s">
        <v>68</v>
      </c>
      <c r="I41" s="151"/>
      <c r="J41" s="138">
        <f>J40/G4</f>
        <v>52.13537500000001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+C42+'15'!D42</f>
        <v>0</v>
      </c>
      <c r="E42" s="152">
        <f t="shared" si="1"/>
        <v>0</v>
      </c>
      <c r="F42" s="337">
        <f>+(F38*480+F40*480+F39*480)/1440</f>
        <v>1547</v>
      </c>
      <c r="G42" s="337">
        <f>+(G38*480+G40*480+G39*480)/1440</f>
        <v>1175.8</v>
      </c>
      <c r="H42" s="196" t="s">
        <v>69</v>
      </c>
      <c r="I42" s="254" t="s">
        <v>692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+C43+'15'!D43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+Report1!T24</f>
        <v>124.68400000000001</v>
      </c>
      <c r="J43" s="142">
        <f>+I43+'15'!J43</f>
        <v>2027.768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+C44+'15'!D44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2.1390289929662036</v>
      </c>
      <c r="J44" s="143">
        <f>J43/J38</f>
        <v>2.3114657486620351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+C45+'15'!D45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2.2394568575328688</v>
      </c>
      <c r="J45" s="143">
        <f>J43/J40</f>
        <v>2.4308926520620591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+C46+'15'!D46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+SUMIF(Listrik!AR23,"&gt;0")</f>
        <v>47404.820000000851</v>
      </c>
      <c r="J46" s="144">
        <f>+I46+'15'!J46</f>
        <v>826111.64000000164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+C47+'15'!D47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813.25819179963719</v>
      </c>
      <c r="J47" s="144">
        <f>J46/J38</f>
        <v>941.68995685454411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+C48+'15'!D48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851.44083626698841</v>
      </c>
      <c r="J48" s="144">
        <f>J46/J40</f>
        <v>990.34441585967477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+C49+'15'!D49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+I49+'15'!J49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+C50+'15'!D50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+C51+'15'!D51</f>
        <v>0</v>
      </c>
      <c r="E51" s="152">
        <f t="shared" si="1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28</v>
      </c>
      <c r="D52" s="153">
        <f>SUM(D38:D51)</f>
        <v>1763</v>
      </c>
      <c r="E52" s="154">
        <f>SUM(E38:E51)</f>
        <v>29.383333333333333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1.9444444444444445E-2</v>
      </c>
      <c r="D53" s="155">
        <f>D52/(24*60*G4)</f>
        <v>7.6519097222222221E-2</v>
      </c>
      <c r="E53" s="156">
        <f>E52/(G4*24)</f>
        <v>7.6519097222222221E-2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+D34+'15'!J56</f>
        <v>12428</v>
      </c>
      <c r="K56" s="210">
        <f>J56/(J40+J56/1000)/1000</f>
        <v>1.4680000094496297E-2</v>
      </c>
    </row>
    <row r="57" spans="1:11">
      <c r="A57" s="185"/>
      <c r="I57" s="208" t="s">
        <v>88</v>
      </c>
      <c r="J57" s="209">
        <f>+E34+'15'!J57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15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155+220+237</f>
        <v>612</v>
      </c>
    </row>
    <row r="7" spans="1:18" ht="13.5" customHeight="1" thickBot="1">
      <c r="A7" s="1002" t="s">
        <v>449</v>
      </c>
      <c r="B7" s="224" t="s">
        <v>598</v>
      </c>
      <c r="C7" s="225">
        <v>13720</v>
      </c>
      <c r="D7" s="226">
        <v>290</v>
      </c>
      <c r="E7" s="227"/>
      <c r="F7" s="236"/>
      <c r="G7" s="237" t="s">
        <v>11</v>
      </c>
      <c r="H7" s="238" t="s">
        <v>434</v>
      </c>
      <c r="I7" s="1005" t="s">
        <v>696</v>
      </c>
      <c r="J7" s="223" t="str">
        <f>+'14'!J7</f>
        <v>MG 14 VP HW/OW</v>
      </c>
      <c r="K7" s="246"/>
      <c r="L7" s="250"/>
      <c r="M7" s="126">
        <f>+K7+'14'!M7+L7</f>
        <v>143496</v>
      </c>
    </row>
    <row r="8" spans="1:18" ht="13.5" thickBot="1">
      <c r="A8" s="1003"/>
      <c r="B8" s="224"/>
      <c r="C8" s="225"/>
      <c r="D8" s="226"/>
      <c r="E8" s="228"/>
      <c r="F8" s="239">
        <v>2</v>
      </c>
      <c r="G8" s="240" t="s">
        <v>11</v>
      </c>
      <c r="H8" s="238" t="s">
        <v>569</v>
      </c>
      <c r="I8" s="1006"/>
      <c r="J8" s="223" t="str">
        <f>+'14'!J8</f>
        <v>MG 16,5 VP HW</v>
      </c>
      <c r="K8" s="247"/>
      <c r="L8" s="247"/>
      <c r="M8" s="126">
        <f>+K8+'14'!M8+L8</f>
        <v>93365</v>
      </c>
      <c r="N8" s="158">
        <v>1520</v>
      </c>
      <c r="O8" s="158">
        <f>+N8-N8*0.24</f>
        <v>1155.2</v>
      </c>
      <c r="P8" s="158">
        <f>360+23</f>
        <v>383</v>
      </c>
      <c r="Q8" s="158">
        <f>+N8*P8</f>
        <v>582160</v>
      </c>
      <c r="R8" s="158">
        <f>+O8*P8</f>
        <v>442441.60000000003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546</v>
      </c>
      <c r="I9" s="1006"/>
      <c r="J9" s="223" t="str">
        <f>+'14'!J9</f>
        <v>MG 30 VP HW</v>
      </c>
      <c r="K9" s="247"/>
      <c r="L9" s="247"/>
      <c r="M9" s="126">
        <f>+K9+'14'!M9+L9</f>
        <v>4193</v>
      </c>
      <c r="N9" s="158">
        <v>1600</v>
      </c>
      <c r="O9" s="158">
        <f>+N9-N9*0.24</f>
        <v>1216</v>
      </c>
      <c r="P9" s="158">
        <f>60-23+34</f>
        <v>71</v>
      </c>
      <c r="Q9" s="158">
        <f>+N9*P9</f>
        <v>113600</v>
      </c>
      <c r="R9" s="158">
        <f>+O9*P9</f>
        <v>86336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679</v>
      </c>
      <c r="I10" s="1006"/>
      <c r="J10" s="223" t="str">
        <f>+'14'!J10</f>
        <v>MG 17 VP HW</v>
      </c>
      <c r="K10" s="247"/>
      <c r="L10" s="247"/>
      <c r="M10" s="126">
        <f>+K10+'14'!M10+L10</f>
        <v>18114</v>
      </c>
      <c r="N10" s="158">
        <v>1550</v>
      </c>
      <c r="O10" s="158">
        <f>+N10-N10*0.24</f>
        <v>1178</v>
      </c>
      <c r="P10" s="158">
        <f>60-34+300</f>
        <v>326</v>
      </c>
      <c r="Q10" s="158">
        <f>+N10*P10</f>
        <v>505300</v>
      </c>
      <c r="R10" s="158">
        <f>+O10*P10</f>
        <v>384028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 t="s">
        <v>694</v>
      </c>
      <c r="I11" s="1006"/>
      <c r="J11" s="223" t="str">
        <f>+'14'!J11</f>
        <v>MG 18 VP HW</v>
      </c>
      <c r="K11" s="247"/>
      <c r="L11" s="247"/>
      <c r="M11" s="126">
        <f>+K11+'14'!M11+L11</f>
        <v>25394</v>
      </c>
      <c r="P11" s="158">
        <f>SUM(P8:P10)</f>
        <v>780</v>
      </c>
      <c r="Q11" s="158">
        <f t="shared" ref="Q11:R11" si="0">SUM(Q8:Q10)</f>
        <v>1201060</v>
      </c>
      <c r="R11" s="158">
        <f t="shared" si="0"/>
        <v>912805.60000000009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695</v>
      </c>
      <c r="I12" s="1006"/>
      <c r="J12" s="223" t="str">
        <f>+'14'!J12</f>
        <v>MG 21,5 VP HW</v>
      </c>
      <c r="K12" s="247"/>
      <c r="L12" s="247"/>
      <c r="M12" s="126">
        <f>+K12+'14'!M12+L12</f>
        <v>987</v>
      </c>
      <c r="Q12" s="158">
        <f>+Q11/P11</f>
        <v>1539.8205128205129</v>
      </c>
      <c r="R12" s="158">
        <f>+R11/P11</f>
        <v>1170.2635897435898</v>
      </c>
    </row>
    <row r="13" spans="1:18" ht="26.25" thickBot="1">
      <c r="A13" s="1003"/>
      <c r="B13" s="224"/>
      <c r="C13" s="225"/>
      <c r="D13" s="225"/>
      <c r="E13" s="228"/>
      <c r="F13" s="236"/>
      <c r="G13" s="240"/>
      <c r="H13" s="241" t="s">
        <v>693</v>
      </c>
      <c r="I13" s="1007"/>
      <c r="J13" s="223" t="str">
        <f>+'14'!J13</f>
        <v>F 10,3 VP OW</v>
      </c>
      <c r="K13" s="247"/>
      <c r="L13" s="247"/>
      <c r="M13" s="126">
        <f>+K13+'14'!M13+L13</f>
        <v>115938</v>
      </c>
    </row>
    <row r="14" spans="1:18" ht="13.5" thickBot="1">
      <c r="A14" s="1004"/>
      <c r="B14" s="174" t="s">
        <v>2</v>
      </c>
      <c r="C14" s="108">
        <f>SUM(C7:C13)</f>
        <v>13720</v>
      </c>
      <c r="D14" s="120">
        <f>SUM(D7:D13)</f>
        <v>290</v>
      </c>
      <c r="E14" s="121">
        <f>SUM(E5:E13)</f>
        <v>0</v>
      </c>
      <c r="F14" s="125">
        <f>SUM(F7:F13)</f>
        <v>12</v>
      </c>
      <c r="G14" s="168"/>
      <c r="H14" s="175"/>
      <c r="I14" s="176"/>
      <c r="J14" s="223" t="str">
        <f>+'14'!J14</f>
        <v>F 12 VP OW</v>
      </c>
      <c r="K14" s="247">
        <f>+C17+C25</f>
        <v>18482</v>
      </c>
      <c r="L14" s="247"/>
      <c r="M14" s="126">
        <f>+K14+'14'!M14+L14</f>
        <v>65979</v>
      </c>
    </row>
    <row r="15" spans="1:18" ht="13.5" customHeight="1" thickBot="1">
      <c r="A15" s="1002" t="s">
        <v>465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698</v>
      </c>
      <c r="J15" s="223" t="str">
        <f>+'14'!J15</f>
        <v>F 13 VP OW</v>
      </c>
      <c r="K15" s="247"/>
      <c r="L15" s="247"/>
      <c r="M15" s="126">
        <f>+K15+'14'!M15+L15</f>
        <v>62590</v>
      </c>
    </row>
    <row r="16" spans="1:18" ht="13.5" thickBot="1">
      <c r="A16" s="1008"/>
      <c r="B16" s="224" t="s">
        <v>598</v>
      </c>
      <c r="C16" s="230">
        <f>5948+6912+1640</f>
        <v>14500</v>
      </c>
      <c r="D16" s="231"/>
      <c r="E16" s="232"/>
      <c r="F16" s="236">
        <v>6</v>
      </c>
      <c r="G16" s="240" t="s">
        <v>11</v>
      </c>
      <c r="H16" s="238" t="s">
        <v>568</v>
      </c>
      <c r="I16" s="1006"/>
      <c r="J16" s="223" t="str">
        <f>+'14'!J16</f>
        <v>F 12,5 VP OW</v>
      </c>
      <c r="K16" s="247">
        <f>+C7+C16</f>
        <v>28220</v>
      </c>
      <c r="L16" s="237"/>
      <c r="M16" s="126">
        <f>+K16+'14'!M16+L16</f>
        <v>91232</v>
      </c>
      <c r="N16" s="158">
        <v>1550</v>
      </c>
      <c r="O16" s="158">
        <f t="shared" ref="O16:O17" si="1">+N16-N16*0.24</f>
        <v>1178</v>
      </c>
      <c r="P16" s="158">
        <v>300</v>
      </c>
      <c r="Q16" s="158">
        <f>+N16*P16</f>
        <v>465000</v>
      </c>
      <c r="R16" s="158">
        <f>+O16*P16</f>
        <v>353400</v>
      </c>
    </row>
    <row r="17" spans="1:18" ht="13.5" thickBot="1">
      <c r="A17" s="1008"/>
      <c r="B17" s="224" t="s">
        <v>551</v>
      </c>
      <c r="C17" s="225">
        <v>1200</v>
      </c>
      <c r="D17" s="226">
        <v>254</v>
      </c>
      <c r="E17" s="233"/>
      <c r="F17" s="236">
        <v>10</v>
      </c>
      <c r="G17" s="240" t="s">
        <v>11</v>
      </c>
      <c r="H17" s="582" t="s">
        <v>428</v>
      </c>
      <c r="I17" s="1006"/>
      <c r="J17" s="223" t="str">
        <f>+'14'!J17</f>
        <v>SN 13 VP OW</v>
      </c>
      <c r="K17" s="247"/>
      <c r="L17" s="237"/>
      <c r="M17" s="126">
        <f>+K17+'14'!M17+L17</f>
        <v>112808</v>
      </c>
      <c r="N17" s="158">
        <v>1540</v>
      </c>
      <c r="O17" s="158">
        <f t="shared" si="1"/>
        <v>1170.4000000000001</v>
      </c>
      <c r="P17" s="158">
        <v>180</v>
      </c>
      <c r="Q17" s="158">
        <f>+N17*P17</f>
        <v>277200</v>
      </c>
      <c r="R17" s="158">
        <f>+O17*P17</f>
        <v>210672.00000000003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697</v>
      </c>
      <c r="I18" s="1006"/>
      <c r="J18" s="223" t="str">
        <f>+'14'!J18</f>
        <v>SN 14 VP OW</v>
      </c>
      <c r="K18" s="247"/>
      <c r="L18" s="247"/>
      <c r="M18" s="126">
        <f>+K18+'14'!M18+L18</f>
        <v>16454</v>
      </c>
      <c r="P18" s="158">
        <f>SUM(P16:P17)</f>
        <v>480</v>
      </c>
      <c r="Q18" s="158">
        <f t="shared" ref="Q18:R18" si="2">SUM(Q16:Q17)</f>
        <v>742200</v>
      </c>
      <c r="R18" s="158">
        <f t="shared" si="2"/>
        <v>564072</v>
      </c>
    </row>
    <row r="19" spans="1:18" ht="13.5" thickBot="1">
      <c r="A19" s="1008"/>
      <c r="B19" s="224"/>
      <c r="C19" s="225"/>
      <c r="D19" s="226"/>
      <c r="E19" s="233"/>
      <c r="F19" s="243"/>
      <c r="G19" s="240"/>
      <c r="H19" s="241" t="s">
        <v>680</v>
      </c>
      <c r="I19" s="1006"/>
      <c r="J19" s="223" t="str">
        <f>+'14'!J19</f>
        <v>SN 15 VP OW</v>
      </c>
      <c r="K19" s="247"/>
      <c r="L19" s="247"/>
      <c r="M19" s="126">
        <f>+K19+'14'!M19+L19</f>
        <v>27940</v>
      </c>
      <c r="Q19" s="158">
        <f>+Q18/P18</f>
        <v>1546.25</v>
      </c>
      <c r="R19" s="158">
        <f>+R18/P18</f>
        <v>1175.1500000000001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 t="s">
        <v>645</v>
      </c>
      <c r="I20" s="1006"/>
      <c r="J20" s="223">
        <f>+'14'!J20</f>
        <v>0</v>
      </c>
      <c r="K20" s="248"/>
      <c r="L20" s="248"/>
      <c r="M20" s="126">
        <f>+K20+'14'!M20+L20</f>
        <v>0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+'14'!J21</f>
        <v>0</v>
      </c>
      <c r="K21" s="247"/>
      <c r="L21" s="247"/>
      <c r="M21" s="126">
        <f>+K21+'14'!M21+L21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+'14'!J22</f>
        <v>0</v>
      </c>
      <c r="K22" s="247"/>
      <c r="L22" s="247"/>
      <c r="M22" s="126">
        <f>+K22+'14'!M22+L22</f>
        <v>0</v>
      </c>
    </row>
    <row r="23" spans="1:18" ht="13.5" thickBot="1">
      <c r="A23" s="1009"/>
      <c r="B23" s="177" t="s">
        <v>2</v>
      </c>
      <c r="C23" s="109">
        <f>SUM(C16:C22)</f>
        <v>15700</v>
      </c>
      <c r="D23" s="120">
        <f>SUM(D16:D22)</f>
        <v>254</v>
      </c>
      <c r="E23" s="121">
        <f>SUM(E18:E22)</f>
        <v>0</v>
      </c>
      <c r="F23" s="125">
        <f>SUM(F15:F22)</f>
        <v>16</v>
      </c>
      <c r="G23" s="168"/>
      <c r="H23" s="175" t="s">
        <v>234</v>
      </c>
      <c r="I23" s="178"/>
      <c r="J23" s="223">
        <f>+'14'!J23</f>
        <v>0</v>
      </c>
      <c r="K23" s="247"/>
      <c r="L23" s="247"/>
      <c r="M23" s="126">
        <f>+K23+'14'!M23+L23</f>
        <v>0</v>
      </c>
    </row>
    <row r="24" spans="1:18" ht="13.5" customHeight="1" thickBot="1">
      <c r="A24" s="1002" t="s">
        <v>703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688</v>
      </c>
      <c r="J24" s="223">
        <f>+'14'!J24</f>
        <v>0</v>
      </c>
      <c r="K24" s="247"/>
      <c r="L24" s="247"/>
      <c r="M24" s="126">
        <f>+K24+'14'!M24+L24</f>
        <v>0</v>
      </c>
    </row>
    <row r="25" spans="1:18" ht="13.5" thickBot="1">
      <c r="A25" s="1008"/>
      <c r="B25" s="224" t="s">
        <v>551</v>
      </c>
      <c r="C25" s="234">
        <v>17282</v>
      </c>
      <c r="D25" s="226"/>
      <c r="E25" s="233"/>
      <c r="F25" s="239">
        <v>5</v>
      </c>
      <c r="G25" s="240" t="s">
        <v>11</v>
      </c>
      <c r="H25" s="238" t="s">
        <v>587</v>
      </c>
      <c r="I25" s="1006"/>
      <c r="J25" s="223">
        <f>+'14'!J25</f>
        <v>0</v>
      </c>
      <c r="K25" s="247"/>
      <c r="L25" s="247"/>
      <c r="M25" s="126">
        <f>+K25+'14'!M25+L25</f>
        <v>0</v>
      </c>
    </row>
    <row r="26" spans="1:18" ht="13.5" thickBot="1">
      <c r="A26" s="1008"/>
      <c r="B26" s="224"/>
      <c r="C26" s="234"/>
      <c r="D26" s="226"/>
      <c r="E26" s="235"/>
      <c r="F26" s="239">
        <v>16</v>
      </c>
      <c r="G26" s="240" t="s">
        <v>11</v>
      </c>
      <c r="H26" s="582" t="s">
        <v>428</v>
      </c>
      <c r="I26" s="1006"/>
      <c r="J26" s="223">
        <f>+'14'!J26</f>
        <v>0</v>
      </c>
      <c r="K26" s="247"/>
      <c r="L26" s="247"/>
      <c r="M26" s="126">
        <f>+K26+'14'!M26+L26</f>
        <v>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681</v>
      </c>
      <c r="I27" s="1006"/>
      <c r="J27" s="223">
        <f>+'14'!J27</f>
        <v>0</v>
      </c>
      <c r="K27" s="247"/>
      <c r="L27" s="247"/>
      <c r="M27" s="126">
        <f>+K27+'14'!M27+L27</f>
        <v>0</v>
      </c>
    </row>
    <row r="28" spans="1:18" ht="26.25" thickBot="1">
      <c r="A28" s="1008"/>
      <c r="B28" s="224"/>
      <c r="C28" s="225"/>
      <c r="D28" s="226"/>
      <c r="E28" s="233"/>
      <c r="F28" s="239"/>
      <c r="G28" s="240"/>
      <c r="H28" s="241" t="s">
        <v>666</v>
      </c>
      <c r="I28" s="1006"/>
      <c r="J28" s="223">
        <f>+'14'!J28</f>
        <v>0</v>
      </c>
      <c r="K28" s="247"/>
      <c r="L28" s="247"/>
      <c r="M28" s="126">
        <f>+K28+'14'!M28+L28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+'14'!J29</f>
        <v>0</v>
      </c>
      <c r="K29" s="247"/>
      <c r="L29" s="247"/>
      <c r="M29" s="126">
        <f>+K29+'14'!M29+L29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+'14'!J30</f>
        <v>0</v>
      </c>
      <c r="K30" s="247"/>
      <c r="L30" s="247"/>
      <c r="M30" s="126">
        <f>+K30+'14'!M30+L30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+'14'!J31</f>
        <v>0</v>
      </c>
      <c r="K31" s="247"/>
      <c r="L31" s="247"/>
      <c r="M31" s="126">
        <f>+K31+'14'!M31+L31</f>
        <v>0</v>
      </c>
    </row>
    <row r="32" spans="1:18" ht="13.5" thickBot="1">
      <c r="A32" s="1009"/>
      <c r="B32" s="174" t="s">
        <v>2</v>
      </c>
      <c r="C32" s="108">
        <f>SUM(C25:C31)</f>
        <v>17282</v>
      </c>
      <c r="D32" s="109">
        <f>SUM(D25:D31)</f>
        <v>0</v>
      </c>
      <c r="E32" s="110">
        <f>SUM(E25:E31)</f>
        <v>0</v>
      </c>
      <c r="F32" s="111">
        <f>SUM(F24:F31)</f>
        <v>21</v>
      </c>
      <c r="G32" s="180"/>
      <c r="H32" s="181"/>
      <c r="I32" s="178"/>
      <c r="J32" s="223">
        <f>+'14'!J32</f>
        <v>0</v>
      </c>
      <c r="K32" s="249"/>
      <c r="L32" s="251"/>
      <c r="M32" s="126">
        <f>+K32+'14'!M32+L32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46702</v>
      </c>
      <c r="D34" s="116">
        <f>D14+D23+D32</f>
        <v>544</v>
      </c>
      <c r="E34" s="116">
        <f>E14+E23+E32</f>
        <v>0</v>
      </c>
      <c r="F34" s="117">
        <f>F14+F23+F32</f>
        <v>49</v>
      </c>
      <c r="H34" s="187"/>
      <c r="I34" s="187"/>
      <c r="J34" s="132" t="s">
        <v>27</v>
      </c>
      <c r="K34" s="133">
        <f>SUM(K7:K32)</f>
        <v>46702</v>
      </c>
      <c r="L34" s="221">
        <f>SUM(L7:L32)</f>
        <v>0</v>
      </c>
      <c r="M34" s="129">
        <f>SUM(M7:M32)</f>
        <v>778490</v>
      </c>
      <c r="N34" s="164"/>
    </row>
    <row r="35" spans="1:14" ht="13.5" thickBot="1">
      <c r="A35" s="188"/>
      <c r="B35" s="189"/>
      <c r="C35" s="113">
        <f>C34/($C$34+$D$34+$E$34)</f>
        <v>0.98848579773949119</v>
      </c>
      <c r="D35" s="113">
        <f>D34/($C$34+$D$34+$E$34)</f>
        <v>1.1514202260508826E-2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(12.5*780+12*660)/1440*G42*2.77*1440/1000000</f>
        <v>57.282664801833349</v>
      </c>
      <c r="J37" s="134">
        <f>+I37+'14'!J37</f>
        <v>900.41303022970294</v>
      </c>
      <c r="K37" s="135" t="s">
        <v>62</v>
      </c>
      <c r="N37" s="164">
        <f>+I38-N38</f>
        <v>29.184999999999995</v>
      </c>
    </row>
    <row r="38" spans="1:14" ht="17.45" customHeight="1">
      <c r="A38" s="1000" t="s">
        <v>11</v>
      </c>
      <c r="B38" s="1001"/>
      <c r="C38" s="173">
        <f>SUMIF($G$7:$G$31,"Process",$F$7:$F$31)</f>
        <v>49</v>
      </c>
      <c r="D38" s="127">
        <f>+C38+'14'!D38</f>
        <v>1427</v>
      </c>
      <c r="E38" s="152">
        <f t="shared" ref="E38:E51" si="3">D38/60</f>
        <v>23.783333333333335</v>
      </c>
      <c r="F38" s="337">
        <v>1533.4583333333333</v>
      </c>
      <c r="G38" s="337">
        <v>1165.4283333333335</v>
      </c>
      <c r="H38" s="196" t="s">
        <v>63</v>
      </c>
      <c r="I38" s="253">
        <f>17.581+16.549+16.96</f>
        <v>51.089999999999996</v>
      </c>
      <c r="J38" s="136">
        <f>+I38+'14'!J38</f>
        <v>818.97500000000002</v>
      </c>
      <c r="K38" s="137" t="s">
        <v>62</v>
      </c>
      <c r="N38" s="158">
        <f>2.488+2.457+16.96</f>
        <v>21.905000000000001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+C39+'14'!D39</f>
        <v>0</v>
      </c>
      <c r="E39" s="152">
        <f t="shared" si="3"/>
        <v>0</v>
      </c>
      <c r="F39" s="337">
        <v>1546.25</v>
      </c>
      <c r="G39" s="337">
        <v>1175.1500000000001</v>
      </c>
      <c r="H39" s="196" t="s">
        <v>64</v>
      </c>
      <c r="I39" s="151"/>
      <c r="J39" s="138">
        <f>J37/G4</f>
        <v>60.027535348646865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+C40+'14'!D40</f>
        <v>153</v>
      </c>
      <c r="E40" s="152">
        <f t="shared" si="3"/>
        <v>2.5499999999999998</v>
      </c>
      <c r="F40" s="337">
        <v>1540</v>
      </c>
      <c r="G40" s="337">
        <f t="shared" ref="G40" si="4">+F40-F40*0.24</f>
        <v>1170.4000000000001</v>
      </c>
      <c r="H40" s="196" t="s">
        <v>66</v>
      </c>
      <c r="I40" s="127">
        <f>(K34+L34)/1000</f>
        <v>46.701999999999998</v>
      </c>
      <c r="J40" s="140">
        <f>+I40+'14'!J40</f>
        <v>778.49000000000012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+C41+'14'!D41</f>
        <v>80</v>
      </c>
      <c r="E41" s="152">
        <f t="shared" si="3"/>
        <v>1.3333333333333333</v>
      </c>
      <c r="F41" s="337"/>
      <c r="G41" s="337"/>
      <c r="H41" s="196" t="s">
        <v>68</v>
      </c>
      <c r="I41" s="151"/>
      <c r="J41" s="138">
        <f>J40/G4</f>
        <v>51.899333333333338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+C42+'14'!D42</f>
        <v>0</v>
      </c>
      <c r="E42" s="152">
        <f t="shared" si="3"/>
        <v>0</v>
      </c>
      <c r="F42" s="337">
        <f>+(F38*480+F39*480+F40*480)/1440</f>
        <v>1539.9027777777778</v>
      </c>
      <c r="G42" s="337">
        <f>+(G38*480+G39*480+G40*480)/1440</f>
        <v>1170.3261111111112</v>
      </c>
      <c r="H42" s="196" t="s">
        <v>69</v>
      </c>
      <c r="I42" s="254" t="s">
        <v>699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+C43+'14'!D43</f>
        <v>0</v>
      </c>
      <c r="E43" s="152">
        <f t="shared" si="3"/>
        <v>0</v>
      </c>
      <c r="F43" s="337"/>
      <c r="G43" s="338"/>
      <c r="H43" s="197" t="s">
        <v>72</v>
      </c>
      <c r="I43" s="127">
        <f>+Report1!T23</f>
        <v>120.89399999999999</v>
      </c>
      <c r="J43" s="142">
        <f>+I43+'14'!J43</f>
        <v>1903.0840000000001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+C44+'14'!D44</f>
        <v>75</v>
      </c>
      <c r="E44" s="152">
        <f t="shared" si="3"/>
        <v>1.25</v>
      </c>
      <c r="F44" s="337"/>
      <c r="G44" s="338"/>
      <c r="H44" s="197" t="s">
        <v>73</v>
      </c>
      <c r="I44" s="127">
        <f>I43/I38</f>
        <v>2.3662947739283617</v>
      </c>
      <c r="J44" s="143">
        <f>J43/J38</f>
        <v>2.3237388198662963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+C45+'14'!D45</f>
        <v>0</v>
      </c>
      <c r="E45" s="152">
        <f t="shared" si="3"/>
        <v>0</v>
      </c>
      <c r="F45" s="337"/>
      <c r="G45" s="340"/>
      <c r="H45" s="197" t="s">
        <v>74</v>
      </c>
      <c r="I45" s="127">
        <f>I43/I40</f>
        <v>2.5886257547856624</v>
      </c>
      <c r="J45" s="143">
        <f>J43/J40</f>
        <v>2.4445837454559465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+C46+'14'!D46</f>
        <v>0</v>
      </c>
      <c r="E46" s="152">
        <f t="shared" si="3"/>
        <v>0</v>
      </c>
      <c r="F46" s="337"/>
      <c r="G46" s="338"/>
      <c r="H46" s="197" t="s">
        <v>76</v>
      </c>
      <c r="I46" s="149">
        <f>+SUMIF(Listrik!AR22,"&gt;0")</f>
        <v>51429.520000001474</v>
      </c>
      <c r="J46" s="144">
        <f>+I46+'14'!J46</f>
        <v>778706.82000000076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+C47+'14'!D47</f>
        <v>0</v>
      </c>
      <c r="E47" s="152">
        <f t="shared" si="3"/>
        <v>0</v>
      </c>
      <c r="F47" s="337"/>
      <c r="G47" s="338"/>
      <c r="H47" s="197" t="s">
        <v>79</v>
      </c>
      <c r="I47" s="127">
        <f>I46/I38</f>
        <v>1006.6455275005183</v>
      </c>
      <c r="J47" s="144">
        <f>J46/J38</f>
        <v>950.8310021673442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+C48+'14'!D48</f>
        <v>0</v>
      </c>
      <c r="E48" s="152">
        <f t="shared" si="3"/>
        <v>0</v>
      </c>
      <c r="F48" s="337"/>
      <c r="G48" s="338"/>
      <c r="H48" s="197" t="s">
        <v>80</v>
      </c>
      <c r="I48" s="127">
        <f>I46/I40</f>
        <v>1101.2273564301631</v>
      </c>
      <c r="J48" s="144">
        <f>J46/J40</f>
        <v>1000.2785135326088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+C49+'14'!D49</f>
        <v>0</v>
      </c>
      <c r="E49" s="152">
        <f t="shared" si="3"/>
        <v>0</v>
      </c>
      <c r="F49" s="194"/>
      <c r="H49" s="197" t="s">
        <v>81</v>
      </c>
      <c r="I49" s="127">
        <v>0</v>
      </c>
      <c r="J49" s="144">
        <f>+I49+'14'!J49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+C50+'14'!D50</f>
        <v>0</v>
      </c>
      <c r="E50" s="152">
        <f t="shared" si="3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+C51+'14'!D51</f>
        <v>0</v>
      </c>
      <c r="E51" s="152">
        <f t="shared" si="3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49</v>
      </c>
      <c r="D52" s="153">
        <f>SUM(D38:D51)</f>
        <v>1735</v>
      </c>
      <c r="E52" s="154">
        <f>SUM(E38:E51)</f>
        <v>28.916666666666668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3.4027777777777775E-2</v>
      </c>
      <c r="D53" s="155">
        <f>D52/(24*60*G4)</f>
        <v>8.0324074074074076E-2</v>
      </c>
      <c r="E53" s="156">
        <f>E52/(G4*24)</f>
        <v>8.0324074074074076E-2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+D34+'14'!J56</f>
        <v>12158</v>
      </c>
      <c r="K56" s="210">
        <f>J56/(J40+J56/1000)/1000</f>
        <v>1.5377260171403707E-2</v>
      </c>
    </row>
    <row r="57" spans="1:11">
      <c r="A57" s="185"/>
      <c r="I57" s="208" t="s">
        <v>88</v>
      </c>
      <c r="J57" s="209">
        <f>+E34+'14'!J57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topLeftCell="A4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9" ht="15.75">
      <c r="A1" s="157"/>
    </row>
    <row r="2" spans="1:19" ht="15.75">
      <c r="A2" s="157" t="s">
        <v>147</v>
      </c>
    </row>
    <row r="3" spans="1:19" ht="15">
      <c r="A3" s="159"/>
    </row>
    <row r="4" spans="1:19" ht="20.25">
      <c r="A4" s="160" t="s">
        <v>3</v>
      </c>
      <c r="B4" s="161"/>
      <c r="F4" s="162" t="s">
        <v>29</v>
      </c>
      <c r="G4" s="163">
        <v>14</v>
      </c>
      <c r="H4" s="163" t="str">
        <f>+'1'!H4</f>
        <v>.11.25</v>
      </c>
    </row>
    <row r="5" spans="1:19" ht="13.5" thickBot="1">
      <c r="C5" s="164"/>
      <c r="D5" s="164"/>
    </row>
    <row r="6" spans="1:19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188+207+225</f>
        <v>620</v>
      </c>
    </row>
    <row r="7" spans="1:19" ht="13.5" customHeight="1" thickBot="1">
      <c r="A7" s="1002" t="s">
        <v>449</v>
      </c>
      <c r="B7" s="224" t="s">
        <v>552</v>
      </c>
      <c r="C7" s="225">
        <f>1039+863+119+4080+4416</f>
        <v>10517</v>
      </c>
      <c r="D7" s="226"/>
      <c r="E7" s="227"/>
      <c r="F7" s="236"/>
      <c r="G7" s="237" t="s">
        <v>11</v>
      </c>
      <c r="H7" s="238" t="s">
        <v>434</v>
      </c>
      <c r="I7" s="1005" t="s">
        <v>673</v>
      </c>
      <c r="J7" s="223" t="str">
        <f>+'13'!J7</f>
        <v>MG 14 VP HW/OW</v>
      </c>
      <c r="K7" s="246"/>
      <c r="L7" s="250"/>
      <c r="M7" s="126">
        <f>+K7+'13'!M7+L7</f>
        <v>143496</v>
      </c>
      <c r="N7" s="158" t="s">
        <v>557</v>
      </c>
      <c r="O7" s="158">
        <v>1300</v>
      </c>
      <c r="P7" s="158">
        <f>+O7-O7*0.24</f>
        <v>988</v>
      </c>
      <c r="Q7" s="158">
        <f>60*3+33</f>
        <v>213</v>
      </c>
      <c r="R7" s="158">
        <f>+O7*Q7</f>
        <v>276900</v>
      </c>
      <c r="S7" s="158">
        <f>+P7*Q7</f>
        <v>210444</v>
      </c>
    </row>
    <row r="8" spans="1:19" ht="13.5" thickBot="1">
      <c r="A8" s="1003"/>
      <c r="B8" s="224" t="s">
        <v>598</v>
      </c>
      <c r="C8" s="225">
        <f>908+1034+2115</f>
        <v>4057</v>
      </c>
      <c r="D8" s="226"/>
      <c r="E8" s="228"/>
      <c r="F8" s="239">
        <v>9</v>
      </c>
      <c r="G8" s="240" t="s">
        <v>11</v>
      </c>
      <c r="H8" s="238" t="s">
        <v>569</v>
      </c>
      <c r="I8" s="1006"/>
      <c r="J8" s="223" t="str">
        <f>+'13'!J8</f>
        <v>MG 16,5 VP HW</v>
      </c>
      <c r="K8" s="247"/>
      <c r="L8" s="247"/>
      <c r="M8" s="126">
        <f>+K8+'13'!M8+L8</f>
        <v>93365</v>
      </c>
      <c r="N8" s="158" t="s">
        <v>597</v>
      </c>
      <c r="O8" s="158">
        <v>1440</v>
      </c>
      <c r="P8" s="158">
        <f>+O8-O8*0.24</f>
        <v>1094.4000000000001</v>
      </c>
      <c r="Q8" s="158">
        <f>480-Q7</f>
        <v>267</v>
      </c>
      <c r="R8" s="158">
        <f>+O8*Q8</f>
        <v>384480</v>
      </c>
      <c r="S8" s="158">
        <f>+P8*Q8</f>
        <v>292204.80000000005</v>
      </c>
    </row>
    <row r="9" spans="1:19" ht="13.5" thickBot="1">
      <c r="A9" s="1003"/>
      <c r="B9" s="224"/>
      <c r="C9" s="225"/>
      <c r="D9" s="226"/>
      <c r="E9" s="229"/>
      <c r="F9" s="236">
        <v>20</v>
      </c>
      <c r="G9" s="240" t="s">
        <v>11</v>
      </c>
      <c r="H9" s="582" t="s">
        <v>428</v>
      </c>
      <c r="I9" s="1006"/>
      <c r="J9" s="223" t="str">
        <f>+'13'!J9</f>
        <v>MG 30 VP HW</v>
      </c>
      <c r="K9" s="247"/>
      <c r="L9" s="247"/>
      <c r="M9" s="126">
        <f>+K9+'13'!M9+L9</f>
        <v>4193</v>
      </c>
    </row>
    <row r="10" spans="1:19" ht="13.5" thickBot="1">
      <c r="A10" s="1003"/>
      <c r="B10" s="224"/>
      <c r="C10" s="225"/>
      <c r="D10" s="226"/>
      <c r="E10" s="228"/>
      <c r="F10" s="236"/>
      <c r="G10" s="240"/>
      <c r="H10" s="582" t="s">
        <v>662</v>
      </c>
      <c r="I10" s="1006"/>
      <c r="J10" s="223" t="str">
        <f>+'13'!J10</f>
        <v>MG 17 VP HW</v>
      </c>
      <c r="K10" s="247"/>
      <c r="L10" s="247"/>
      <c r="M10" s="126">
        <f>+K10+'13'!M10+L10</f>
        <v>18114</v>
      </c>
    </row>
    <row r="11" spans="1:19" ht="13.5" thickBot="1">
      <c r="A11" s="1003"/>
      <c r="B11" s="224"/>
      <c r="C11" s="225"/>
      <c r="D11" s="226"/>
      <c r="E11" s="228"/>
      <c r="F11" s="236"/>
      <c r="G11" s="240"/>
      <c r="H11" s="241" t="s">
        <v>667</v>
      </c>
      <c r="I11" s="1006"/>
      <c r="J11" s="223" t="str">
        <f>+'13'!J11</f>
        <v>MG 18 VP HW</v>
      </c>
      <c r="K11" s="247"/>
      <c r="L11" s="247"/>
      <c r="M11" s="126">
        <f>+K11+'13'!M11+L11</f>
        <v>25394</v>
      </c>
    </row>
    <row r="12" spans="1:19" ht="13.5" thickBot="1">
      <c r="A12" s="1003"/>
      <c r="B12" s="224"/>
      <c r="C12" s="225"/>
      <c r="D12" s="226"/>
      <c r="E12" s="228" t="s">
        <v>669</v>
      </c>
      <c r="F12" s="236">
        <v>13</v>
      </c>
      <c r="G12" s="240" t="s">
        <v>65</v>
      </c>
      <c r="H12" s="241" t="s">
        <v>670</v>
      </c>
      <c r="I12" s="1006"/>
      <c r="J12" s="223" t="str">
        <f>+'13'!J12</f>
        <v>MG 21,5 VP HW</v>
      </c>
      <c r="K12" s="247"/>
      <c r="L12" s="247"/>
      <c r="M12" s="126">
        <f>+K12+'13'!M12+L12</f>
        <v>987</v>
      </c>
    </row>
    <row r="13" spans="1:19" ht="26.25" thickBot="1">
      <c r="A13" s="1003"/>
      <c r="B13" s="224"/>
      <c r="C13" s="225"/>
      <c r="D13" s="225"/>
      <c r="E13" s="228"/>
      <c r="F13" s="236"/>
      <c r="G13" s="240"/>
      <c r="H13" s="241" t="s">
        <v>663</v>
      </c>
      <c r="I13" s="1007"/>
      <c r="J13" s="223" t="str">
        <f>+'13'!J13</f>
        <v>F 10,3 VP OW</v>
      </c>
      <c r="K13" s="247"/>
      <c r="L13" s="247"/>
      <c r="M13" s="126">
        <f>+K13+'13'!M13+L13</f>
        <v>115938</v>
      </c>
    </row>
    <row r="14" spans="1:19" ht="13.5" thickBot="1">
      <c r="A14" s="1004"/>
      <c r="B14" s="174" t="s">
        <v>2</v>
      </c>
      <c r="C14" s="108">
        <f>SUM(C7:C13)</f>
        <v>14574</v>
      </c>
      <c r="D14" s="120">
        <f>SUM(D7:D13)</f>
        <v>0</v>
      </c>
      <c r="E14" s="121">
        <f>SUM(E5:E13)</f>
        <v>0</v>
      </c>
      <c r="F14" s="125">
        <f>SUM(F7:F13)</f>
        <v>42</v>
      </c>
      <c r="G14" s="168"/>
      <c r="H14" s="175"/>
      <c r="I14" s="176"/>
      <c r="J14" s="223" t="str">
        <f>+'13'!J14</f>
        <v>F 12 VP OW</v>
      </c>
      <c r="K14" s="247"/>
      <c r="L14" s="247"/>
      <c r="M14" s="126">
        <f>+K14+'13'!M14+L14</f>
        <v>47497</v>
      </c>
    </row>
    <row r="15" spans="1:19" ht="13.5" customHeight="1" thickBot="1">
      <c r="A15" s="1002" t="s">
        <v>465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672</v>
      </c>
      <c r="J15" s="223" t="str">
        <f>+'13'!J15</f>
        <v>F 13 VP OW</v>
      </c>
      <c r="K15" s="247">
        <f>+C7+C16</f>
        <v>13165</v>
      </c>
      <c r="L15" s="247"/>
      <c r="M15" s="126">
        <f>+K15+'13'!M15+L15</f>
        <v>62590</v>
      </c>
    </row>
    <row r="16" spans="1:19" ht="13.5" thickBot="1">
      <c r="A16" s="1008"/>
      <c r="B16" s="224" t="s">
        <v>552</v>
      </c>
      <c r="C16" s="230">
        <v>2648</v>
      </c>
      <c r="D16" s="231"/>
      <c r="E16" s="232"/>
      <c r="F16" s="236">
        <v>4</v>
      </c>
      <c r="G16" s="240" t="s">
        <v>11</v>
      </c>
      <c r="H16" s="238" t="s">
        <v>568</v>
      </c>
      <c r="I16" s="1006"/>
      <c r="J16" s="223" t="str">
        <f>+'13'!J16</f>
        <v>F 12,5 VP OW</v>
      </c>
      <c r="K16" s="247">
        <f>+C8+C17+C25</f>
        <v>34593</v>
      </c>
      <c r="L16" s="237"/>
      <c r="M16" s="126">
        <f>+K16+'13'!M16+L16</f>
        <v>63012</v>
      </c>
      <c r="Q16" s="158">
        <f>SUM(Q7:Q14)</f>
        <v>480</v>
      </c>
      <c r="R16" s="158">
        <f>SUM(R7:R14)</f>
        <v>661380</v>
      </c>
      <c r="S16" s="158">
        <f>SUM(S7:S14)</f>
        <v>502648.80000000005</v>
      </c>
    </row>
    <row r="17" spans="1:25" ht="13.5" thickBot="1">
      <c r="A17" s="1008"/>
      <c r="B17" s="224" t="s">
        <v>598</v>
      </c>
      <c r="C17" s="225">
        <f>3035+3428+6975</f>
        <v>13438</v>
      </c>
      <c r="D17" s="226"/>
      <c r="E17" s="233"/>
      <c r="F17" s="236">
        <v>8</v>
      </c>
      <c r="G17" s="240" t="s">
        <v>11</v>
      </c>
      <c r="H17" s="582" t="s">
        <v>428</v>
      </c>
      <c r="I17" s="1006"/>
      <c r="J17" s="223" t="str">
        <f>+'13'!J17</f>
        <v>SN 13 VP OW</v>
      </c>
      <c r="K17" s="247"/>
      <c r="L17" s="237"/>
      <c r="M17" s="126">
        <f>+K17+'13'!M17+L17</f>
        <v>112808</v>
      </c>
      <c r="Q17" s="158">
        <f>480-Q16</f>
        <v>0</v>
      </c>
      <c r="R17" s="158">
        <f>+R16/Q16</f>
        <v>1377.875</v>
      </c>
      <c r="S17" s="158">
        <f>+S16/Q16</f>
        <v>1047.1850000000002</v>
      </c>
    </row>
    <row r="18" spans="1:25" ht="13.5" thickBot="1">
      <c r="A18" s="1008"/>
      <c r="B18" s="224"/>
      <c r="C18" s="225"/>
      <c r="D18" s="226"/>
      <c r="E18" s="233"/>
      <c r="F18" s="236"/>
      <c r="G18" s="240"/>
      <c r="H18" s="582" t="s">
        <v>665</v>
      </c>
      <c r="I18" s="1006"/>
      <c r="J18" s="223" t="str">
        <f>+'13'!J18</f>
        <v>SN 14 VP OW</v>
      </c>
      <c r="K18" s="247"/>
      <c r="L18" s="247"/>
      <c r="M18" s="126">
        <f>+K18+'13'!M18+L18</f>
        <v>16454</v>
      </c>
    </row>
    <row r="19" spans="1:25" ht="13.5" thickBot="1">
      <c r="A19" s="1008"/>
      <c r="B19" s="224"/>
      <c r="C19" s="225"/>
      <c r="D19" s="226"/>
      <c r="E19" s="233"/>
      <c r="F19" s="243"/>
      <c r="G19" s="240"/>
      <c r="H19" s="241" t="s">
        <v>645</v>
      </c>
      <c r="I19" s="1006"/>
      <c r="J19" s="223" t="str">
        <f>+'13'!J19</f>
        <v>SN 15 VP OW</v>
      </c>
      <c r="K19" s="247"/>
      <c r="L19" s="247"/>
      <c r="M19" s="126">
        <f>+K19+'13'!M19+L19</f>
        <v>27940</v>
      </c>
      <c r="N19" s="158" t="s">
        <v>597</v>
      </c>
      <c r="O19" s="158">
        <v>1460</v>
      </c>
      <c r="P19" s="158">
        <f>+O19-O19*0.24</f>
        <v>1109.5999999999999</v>
      </c>
      <c r="Q19" s="158">
        <v>480</v>
      </c>
      <c r="R19" s="158">
        <f>+O19*Q19</f>
        <v>700800</v>
      </c>
      <c r="S19" s="158">
        <f>+P19*Q19</f>
        <v>532608</v>
      </c>
    </row>
    <row r="20" spans="1:25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+'13'!J20</f>
        <v>0</v>
      </c>
      <c r="K20" s="248"/>
      <c r="L20" s="248"/>
      <c r="M20" s="126">
        <f>+K20+'13'!M20+L20</f>
        <v>0</v>
      </c>
    </row>
    <row r="21" spans="1:25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+'13'!J21</f>
        <v>0</v>
      </c>
      <c r="K21" s="247"/>
      <c r="L21" s="247"/>
      <c r="M21" s="126">
        <f>+K21+'13'!M21+L21</f>
        <v>0</v>
      </c>
    </row>
    <row r="22" spans="1:25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+'13'!J22</f>
        <v>0</v>
      </c>
      <c r="K22" s="247"/>
      <c r="L22" s="247"/>
      <c r="M22" s="126">
        <f>+K22+'13'!M22+L22</f>
        <v>0</v>
      </c>
    </row>
    <row r="23" spans="1:25" ht="13.5" thickBot="1">
      <c r="A23" s="1009"/>
      <c r="B23" s="177" t="s">
        <v>2</v>
      </c>
      <c r="C23" s="109">
        <f>SUM(C16:C22)</f>
        <v>16086</v>
      </c>
      <c r="D23" s="120">
        <f>SUM(D16:D22)</f>
        <v>0</v>
      </c>
      <c r="E23" s="121">
        <f>SUM(E18:E22)</f>
        <v>0</v>
      </c>
      <c r="F23" s="125">
        <f>SUM(F15:F22)</f>
        <v>12</v>
      </c>
      <c r="G23" s="168"/>
      <c r="H23" s="175" t="s">
        <v>234</v>
      </c>
      <c r="I23" s="178"/>
      <c r="J23" s="223">
        <f>+'13'!J23</f>
        <v>0</v>
      </c>
      <c r="K23" s="247"/>
      <c r="L23" s="247"/>
      <c r="M23" s="126">
        <f>+K23+'13'!M23+L23</f>
        <v>0</v>
      </c>
    </row>
    <row r="24" spans="1:25" ht="13.5" customHeight="1" thickBot="1">
      <c r="A24" s="1002" t="s">
        <v>447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671</v>
      </c>
      <c r="J24" s="223">
        <f>+'13'!J24</f>
        <v>0</v>
      </c>
      <c r="K24" s="247"/>
      <c r="L24" s="247"/>
      <c r="M24" s="126">
        <f>+K24+'13'!M24+L24</f>
        <v>0</v>
      </c>
    </row>
    <row r="25" spans="1:25" ht="13.5" thickBot="1">
      <c r="A25" s="1008"/>
      <c r="B25" s="224" t="s">
        <v>598</v>
      </c>
      <c r="C25" s="234">
        <v>17098</v>
      </c>
      <c r="D25" s="226"/>
      <c r="E25" s="233"/>
      <c r="F25" s="239">
        <v>6</v>
      </c>
      <c r="G25" s="240" t="s">
        <v>11</v>
      </c>
      <c r="H25" s="238" t="s">
        <v>568</v>
      </c>
      <c r="I25" s="1006"/>
      <c r="J25" s="223">
        <f>+'13'!J25</f>
        <v>0</v>
      </c>
      <c r="K25" s="247"/>
      <c r="L25" s="247"/>
      <c r="M25" s="126">
        <f>+K25+'13'!M25+L25</f>
        <v>0</v>
      </c>
    </row>
    <row r="26" spans="1:25" ht="13.5" thickBot="1">
      <c r="A26" s="1008"/>
      <c r="B26" s="224"/>
      <c r="C26" s="234"/>
      <c r="D26" s="226"/>
      <c r="E26" s="235"/>
      <c r="F26" s="239">
        <v>10</v>
      </c>
      <c r="G26" s="240" t="s">
        <v>11</v>
      </c>
      <c r="H26" s="582" t="s">
        <v>463</v>
      </c>
      <c r="I26" s="1006"/>
      <c r="J26" s="223">
        <f>+'13'!J26</f>
        <v>0</v>
      </c>
      <c r="K26" s="247"/>
      <c r="L26" s="247"/>
      <c r="M26" s="126">
        <f>+K26+'13'!M26+L26</f>
        <v>0</v>
      </c>
    </row>
    <row r="27" spans="1:25" ht="13.5" thickBot="1">
      <c r="A27" s="1008"/>
      <c r="B27" s="224"/>
      <c r="C27" s="225"/>
      <c r="D27" s="226"/>
      <c r="E27" s="233"/>
      <c r="F27" s="239"/>
      <c r="G27" s="240"/>
      <c r="H27" s="582" t="s">
        <v>668</v>
      </c>
      <c r="I27" s="1006"/>
      <c r="J27" s="223">
        <f>+'13'!J27</f>
        <v>0</v>
      </c>
      <c r="K27" s="247"/>
      <c r="L27" s="247"/>
      <c r="M27" s="126">
        <f>+K27+'13'!M27+L27</f>
        <v>0</v>
      </c>
    </row>
    <row r="28" spans="1:25" ht="26.25" thickBot="1">
      <c r="A28" s="1008"/>
      <c r="B28" s="224"/>
      <c r="C28" s="225"/>
      <c r="D28" s="226"/>
      <c r="E28" s="233"/>
      <c r="F28" s="239"/>
      <c r="G28" s="240"/>
      <c r="H28" s="241" t="s">
        <v>666</v>
      </c>
      <c r="I28" s="1006"/>
      <c r="J28" s="223">
        <f>+'13'!J28</f>
        <v>0</v>
      </c>
      <c r="K28" s="247"/>
      <c r="L28" s="247"/>
      <c r="M28" s="126">
        <f>+K28+'13'!M28+L28</f>
        <v>0</v>
      </c>
    </row>
    <row r="29" spans="1:25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+'13'!J29</f>
        <v>0</v>
      </c>
      <c r="K29" s="247"/>
      <c r="L29" s="247"/>
      <c r="M29" s="126">
        <f>+K29+'13'!M29+L29</f>
        <v>0</v>
      </c>
      <c r="Q29" s="158">
        <f>SUM(Q19:Q27)</f>
        <v>480</v>
      </c>
      <c r="R29" s="158">
        <f>SUM(R19:R27)</f>
        <v>700800</v>
      </c>
      <c r="S29" s="158">
        <f>SUM(S19:S27)</f>
        <v>532608</v>
      </c>
    </row>
    <row r="30" spans="1:25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+'13'!J30</f>
        <v>0</v>
      </c>
      <c r="K30" s="247"/>
      <c r="L30" s="247"/>
      <c r="M30" s="126">
        <f>+K30+'13'!M30+L30</f>
        <v>0</v>
      </c>
      <c r="Q30" s="158">
        <f>480-Q29</f>
        <v>0</v>
      </c>
      <c r="R30" s="158">
        <f>+R29/Q29</f>
        <v>1460</v>
      </c>
      <c r="S30" s="158">
        <f>+S29/Q29</f>
        <v>1109.5999999999999</v>
      </c>
    </row>
    <row r="31" spans="1:25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+'13'!J31</f>
        <v>0</v>
      </c>
      <c r="K31" s="247"/>
      <c r="L31" s="247"/>
      <c r="M31" s="126">
        <f>+K31+'13'!M31+L31</f>
        <v>0</v>
      </c>
    </row>
    <row r="32" spans="1:25" ht="13.5" thickBot="1">
      <c r="A32" s="1009"/>
      <c r="B32" s="174" t="s">
        <v>2</v>
      </c>
      <c r="C32" s="108">
        <f>SUM(C25:C31)</f>
        <v>17098</v>
      </c>
      <c r="D32" s="109">
        <f>SUM(D25:D31)</f>
        <v>0</v>
      </c>
      <c r="E32" s="110">
        <f>SUM(E25:E31)</f>
        <v>0</v>
      </c>
      <c r="F32" s="111">
        <f>SUM(F24:F31)</f>
        <v>16</v>
      </c>
      <c r="G32" s="180"/>
      <c r="H32" s="181"/>
      <c r="I32" s="178"/>
      <c r="J32" s="223">
        <f>+'13'!J32</f>
        <v>0</v>
      </c>
      <c r="K32" s="249"/>
      <c r="L32" s="251"/>
      <c r="M32" s="126">
        <f>+K32+'13'!M32+L32</f>
        <v>0</v>
      </c>
      <c r="N32" s="158" t="s">
        <v>597</v>
      </c>
      <c r="O32" s="158">
        <v>1480</v>
      </c>
      <c r="P32" s="158">
        <f>+O32-O32*0.24</f>
        <v>1124.8</v>
      </c>
      <c r="Q32" s="158">
        <v>480</v>
      </c>
      <c r="R32" s="158">
        <f>+O32*Q32</f>
        <v>710400</v>
      </c>
      <c r="S32" s="158">
        <f>+P32*Q32</f>
        <v>539904</v>
      </c>
      <c r="T32" s="158" t="s">
        <v>597</v>
      </c>
      <c r="U32" s="158">
        <v>1440</v>
      </c>
      <c r="V32" s="158">
        <v>1094.4000000000001</v>
      </c>
      <c r="W32" s="158">
        <v>267</v>
      </c>
      <c r="X32" s="158">
        <f>+U32*W32</f>
        <v>384480</v>
      </c>
      <c r="Y32" s="158">
        <f>+V32*W32</f>
        <v>292204.80000000005</v>
      </c>
    </row>
    <row r="33" spans="1:25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  <c r="T33" s="158" t="s">
        <v>597</v>
      </c>
      <c r="U33" s="158">
        <v>1460</v>
      </c>
      <c r="V33" s="158">
        <v>1109.5999999999999</v>
      </c>
      <c r="W33" s="158">
        <v>480</v>
      </c>
      <c r="X33" s="158">
        <f t="shared" ref="X33:X35" si="0">+U33*W33</f>
        <v>700800</v>
      </c>
      <c r="Y33" s="158">
        <f t="shared" ref="Y33:Y35" si="1">+V33*W33</f>
        <v>532608</v>
      </c>
    </row>
    <row r="34" spans="1:25" ht="13.5" thickBot="1">
      <c r="A34" s="1010" t="s">
        <v>56</v>
      </c>
      <c r="B34" s="1011"/>
      <c r="C34" s="116">
        <f>C14+C23+C32</f>
        <v>47758</v>
      </c>
      <c r="D34" s="116">
        <f>D14+D23+D32</f>
        <v>0</v>
      </c>
      <c r="E34" s="116">
        <f>E14+E23+E32</f>
        <v>0</v>
      </c>
      <c r="F34" s="117">
        <f>F14+F23+F32</f>
        <v>70</v>
      </c>
      <c r="H34" s="187"/>
      <c r="I34" s="187"/>
      <c r="J34" s="132" t="s">
        <v>27</v>
      </c>
      <c r="K34" s="133">
        <f>SUM(K7:K32)</f>
        <v>47758</v>
      </c>
      <c r="L34" s="221">
        <f>SUM(L7:L32)</f>
        <v>0</v>
      </c>
      <c r="M34" s="129">
        <f>SUM(M7:M32)</f>
        <v>731788</v>
      </c>
      <c r="T34" s="158" t="s">
        <v>597</v>
      </c>
      <c r="U34" s="158">
        <v>1480</v>
      </c>
      <c r="V34" s="158">
        <v>1124.8</v>
      </c>
      <c r="W34" s="158">
        <v>480</v>
      </c>
      <c r="X34" s="158">
        <f t="shared" si="0"/>
        <v>710400</v>
      </c>
      <c r="Y34" s="158">
        <f t="shared" si="1"/>
        <v>539904</v>
      </c>
    </row>
    <row r="35" spans="1:25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  <c r="X35" s="158">
        <f t="shared" si="0"/>
        <v>0</v>
      </c>
      <c r="Y35" s="158">
        <f t="shared" si="1"/>
        <v>0</v>
      </c>
    </row>
    <row r="36" spans="1:25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25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(13*213+12.5*1227)/1440*G42*2.77*1440/1000000</f>
        <v>54.862637360975</v>
      </c>
      <c r="J37" s="134">
        <f>+I37+'13'!J37</f>
        <v>843.13036542786961</v>
      </c>
      <c r="K37" s="135" t="s">
        <v>62</v>
      </c>
      <c r="N37" s="158">
        <f>15.034-2.378-1.943-2.378</f>
        <v>8.3350000000000009</v>
      </c>
    </row>
    <row r="38" spans="1:25" ht="17.45" customHeight="1">
      <c r="A38" s="1000" t="s">
        <v>11</v>
      </c>
      <c r="B38" s="1001"/>
      <c r="C38" s="173">
        <f>SUMIF($G$7:$G$31,"Process",$F$7:$F$31)</f>
        <v>57</v>
      </c>
      <c r="D38" s="127">
        <f>+C38+'13'!D38</f>
        <v>1378</v>
      </c>
      <c r="E38" s="152">
        <f t="shared" ref="E38:E51" si="2">D38/60</f>
        <v>22.966666666666665</v>
      </c>
      <c r="F38" s="337">
        <v>1377.875</v>
      </c>
      <c r="G38" s="337">
        <v>1047.1850000000002</v>
      </c>
      <c r="H38" s="196" t="s">
        <v>63</v>
      </c>
      <c r="I38" s="549">
        <f>15.034+18.617+18.698</f>
        <v>52.349000000000004</v>
      </c>
      <c r="J38" s="136">
        <f>+I38+'13'!J38</f>
        <v>767.88499999999999</v>
      </c>
      <c r="K38" s="137" t="s">
        <v>62</v>
      </c>
      <c r="N38" s="556">
        <f>+I38-N37</f>
        <v>44.014000000000003</v>
      </c>
    </row>
    <row r="39" spans="1:25" ht="17.45" customHeight="1">
      <c r="A39" s="996" t="s">
        <v>12</v>
      </c>
      <c r="B39" s="997"/>
      <c r="C39" s="173">
        <f>SUMIF($G$7:$G$31,"Cleaning",$F$7:$F$31)</f>
        <v>0</v>
      </c>
      <c r="D39" s="127">
        <f>+C39+'13'!D39</f>
        <v>0</v>
      </c>
      <c r="E39" s="152">
        <f t="shared" si="2"/>
        <v>0</v>
      </c>
      <c r="F39" s="337">
        <v>1460</v>
      </c>
      <c r="G39" s="337">
        <v>1109.5999999999999</v>
      </c>
      <c r="H39" s="196" t="s">
        <v>64</v>
      </c>
      <c r="I39" s="151"/>
      <c r="J39" s="138">
        <f>J37/G4</f>
        <v>60.223597530562117</v>
      </c>
      <c r="K39" s="139" t="s">
        <v>62</v>
      </c>
    </row>
    <row r="40" spans="1:25" ht="17.45" customHeight="1">
      <c r="A40" s="996" t="s">
        <v>65</v>
      </c>
      <c r="B40" s="997"/>
      <c r="C40" s="173">
        <f>SUMIF($G$7:$G$31,"Mechanical",$F$7:$F$31)</f>
        <v>13</v>
      </c>
      <c r="D40" s="127">
        <f>+C40+'13'!D40</f>
        <v>153</v>
      </c>
      <c r="E40" s="152">
        <f t="shared" si="2"/>
        <v>2.5499999999999998</v>
      </c>
      <c r="F40" s="337">
        <v>1480</v>
      </c>
      <c r="G40" s="337">
        <v>1124.8</v>
      </c>
      <c r="H40" s="196" t="s">
        <v>66</v>
      </c>
      <c r="I40" s="127">
        <f>(K34+L34)/1000</f>
        <v>47.758000000000003</v>
      </c>
      <c r="J40" s="140">
        <f>+I40+'13'!J40</f>
        <v>731.78800000000012</v>
      </c>
      <c r="K40" s="139" t="s">
        <v>62</v>
      </c>
    </row>
    <row r="41" spans="1:25" ht="17.45" customHeight="1">
      <c r="A41" s="996" t="s">
        <v>67</v>
      </c>
      <c r="B41" s="997"/>
      <c r="C41" s="173">
        <f>SUMIF($G$7:$G$31,"Electrical",$F$7:$F$31)</f>
        <v>0</v>
      </c>
      <c r="D41" s="127">
        <f>+C41+'13'!D41</f>
        <v>80</v>
      </c>
      <c r="E41" s="152">
        <f t="shared" si="2"/>
        <v>1.3333333333333333</v>
      </c>
      <c r="F41" s="337"/>
      <c r="G41" s="337"/>
      <c r="H41" s="196" t="s">
        <v>68</v>
      </c>
      <c r="I41" s="151"/>
      <c r="J41" s="138">
        <f>J40/G4</f>
        <v>52.270571428571436</v>
      </c>
      <c r="K41" s="139" t="s">
        <v>62</v>
      </c>
    </row>
    <row r="42" spans="1:25" ht="17.45" customHeight="1">
      <c r="A42" s="996" t="s">
        <v>15</v>
      </c>
      <c r="B42" s="997"/>
      <c r="C42" s="173">
        <f>SUMIF($G$7:$G$31,"Instrument",$F$7:$F$31)</f>
        <v>0</v>
      </c>
      <c r="D42" s="127">
        <f>+C42+'13'!D42</f>
        <v>0</v>
      </c>
      <c r="E42" s="152">
        <f t="shared" si="2"/>
        <v>0</v>
      </c>
      <c r="F42" s="337">
        <f>+(480*F38+480*F39+480*F40)/1440</f>
        <v>1439.2916666666667</v>
      </c>
      <c r="G42" s="337">
        <f>+(480*G38+480*G39+480*G40)/1440</f>
        <v>1093.8616666666667</v>
      </c>
      <c r="H42" s="196" t="s">
        <v>69</v>
      </c>
      <c r="I42" s="254" t="s">
        <v>674</v>
      </c>
      <c r="J42" s="141"/>
      <c r="K42" s="139" t="s">
        <v>70</v>
      </c>
      <c r="Q42" s="158">
        <f>SUM(Q32:Q40)</f>
        <v>480</v>
      </c>
      <c r="R42" s="158">
        <f>SUM(R32:R40)</f>
        <v>710400</v>
      </c>
      <c r="S42" s="158">
        <f>SUM(S32:S40)</f>
        <v>539904</v>
      </c>
      <c r="W42" s="158">
        <f>SUM(W32:W40)</f>
        <v>1227</v>
      </c>
      <c r="X42" s="158">
        <f>SUM(X32:X40)</f>
        <v>1795680</v>
      </c>
      <c r="Y42" s="158">
        <f>SUM(Y32:Y40)</f>
        <v>1364716.8</v>
      </c>
    </row>
    <row r="43" spans="1:25" ht="17.45" customHeight="1">
      <c r="A43" s="996" t="s">
        <v>71</v>
      </c>
      <c r="B43" s="997"/>
      <c r="C43" s="173">
        <f>SUMIF($G$7:$G$31,"Water",$F$7:$F$31)</f>
        <v>0</v>
      </c>
      <c r="D43" s="127">
        <f>+C43+'13'!D43</f>
        <v>0</v>
      </c>
      <c r="E43" s="152">
        <f t="shared" si="2"/>
        <v>0</v>
      </c>
      <c r="F43" s="337"/>
      <c r="G43" s="338"/>
      <c r="H43" s="197" t="s">
        <v>72</v>
      </c>
      <c r="I43" s="127">
        <f>+Report1!T22</f>
        <v>115.551</v>
      </c>
      <c r="J43" s="142">
        <f>+I43+'13'!J43</f>
        <v>1782.19</v>
      </c>
      <c r="K43" s="139" t="s">
        <v>62</v>
      </c>
      <c r="L43" s="198"/>
      <c r="Q43" s="158">
        <f>480-Q42</f>
        <v>0</v>
      </c>
      <c r="R43" s="158">
        <f>+R42/Q42</f>
        <v>1480</v>
      </c>
      <c r="S43" s="158">
        <f>+S42/Q42</f>
        <v>1124.8</v>
      </c>
      <c r="W43" s="158">
        <f>480-W42</f>
        <v>-747</v>
      </c>
      <c r="X43" s="158">
        <f>+X42/W42</f>
        <v>1463.4718826405867</v>
      </c>
      <c r="Y43" s="158">
        <f>+Y42/W42</f>
        <v>1112.238630806846</v>
      </c>
    </row>
    <row r="44" spans="1:25" ht="17.45" customHeight="1">
      <c r="A44" s="996" t="s">
        <v>16</v>
      </c>
      <c r="B44" s="997"/>
      <c r="C44" s="173">
        <f>SUMIF($G$7:$G$31,"PLN",$F$7:$F$31)</f>
        <v>0</v>
      </c>
      <c r="D44" s="127">
        <f>+C44+'13'!D44</f>
        <v>75</v>
      </c>
      <c r="E44" s="152">
        <f t="shared" si="2"/>
        <v>1.25</v>
      </c>
      <c r="F44" s="337"/>
      <c r="G44" s="338"/>
      <c r="H44" s="197" t="s">
        <v>73</v>
      </c>
      <c r="I44" s="127">
        <f>I43/I38</f>
        <v>2.2073201016256281</v>
      </c>
      <c r="J44" s="143">
        <f>J43/J38</f>
        <v>2.3209074275444892</v>
      </c>
      <c r="K44" s="139" t="s">
        <v>62</v>
      </c>
    </row>
    <row r="45" spans="1:25" ht="17.45" customHeight="1">
      <c r="A45" s="996" t="s">
        <v>17</v>
      </c>
      <c r="B45" s="997"/>
      <c r="C45" s="173">
        <f>SUMIF($G$7:$G$31,"Boiler",$F$7:$F$31)</f>
        <v>0</v>
      </c>
      <c r="D45" s="127">
        <f>+C45+'13'!D45</f>
        <v>0</v>
      </c>
      <c r="E45" s="152">
        <f t="shared" si="2"/>
        <v>0</v>
      </c>
      <c r="F45" s="337"/>
      <c r="G45" s="340"/>
      <c r="H45" s="197" t="s">
        <v>74</v>
      </c>
      <c r="I45" s="127">
        <f>I43/I40</f>
        <v>2.41951086728925</v>
      </c>
      <c r="J45" s="143">
        <f>J43/J40</f>
        <v>2.4353911242053705</v>
      </c>
      <c r="K45" s="139" t="s">
        <v>62</v>
      </c>
    </row>
    <row r="46" spans="1:25" ht="17.45" customHeight="1">
      <c r="A46" s="996" t="s">
        <v>75</v>
      </c>
      <c r="B46" s="997"/>
      <c r="C46" s="173">
        <f>SUMIF($G$7:$G$31,"Gas",$F$7:$F$31)</f>
        <v>0</v>
      </c>
      <c r="D46" s="127">
        <f>+C46+'13'!D46</f>
        <v>0</v>
      </c>
      <c r="E46" s="152">
        <f t="shared" si="2"/>
        <v>0</v>
      </c>
      <c r="F46" s="337"/>
      <c r="G46" s="338"/>
      <c r="H46" s="197" t="s">
        <v>76</v>
      </c>
      <c r="I46" s="149">
        <f>+SUMIF(Listrik!AR21,"&gt;0")</f>
        <v>45479.37999999991</v>
      </c>
      <c r="J46" s="144">
        <f>+I46+'13'!J46</f>
        <v>727277.29999999923</v>
      </c>
      <c r="K46" s="139" t="s">
        <v>77</v>
      </c>
      <c r="N46" s="158" t="s">
        <v>557</v>
      </c>
      <c r="O46" s="158">
        <v>1300</v>
      </c>
      <c r="P46" s="158">
        <v>988</v>
      </c>
      <c r="Q46" s="158">
        <v>213</v>
      </c>
    </row>
    <row r="47" spans="1:25" ht="17.45" customHeight="1">
      <c r="A47" s="996" t="s">
        <v>78</v>
      </c>
      <c r="B47" s="997"/>
      <c r="C47" s="173">
        <f>SUMIF($G$7:$G$31,"Gas",$F$7:$F$31)</f>
        <v>0</v>
      </c>
      <c r="D47" s="127">
        <f>+C47+'13'!D47</f>
        <v>0</v>
      </c>
      <c r="E47" s="152">
        <f t="shared" si="2"/>
        <v>0</v>
      </c>
      <c r="F47" s="337"/>
      <c r="G47" s="338"/>
      <c r="H47" s="197" t="s">
        <v>79</v>
      </c>
      <c r="I47" s="127">
        <f>I46/I38</f>
        <v>868.7726604137597</v>
      </c>
      <c r="J47" s="144">
        <f>J46/J38</f>
        <v>947.11747201729327</v>
      </c>
      <c r="K47" s="139" t="s">
        <v>23</v>
      </c>
      <c r="N47" s="158" t="s">
        <v>597</v>
      </c>
      <c r="O47" s="158">
        <v>1463.4718826405867</v>
      </c>
      <c r="P47" s="158">
        <v>1112.238630806846</v>
      </c>
      <c r="Q47" s="158">
        <v>1227</v>
      </c>
    </row>
    <row r="48" spans="1:25" ht="17.45" customHeight="1">
      <c r="A48" s="996" t="s">
        <v>13</v>
      </c>
      <c r="B48" s="997"/>
      <c r="C48" s="173">
        <f>SUMIF($G$7:$G$31,"Start Up",$F$7:$F$31)</f>
        <v>0</v>
      </c>
      <c r="D48" s="127">
        <f>+C48+'13'!D48</f>
        <v>0</v>
      </c>
      <c r="E48" s="152">
        <f t="shared" si="2"/>
        <v>0</v>
      </c>
      <c r="F48" s="337"/>
      <c r="G48" s="338"/>
      <c r="H48" s="197" t="s">
        <v>80</v>
      </c>
      <c r="I48" s="127">
        <f>I46/I40</f>
        <v>952.28820302357531</v>
      </c>
      <c r="J48" s="144">
        <f>J46/J40</f>
        <v>993.83605634418586</v>
      </c>
      <c r="K48" s="139" t="s">
        <v>23</v>
      </c>
      <c r="Q48" s="158">
        <f>+Q46+Q47</f>
        <v>1440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+C49+'13'!D49</f>
        <v>0</v>
      </c>
      <c r="E49" s="152">
        <f t="shared" si="2"/>
        <v>0</v>
      </c>
      <c r="F49" s="194"/>
      <c r="H49" s="197" t="s">
        <v>81</v>
      </c>
      <c r="I49" s="127">
        <v>0</v>
      </c>
      <c r="J49" s="144">
        <f>+I49+'13'!J49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+C50+'13'!D50</f>
        <v>0</v>
      </c>
      <c r="E50" s="152">
        <f t="shared" si="2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+C51+'13'!D51</f>
        <v>0</v>
      </c>
      <c r="E51" s="152">
        <f t="shared" si="2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70</v>
      </c>
      <c r="D52" s="153">
        <f>SUM(D38:D51)</f>
        <v>1686</v>
      </c>
      <c r="E52" s="154">
        <f>SUM(E38:E51)</f>
        <v>28.099999999999998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4.8611111111111112E-2</v>
      </c>
      <c r="D53" s="155">
        <f>D52/(24*60*G4)</f>
        <v>8.3630952380952375E-2</v>
      </c>
      <c r="E53" s="156">
        <f>E52/(G4*24)</f>
        <v>8.3630952380952375E-2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+D34+'13'!J56</f>
        <v>11614</v>
      </c>
      <c r="K56" s="210">
        <f>J56/(J40+J56/1000)/1000</f>
        <v>1.5622772066795621E-2</v>
      </c>
    </row>
    <row r="57" spans="1:11">
      <c r="A57" s="185"/>
      <c r="I57" s="208" t="s">
        <v>88</v>
      </c>
      <c r="J57" s="209">
        <f>+E34+'13'!J57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5" zoomScaleNormal="70" zoomScaleSheetLayoutView="85" workbookViewId="0">
      <selection activeCell="D19" sqref="D19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13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163+152+185</f>
        <v>500</v>
      </c>
    </row>
    <row r="7" spans="1:18" ht="13.5" customHeight="1" thickBot="1">
      <c r="A7" s="1002" t="s">
        <v>449</v>
      </c>
      <c r="B7" s="224" t="s">
        <v>633</v>
      </c>
      <c r="C7" s="225">
        <v>17082</v>
      </c>
      <c r="D7" s="226">
        <v>224</v>
      </c>
      <c r="E7" s="227"/>
      <c r="F7" s="236">
        <v>30</v>
      </c>
      <c r="G7" s="237" t="s">
        <v>11</v>
      </c>
      <c r="H7" s="238" t="s">
        <v>464</v>
      </c>
      <c r="I7" s="1005" t="s">
        <v>646</v>
      </c>
      <c r="J7" s="223" t="str">
        <f>+'12'!J7</f>
        <v>MG 14 VP HW/OW</v>
      </c>
      <c r="K7" s="246"/>
      <c r="L7" s="250"/>
      <c r="M7" s="126">
        <f>+K7+'12'!M7+L7</f>
        <v>143496</v>
      </c>
    </row>
    <row r="8" spans="1:18" ht="13.5" thickBot="1">
      <c r="A8" s="1003"/>
      <c r="B8" s="224" t="s">
        <v>632</v>
      </c>
      <c r="C8" s="225">
        <f>85+752</f>
        <v>837</v>
      </c>
      <c r="D8" s="226"/>
      <c r="E8" s="228"/>
      <c r="F8" s="239">
        <v>4</v>
      </c>
      <c r="G8" s="240" t="s">
        <v>11</v>
      </c>
      <c r="H8" s="238" t="s">
        <v>569</v>
      </c>
      <c r="I8" s="1006"/>
      <c r="J8" s="223" t="str">
        <f>+'12'!J8</f>
        <v>MG 16,5 VP HW</v>
      </c>
      <c r="K8" s="247"/>
      <c r="L8" s="247"/>
      <c r="M8" s="126">
        <f>+K8+'12'!M8+L8</f>
        <v>93365</v>
      </c>
      <c r="N8" s="158">
        <v>1250</v>
      </c>
      <c r="O8" s="158">
        <f>+N8-N8*0.2</f>
        <v>1000</v>
      </c>
      <c r="P8" s="158">
        <v>245</v>
      </c>
      <c r="Q8" s="158">
        <f>+N8*P8</f>
        <v>306250</v>
      </c>
      <c r="R8" s="158">
        <f>+O8*P8</f>
        <v>245000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463</v>
      </c>
      <c r="I9" s="1006"/>
      <c r="J9" s="223" t="str">
        <f>+'12'!J9</f>
        <v>MG 30 VP HW</v>
      </c>
      <c r="K9" s="247"/>
      <c r="L9" s="247"/>
      <c r="M9" s="126">
        <f>+K9+'12'!M9+L9</f>
        <v>4193</v>
      </c>
      <c r="N9" s="158">
        <v>1510</v>
      </c>
      <c r="O9" s="158">
        <f>+N9-N9*0.2</f>
        <v>1208</v>
      </c>
      <c r="P9" s="158">
        <f>55+60+40</f>
        <v>155</v>
      </c>
      <c r="Q9" s="158">
        <f>+N9*P9</f>
        <v>234050</v>
      </c>
      <c r="R9" s="158">
        <f>+O9*P9</f>
        <v>187240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623</v>
      </c>
      <c r="I10" s="1006"/>
      <c r="J10" s="223" t="str">
        <f>+'12'!J10</f>
        <v>MG 17 VP HW</v>
      </c>
      <c r="K10" s="247"/>
      <c r="L10" s="247"/>
      <c r="M10" s="126">
        <f>+K10+'12'!M10+L10</f>
        <v>18114</v>
      </c>
      <c r="P10" s="158">
        <f>SUM(P8:P9)</f>
        <v>400</v>
      </c>
      <c r="Q10" s="158">
        <f t="shared" ref="Q10:R10" si="0">SUM(Q8:Q9)</f>
        <v>540300</v>
      </c>
      <c r="R10" s="158">
        <f t="shared" si="0"/>
        <v>432240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 t="s">
        <v>641</v>
      </c>
      <c r="I11" s="1006"/>
      <c r="J11" s="223" t="str">
        <f>+'12'!J11</f>
        <v>MG 18 VP HW</v>
      </c>
      <c r="K11" s="247"/>
      <c r="L11" s="247"/>
      <c r="M11" s="126">
        <f>+K11+'12'!M11+L11</f>
        <v>25394</v>
      </c>
      <c r="Q11" s="158">
        <f>+Q10/P10</f>
        <v>1350.75</v>
      </c>
      <c r="R11" s="158">
        <f>+R10/P10</f>
        <v>1080.5999999999999</v>
      </c>
    </row>
    <row r="12" spans="1:18" ht="26.25" thickBot="1">
      <c r="A12" s="1003"/>
      <c r="B12" s="224"/>
      <c r="C12" s="225"/>
      <c r="D12" s="226"/>
      <c r="E12" s="228"/>
      <c r="F12" s="236"/>
      <c r="G12" s="240"/>
      <c r="H12" s="241" t="s">
        <v>642</v>
      </c>
      <c r="I12" s="1006"/>
      <c r="J12" s="223" t="str">
        <f>+'12'!J12</f>
        <v>MG 21,5 VP HW</v>
      </c>
      <c r="K12" s="247"/>
      <c r="L12" s="247"/>
      <c r="M12" s="126">
        <f>+K12+'12'!M12+L12</f>
        <v>987</v>
      </c>
    </row>
    <row r="13" spans="1:18" ht="13.5" thickBot="1">
      <c r="A13" s="1003"/>
      <c r="B13" s="224"/>
      <c r="C13" s="225"/>
      <c r="D13" s="225"/>
      <c r="E13" s="228" t="s">
        <v>653</v>
      </c>
      <c r="F13" s="236">
        <v>80</v>
      </c>
      <c r="G13" s="240" t="s">
        <v>11</v>
      </c>
      <c r="H13" s="241" t="s">
        <v>643</v>
      </c>
      <c r="I13" s="1007"/>
      <c r="J13" s="223" t="str">
        <f>+'12'!J13</f>
        <v>F 10,3 VP OW</v>
      </c>
      <c r="K13" s="247"/>
      <c r="L13" s="247"/>
      <c r="M13" s="126">
        <f>+K13+'12'!M13+L13</f>
        <v>115938</v>
      </c>
    </row>
    <row r="14" spans="1:18" ht="13.5" thickBot="1">
      <c r="A14" s="1004"/>
      <c r="B14" s="174" t="s">
        <v>2</v>
      </c>
      <c r="C14" s="108">
        <f>SUM(C7:C13)</f>
        <v>17919</v>
      </c>
      <c r="D14" s="120">
        <f>SUM(D7:D13)</f>
        <v>224</v>
      </c>
      <c r="E14" s="121">
        <f>SUM(E5:E13)</f>
        <v>0</v>
      </c>
      <c r="F14" s="125">
        <f>SUM(F7:F13)</f>
        <v>124</v>
      </c>
      <c r="G14" s="168"/>
      <c r="H14" s="175"/>
      <c r="I14" s="176"/>
      <c r="J14" s="223" t="str">
        <f>+'12'!J14</f>
        <v>F 12 VP OW</v>
      </c>
      <c r="K14" s="247"/>
      <c r="L14" s="247"/>
      <c r="M14" s="126">
        <f>+K14+'12'!M14+L14</f>
        <v>47497</v>
      </c>
    </row>
    <row r="15" spans="1:18" ht="13.5" customHeight="1" thickBot="1">
      <c r="A15" s="1002" t="s">
        <v>465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649</v>
      </c>
      <c r="J15" s="223" t="str">
        <f>+'12'!J15</f>
        <v>F 13 VP OW</v>
      </c>
      <c r="K15" s="247">
        <f>+C25</f>
        <v>16794</v>
      </c>
      <c r="L15" s="247"/>
      <c r="M15" s="126">
        <f>+K15+'12'!M15+L15</f>
        <v>49425</v>
      </c>
      <c r="N15" s="158">
        <v>1210</v>
      </c>
      <c r="O15" s="158">
        <f>+N15-N15*0.24</f>
        <v>919.6</v>
      </c>
      <c r="P15" s="158">
        <f>960-270</f>
        <v>690</v>
      </c>
    </row>
    <row r="16" spans="1:18" ht="13.5" thickBot="1">
      <c r="A16" s="1008"/>
      <c r="B16" s="224" t="s">
        <v>603</v>
      </c>
      <c r="C16" s="230">
        <v>391</v>
      </c>
      <c r="D16" s="231">
        <v>60</v>
      </c>
      <c r="E16" s="232"/>
      <c r="F16" s="236">
        <v>4</v>
      </c>
      <c r="G16" s="240" t="s">
        <v>11</v>
      </c>
      <c r="H16" s="238" t="s">
        <v>569</v>
      </c>
      <c r="I16" s="1006"/>
      <c r="J16" s="223" t="str">
        <f>+'12'!J16</f>
        <v>F 12,5 VP OW</v>
      </c>
      <c r="K16" s="237">
        <f>+C17</f>
        <v>3234</v>
      </c>
      <c r="L16" s="237"/>
      <c r="M16" s="126">
        <f>+K16+'12'!M16+L16</f>
        <v>28419</v>
      </c>
      <c r="P16" s="158">
        <f>+P10+P15</f>
        <v>1090</v>
      </c>
    </row>
    <row r="17" spans="1:14" ht="13.5" thickBot="1">
      <c r="A17" s="1008"/>
      <c r="B17" s="224" t="s">
        <v>598</v>
      </c>
      <c r="C17" s="225">
        <f>1390+1673+171</f>
        <v>3234</v>
      </c>
      <c r="D17" s="226"/>
      <c r="E17" s="233"/>
      <c r="F17" s="236">
        <v>6</v>
      </c>
      <c r="G17" s="240" t="s">
        <v>11</v>
      </c>
      <c r="H17" s="582" t="s">
        <v>513</v>
      </c>
      <c r="I17" s="1006"/>
      <c r="J17" s="223" t="str">
        <f>+'12'!J17</f>
        <v>SN 13 VP OW</v>
      </c>
      <c r="K17" s="237">
        <f>+C16</f>
        <v>391</v>
      </c>
      <c r="L17" s="237"/>
      <c r="M17" s="126">
        <f>+K17+'12'!M17+L17</f>
        <v>112808</v>
      </c>
    </row>
    <row r="18" spans="1:14" ht="13.5" thickBot="1">
      <c r="A18" s="1008"/>
      <c r="B18" s="224" t="s">
        <v>633</v>
      </c>
      <c r="C18" s="225">
        <f>9196-C16-C17</f>
        <v>5571</v>
      </c>
      <c r="D18" s="226">
        <v>641</v>
      </c>
      <c r="E18" s="233" t="s">
        <v>653</v>
      </c>
      <c r="F18" s="236">
        <f>240+30</f>
        <v>270</v>
      </c>
      <c r="G18" s="240" t="s">
        <v>11</v>
      </c>
      <c r="H18" s="582" t="s">
        <v>644</v>
      </c>
      <c r="I18" s="1006"/>
      <c r="J18" s="223" t="str">
        <f>+'12'!J18</f>
        <v>SN 14 VP OW</v>
      </c>
      <c r="K18" s="247">
        <f>+C8</f>
        <v>837</v>
      </c>
      <c r="L18" s="247"/>
      <c r="M18" s="126">
        <f>+K18+'12'!M18+L18</f>
        <v>16454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 t="s">
        <v>647</v>
      </c>
      <c r="I19" s="1006"/>
      <c r="J19" s="223" t="str">
        <f>+'12'!J19</f>
        <v>SN 15 VP OW</v>
      </c>
      <c r="K19" s="247">
        <f>+C7+C18</f>
        <v>22653</v>
      </c>
      <c r="L19" s="247"/>
      <c r="M19" s="126">
        <f>+K19+'12'!M19+L19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573" t="s">
        <v>645</v>
      </c>
      <c r="I20" s="1006"/>
      <c r="J20" s="223">
        <f>+'12'!J20</f>
        <v>0</v>
      </c>
      <c r="K20" s="248"/>
      <c r="L20" s="248"/>
      <c r="M20" s="126">
        <f>+K20+'12'!M20+L20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573"/>
      <c r="I21" s="1006"/>
      <c r="J21" s="223">
        <f>+'12'!J21</f>
        <v>0</v>
      </c>
      <c r="K21" s="247"/>
      <c r="L21" s="247"/>
      <c r="M21" s="126">
        <f>+K21+'12'!M21+L21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+'12'!J22</f>
        <v>0</v>
      </c>
      <c r="K22" s="247"/>
      <c r="L22" s="247"/>
      <c r="M22" s="126">
        <f>+K22+'12'!M22+L22</f>
        <v>0</v>
      </c>
    </row>
    <row r="23" spans="1:14" ht="13.5" thickBot="1">
      <c r="A23" s="1009"/>
      <c r="B23" s="177" t="s">
        <v>2</v>
      </c>
      <c r="C23" s="109">
        <f>SUM(C16:C22)</f>
        <v>9196</v>
      </c>
      <c r="D23" s="120">
        <f>SUM(D16:D22)</f>
        <v>701</v>
      </c>
      <c r="E23" s="121">
        <f>SUM(E18:E22)</f>
        <v>0</v>
      </c>
      <c r="F23" s="125">
        <f>SUM(F15:F22)</f>
        <v>280</v>
      </c>
      <c r="G23" s="168"/>
      <c r="H23" s="175" t="s">
        <v>234</v>
      </c>
      <c r="I23" s="178"/>
      <c r="J23" s="223">
        <f>+'12'!J23</f>
        <v>0</v>
      </c>
      <c r="K23" s="247"/>
      <c r="L23" s="247"/>
      <c r="M23" s="126">
        <f>+K23+'12'!M23+L23</f>
        <v>0</v>
      </c>
    </row>
    <row r="24" spans="1:14" ht="13.5" customHeight="1" thickBot="1">
      <c r="A24" s="1002" t="s">
        <v>447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649</v>
      </c>
      <c r="J24" s="223">
        <f>+'12'!J24</f>
        <v>0</v>
      </c>
      <c r="K24" s="247"/>
      <c r="L24" s="247"/>
      <c r="M24" s="126">
        <f>+K24+'12'!M24+L24</f>
        <v>0</v>
      </c>
    </row>
    <row r="25" spans="1:14" ht="13.5" thickBot="1">
      <c r="A25" s="1008"/>
      <c r="B25" s="224" t="s">
        <v>552</v>
      </c>
      <c r="C25" s="234">
        <v>16794</v>
      </c>
      <c r="D25" s="226"/>
      <c r="E25" s="233"/>
      <c r="F25" s="239">
        <v>2</v>
      </c>
      <c r="G25" s="240" t="s">
        <v>11</v>
      </c>
      <c r="H25" s="238" t="s">
        <v>433</v>
      </c>
      <c r="I25" s="1006"/>
      <c r="J25" s="223">
        <f>+'12'!J25</f>
        <v>0</v>
      </c>
      <c r="K25" s="247"/>
      <c r="L25" s="247"/>
      <c r="M25" s="126">
        <f>+K25+'12'!M25+L25</f>
        <v>0</v>
      </c>
    </row>
    <row r="26" spans="1:14" ht="13.5" thickBot="1">
      <c r="A26" s="1008"/>
      <c r="B26" s="224"/>
      <c r="C26" s="234"/>
      <c r="D26" s="226"/>
      <c r="E26" s="235"/>
      <c r="F26" s="239">
        <v>8</v>
      </c>
      <c r="G26" s="240" t="s">
        <v>11</v>
      </c>
      <c r="H26" s="582" t="s">
        <v>428</v>
      </c>
      <c r="I26" s="1006"/>
      <c r="J26" s="223">
        <f>+'12'!J26</f>
        <v>0</v>
      </c>
      <c r="K26" s="247"/>
      <c r="L26" s="247"/>
      <c r="M26" s="126">
        <f>+K26+'12'!M26+L26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648</v>
      </c>
      <c r="I27" s="1006"/>
      <c r="J27" s="223">
        <f>+'12'!J27</f>
        <v>0</v>
      </c>
      <c r="K27" s="247"/>
      <c r="L27" s="247"/>
      <c r="M27" s="126">
        <f>+K27+'12'!M27+L27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645</v>
      </c>
      <c r="I28" s="1006"/>
      <c r="J28" s="223">
        <f>+'12'!J28</f>
        <v>0</v>
      </c>
      <c r="K28" s="247"/>
      <c r="L28" s="247"/>
      <c r="M28" s="126">
        <f>+K28+'12'!M28+L28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+'12'!J29</f>
        <v>0</v>
      </c>
      <c r="K29" s="247"/>
      <c r="L29" s="247"/>
      <c r="M29" s="126">
        <f>+K29+'12'!M29+L29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+'12'!J30</f>
        <v>0</v>
      </c>
      <c r="K30" s="247"/>
      <c r="L30" s="247"/>
      <c r="M30" s="126">
        <f>+K30+'12'!M30+L30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+'12'!J31</f>
        <v>0</v>
      </c>
      <c r="K31" s="247"/>
      <c r="L31" s="247"/>
      <c r="M31" s="126">
        <f>+K31+'12'!M31+L31</f>
        <v>0</v>
      </c>
    </row>
    <row r="32" spans="1:14" ht="13.5" thickBot="1">
      <c r="A32" s="1009"/>
      <c r="B32" s="174" t="s">
        <v>2</v>
      </c>
      <c r="C32" s="108">
        <f>SUM(C25:C31)</f>
        <v>16794</v>
      </c>
      <c r="D32" s="109">
        <f>SUM(D25:D31)</f>
        <v>0</v>
      </c>
      <c r="E32" s="110">
        <f>SUM(E25:E31)</f>
        <v>0</v>
      </c>
      <c r="F32" s="111">
        <f>SUM(F24:F31)</f>
        <v>10</v>
      </c>
      <c r="G32" s="180"/>
      <c r="H32" s="181"/>
      <c r="I32" s="178"/>
      <c r="J32" s="223">
        <f>+'12'!J32</f>
        <v>0</v>
      </c>
      <c r="K32" s="249"/>
      <c r="L32" s="251"/>
      <c r="M32" s="126">
        <f>+K32+'12'!M32+L32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43909</v>
      </c>
      <c r="D34" s="116">
        <f>D14+D23+D32</f>
        <v>925</v>
      </c>
      <c r="E34" s="116">
        <f>E14+E23+E32</f>
        <v>0</v>
      </c>
      <c r="F34" s="117">
        <f>F14+F23+F32</f>
        <v>414</v>
      </c>
      <c r="H34" s="187"/>
      <c r="I34" s="187"/>
      <c r="J34" s="132" t="s">
        <v>27</v>
      </c>
      <c r="K34" s="133">
        <f>SUM(K7:K32)</f>
        <v>43909</v>
      </c>
      <c r="L34" s="221">
        <f>SUM(L7:L32)</f>
        <v>0</v>
      </c>
      <c r="M34" s="129">
        <f>SUM(M7:M32)</f>
        <v>684030</v>
      </c>
      <c r="N34" s="164"/>
    </row>
    <row r="35" spans="1:14" ht="13.5" thickBot="1">
      <c r="A35" s="188"/>
      <c r="B35" s="189"/>
      <c r="C35" s="113">
        <f>C34/($C$34+$D$34+$E$34)</f>
        <v>0.97936833653031186</v>
      </c>
      <c r="D35" s="113">
        <f>D34/($C$34+$D$34+$E$34)</f>
        <v>2.0631663469688182E-2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(15*245+12.5*155+13*690)/1090*G42*2.77*1090/1000000</f>
        <v>39.847187133425074</v>
      </c>
      <c r="J37" s="134">
        <f>+I37+'12'!J37</f>
        <v>788.26772806689462</v>
      </c>
      <c r="K37" s="135" t="s">
        <v>62</v>
      </c>
      <c r="N37" s="158">
        <f>2.608+1.885+1.845+2.929+1.243</f>
        <v>10.51</v>
      </c>
    </row>
    <row r="38" spans="1:14" ht="17.45" customHeight="1">
      <c r="A38" s="1000" t="s">
        <v>11</v>
      </c>
      <c r="B38" s="1001"/>
      <c r="C38" s="173">
        <f>SUMIF($G$7:$G$31,"Process",$F$7:$F$31)</f>
        <v>414</v>
      </c>
      <c r="D38" s="127">
        <f>+C38+'12'!D38</f>
        <v>1321</v>
      </c>
      <c r="E38" s="152">
        <f t="shared" ref="E38:E51" si="1">D38/60</f>
        <v>22.016666666666666</v>
      </c>
      <c r="F38" s="337">
        <v>1377.2916666666667</v>
      </c>
      <c r="G38" s="337">
        <v>1101.8333333333333</v>
      </c>
      <c r="H38" s="196" t="s">
        <v>63</v>
      </c>
      <c r="I38" s="549">
        <f>13.46+7.61+16.856</f>
        <v>37.926000000000002</v>
      </c>
      <c r="J38" s="136">
        <f>+I38+'12'!J38</f>
        <v>715.53599999999994</v>
      </c>
      <c r="K38" s="137" t="s">
        <v>62</v>
      </c>
      <c r="N38" s="158">
        <f>13.46-N37</f>
        <v>2.9500000000000011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+C39+'12'!D39</f>
        <v>0</v>
      </c>
      <c r="E39" s="152">
        <f t="shared" si="1"/>
        <v>0</v>
      </c>
      <c r="F39" s="337">
        <v>1210</v>
      </c>
      <c r="G39" s="337">
        <f t="shared" ref="G39:G40" si="2">+F39-F39*0.24</f>
        <v>919.6</v>
      </c>
      <c r="H39" s="196" t="s">
        <v>64</v>
      </c>
      <c r="I39" s="151"/>
      <c r="J39" s="138">
        <f>J37/G4</f>
        <v>60.635979082068815</v>
      </c>
      <c r="K39" s="139" t="s">
        <v>62</v>
      </c>
      <c r="N39" s="158">
        <f>7.61+16.856</f>
        <v>24.466000000000001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+C40+'12'!D40</f>
        <v>140</v>
      </c>
      <c r="E40" s="152">
        <f t="shared" si="1"/>
        <v>2.3333333333333335</v>
      </c>
      <c r="F40" s="337">
        <v>1210</v>
      </c>
      <c r="G40" s="337">
        <f t="shared" si="2"/>
        <v>919.6</v>
      </c>
      <c r="H40" s="196" t="s">
        <v>66</v>
      </c>
      <c r="I40" s="127">
        <f>(K34+L34)/1000</f>
        <v>43.908999999999999</v>
      </c>
      <c r="J40" s="140">
        <f>+I40+'12'!J40</f>
        <v>684.03000000000009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+C41+'12'!D41</f>
        <v>80</v>
      </c>
      <c r="E41" s="152">
        <f t="shared" si="1"/>
        <v>1.3333333333333333</v>
      </c>
      <c r="F41" s="337"/>
      <c r="G41" s="337"/>
      <c r="H41" s="196" t="s">
        <v>68</v>
      </c>
      <c r="I41" s="151"/>
      <c r="J41" s="138">
        <f>J40/G4</f>
        <v>52.617692307692316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+C42+'12'!D42</f>
        <v>0</v>
      </c>
      <c r="E42" s="152">
        <f t="shared" si="1"/>
        <v>0</v>
      </c>
      <c r="F42" s="337">
        <f>+(F38*400+F39*210+F40*480)/1090</f>
        <v>1271.3914373088685</v>
      </c>
      <c r="G42" s="337">
        <f>+(G38*400+G39*210+G40*480)/1090</f>
        <v>986.47461773700297</v>
      </c>
      <c r="H42" s="196" t="s">
        <v>69</v>
      </c>
      <c r="I42" s="254" t="s">
        <v>650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+C43+'12'!D43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+Report1!T21</f>
        <v>95.803999999999988</v>
      </c>
      <c r="J43" s="142">
        <f>+I43+'12'!J43</f>
        <v>1666.6390000000001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+C44+'12'!D44</f>
        <v>75</v>
      </c>
      <c r="E44" s="152">
        <f t="shared" si="1"/>
        <v>1.25</v>
      </c>
      <c r="F44" s="337"/>
      <c r="G44" s="338"/>
      <c r="H44" s="197" t="s">
        <v>73</v>
      </c>
      <c r="I44" s="127">
        <f>I43/I38</f>
        <v>2.5260770975056683</v>
      </c>
      <c r="J44" s="143">
        <f>J43/J38</f>
        <v>2.3292175376221467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+C45+'12'!D45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2.1818761529526975</v>
      </c>
      <c r="J45" s="143">
        <f>J43/J40</f>
        <v>2.4364998611172024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+C46+'12'!D46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+SUMIF(Listrik!AR20,"&gt;0")</f>
        <v>38587.499999998719</v>
      </c>
      <c r="J46" s="144">
        <f>+I46+'12'!J46</f>
        <v>681797.91999999934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+C47+'12'!D47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1017.4418604650824</v>
      </c>
      <c r="J47" s="144">
        <f>J46/J38</f>
        <v>952.84922072404379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+C48+'12'!D48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878.80616730052429</v>
      </c>
      <c r="J48" s="144">
        <f>J46/J40</f>
        <v>996.73686826601067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+C49+'12'!D49</f>
        <v>0</v>
      </c>
      <c r="E49" s="152">
        <f t="shared" si="1"/>
        <v>0</v>
      </c>
      <c r="F49" s="194"/>
      <c r="H49" s="197" t="s">
        <v>81</v>
      </c>
      <c r="I49" s="127">
        <v>0</v>
      </c>
      <c r="J49" s="144">
        <f>+I49+'12'!J49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+C50+'12'!D50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+C51+'12'!D51</f>
        <v>0</v>
      </c>
      <c r="E51" s="152">
        <f t="shared" si="1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414</v>
      </c>
      <c r="D52" s="153">
        <f>SUM(D38:D51)</f>
        <v>1616</v>
      </c>
      <c r="E52" s="154">
        <f>SUM(E38:E51)</f>
        <v>26.93333333333333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0.28749999999999998</v>
      </c>
      <c r="D53" s="155">
        <f>D52/(24*60*G4)</f>
        <v>8.6324786324786323E-2</v>
      </c>
      <c r="E53" s="156">
        <f>E52/(G4*24)</f>
        <v>8.632478632478631E-2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+D34+'12'!J56</f>
        <v>11614</v>
      </c>
      <c r="K56" s="210">
        <f>J56/(J40+J56/1000)/1000</f>
        <v>1.6695321170023748E-2</v>
      </c>
    </row>
    <row r="57" spans="1:11">
      <c r="A57" s="185"/>
      <c r="I57" s="208" t="s">
        <v>88</v>
      </c>
      <c r="J57" s="209">
        <f>+E34+'12'!J57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4" zoomScale="80" zoomScaleNormal="80" workbookViewId="0">
      <selection activeCell="D26" sqref="D26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12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254+193+215</f>
        <v>662</v>
      </c>
    </row>
    <row r="7" spans="1:18" ht="13.5" customHeight="1" thickBot="1">
      <c r="A7" s="1002" t="s">
        <v>448</v>
      </c>
      <c r="B7" s="224" t="s">
        <v>603</v>
      </c>
      <c r="C7" s="225">
        <v>17267</v>
      </c>
      <c r="D7" s="226">
        <v>250</v>
      </c>
      <c r="E7" s="227"/>
      <c r="F7" s="236"/>
      <c r="G7" s="237" t="s">
        <v>11</v>
      </c>
      <c r="H7" s="238" t="s">
        <v>434</v>
      </c>
      <c r="I7" s="1005" t="s">
        <v>628</v>
      </c>
      <c r="J7" s="223" t="str">
        <f>+'11'!J7</f>
        <v>MG 14 VP HW/OW</v>
      </c>
      <c r="K7" s="246"/>
      <c r="L7" s="250"/>
      <c r="M7" s="126">
        <f>+K7+'11'!M7+L7</f>
        <v>143496</v>
      </c>
    </row>
    <row r="8" spans="1:18" ht="13.5" thickBot="1">
      <c r="A8" s="1003"/>
      <c r="B8" s="224"/>
      <c r="C8" s="225"/>
      <c r="D8" s="226"/>
      <c r="E8" s="228"/>
      <c r="F8" s="239">
        <v>3</v>
      </c>
      <c r="G8" s="240" t="s">
        <v>11</v>
      </c>
      <c r="H8" s="238" t="s">
        <v>433</v>
      </c>
      <c r="I8" s="1006"/>
      <c r="J8" s="223" t="str">
        <f>+'11'!J8</f>
        <v>MG 16,5 VP HW</v>
      </c>
      <c r="K8" s="247"/>
      <c r="L8" s="247"/>
      <c r="M8" s="126">
        <f>+K8+'11'!M8+L8</f>
        <v>93365</v>
      </c>
      <c r="N8" s="158">
        <v>1350</v>
      </c>
      <c r="O8" s="158">
        <f>+N8-N8*0.2</f>
        <v>1080</v>
      </c>
      <c r="P8" s="158">
        <v>464</v>
      </c>
      <c r="Q8" s="158">
        <f>+N8*P8</f>
        <v>626400</v>
      </c>
      <c r="R8" s="158">
        <f>+O8*P8</f>
        <v>501120</v>
      </c>
    </row>
    <row r="9" spans="1:18" ht="13.5" thickBot="1">
      <c r="A9" s="1003"/>
      <c r="B9" s="224"/>
      <c r="C9" s="225"/>
      <c r="D9" s="226"/>
      <c r="E9" s="229"/>
      <c r="F9" s="236">
        <v>5</v>
      </c>
      <c r="G9" s="240" t="s">
        <v>11</v>
      </c>
      <c r="H9" s="582" t="s">
        <v>513</v>
      </c>
      <c r="I9" s="1006"/>
      <c r="J9" s="223" t="str">
        <f>+'11'!J9</f>
        <v>MG 30 VP HW</v>
      </c>
      <c r="K9" s="247"/>
      <c r="L9" s="247"/>
      <c r="M9" s="126">
        <f>+K9+'11'!M9+L9</f>
        <v>4193</v>
      </c>
      <c r="N9" s="158">
        <v>1400</v>
      </c>
      <c r="O9" s="158">
        <f>+N9-N9*0.2</f>
        <v>1120</v>
      </c>
      <c r="Q9" s="158">
        <f>+N9*P9</f>
        <v>0</v>
      </c>
      <c r="R9" s="158">
        <f>+O9*P9</f>
        <v>0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610</v>
      </c>
      <c r="I10" s="1006"/>
      <c r="J10" s="223" t="str">
        <f>+'11'!J10</f>
        <v>MG 17 VP HW</v>
      </c>
      <c r="K10" s="247"/>
      <c r="L10" s="247"/>
      <c r="M10" s="126">
        <f>+K10+'11'!M10+L10</f>
        <v>18114</v>
      </c>
      <c r="P10" s="158">
        <f>SUM(P7:P9)</f>
        <v>464</v>
      </c>
      <c r="Q10" s="158">
        <f t="shared" ref="Q10" si="0">SUM(Q7:Q9)</f>
        <v>626400</v>
      </c>
      <c r="R10" s="158">
        <f t="shared" ref="R10" si="1">SUM(R7:R9)</f>
        <v>501120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 t="s">
        <v>625</v>
      </c>
      <c r="I11" s="1006"/>
      <c r="J11" s="223" t="str">
        <f>+'11'!J11</f>
        <v>MG 18 VP HW</v>
      </c>
      <c r="K11" s="247"/>
      <c r="L11" s="247"/>
      <c r="M11" s="126">
        <f>+K11+'11'!M11+L11</f>
        <v>25394</v>
      </c>
      <c r="Q11" s="158">
        <f>+Q10/P10</f>
        <v>1350</v>
      </c>
      <c r="R11" s="158">
        <f>+R10/P10</f>
        <v>1080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+'11'!J12</f>
        <v>MG 21,5 VP HW</v>
      </c>
      <c r="K12" s="247"/>
      <c r="L12" s="247"/>
      <c r="M12" s="126">
        <f>+K12+'11'!M12+L12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+'11'!J13</f>
        <v>F 10,3 VP OW</v>
      </c>
      <c r="K13" s="247"/>
      <c r="L13" s="247"/>
      <c r="M13" s="126">
        <f>+K13+'11'!M13+L13</f>
        <v>115938</v>
      </c>
    </row>
    <row r="14" spans="1:18" ht="13.5" thickBot="1">
      <c r="A14" s="1004"/>
      <c r="B14" s="174" t="s">
        <v>2</v>
      </c>
      <c r="C14" s="108">
        <f>SUM(C7:C13)</f>
        <v>17267</v>
      </c>
      <c r="D14" s="120">
        <f>SUM(D7:D13)</f>
        <v>250</v>
      </c>
      <c r="E14" s="121">
        <f>SUM(E5:E13)</f>
        <v>0</v>
      </c>
      <c r="F14" s="125">
        <f>SUM(F7:F13)</f>
        <v>8</v>
      </c>
      <c r="G14" s="168"/>
      <c r="H14" s="175"/>
      <c r="I14" s="176"/>
      <c r="J14" s="223" t="str">
        <f>+'11'!J14</f>
        <v>F 12 VP OW</v>
      </c>
      <c r="K14" s="247"/>
      <c r="L14" s="247"/>
      <c r="M14" s="126">
        <f>+K14+'11'!M14+L14</f>
        <v>47497</v>
      </c>
    </row>
    <row r="15" spans="1:18" ht="13.5" customHeight="1" thickBot="1">
      <c r="A15" s="1002" t="s">
        <v>465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629</v>
      </c>
      <c r="J15" s="223" t="str">
        <f>+'11'!J15</f>
        <v>F 13 VP OW</v>
      </c>
      <c r="K15" s="247"/>
      <c r="L15" s="247"/>
      <c r="M15" s="126">
        <f>+K15+'11'!M15+L15</f>
        <v>32631</v>
      </c>
    </row>
    <row r="16" spans="1:18" ht="13.5" thickBot="1">
      <c r="A16" s="1008"/>
      <c r="B16" s="224" t="s">
        <v>603</v>
      </c>
      <c r="C16" s="230">
        <v>9969</v>
      </c>
      <c r="D16" s="231">
        <v>200</v>
      </c>
      <c r="E16" s="232"/>
      <c r="F16" s="236">
        <v>3</v>
      </c>
      <c r="G16" s="240" t="s">
        <v>11</v>
      </c>
      <c r="H16" s="238" t="s">
        <v>569</v>
      </c>
      <c r="I16" s="1006"/>
      <c r="J16" s="223" t="str">
        <f>+'11'!J16</f>
        <v>F 12,5 VP OW</v>
      </c>
      <c r="K16" s="247"/>
      <c r="L16" s="237"/>
      <c r="M16" s="126">
        <f>+K16+'11'!M16+L16</f>
        <v>25185</v>
      </c>
      <c r="N16" s="158">
        <v>1400</v>
      </c>
      <c r="O16" s="158">
        <f t="shared" ref="O16:O18" si="2">+N16-N16*0.2</f>
        <v>1120</v>
      </c>
      <c r="P16" s="158">
        <f>120+22+16</f>
        <v>158</v>
      </c>
      <c r="Q16" s="158">
        <f>+N16*P16</f>
        <v>221200</v>
      </c>
      <c r="R16" s="158">
        <f>+O16*P16</f>
        <v>176960</v>
      </c>
    </row>
    <row r="17" spans="1:18" ht="13.5" thickBot="1">
      <c r="A17" s="1008"/>
      <c r="B17" s="224" t="s">
        <v>632</v>
      </c>
      <c r="C17" s="225">
        <f>582+5747</f>
        <v>6329</v>
      </c>
      <c r="D17" s="226">
        <f>168+882</f>
        <v>1050</v>
      </c>
      <c r="E17" s="233"/>
      <c r="F17" s="236">
        <v>5</v>
      </c>
      <c r="G17" s="240" t="s">
        <v>11</v>
      </c>
      <c r="H17" s="582" t="s">
        <v>513</v>
      </c>
      <c r="I17" s="1006"/>
      <c r="J17" s="223" t="str">
        <f>+'11'!J17</f>
        <v>SN 13 VP OW</v>
      </c>
      <c r="K17" s="247">
        <f>+C7+C16+C25</f>
        <v>27731</v>
      </c>
      <c r="L17" s="237"/>
      <c r="M17" s="126">
        <f>+K17+'11'!M17+L17</f>
        <v>112417</v>
      </c>
      <c r="N17" s="158">
        <v>1300</v>
      </c>
      <c r="O17" s="158">
        <f t="shared" si="2"/>
        <v>1040</v>
      </c>
      <c r="P17" s="158">
        <f>60-22+180+30</f>
        <v>248</v>
      </c>
      <c r="Q17" s="158">
        <f>+N17*P17</f>
        <v>322400</v>
      </c>
      <c r="R17" s="158">
        <f>+O17*P17</f>
        <v>257920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626</v>
      </c>
      <c r="I18" s="1006"/>
      <c r="J18" s="223" t="s">
        <v>632</v>
      </c>
      <c r="K18" s="247">
        <f>+C17+C26</f>
        <v>15617</v>
      </c>
      <c r="L18" s="247"/>
      <c r="M18" s="126">
        <f>+K18+'11'!M18+L18</f>
        <v>15617</v>
      </c>
      <c r="N18" s="158">
        <v>1250</v>
      </c>
      <c r="O18" s="158">
        <f t="shared" si="2"/>
        <v>1000</v>
      </c>
      <c r="Q18" s="158">
        <f>+N18*P18</f>
        <v>0</v>
      </c>
      <c r="R18" s="158">
        <f>+O18*P18</f>
        <v>0</v>
      </c>
    </row>
    <row r="19" spans="1:18" ht="13.5" thickBot="1">
      <c r="A19" s="1008"/>
      <c r="B19" s="224"/>
      <c r="C19" s="225"/>
      <c r="D19" s="226"/>
      <c r="E19" s="233"/>
      <c r="F19" s="243"/>
      <c r="G19" s="240"/>
      <c r="H19" s="582" t="s">
        <v>627</v>
      </c>
      <c r="I19" s="1006"/>
      <c r="J19" s="223" t="s">
        <v>633</v>
      </c>
      <c r="K19" s="247">
        <f>+C27</f>
        <v>5287</v>
      </c>
      <c r="L19" s="247"/>
      <c r="M19" s="126">
        <f>+K19+'11'!M19+L19</f>
        <v>5287</v>
      </c>
      <c r="P19" s="158">
        <f>SUM(P16:P18)</f>
        <v>406</v>
      </c>
      <c r="Q19" s="158">
        <f t="shared" ref="Q19:R19" si="3">SUM(Q16:Q18)</f>
        <v>543600</v>
      </c>
      <c r="R19" s="158">
        <f t="shared" si="3"/>
        <v>434880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582" t="s">
        <v>622</v>
      </c>
      <c r="I20" s="1006"/>
      <c r="J20" s="223">
        <f>+'11'!J20</f>
        <v>0</v>
      </c>
      <c r="K20" s="248"/>
      <c r="L20" s="248"/>
      <c r="M20" s="126">
        <f>+K20+'11'!M20+L20</f>
        <v>0</v>
      </c>
      <c r="Q20" s="158">
        <f>+Q19/P19</f>
        <v>1338.9162561576354</v>
      </c>
      <c r="R20" s="158">
        <f>+R19/P19</f>
        <v>1071.1330049261085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+'11'!J21</f>
        <v>0</v>
      </c>
      <c r="K21" s="247"/>
      <c r="L21" s="247"/>
      <c r="M21" s="126">
        <f>+K21+'11'!M21+L21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+'11'!J22</f>
        <v>0</v>
      </c>
      <c r="K22" s="247"/>
      <c r="L22" s="247"/>
      <c r="M22" s="126">
        <f>+K22+'11'!M22+L22</f>
        <v>0</v>
      </c>
    </row>
    <row r="23" spans="1:18" ht="13.5" thickBot="1">
      <c r="A23" s="1009"/>
      <c r="B23" s="177" t="s">
        <v>2</v>
      </c>
      <c r="C23" s="109">
        <f>SUM(C16:C22)</f>
        <v>16298</v>
      </c>
      <c r="D23" s="120">
        <f>SUM(D16:D22)</f>
        <v>1250</v>
      </c>
      <c r="E23" s="121">
        <f>SUM(E18:E22)</f>
        <v>0</v>
      </c>
      <c r="F23" s="125">
        <f>SUM(F15:F22)</f>
        <v>8</v>
      </c>
      <c r="G23" s="168"/>
      <c r="H23" s="175" t="s">
        <v>234</v>
      </c>
      <c r="I23" s="178"/>
      <c r="J23" s="223">
        <f>+'11'!J23</f>
        <v>0</v>
      </c>
      <c r="K23" s="247"/>
      <c r="L23" s="247"/>
      <c r="M23" s="126">
        <f>+K23+'11'!M23+L23</f>
        <v>0</v>
      </c>
    </row>
    <row r="24" spans="1:18" ht="13.5" customHeight="1" thickBot="1">
      <c r="A24" s="1002" t="s">
        <v>447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630</v>
      </c>
      <c r="J24" s="223">
        <f>+'11'!J24</f>
        <v>0</v>
      </c>
      <c r="K24" s="247"/>
      <c r="L24" s="247"/>
      <c r="M24" s="126">
        <f>+K24+'11'!M24+L24</f>
        <v>0</v>
      </c>
    </row>
    <row r="25" spans="1:18" ht="13.5" customHeight="1" thickBot="1">
      <c r="A25" s="1008"/>
      <c r="B25" s="224" t="s">
        <v>603</v>
      </c>
      <c r="C25" s="234">
        <v>495</v>
      </c>
      <c r="D25" s="226">
        <v>55</v>
      </c>
      <c r="E25" s="233"/>
      <c r="F25" s="239">
        <v>3</v>
      </c>
      <c r="G25" s="240" t="s">
        <v>11</v>
      </c>
      <c r="H25" s="238" t="s">
        <v>569</v>
      </c>
      <c r="I25" s="1006"/>
      <c r="J25" s="223">
        <f>+'11'!J25</f>
        <v>0</v>
      </c>
      <c r="K25" s="247"/>
      <c r="L25" s="247"/>
      <c r="M25" s="126">
        <f>+K25+'11'!M25+L25</f>
        <v>0</v>
      </c>
      <c r="N25" s="158">
        <v>1250</v>
      </c>
      <c r="O25" s="158">
        <f t="shared" ref="O25" si="4">+N25-N25*0.2</f>
        <v>1000</v>
      </c>
      <c r="P25" s="158">
        <f>480+90</f>
        <v>570</v>
      </c>
    </row>
    <row r="26" spans="1:18" ht="13.5" customHeight="1" thickBot="1">
      <c r="A26" s="1008"/>
      <c r="B26" s="224" t="s">
        <v>632</v>
      </c>
      <c r="C26" s="234">
        <f>990+8298</f>
        <v>9288</v>
      </c>
      <c r="D26" s="226">
        <v>504</v>
      </c>
      <c r="E26" s="235"/>
      <c r="F26" s="239">
        <v>10</v>
      </c>
      <c r="G26" s="240" t="s">
        <v>11</v>
      </c>
      <c r="H26" s="582" t="s">
        <v>513</v>
      </c>
      <c r="I26" s="1006"/>
      <c r="J26" s="223">
        <f>+'11'!J26</f>
        <v>0</v>
      </c>
      <c r="K26" s="247"/>
      <c r="L26" s="247"/>
      <c r="M26" s="126">
        <f>+K26+'11'!M26+L26</f>
        <v>0</v>
      </c>
    </row>
    <row r="27" spans="1:18" ht="13.5" customHeight="1" thickBot="1">
      <c r="A27" s="1008"/>
      <c r="B27" s="224" t="s">
        <v>633</v>
      </c>
      <c r="C27" s="225">
        <f>1821+3466</f>
        <v>5287</v>
      </c>
      <c r="D27" s="226"/>
      <c r="E27" s="233"/>
      <c r="F27" s="239"/>
      <c r="G27" s="240"/>
      <c r="H27" s="582" t="s">
        <v>623</v>
      </c>
      <c r="I27" s="1006"/>
      <c r="J27" s="223">
        <f>+'11'!J27</f>
        <v>0</v>
      </c>
      <c r="K27" s="247"/>
      <c r="L27" s="247"/>
      <c r="M27" s="126">
        <f>+K27+'11'!M27+L27</f>
        <v>0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 t="s">
        <v>624</v>
      </c>
      <c r="I28" s="1006"/>
      <c r="J28" s="223">
        <f>+'11'!J28</f>
        <v>0</v>
      </c>
      <c r="K28" s="247"/>
      <c r="L28" s="247"/>
      <c r="M28" s="126">
        <f>+K28+'11'!M28+L28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+'11'!J29</f>
        <v>0</v>
      </c>
      <c r="K29" s="247"/>
      <c r="L29" s="247"/>
      <c r="M29" s="126">
        <f>+K29+'11'!M29+L29</f>
        <v>0</v>
      </c>
    </row>
    <row r="30" spans="1:18" ht="13.5" customHeight="1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+'11'!J30</f>
        <v>0</v>
      </c>
      <c r="K30" s="247"/>
      <c r="L30" s="247"/>
      <c r="M30" s="126">
        <f>+K30+'11'!M30+L30</f>
        <v>0</v>
      </c>
      <c r="N30" s="164"/>
    </row>
    <row r="31" spans="1:18" ht="13.5" customHeight="1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+'11'!J31</f>
        <v>0</v>
      </c>
      <c r="K31" s="247"/>
      <c r="L31" s="247"/>
      <c r="M31" s="126">
        <f>+K31+'11'!M31+L31</f>
        <v>0</v>
      </c>
    </row>
    <row r="32" spans="1:18" ht="13.5" customHeight="1" thickBot="1">
      <c r="A32" s="1009"/>
      <c r="B32" s="174" t="s">
        <v>2</v>
      </c>
      <c r="C32" s="108">
        <f>SUM(C25:C31)</f>
        <v>15070</v>
      </c>
      <c r="D32" s="109">
        <f>SUM(D25:D31)</f>
        <v>559</v>
      </c>
      <c r="E32" s="110">
        <f>SUM(E25:E31)</f>
        <v>0</v>
      </c>
      <c r="F32" s="111">
        <f>SUM(F24:F31)</f>
        <v>13</v>
      </c>
      <c r="G32" s="180"/>
      <c r="H32" s="181"/>
      <c r="I32" s="178"/>
      <c r="J32" s="223">
        <f>+'1'!J32</f>
        <v>0</v>
      </c>
      <c r="K32" s="249"/>
      <c r="L32" s="251"/>
      <c r="M32" s="126">
        <f>+K32+'11'!M32+L32</f>
        <v>0</v>
      </c>
    </row>
    <row r="33" spans="1:14" ht="13.5" thickBot="1">
      <c r="A33" s="182"/>
      <c r="B33" s="183"/>
      <c r="C33" s="112">
        <f>C32/($C$32+$D$32+$E$32)</f>
        <v>0.96423315631198414</v>
      </c>
      <c r="D33" s="113">
        <f>D32/($C$32+$D$32+$E$32)</f>
        <v>3.5766843688015866E-2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48635</v>
      </c>
      <c r="D34" s="116">
        <f>D14+D23+D32</f>
        <v>2059</v>
      </c>
      <c r="E34" s="116">
        <f>E14+E23+E32</f>
        <v>0</v>
      </c>
      <c r="F34" s="117">
        <f>F14+F23+F32</f>
        <v>29</v>
      </c>
      <c r="H34" s="187"/>
      <c r="I34" s="187"/>
      <c r="J34" s="132" t="s">
        <v>27</v>
      </c>
      <c r="K34" s="133">
        <f>SUM(K7:K32)</f>
        <v>48635</v>
      </c>
      <c r="L34" s="221">
        <f>SUM(L7:L32)</f>
        <v>0</v>
      </c>
      <c r="M34" s="129">
        <f>SUM(M7:M32)</f>
        <v>640121</v>
      </c>
      <c r="N34" s="164"/>
    </row>
    <row r="35" spans="1:14" ht="13.5" thickBot="1">
      <c r="A35" s="188"/>
      <c r="B35" s="189"/>
      <c r="C35" s="113">
        <f>C34/($C$34+$D$34+$E$34)</f>
        <v>0.95938375350140059</v>
      </c>
      <c r="D35" s="113">
        <f>D34/($C$34+$D$34+$E$34)</f>
        <v>4.0616246498599441E-2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(13*464+14*406+15*570)/1440*G42*2.77*1440/1000000</f>
        <v>58.709757583333328</v>
      </c>
      <c r="J37" s="134">
        <f>+I37+'11'!J37</f>
        <v>748.42054093346951</v>
      </c>
      <c r="K37" s="135" t="s">
        <v>62</v>
      </c>
      <c r="L37" s="158">
        <v>18.876999999999999</v>
      </c>
    </row>
    <row r="38" spans="1:14" ht="17.45" customHeight="1">
      <c r="A38" s="1000" t="s">
        <v>11</v>
      </c>
      <c r="B38" s="1001"/>
      <c r="C38" s="173">
        <f>SUMIF($G$7:$G$31,"Process",$F$7:$F$31)</f>
        <v>29</v>
      </c>
      <c r="D38" s="127">
        <f>+C38+'11'!D38</f>
        <v>907</v>
      </c>
      <c r="E38" s="152">
        <f t="shared" ref="E38:E51" si="5">D38/60</f>
        <v>15.116666666666667</v>
      </c>
      <c r="F38" s="337">
        <v>1351.6666666666667</v>
      </c>
      <c r="G38" s="337">
        <v>1081.3333333333333</v>
      </c>
      <c r="H38" s="196" t="s">
        <v>63</v>
      </c>
      <c r="I38" s="549">
        <f>18.877+18.428+18.532</f>
        <v>55.837000000000003</v>
      </c>
      <c r="J38" s="136">
        <f>+I38+'11'!J38</f>
        <v>677.6099999999999</v>
      </c>
      <c r="K38" s="137" t="s">
        <v>62</v>
      </c>
      <c r="L38" s="158">
        <f>18.428-1.71</f>
        <v>16.718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+C39+'11'!D39</f>
        <v>0</v>
      </c>
      <c r="E39" s="152">
        <f t="shared" si="5"/>
        <v>0</v>
      </c>
      <c r="F39" s="337">
        <v>1320.2083333333333</v>
      </c>
      <c r="G39" s="337">
        <v>1056.1666666666667</v>
      </c>
      <c r="H39" s="196" t="s">
        <v>64</v>
      </c>
      <c r="I39" s="151"/>
      <c r="J39" s="138">
        <f>J37/G4</f>
        <v>62.368378411122457</v>
      </c>
      <c r="K39" s="139" t="s">
        <v>62</v>
      </c>
      <c r="L39" s="556">
        <f>+I38-L37-L38</f>
        <v>20.242000000000008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+C40+'11'!D40</f>
        <v>140</v>
      </c>
      <c r="E40" s="152">
        <f t="shared" si="5"/>
        <v>2.3333333333333335</v>
      </c>
      <c r="F40" s="337">
        <v>1250</v>
      </c>
      <c r="G40" s="337">
        <f t="shared" ref="G40" si="6">+F40-F40*0.2</f>
        <v>1000</v>
      </c>
      <c r="H40" s="196" t="s">
        <v>66</v>
      </c>
      <c r="I40" s="127">
        <f>(K34+L34)/1000</f>
        <v>48.634999999999998</v>
      </c>
      <c r="J40" s="140">
        <f>+I40+'11'!J40</f>
        <v>640.12100000000009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+C41+'11'!D41</f>
        <v>80</v>
      </c>
      <c r="E41" s="152">
        <f t="shared" si="5"/>
        <v>1.3333333333333333</v>
      </c>
      <c r="F41" s="337"/>
      <c r="G41" s="337"/>
      <c r="H41" s="196" t="s">
        <v>68</v>
      </c>
      <c r="I41" s="151"/>
      <c r="J41" s="138">
        <f>J40/G4</f>
        <v>53.343416666666677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+C42+'11'!D42</f>
        <v>0</v>
      </c>
      <c r="E42" s="152">
        <f t="shared" si="5"/>
        <v>0</v>
      </c>
      <c r="F42" s="337">
        <f>+(F38*480+F39*480+F40*480)/1440</f>
        <v>1307.2916666666667</v>
      </c>
      <c r="G42" s="337">
        <f>+(G38*480+G39*480+G40*480)/1440</f>
        <v>1045.8333333333333</v>
      </c>
      <c r="H42" s="196" t="s">
        <v>69</v>
      </c>
      <c r="I42" s="254" t="s">
        <v>631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+C43+'11'!D43</f>
        <v>0</v>
      </c>
      <c r="E43" s="152">
        <f t="shared" si="5"/>
        <v>0</v>
      </c>
      <c r="F43" s="337"/>
      <c r="G43" s="338"/>
      <c r="H43" s="197" t="s">
        <v>72</v>
      </c>
      <c r="I43" s="127">
        <f>+Report1!T20</f>
        <v>122.351</v>
      </c>
      <c r="J43" s="142">
        <f>+I43+'11'!J43</f>
        <v>1570.835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+C44+'11'!D44</f>
        <v>75</v>
      </c>
      <c r="E44" s="152">
        <f t="shared" si="5"/>
        <v>1.25</v>
      </c>
      <c r="F44" s="337"/>
      <c r="G44" s="338"/>
      <c r="H44" s="197" t="s">
        <v>73</v>
      </c>
      <c r="I44" s="127">
        <f>I43/I38</f>
        <v>2.1912172931926857</v>
      </c>
      <c r="J44" s="143">
        <f>J43/J38</f>
        <v>2.3181992591608744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+C45+'11'!D45</f>
        <v>0</v>
      </c>
      <c r="E45" s="152">
        <f t="shared" si="5"/>
        <v>0</v>
      </c>
      <c r="F45" s="337"/>
      <c r="G45" s="340"/>
      <c r="H45" s="197" t="s">
        <v>74</v>
      </c>
      <c r="I45" s="127">
        <f>I43/I40</f>
        <v>2.5156985709879716</v>
      </c>
      <c r="J45" s="143">
        <f>J43/J40</f>
        <v>2.4539657346033015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+C46+'11'!D46</f>
        <v>0</v>
      </c>
      <c r="E46" s="152">
        <f t="shared" si="5"/>
        <v>0</v>
      </c>
      <c r="F46" s="337"/>
      <c r="G46" s="338"/>
      <c r="H46" s="197" t="s">
        <v>76</v>
      </c>
      <c r="I46" s="149">
        <f>+SUMIF(Listrik!AR19,"&gt;0")</f>
        <v>54775.660000000287</v>
      </c>
      <c r="J46" s="144">
        <f>+I46+'11'!J46</f>
        <v>643210.42000000062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+C47+'11'!D47</f>
        <v>0</v>
      </c>
      <c r="E47" s="152">
        <f t="shared" si="5"/>
        <v>0</v>
      </c>
      <c r="F47" s="337"/>
      <c r="G47" s="338"/>
      <c r="H47" s="197" t="s">
        <v>79</v>
      </c>
      <c r="I47" s="127">
        <f>I46/I38</f>
        <v>980.99217364830281</v>
      </c>
      <c r="J47" s="144">
        <f>J46/J38</f>
        <v>949.23395463467295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+C48+'11'!D48</f>
        <v>0</v>
      </c>
      <c r="E48" s="152">
        <f t="shared" si="5"/>
        <v>0</v>
      </c>
      <c r="F48" s="337"/>
      <c r="G48" s="338"/>
      <c r="H48" s="197" t="s">
        <v>80</v>
      </c>
      <c r="I48" s="127">
        <f>I46/I40</f>
        <v>1126.2601007504943</v>
      </c>
      <c r="J48" s="144">
        <f>J46/J40</f>
        <v>1004.8263062764704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+C49+'11'!D49</f>
        <v>0</v>
      </c>
      <c r="E49" s="152">
        <f t="shared" si="5"/>
        <v>0</v>
      </c>
      <c r="F49" s="194"/>
      <c r="H49" s="197" t="s">
        <v>81</v>
      </c>
      <c r="I49" s="127">
        <v>0</v>
      </c>
      <c r="J49" s="144">
        <f>+I49+'11'!J49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+C50+'11'!D50</f>
        <v>0</v>
      </c>
      <c r="E50" s="152">
        <f t="shared" si="5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+C51+'11'!D51</f>
        <v>0</v>
      </c>
      <c r="E51" s="152">
        <f t="shared" si="5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29</v>
      </c>
      <c r="D52" s="153">
        <f>SUM(D38:D51)</f>
        <v>1202</v>
      </c>
      <c r="E52" s="154">
        <f>SUM(E38:E51)</f>
        <v>20.033333333333331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2.013888888888889E-2</v>
      </c>
      <c r="D53" s="155">
        <f>D52/(24*60*G4)</f>
        <v>6.9560185185185183E-2</v>
      </c>
      <c r="E53" s="156">
        <f>E52/(G4*24)</f>
        <v>6.9560185185185183E-2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+D34+'11'!J56</f>
        <v>10689</v>
      </c>
      <c r="K56" s="210">
        <f>J56/(J40+J56/1000)/1000</f>
        <v>1.6424148368955605E-2</v>
      </c>
    </row>
    <row r="57" spans="1:11">
      <c r="A57" s="185"/>
      <c r="I57" s="208" t="s">
        <v>88</v>
      </c>
      <c r="J57" s="209">
        <f>+E34+'11'!J57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view="pageBreakPreview" topLeftCell="A3" zoomScale="80" zoomScaleNormal="70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5.5703125" style="158" bestFit="1" customWidth="1"/>
    <col min="14" max="16384" width="9.140625" style="158"/>
  </cols>
  <sheetData>
    <row r="1" spans="1:16" ht="15.75">
      <c r="A1" s="157"/>
    </row>
    <row r="2" spans="1:16" ht="15.75">
      <c r="A2" s="157" t="s">
        <v>150</v>
      </c>
    </row>
    <row r="3" spans="1:16" ht="15">
      <c r="A3" s="159"/>
    </row>
    <row r="4" spans="1:16" ht="20.25">
      <c r="A4" s="160" t="s">
        <v>3</v>
      </c>
      <c r="B4" s="161"/>
      <c r="F4" s="162" t="s">
        <v>29</v>
      </c>
      <c r="G4" s="163">
        <v>11</v>
      </c>
      <c r="H4" s="163" t="str">
        <f>+'1'!H4</f>
        <v>.11.25</v>
      </c>
    </row>
    <row r="5" spans="1:16" ht="13.5" thickBot="1">
      <c r="C5" s="164"/>
      <c r="D5" s="164"/>
    </row>
    <row r="6" spans="1:16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244+230+223</f>
        <v>697</v>
      </c>
    </row>
    <row r="7" spans="1:16" ht="13.5" customHeight="1" thickBot="1">
      <c r="A7" s="1002" t="s">
        <v>448</v>
      </c>
      <c r="B7" s="224" t="s">
        <v>603</v>
      </c>
      <c r="C7" s="225">
        <v>16461</v>
      </c>
      <c r="D7" s="226">
        <v>258</v>
      </c>
      <c r="E7" s="227"/>
      <c r="F7" s="236">
        <v>5</v>
      </c>
      <c r="G7" s="237" t="s">
        <v>11</v>
      </c>
      <c r="H7" s="238" t="s">
        <v>438</v>
      </c>
      <c r="I7" s="1005" t="s">
        <v>617</v>
      </c>
      <c r="J7" s="223" t="str">
        <f>+'10'!J7</f>
        <v>MG 14 VP HW/OW</v>
      </c>
      <c r="K7" s="246"/>
      <c r="L7" s="250"/>
      <c r="M7" s="126">
        <f>+K7+'10'!M7+L7</f>
        <v>143496</v>
      </c>
    </row>
    <row r="8" spans="1:16" ht="13.5" thickBot="1">
      <c r="A8" s="1003"/>
      <c r="B8" s="224"/>
      <c r="C8" s="225"/>
      <c r="D8" s="226"/>
      <c r="E8" s="228"/>
      <c r="F8" s="239">
        <v>3</v>
      </c>
      <c r="G8" s="240" t="s">
        <v>11</v>
      </c>
      <c r="H8" s="238" t="s">
        <v>569</v>
      </c>
      <c r="I8" s="1006"/>
      <c r="J8" s="223" t="str">
        <f>+'10'!J8</f>
        <v>MG 16,5 VP HW</v>
      </c>
      <c r="K8" s="247"/>
      <c r="L8" s="247"/>
      <c r="M8" s="126">
        <f>+K8+'10'!M8+L8</f>
        <v>93365</v>
      </c>
      <c r="N8" s="158">
        <v>1350</v>
      </c>
      <c r="O8" s="158">
        <f>+N8-N8*0.2</f>
        <v>1080</v>
      </c>
      <c r="P8" s="158">
        <v>480</v>
      </c>
    </row>
    <row r="9" spans="1:16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546</v>
      </c>
      <c r="I9" s="1006"/>
      <c r="J9" s="223" t="str">
        <f>+'10'!J9</f>
        <v>MG 30 VP HW</v>
      </c>
      <c r="K9" s="247"/>
      <c r="L9" s="247"/>
      <c r="M9" s="126">
        <f>+K9+'10'!M9+L9</f>
        <v>4193</v>
      </c>
      <c r="N9" s="158">
        <v>1350</v>
      </c>
      <c r="O9" s="158">
        <f>+N9-N9*0.2</f>
        <v>1080</v>
      </c>
      <c r="P9" s="158">
        <v>480</v>
      </c>
    </row>
    <row r="10" spans="1:16" ht="13.5" thickBot="1">
      <c r="A10" s="1003"/>
      <c r="B10" s="224"/>
      <c r="C10" s="225"/>
      <c r="D10" s="226"/>
      <c r="E10" s="228"/>
      <c r="F10" s="236"/>
      <c r="G10" s="240"/>
      <c r="H10" s="582" t="s">
        <v>610</v>
      </c>
      <c r="I10" s="1006"/>
      <c r="J10" s="223" t="str">
        <f>+'10'!J10</f>
        <v>MG 17 VP HW</v>
      </c>
      <c r="K10" s="247"/>
      <c r="L10" s="247"/>
      <c r="M10" s="126">
        <f>+K10+'10'!M10+L10</f>
        <v>18114</v>
      </c>
      <c r="N10" s="158">
        <v>1350</v>
      </c>
      <c r="O10" s="158">
        <f>+N10-N10*0.2</f>
        <v>1080</v>
      </c>
      <c r="P10" s="158">
        <f>480-75</f>
        <v>405</v>
      </c>
    </row>
    <row r="11" spans="1:16" ht="13.5" thickBot="1">
      <c r="A11" s="1003"/>
      <c r="B11" s="224"/>
      <c r="C11" s="225"/>
      <c r="D11" s="226"/>
      <c r="E11" s="228"/>
      <c r="F11" s="236"/>
      <c r="G11" s="240"/>
      <c r="H11" s="241"/>
      <c r="I11" s="1006"/>
      <c r="J11" s="223" t="str">
        <f>+'10'!J11</f>
        <v>MG 18 VP HW</v>
      </c>
      <c r="K11" s="247"/>
      <c r="L11" s="247"/>
      <c r="M11" s="126">
        <f>+K11+'10'!M11+L11</f>
        <v>25394</v>
      </c>
      <c r="P11" s="158">
        <f>SUM(P8:P10)</f>
        <v>1365</v>
      </c>
    </row>
    <row r="12" spans="1:16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+'10'!J12</f>
        <v>MG 21,5 VP HW</v>
      </c>
      <c r="K12" s="247"/>
      <c r="L12" s="247"/>
      <c r="M12" s="126">
        <f>+K12+'10'!M12+L12</f>
        <v>987</v>
      </c>
    </row>
    <row r="13" spans="1:16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+'10'!J13</f>
        <v>F 10,3 VP OW</v>
      </c>
      <c r="K13" s="247"/>
      <c r="L13" s="247"/>
      <c r="M13" s="126">
        <f>+K13+'10'!M13+L13</f>
        <v>115938</v>
      </c>
    </row>
    <row r="14" spans="1:16" ht="13.5" thickBot="1">
      <c r="A14" s="1004"/>
      <c r="B14" s="174" t="s">
        <v>2</v>
      </c>
      <c r="C14" s="108">
        <f>SUM(C7:C13)</f>
        <v>16461</v>
      </c>
      <c r="D14" s="120">
        <f>SUM(D7:D13)</f>
        <v>258</v>
      </c>
      <c r="E14" s="121">
        <f>SUM(E5:E13)</f>
        <v>0</v>
      </c>
      <c r="F14" s="125">
        <f>SUM(F7:F13)</f>
        <v>18</v>
      </c>
      <c r="G14" s="168"/>
      <c r="H14" s="175"/>
      <c r="I14" s="176"/>
      <c r="J14" s="223" t="str">
        <f>+'10'!J14</f>
        <v>F 12 VP OW</v>
      </c>
      <c r="K14" s="247"/>
      <c r="L14" s="247"/>
      <c r="M14" s="126">
        <f>+K14+'10'!M14+L14</f>
        <v>47497</v>
      </c>
    </row>
    <row r="15" spans="1:16" ht="13.5" customHeight="1" thickBot="1">
      <c r="A15" s="1002" t="s">
        <v>465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618</v>
      </c>
      <c r="J15" s="223" t="str">
        <f>+'10'!J15</f>
        <v>F 13 VP OW</v>
      </c>
      <c r="K15" s="247"/>
      <c r="L15" s="247"/>
      <c r="M15" s="126">
        <f>+K15+'10'!M15+L15</f>
        <v>32631</v>
      </c>
    </row>
    <row r="16" spans="1:16" ht="13.5" thickBot="1">
      <c r="A16" s="1008"/>
      <c r="B16" s="224" t="s">
        <v>603</v>
      </c>
      <c r="C16" s="230">
        <v>19800</v>
      </c>
      <c r="D16" s="231"/>
      <c r="E16" s="232"/>
      <c r="F16" s="236">
        <v>2</v>
      </c>
      <c r="G16" s="240" t="s">
        <v>11</v>
      </c>
      <c r="H16" s="238" t="s">
        <v>433</v>
      </c>
      <c r="I16" s="1006"/>
      <c r="J16" s="223" t="str">
        <f>+'10'!J16</f>
        <v>F 12,5 VP OW</v>
      </c>
      <c r="K16" s="247"/>
      <c r="L16" s="237"/>
      <c r="M16" s="126">
        <f>+K16+'10'!M16+L16</f>
        <v>25185</v>
      </c>
    </row>
    <row r="17" spans="1:14" ht="13.5" thickBot="1">
      <c r="A17" s="1008"/>
      <c r="B17" s="224"/>
      <c r="C17" s="225"/>
      <c r="D17" s="226"/>
      <c r="E17" s="233"/>
      <c r="F17" s="236">
        <v>3</v>
      </c>
      <c r="G17" s="240" t="s">
        <v>11</v>
      </c>
      <c r="H17" s="582" t="s">
        <v>513</v>
      </c>
      <c r="I17" s="1006"/>
      <c r="J17" s="223" t="str">
        <f>+'10'!J17</f>
        <v>SN 13 VP OW</v>
      </c>
      <c r="K17" s="247">
        <f>+C34</f>
        <v>51335</v>
      </c>
      <c r="L17" s="237"/>
      <c r="M17" s="126">
        <f>+K17+'10'!M17+L17</f>
        <v>84686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610</v>
      </c>
      <c r="I18" s="1006"/>
      <c r="J18" s="223">
        <f>+'10'!J18</f>
        <v>0</v>
      </c>
      <c r="K18" s="247"/>
      <c r="L18" s="247"/>
      <c r="M18" s="126">
        <f>+K18+'10'!M18+L18</f>
        <v>0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/>
      <c r="I19" s="1006"/>
      <c r="J19" s="223">
        <f>+'10'!J19</f>
        <v>0</v>
      </c>
      <c r="K19" s="247"/>
      <c r="L19" s="247"/>
      <c r="M19" s="126">
        <f>+K19+'10'!M19+L19</f>
        <v>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+'10'!J20</f>
        <v>0</v>
      </c>
      <c r="K20" s="247"/>
      <c r="L20" s="248"/>
      <c r="M20" s="126">
        <f>+K20+'10'!M20+L20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+'10'!J21</f>
        <v>0</v>
      </c>
      <c r="K21" s="247"/>
      <c r="L21" s="247"/>
      <c r="M21" s="126">
        <f>+K21+'10'!M21+L21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+'10'!J22</f>
        <v>0</v>
      </c>
      <c r="K22" s="247"/>
      <c r="L22" s="247"/>
      <c r="M22" s="126">
        <f>+K22+'10'!M22+L22</f>
        <v>0</v>
      </c>
    </row>
    <row r="23" spans="1:14" ht="13.5" thickBot="1">
      <c r="A23" s="1009"/>
      <c r="B23" s="177" t="s">
        <v>2</v>
      </c>
      <c r="C23" s="109">
        <f>SUM(C16:C22)</f>
        <v>19800</v>
      </c>
      <c r="D23" s="120">
        <f>SUM(D16:D22)</f>
        <v>0</v>
      </c>
      <c r="E23" s="121">
        <f>SUM(E18:E22)</f>
        <v>0</v>
      </c>
      <c r="F23" s="125">
        <f>SUM(F15:F22)</f>
        <v>5</v>
      </c>
      <c r="G23" s="168"/>
      <c r="H23" s="175" t="s">
        <v>234</v>
      </c>
      <c r="I23" s="178"/>
      <c r="J23" s="223">
        <f>+'10'!J23</f>
        <v>0</v>
      </c>
      <c r="K23" s="247"/>
      <c r="L23" s="247"/>
      <c r="M23" s="126">
        <f>+K23+'10'!M23+L23</f>
        <v>0</v>
      </c>
    </row>
    <row r="24" spans="1:14" ht="13.5" customHeight="1" thickBot="1">
      <c r="A24" s="1002" t="s">
        <v>447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618</v>
      </c>
      <c r="J24" s="223">
        <f>+'10'!J24</f>
        <v>0</v>
      </c>
      <c r="K24" s="247"/>
      <c r="L24" s="247"/>
      <c r="M24" s="126">
        <f>+K24+'10'!M24+L24</f>
        <v>0</v>
      </c>
    </row>
    <row r="25" spans="1:14" ht="13.5" thickBot="1">
      <c r="A25" s="1008"/>
      <c r="B25" s="224" t="s">
        <v>603</v>
      </c>
      <c r="C25" s="234">
        <v>15074</v>
      </c>
      <c r="D25" s="226">
        <v>206</v>
      </c>
      <c r="E25" s="233"/>
      <c r="F25" s="239">
        <v>4</v>
      </c>
      <c r="G25" s="240" t="s">
        <v>11</v>
      </c>
      <c r="H25" s="238" t="s">
        <v>568</v>
      </c>
      <c r="I25" s="1006"/>
      <c r="J25" s="223">
        <f>+'10'!J25</f>
        <v>0</v>
      </c>
      <c r="K25" s="247"/>
      <c r="L25" s="247"/>
      <c r="M25" s="126">
        <f>+K25+'10'!M25+L25</f>
        <v>0</v>
      </c>
    </row>
    <row r="26" spans="1:14" ht="13.5" thickBot="1">
      <c r="A26" s="1008"/>
      <c r="B26" s="224"/>
      <c r="C26" s="234"/>
      <c r="D26" s="226"/>
      <c r="E26" s="235"/>
      <c r="F26" s="239">
        <v>6</v>
      </c>
      <c r="G26" s="240" t="s">
        <v>11</v>
      </c>
      <c r="H26" s="582" t="s">
        <v>546</v>
      </c>
      <c r="I26" s="1006"/>
      <c r="J26" s="223">
        <f>+'10'!J26</f>
        <v>0</v>
      </c>
      <c r="K26" s="237"/>
      <c r="L26" s="237"/>
      <c r="M26" s="126">
        <f>+K26+'10'!M26+L26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610</v>
      </c>
      <c r="I27" s="1006"/>
      <c r="J27" s="223">
        <f>+'10'!J27</f>
        <v>0</v>
      </c>
      <c r="K27" s="237"/>
      <c r="L27" s="237"/>
      <c r="M27" s="126">
        <f>+K27+'10'!M27+L27</f>
        <v>0</v>
      </c>
    </row>
    <row r="28" spans="1:14" ht="13.5" thickBot="1">
      <c r="A28" s="1008"/>
      <c r="B28" s="224"/>
      <c r="C28" s="225"/>
      <c r="D28" s="226"/>
      <c r="E28" s="233"/>
      <c r="F28" s="239">
        <f>60+15</f>
        <v>75</v>
      </c>
      <c r="G28" s="240" t="s">
        <v>16</v>
      </c>
      <c r="H28" s="241" t="s">
        <v>613</v>
      </c>
      <c r="I28" s="1006"/>
      <c r="J28" s="223">
        <f>+'10'!J28</f>
        <v>0</v>
      </c>
      <c r="K28" s="247"/>
      <c r="L28" s="247"/>
      <c r="M28" s="126">
        <f>+K28+'10'!M28+L28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 t="s">
        <v>614</v>
      </c>
      <c r="I29" s="1006"/>
      <c r="J29" s="223">
        <f>+'10'!J29</f>
        <v>0</v>
      </c>
      <c r="K29" s="247"/>
      <c r="L29" s="247"/>
      <c r="M29" s="126">
        <f>+K29+'10'!M29+L29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 t="s">
        <v>615</v>
      </c>
      <c r="I30" s="1006"/>
      <c r="J30" s="223">
        <f>+'10'!J30</f>
        <v>0</v>
      </c>
      <c r="K30" s="248"/>
      <c r="L30" s="248"/>
      <c r="M30" s="126">
        <f>+K30+'10'!M30+L30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460" t="s">
        <v>616</v>
      </c>
      <c r="I31" s="1007"/>
      <c r="J31" s="223">
        <f>+'10'!J31</f>
        <v>0</v>
      </c>
      <c r="K31" s="247"/>
      <c r="L31" s="247"/>
      <c r="M31" s="126">
        <f>+K31+'10'!M31+L31</f>
        <v>0</v>
      </c>
    </row>
    <row r="32" spans="1:14" ht="13.5" thickBot="1">
      <c r="A32" s="1009"/>
      <c r="B32" s="174" t="s">
        <v>2</v>
      </c>
      <c r="C32" s="108">
        <f>SUM(C25:C31)</f>
        <v>15074</v>
      </c>
      <c r="D32" s="109">
        <f>SUM(D25:D31)</f>
        <v>206</v>
      </c>
      <c r="E32" s="110">
        <f>SUM(E25:E31)</f>
        <v>0</v>
      </c>
      <c r="F32" s="111">
        <f>SUM(F24:F31)</f>
        <v>85</v>
      </c>
      <c r="G32" s="180"/>
      <c r="H32" s="181"/>
      <c r="I32" s="178"/>
      <c r="J32" s="223">
        <f>+'10'!J32</f>
        <v>0</v>
      </c>
      <c r="K32" s="247"/>
      <c r="L32" s="247"/>
      <c r="M32" s="126">
        <f>+K32+'10'!M32+L32</f>
        <v>0</v>
      </c>
    </row>
    <row r="33" spans="1:14" ht="13.5" thickBot="1">
      <c r="A33" s="182"/>
      <c r="B33" s="183"/>
      <c r="C33" s="112">
        <f>C32/($C$32+$D$32+$E$32)</f>
        <v>0.9865183246073298</v>
      </c>
      <c r="D33" s="113">
        <f>D32/($C$32+$D$32+$E$32)</f>
        <v>1.3481675392670157E-2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51335</v>
      </c>
      <c r="D34" s="116">
        <f>D14+D23+D32</f>
        <v>464</v>
      </c>
      <c r="E34" s="116">
        <f>E14+E23+E32</f>
        <v>0</v>
      </c>
      <c r="F34" s="117">
        <f>F14+F23+F32</f>
        <v>108</v>
      </c>
      <c r="H34" s="187"/>
      <c r="I34" s="187"/>
      <c r="J34" s="132" t="s">
        <v>27</v>
      </c>
      <c r="K34" s="133">
        <f>SUM(K7:K32)</f>
        <v>51335</v>
      </c>
      <c r="L34" s="221">
        <f>SUM(L7:L32)</f>
        <v>0</v>
      </c>
      <c r="M34" s="129">
        <f>SUM(M7:M32)</f>
        <v>591486</v>
      </c>
      <c r="N34" s="164"/>
    </row>
    <row r="35" spans="1:14" ht="13.5" thickBot="1">
      <c r="A35" s="188"/>
      <c r="B35" s="189"/>
      <c r="C35" s="113">
        <f>C34/($C$34+$D$34+$E$34)</f>
        <v>0.99104229811386324</v>
      </c>
      <c r="D35" s="113">
        <f>D34/($C$34+$D$34+$E$34)</f>
        <v>8.9577018861367978E-3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(13*1365)/1365*G42*2.77*1365/1000000</f>
        <v>53.08594200000001</v>
      </c>
      <c r="J37" s="134">
        <f>+I37+'10'!J37</f>
        <v>689.71078335013613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33</v>
      </c>
      <c r="D38" s="127">
        <f>+C38+'10'!D38</f>
        <v>878</v>
      </c>
      <c r="E38" s="152">
        <f t="shared" ref="E38:E51" si="0">D38/60</f>
        <v>14.633333333333333</v>
      </c>
      <c r="F38" s="337">
        <v>1350</v>
      </c>
      <c r="G38" s="337">
        <f>+F38-F38*0.2</f>
        <v>1080</v>
      </c>
      <c r="H38" s="196" t="s">
        <v>63</v>
      </c>
      <c r="I38" s="549">
        <f>20.314+18.101+15.568</f>
        <v>53.982999999999997</v>
      </c>
      <c r="J38" s="136">
        <f>+I38+'10'!J38</f>
        <v>621.77299999999991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+C39+'10'!D39</f>
        <v>0</v>
      </c>
      <c r="E39" s="152">
        <f t="shared" si="0"/>
        <v>0</v>
      </c>
      <c r="F39" s="337">
        <v>1350</v>
      </c>
      <c r="G39" s="337">
        <f>+F39-F39*0.2</f>
        <v>1080</v>
      </c>
      <c r="H39" s="196" t="s">
        <v>64</v>
      </c>
      <c r="I39" s="151"/>
      <c r="J39" s="138">
        <f>J37/G4</f>
        <v>62.700980304557831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+C40+'10'!D40</f>
        <v>140</v>
      </c>
      <c r="E40" s="152">
        <f t="shared" si="0"/>
        <v>2.3333333333333335</v>
      </c>
      <c r="F40" s="337">
        <v>1350</v>
      </c>
      <c r="G40" s="337">
        <f>+F40-F40*0.2</f>
        <v>1080</v>
      </c>
      <c r="H40" s="196" t="s">
        <v>66</v>
      </c>
      <c r="I40" s="127">
        <f>(K34+L34)/1000</f>
        <v>51.335000000000001</v>
      </c>
      <c r="J40" s="140">
        <f>+I40+'10'!J40</f>
        <v>591.4860000000001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+C41+'10'!D41</f>
        <v>80</v>
      </c>
      <c r="E41" s="152">
        <f t="shared" si="0"/>
        <v>1.3333333333333333</v>
      </c>
      <c r="F41" s="337"/>
      <c r="G41" s="337"/>
      <c r="H41" s="196" t="s">
        <v>68</v>
      </c>
      <c r="I41" s="151"/>
      <c r="J41" s="138">
        <f>J40/G4</f>
        <v>53.771454545454553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+C42+'10'!D42</f>
        <v>0</v>
      </c>
      <c r="E42" s="152">
        <f t="shared" si="0"/>
        <v>0</v>
      </c>
      <c r="F42" s="337">
        <f>+(F38*480+F39*480+F40*405)/1365</f>
        <v>1350</v>
      </c>
      <c r="G42" s="337">
        <f>+(G38*480+G39*480+G40*405)/1365</f>
        <v>1080</v>
      </c>
      <c r="H42" s="196" t="s">
        <v>69</v>
      </c>
      <c r="I42" s="254" t="s">
        <v>611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+C43+'10'!D43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+Report1!T19</f>
        <v>122.351</v>
      </c>
      <c r="J43" s="142">
        <f>+I43+'10'!J43</f>
        <v>1448.4839999999999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75</v>
      </c>
      <c r="D44" s="127">
        <f>+C44+'10'!D44</f>
        <v>75</v>
      </c>
      <c r="E44" s="152">
        <f t="shared" si="0"/>
        <v>1.25</v>
      </c>
      <c r="F44" s="337"/>
      <c r="G44" s="338"/>
      <c r="H44" s="197" t="s">
        <v>73</v>
      </c>
      <c r="I44" s="127">
        <f>I43/I38</f>
        <v>2.2664727784672953</v>
      </c>
      <c r="J44" s="143">
        <f>J43/J38</f>
        <v>2.3296026041658293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+C45+'10'!D45</f>
        <v>0</v>
      </c>
      <c r="E45" s="152">
        <f t="shared" si="0"/>
        <v>0</v>
      </c>
      <c r="F45" s="337"/>
      <c r="G45" s="340"/>
      <c r="H45" s="197" t="s">
        <v>74</v>
      </c>
      <c r="I45" s="127">
        <f>I43/I40</f>
        <v>2.383383656374793</v>
      </c>
      <c r="J45" s="143">
        <f>J43/J40</f>
        <v>2.448889745488481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+C46+'10'!D46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+SUMIF(Listrik!AR18,"&gt;0")</f>
        <v>54725.739999999161</v>
      </c>
      <c r="J46" s="144">
        <f>+I46+'10'!J46</f>
        <v>588434.76000000036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+C47+'10'!D47</f>
        <v>0</v>
      </c>
      <c r="E47" s="152">
        <f t="shared" si="0"/>
        <v>0</v>
      </c>
      <c r="F47" s="337"/>
      <c r="G47" s="338"/>
      <c r="H47" s="197" t="s">
        <v>79</v>
      </c>
      <c r="I47" s="127">
        <f>I46/I38</f>
        <v>1013.7587759109194</v>
      </c>
      <c r="J47" s="144">
        <f>J46/J38</f>
        <v>946.38197541546583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+C48+'10'!D48</f>
        <v>0</v>
      </c>
      <c r="E48" s="152">
        <f t="shared" si="0"/>
        <v>0</v>
      </c>
      <c r="F48" s="337"/>
      <c r="G48" s="338"/>
      <c r="H48" s="197" t="s">
        <v>80</v>
      </c>
      <c r="I48" s="127">
        <f>I46/I40</f>
        <v>1066.0512321028375</v>
      </c>
      <c r="J48" s="144">
        <f>J46/J40</f>
        <v>994.84139945831384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+C49+'10'!D49</f>
        <v>0</v>
      </c>
      <c r="E49" s="152">
        <f t="shared" si="0"/>
        <v>0</v>
      </c>
      <c r="F49" s="194"/>
      <c r="H49" s="197" t="s">
        <v>184</v>
      </c>
      <c r="I49" s="127">
        <v>0</v>
      </c>
      <c r="J49" s="144">
        <f>+I49+'10'!J49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+C50+'10'!D50</f>
        <v>0</v>
      </c>
      <c r="E50" s="152">
        <f t="shared" si="0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+C51+'10'!D51</f>
        <v>0</v>
      </c>
      <c r="E51" s="152">
        <f t="shared" si="0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108</v>
      </c>
      <c r="D52" s="153">
        <f>SUM(D38:D51)</f>
        <v>1173</v>
      </c>
      <c r="E52" s="154">
        <f>SUM(E38:E51)</f>
        <v>19.549999999999997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7.4999999999999997E-2</v>
      </c>
      <c r="D53" s="155">
        <f>D52/(24*60*G4)</f>
        <v>7.4053030303030301E-2</v>
      </c>
      <c r="E53" s="156">
        <f>E52/(G4*24)</f>
        <v>7.4053030303030287E-2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+D34+'10'!J56</f>
        <v>8630</v>
      </c>
      <c r="K56" s="210">
        <f>J56/(J40+J56/1000)/1000</f>
        <v>1.4380553093068672E-2</v>
      </c>
    </row>
    <row r="57" spans="1:11">
      <c r="A57" s="185"/>
      <c r="I57" s="208" t="s">
        <v>88</v>
      </c>
      <c r="J57" s="209">
        <f>+E34+'10'!J57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2" type="noConversion"/>
  <pageMargins left="0.17" right="0.16" top="0.17" bottom="0.16" header="0" footer="0"/>
  <pageSetup paperSize="9" scale="61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H18" sqref="A15:H23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2.140625" style="158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10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254+236+222</f>
        <v>712</v>
      </c>
    </row>
    <row r="7" spans="1:18" ht="13.5" customHeight="1" thickBot="1">
      <c r="A7" s="1002" t="s">
        <v>448</v>
      </c>
      <c r="B7" s="224" t="s">
        <v>598</v>
      </c>
      <c r="C7" s="225">
        <f>5463+2206+2365</f>
        <v>10034</v>
      </c>
      <c r="D7" s="226">
        <f>270+225+385</f>
        <v>880</v>
      </c>
      <c r="E7" s="227"/>
      <c r="F7" s="236"/>
      <c r="G7" s="237" t="s">
        <v>11</v>
      </c>
      <c r="H7" s="238" t="s">
        <v>434</v>
      </c>
      <c r="I7" s="1005" t="s">
        <v>601</v>
      </c>
      <c r="J7" s="223" t="str">
        <f>+'9'!J7</f>
        <v>MG 14 VP HW/OW</v>
      </c>
      <c r="K7" s="246"/>
      <c r="L7" s="250"/>
      <c r="M7" s="126">
        <f>+K7+'9'!M7+L7</f>
        <v>143496</v>
      </c>
    </row>
    <row r="8" spans="1:18" ht="13.5" thickBot="1">
      <c r="A8" s="1003"/>
      <c r="B8" s="224" t="s">
        <v>603</v>
      </c>
      <c r="C8" s="225">
        <v>3101</v>
      </c>
      <c r="D8" s="226">
        <v>110</v>
      </c>
      <c r="E8" s="228"/>
      <c r="F8" s="239">
        <v>2</v>
      </c>
      <c r="G8" s="240" t="s">
        <v>11</v>
      </c>
      <c r="H8" s="238" t="s">
        <v>602</v>
      </c>
      <c r="I8" s="1006"/>
      <c r="J8" s="223" t="str">
        <f>+'9'!J8</f>
        <v>MG 16,5 VP HW</v>
      </c>
      <c r="K8" s="247"/>
      <c r="L8" s="247"/>
      <c r="M8" s="126">
        <f>+K8+'9'!M8+L8</f>
        <v>93365</v>
      </c>
      <c r="N8" s="158">
        <v>1580</v>
      </c>
      <c r="O8" s="158">
        <f>+N8-N8*0.24</f>
        <v>1200.8</v>
      </c>
      <c r="P8" s="158">
        <v>120</v>
      </c>
      <c r="Q8" s="158">
        <f>+N8*P8</f>
        <v>189600</v>
      </c>
      <c r="R8" s="158">
        <f>+O8*P8</f>
        <v>144096</v>
      </c>
    </row>
    <row r="9" spans="1:18" ht="13.5" thickBot="1">
      <c r="A9" s="1003"/>
      <c r="B9" s="224"/>
      <c r="C9" s="225"/>
      <c r="D9" s="226"/>
      <c r="E9" s="229"/>
      <c r="F9" s="236">
        <v>8</v>
      </c>
      <c r="G9" s="240" t="s">
        <v>11</v>
      </c>
      <c r="H9" s="582" t="s">
        <v>513</v>
      </c>
      <c r="I9" s="1006"/>
      <c r="J9" s="223" t="str">
        <f>+'9'!J9</f>
        <v>MG 30 VP HW</v>
      </c>
      <c r="K9" s="247"/>
      <c r="L9" s="247"/>
      <c r="M9" s="126">
        <f>+K9+'9'!M9+L9</f>
        <v>4193</v>
      </c>
      <c r="N9" s="158">
        <v>1350</v>
      </c>
      <c r="O9" s="158">
        <f>+N9-N9*0.2</f>
        <v>1080</v>
      </c>
      <c r="P9" s="158">
        <v>360</v>
      </c>
      <c r="Q9" s="158">
        <f>+N9*P9</f>
        <v>486000</v>
      </c>
      <c r="R9" s="158">
        <f>+O9*P9</f>
        <v>388800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582</v>
      </c>
      <c r="I10" s="1006"/>
      <c r="J10" s="223" t="str">
        <f>+'9'!J10</f>
        <v>MG 17 VP HW</v>
      </c>
      <c r="K10" s="247"/>
      <c r="L10" s="247"/>
      <c r="M10" s="126">
        <f>+K10+'9'!M10+L10</f>
        <v>18114</v>
      </c>
      <c r="P10" s="158">
        <f>SUM(P8:P9)</f>
        <v>480</v>
      </c>
      <c r="Q10" s="158">
        <f>SUM(Q8:Q9)</f>
        <v>675600</v>
      </c>
      <c r="R10" s="158">
        <f>SUM(R8:R9)</f>
        <v>532896</v>
      </c>
    </row>
    <row r="11" spans="1:18" ht="13.5" thickBot="1">
      <c r="A11" s="1003"/>
      <c r="B11" s="224"/>
      <c r="C11" s="225"/>
      <c r="D11" s="226"/>
      <c r="E11" s="228"/>
      <c r="F11" s="236">
        <v>135</v>
      </c>
      <c r="G11" s="240" t="s">
        <v>11</v>
      </c>
      <c r="H11" s="241" t="s">
        <v>599</v>
      </c>
      <c r="I11" s="1006"/>
      <c r="J11" s="223" t="str">
        <f>+'9'!J11</f>
        <v>MG 18 VP HW</v>
      </c>
      <c r="K11" s="247"/>
      <c r="L11" s="247"/>
      <c r="M11" s="126">
        <f>+K11+'9'!M11+L11</f>
        <v>25394</v>
      </c>
      <c r="Q11" s="158">
        <f>+Q10/P10</f>
        <v>1407.5</v>
      </c>
      <c r="R11" s="158">
        <f>+R10/P10</f>
        <v>1110.2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600</v>
      </c>
      <c r="I12" s="1006"/>
      <c r="J12" s="223" t="str">
        <f>+'9'!J12</f>
        <v>MG 21,5 VP HW</v>
      </c>
      <c r="K12" s="247"/>
      <c r="L12" s="247"/>
      <c r="M12" s="126">
        <f>+K12+'9'!M12+L12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+'9'!J13</f>
        <v>F 10,3 VP OW</v>
      </c>
      <c r="K13" s="247"/>
      <c r="L13" s="247"/>
      <c r="M13" s="126">
        <f>+K13+'9'!M13+L13</f>
        <v>115938</v>
      </c>
    </row>
    <row r="14" spans="1:18" ht="13.5" thickBot="1">
      <c r="A14" s="1004"/>
      <c r="B14" s="174" t="s">
        <v>2</v>
      </c>
      <c r="C14" s="108">
        <f>SUM(C7:C13)</f>
        <v>13135</v>
      </c>
      <c r="D14" s="120">
        <f>SUM(D7:D13)</f>
        <v>990</v>
      </c>
      <c r="E14" s="121">
        <f>SUM(E5:E13)</f>
        <v>0</v>
      </c>
      <c r="F14" s="125">
        <f>SUM(F7:F13)</f>
        <v>145</v>
      </c>
      <c r="G14" s="168"/>
      <c r="H14" s="175"/>
      <c r="I14" s="176"/>
      <c r="J14" s="223" t="str">
        <f>+'9'!J14</f>
        <v>F 12 VP OW</v>
      </c>
      <c r="K14" s="247"/>
      <c r="L14" s="247"/>
      <c r="M14" s="126">
        <f>+K14+'9'!M14+L14</f>
        <v>47497</v>
      </c>
    </row>
    <row r="15" spans="1:18" ht="13.5" customHeight="1" thickBot="1">
      <c r="A15" s="1002" t="s">
        <v>449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611</v>
      </c>
      <c r="J15" s="223" t="str">
        <f>+'9'!J15</f>
        <v>F 13 VP OW</v>
      </c>
      <c r="K15" s="247"/>
      <c r="L15" s="247"/>
      <c r="M15" s="126">
        <f>+K15+'9'!M15+L15</f>
        <v>32631</v>
      </c>
    </row>
    <row r="16" spans="1:18" ht="13.5" thickBot="1">
      <c r="A16" s="1008"/>
      <c r="B16" s="224" t="s">
        <v>603</v>
      </c>
      <c r="C16" s="230">
        <v>16303</v>
      </c>
      <c r="D16" s="231">
        <v>125</v>
      </c>
      <c r="E16" s="232"/>
      <c r="F16" s="236">
        <v>4</v>
      </c>
      <c r="G16" s="240" t="s">
        <v>11</v>
      </c>
      <c r="H16" s="238" t="s">
        <v>568</v>
      </c>
      <c r="I16" s="1006"/>
      <c r="J16" s="223" t="str">
        <f>+'9'!J16</f>
        <v>F 12,5 VP OW</v>
      </c>
      <c r="K16" s="247">
        <f>+C7</f>
        <v>10034</v>
      </c>
      <c r="L16" s="247"/>
      <c r="M16" s="126">
        <f>+K16+'9'!M16+L16</f>
        <v>25185</v>
      </c>
    </row>
    <row r="17" spans="1:18" ht="13.5" thickBot="1">
      <c r="A17" s="1008"/>
      <c r="B17" s="224"/>
      <c r="C17" s="225"/>
      <c r="D17" s="226"/>
      <c r="E17" s="233"/>
      <c r="F17" s="236">
        <v>5</v>
      </c>
      <c r="G17" s="240" t="s">
        <v>11</v>
      </c>
      <c r="H17" s="582" t="s">
        <v>546</v>
      </c>
      <c r="I17" s="1006"/>
      <c r="J17" s="223" t="s">
        <v>603</v>
      </c>
      <c r="K17" s="247">
        <f>+C8+C16+C25</f>
        <v>33351</v>
      </c>
      <c r="L17" s="247"/>
      <c r="M17" s="126">
        <f>+K17+'9'!M17+L17</f>
        <v>33351</v>
      </c>
      <c r="N17" s="158">
        <v>1350</v>
      </c>
      <c r="O17" s="158">
        <f t="shared" ref="O17" si="0">+N17-N17*0.2</f>
        <v>1080</v>
      </c>
      <c r="P17" s="158">
        <v>360</v>
      </c>
      <c r="Q17" s="158">
        <f t="shared" ref="Q17:Q19" si="1">+N17*P17</f>
        <v>486000</v>
      </c>
      <c r="R17" s="158">
        <f t="shared" ref="R17:R19" si="2">+O17*P17</f>
        <v>388800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610</v>
      </c>
      <c r="I18" s="1006"/>
      <c r="J18" s="223">
        <f>+'9'!J18</f>
        <v>0</v>
      </c>
      <c r="K18" s="247"/>
      <c r="L18" s="247"/>
      <c r="M18" s="126">
        <f>+K18+'9'!M18+L18</f>
        <v>0</v>
      </c>
      <c r="N18" s="158">
        <v>1350</v>
      </c>
      <c r="O18" s="158">
        <f t="shared" ref="O18:O19" si="3">+N18-N18*0.2</f>
        <v>1080</v>
      </c>
      <c r="P18" s="158">
        <v>480</v>
      </c>
      <c r="Q18" s="158">
        <f t="shared" si="1"/>
        <v>648000</v>
      </c>
      <c r="R18" s="158">
        <f t="shared" si="2"/>
        <v>518400</v>
      </c>
    </row>
    <row r="19" spans="1:18" ht="13.5" thickBot="1">
      <c r="A19" s="1008"/>
      <c r="B19" s="224"/>
      <c r="C19" s="225"/>
      <c r="D19" s="226"/>
      <c r="E19" s="233"/>
      <c r="F19" s="243"/>
      <c r="G19" s="240"/>
      <c r="H19" s="241"/>
      <c r="I19" s="1006"/>
      <c r="J19" s="223">
        <f>+'9'!J19</f>
        <v>0</v>
      </c>
      <c r="K19" s="247"/>
      <c r="L19" s="247"/>
      <c r="M19" s="126">
        <f>+K19+'9'!M19+L19</f>
        <v>0</v>
      </c>
      <c r="N19" s="158">
        <v>1350</v>
      </c>
      <c r="O19" s="158">
        <f t="shared" si="3"/>
        <v>1080</v>
      </c>
      <c r="P19" s="158">
        <v>480</v>
      </c>
      <c r="Q19" s="158">
        <f t="shared" si="1"/>
        <v>648000</v>
      </c>
      <c r="R19" s="158">
        <f t="shared" si="2"/>
        <v>518400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+'9'!J20</f>
        <v>0</v>
      </c>
      <c r="K20" s="247"/>
      <c r="L20" s="247"/>
      <c r="M20" s="126">
        <f>+K20+'9'!M20+L20</f>
        <v>0</v>
      </c>
      <c r="P20" s="158">
        <f>SUM(P17:P19)</f>
        <v>1320</v>
      </c>
      <c r="Q20" s="158">
        <f t="shared" ref="Q20:R20" si="4">SUM(Q17:Q19)</f>
        <v>1782000</v>
      </c>
      <c r="R20" s="158">
        <f t="shared" si="4"/>
        <v>1425600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+'9'!J21</f>
        <v>0</v>
      </c>
      <c r="K21" s="247"/>
      <c r="L21" s="247"/>
      <c r="M21" s="126">
        <f>+K21+'9'!M21+L21</f>
        <v>0</v>
      </c>
      <c r="Q21" s="158">
        <f>+Q20/P20</f>
        <v>1350</v>
      </c>
      <c r="R21" s="158">
        <f>+R20/P20</f>
        <v>1080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+'9'!J22</f>
        <v>0</v>
      </c>
      <c r="K22" s="247"/>
      <c r="L22" s="247"/>
      <c r="M22" s="126">
        <f>+K22+'9'!M22+L22</f>
        <v>0</v>
      </c>
    </row>
    <row r="23" spans="1:18" ht="13.5" thickBot="1">
      <c r="A23" s="1009"/>
      <c r="B23" s="177" t="s">
        <v>2</v>
      </c>
      <c r="C23" s="109">
        <f>SUM(C16:C22)</f>
        <v>16303</v>
      </c>
      <c r="D23" s="120">
        <f>SUM(D16:D22)</f>
        <v>125</v>
      </c>
      <c r="E23" s="121">
        <f>SUM(E18:E22)</f>
        <v>0</v>
      </c>
      <c r="F23" s="125">
        <f>SUM(F15:F22)</f>
        <v>9</v>
      </c>
      <c r="G23" s="168"/>
      <c r="H23" s="175" t="s">
        <v>234</v>
      </c>
      <c r="I23" s="178"/>
      <c r="J23" s="223">
        <f>+'9'!J23</f>
        <v>0</v>
      </c>
      <c r="K23" s="247"/>
      <c r="L23" s="247"/>
      <c r="M23" s="126">
        <f>+K23+'9'!M23+L23</f>
        <v>0</v>
      </c>
    </row>
    <row r="24" spans="1:18" ht="13.5" customHeight="1" thickBot="1">
      <c r="A24" s="1002" t="s">
        <v>447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611</v>
      </c>
      <c r="J24" s="223">
        <f>+'8'!J24</f>
        <v>0</v>
      </c>
      <c r="K24" s="247"/>
      <c r="L24" s="247"/>
      <c r="M24" s="126">
        <f>+K24+'9'!M24+L24</f>
        <v>0</v>
      </c>
    </row>
    <row r="25" spans="1:18" ht="13.5" customHeight="1" thickBot="1">
      <c r="A25" s="1008"/>
      <c r="B25" s="224" t="s">
        <v>603</v>
      </c>
      <c r="C25" s="234">
        <v>13947</v>
      </c>
      <c r="D25" s="226">
        <v>124</v>
      </c>
      <c r="E25" s="233"/>
      <c r="F25" s="239">
        <v>4</v>
      </c>
      <c r="G25" s="240" t="s">
        <v>11</v>
      </c>
      <c r="H25" s="238" t="s">
        <v>568</v>
      </c>
      <c r="I25" s="1006"/>
      <c r="J25" s="223">
        <f>+'8'!J25</f>
        <v>0</v>
      </c>
      <c r="K25" s="247"/>
      <c r="L25" s="247"/>
      <c r="M25" s="126">
        <f>+K25+'9'!M25+L25</f>
        <v>0</v>
      </c>
    </row>
    <row r="26" spans="1:18" ht="13.5" customHeight="1" thickBot="1">
      <c r="A26" s="1008"/>
      <c r="B26" s="224"/>
      <c r="C26" s="234"/>
      <c r="D26" s="226"/>
      <c r="E26" s="235"/>
      <c r="F26" s="239">
        <v>5</v>
      </c>
      <c r="G26" s="240" t="s">
        <v>11</v>
      </c>
      <c r="H26" s="582" t="s">
        <v>512</v>
      </c>
      <c r="I26" s="1006"/>
      <c r="J26" s="223">
        <f>+'8'!J26</f>
        <v>0</v>
      </c>
      <c r="K26" s="247"/>
      <c r="L26" s="247"/>
      <c r="M26" s="126">
        <f>+K26+'9'!M26+L26</f>
        <v>0</v>
      </c>
    </row>
    <row r="27" spans="1:18" ht="13.5" customHeight="1" thickBot="1">
      <c r="A27" s="1008"/>
      <c r="B27" s="224"/>
      <c r="C27" s="225"/>
      <c r="D27" s="226"/>
      <c r="E27" s="233"/>
      <c r="F27" s="239"/>
      <c r="G27" s="240"/>
      <c r="H27" s="582" t="s">
        <v>610</v>
      </c>
      <c r="I27" s="1006"/>
      <c r="J27" s="223">
        <f>+'8'!J27</f>
        <v>0</v>
      </c>
      <c r="K27" s="247"/>
      <c r="L27" s="247"/>
      <c r="M27" s="126">
        <f>+K27+'9'!M27+L27</f>
        <v>0</v>
      </c>
    </row>
    <row r="28" spans="1:18" ht="13.5" customHeight="1" thickBot="1">
      <c r="A28" s="1008"/>
      <c r="B28" s="224"/>
      <c r="C28" s="225"/>
      <c r="D28" s="226"/>
      <c r="E28" s="233"/>
      <c r="F28" s="239"/>
      <c r="G28" s="240"/>
      <c r="H28" s="241"/>
      <c r="I28" s="1006"/>
      <c r="J28" s="223">
        <f>+'8'!J28</f>
        <v>0</v>
      </c>
      <c r="K28" s="247"/>
      <c r="L28" s="247"/>
      <c r="M28" s="126">
        <f>+K28+'9'!M28+L28</f>
        <v>0</v>
      </c>
    </row>
    <row r="29" spans="1:18" ht="13.5" customHeight="1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+'8'!J29</f>
        <v>0</v>
      </c>
      <c r="K29" s="247"/>
      <c r="L29" s="247"/>
      <c r="M29" s="126">
        <f>+K29+'9'!M29+L29</f>
        <v>0</v>
      </c>
    </row>
    <row r="30" spans="1:18" ht="13.5" customHeight="1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+'8'!J30</f>
        <v>0</v>
      </c>
      <c r="K30" s="247"/>
      <c r="L30" s="247"/>
      <c r="M30" s="126">
        <f>+K30+'9'!M30+L30</f>
        <v>0</v>
      </c>
      <c r="N30" s="164"/>
    </row>
    <row r="31" spans="1:18" ht="13.5" customHeight="1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+'8'!J31</f>
        <v>0</v>
      </c>
      <c r="K31" s="247"/>
      <c r="L31" s="247"/>
      <c r="M31" s="126">
        <f>+K31+'9'!M31+L31</f>
        <v>0</v>
      </c>
    </row>
    <row r="32" spans="1:18" ht="13.5" customHeight="1" thickBot="1">
      <c r="A32" s="1009"/>
      <c r="B32" s="174" t="s">
        <v>2</v>
      </c>
      <c r="C32" s="108">
        <f>SUM(C25:C31)</f>
        <v>13947</v>
      </c>
      <c r="D32" s="109">
        <f>SUM(D25:D31)</f>
        <v>124</v>
      </c>
      <c r="E32" s="110">
        <f>SUM(E25:E31)</f>
        <v>0</v>
      </c>
      <c r="F32" s="111">
        <f>SUM(F24:F31)</f>
        <v>9</v>
      </c>
      <c r="G32" s="180"/>
      <c r="H32" s="181"/>
      <c r="I32" s="178"/>
      <c r="J32" s="223">
        <f>+'8'!J32</f>
        <v>0</v>
      </c>
      <c r="K32" s="249"/>
      <c r="L32" s="251"/>
      <c r="M32" s="126">
        <f>+K32+'9'!M32+L32</f>
        <v>0</v>
      </c>
    </row>
    <row r="33" spans="1:14" ht="13.5" thickBot="1">
      <c r="A33" s="182"/>
      <c r="B33" s="183"/>
      <c r="C33" s="112">
        <f>C32/($C$32+$D$32+$E$32)</f>
        <v>0.99118754885935612</v>
      </c>
      <c r="D33" s="113">
        <f>D32/($C$32+$D$32+$E$32)</f>
        <v>8.8124511406438774E-3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43385</v>
      </c>
      <c r="D34" s="116">
        <f>D14+D23+D32</f>
        <v>1239</v>
      </c>
      <c r="E34" s="116">
        <f>E14+E23+E32</f>
        <v>0</v>
      </c>
      <c r="F34" s="117">
        <f>F14+F23+F32</f>
        <v>163</v>
      </c>
      <c r="H34" s="187"/>
      <c r="I34" s="187"/>
      <c r="J34" s="132" t="s">
        <v>27</v>
      </c>
      <c r="K34" s="133">
        <f>SUM(K7:K32)</f>
        <v>43385</v>
      </c>
      <c r="L34" s="221">
        <f>SUM(L7:L32)</f>
        <v>0</v>
      </c>
      <c r="M34" s="129">
        <f>SUM(M7:M32)</f>
        <v>540151</v>
      </c>
      <c r="N34" s="164"/>
    </row>
    <row r="35" spans="1:14" ht="13.5" thickBot="1">
      <c r="A35" s="188"/>
      <c r="B35" s="189"/>
      <c r="C35" s="113">
        <f>C34/($C$34+$D$34+$E$34)</f>
        <v>0.97223467192542135</v>
      </c>
      <c r="D35" s="113">
        <f>D34/($C$34+$D$34+$E$34)</f>
        <v>2.7765328074578703E-2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(12.5*120+13*1320)/1440*G42*2.77*1440/1000000</f>
        <v>56.343583880000004</v>
      </c>
      <c r="J37" s="352">
        <f>+I37+'9'!J37</f>
        <v>636.62484135013608</v>
      </c>
      <c r="K37" s="135" t="s">
        <v>62</v>
      </c>
      <c r="N37" s="158">
        <f>2.445+2.445+0.837</f>
        <v>5.7269999999999994</v>
      </c>
    </row>
    <row r="38" spans="1:14" ht="17.45" customHeight="1">
      <c r="A38" s="1000" t="s">
        <v>11</v>
      </c>
      <c r="B38" s="1001"/>
      <c r="C38" s="173">
        <f>SUMIF($G$7:$G$31,"Process",$F$7:$F$31)</f>
        <v>163</v>
      </c>
      <c r="D38" s="127">
        <f>+C38+'9'!D38</f>
        <v>845</v>
      </c>
      <c r="E38" s="152">
        <f t="shared" ref="E38:E51" si="5">D38/60</f>
        <v>14.083333333333334</v>
      </c>
      <c r="F38" s="337">
        <v>1407.5</v>
      </c>
      <c r="G38" s="337">
        <v>1110.2</v>
      </c>
      <c r="H38" s="196" t="s">
        <v>63</v>
      </c>
      <c r="I38" s="549">
        <f>12.487+21.128+15.055</f>
        <v>48.67</v>
      </c>
      <c r="J38" s="353">
        <f>+I38+'9'!J38</f>
        <v>567.79</v>
      </c>
      <c r="K38" s="137" t="s">
        <v>62</v>
      </c>
      <c r="N38" s="556">
        <f>+I38-N37</f>
        <v>42.943000000000005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+C39+'9'!D39</f>
        <v>0</v>
      </c>
      <c r="E39" s="152">
        <f t="shared" si="5"/>
        <v>0</v>
      </c>
      <c r="F39" s="337">
        <v>1350</v>
      </c>
      <c r="G39" s="337">
        <f t="shared" ref="G39:G40" si="6">+F39-F39*0.2</f>
        <v>1080</v>
      </c>
      <c r="H39" s="196" t="s">
        <v>64</v>
      </c>
      <c r="I39" s="151"/>
      <c r="J39" s="354">
        <f>J37/G4</f>
        <v>63.662484135013607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+C40+'9'!D40</f>
        <v>140</v>
      </c>
      <c r="E40" s="152">
        <f t="shared" si="5"/>
        <v>2.3333333333333335</v>
      </c>
      <c r="F40" s="337">
        <v>1350</v>
      </c>
      <c r="G40" s="337">
        <f t="shared" si="6"/>
        <v>1080</v>
      </c>
      <c r="H40" s="196" t="s">
        <v>66</v>
      </c>
      <c r="I40" s="127">
        <f>+(K34+L34)/1000</f>
        <v>43.384999999999998</v>
      </c>
      <c r="J40" s="355">
        <f>+I40+'9'!J40</f>
        <v>540.15100000000007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+C41+'9'!D41</f>
        <v>80</v>
      </c>
      <c r="E41" s="152">
        <f t="shared" si="5"/>
        <v>1.3333333333333333</v>
      </c>
      <c r="F41" s="337"/>
      <c r="G41" s="337"/>
      <c r="H41" s="196" t="s">
        <v>68</v>
      </c>
      <c r="I41" s="151"/>
      <c r="J41" s="354">
        <f>J40/G4</f>
        <v>54.015100000000004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+C42+'9'!D42</f>
        <v>0</v>
      </c>
      <c r="E42" s="152">
        <f t="shared" si="5"/>
        <v>0</v>
      </c>
      <c r="F42" s="337">
        <f>+(F38*480+F39*480+F40*480)/1440</f>
        <v>1369.1666666666667</v>
      </c>
      <c r="G42" s="337">
        <f>+(G38*480+G39*480+G40*480)/1440</f>
        <v>1090.0666666666666</v>
      </c>
      <c r="H42" s="196" t="s">
        <v>69</v>
      </c>
      <c r="I42" s="254" t="s">
        <v>612</v>
      </c>
      <c r="J42" s="356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+C43+'9'!D43</f>
        <v>0</v>
      </c>
      <c r="E43" s="152">
        <f t="shared" si="5"/>
        <v>0</v>
      </c>
      <c r="F43" s="337"/>
      <c r="G43" s="338"/>
      <c r="H43" s="197" t="s">
        <v>72</v>
      </c>
      <c r="I43" s="127">
        <f>+Report1!T18</f>
        <v>119.291</v>
      </c>
      <c r="J43" s="357">
        <f>+I43+'9'!J43</f>
        <v>1326.133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+C44+'9'!D44</f>
        <v>0</v>
      </c>
      <c r="E44" s="152">
        <f t="shared" si="5"/>
        <v>0</v>
      </c>
      <c r="F44" s="337"/>
      <c r="G44" s="338"/>
      <c r="H44" s="197" t="s">
        <v>73</v>
      </c>
      <c r="I44" s="127">
        <f>I43/I38</f>
        <v>2.4510170536264639</v>
      </c>
      <c r="J44" s="357">
        <f>J43/J38</f>
        <v>2.3356047130100919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+C45+'9'!D45</f>
        <v>0</v>
      </c>
      <c r="E45" s="152">
        <f t="shared" si="5"/>
        <v>0</v>
      </c>
      <c r="F45" s="337"/>
      <c r="G45" s="340"/>
      <c r="H45" s="197" t="s">
        <v>74</v>
      </c>
      <c r="I45" s="127">
        <f>I43/I40</f>
        <v>2.749590872421344</v>
      </c>
      <c r="J45" s="357">
        <f>J43/J40</f>
        <v>2.4551153288617438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+C46+'9'!D46</f>
        <v>0</v>
      </c>
      <c r="E46" s="152">
        <f t="shared" si="5"/>
        <v>0</v>
      </c>
      <c r="F46" s="337"/>
      <c r="G46" s="338"/>
      <c r="H46" s="197" t="s">
        <v>76</v>
      </c>
      <c r="I46" s="149">
        <f>+SUMIF(Listrik!AR17,"&gt;0")</f>
        <v>54202.240000001431</v>
      </c>
      <c r="J46" s="357">
        <f>+I46+'9'!J46</f>
        <v>533709.02000000118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+C47+'9'!D47</f>
        <v>0</v>
      </c>
      <c r="E47" s="152">
        <f t="shared" si="5"/>
        <v>0</v>
      </c>
      <c r="F47" s="337"/>
      <c r="G47" s="338"/>
      <c r="H47" s="197" t="s">
        <v>79</v>
      </c>
      <c r="I47" s="127">
        <f>I46/I38</f>
        <v>1113.6683788781884</v>
      </c>
      <c r="J47" s="357">
        <f>J46/J38</f>
        <v>939.97608270663659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+C48+'9'!D48</f>
        <v>0</v>
      </c>
      <c r="E48" s="152">
        <f t="shared" si="5"/>
        <v>0</v>
      </c>
      <c r="F48" s="337"/>
      <c r="G48" s="338"/>
      <c r="H48" s="197" t="s">
        <v>80</v>
      </c>
      <c r="I48" s="127">
        <f>I46/I40</f>
        <v>1249.3313357151419</v>
      </c>
      <c r="J48" s="357">
        <f>J46/J40</f>
        <v>988.07374234242116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+C49+'9'!D49</f>
        <v>0</v>
      </c>
      <c r="E49" s="152">
        <f t="shared" si="5"/>
        <v>0</v>
      </c>
      <c r="F49" s="194"/>
      <c r="H49" s="197" t="s">
        <v>184</v>
      </c>
      <c r="I49" s="127">
        <v>0</v>
      </c>
      <c r="J49" s="357">
        <f>+I49+'9'!J49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+C50+'9'!D50</f>
        <v>0</v>
      </c>
      <c r="E50" s="152">
        <f t="shared" si="5"/>
        <v>0</v>
      </c>
      <c r="F50" s="194"/>
      <c r="H50" s="197" t="s">
        <v>83</v>
      </c>
      <c r="I50" s="149">
        <f>I49/I38</f>
        <v>0</v>
      </c>
      <c r="J50" s="357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+C51+'9'!D51</f>
        <v>0</v>
      </c>
      <c r="E51" s="152">
        <f t="shared" si="5"/>
        <v>0</v>
      </c>
      <c r="F51" s="194"/>
      <c r="H51" s="199" t="s">
        <v>85</v>
      </c>
      <c r="I51" s="150">
        <f>I49/I40</f>
        <v>0</v>
      </c>
      <c r="J51" s="358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163</v>
      </c>
      <c r="D52" s="153">
        <f>SUM(D38:D51)</f>
        <v>1065</v>
      </c>
      <c r="E52" s="154">
        <f>SUM(E38:E51)</f>
        <v>17.75</v>
      </c>
      <c r="F52" s="194"/>
      <c r="H52" s="200"/>
      <c r="I52" s="201"/>
      <c r="J52" s="359"/>
      <c r="K52" s="148"/>
    </row>
    <row r="53" spans="1:11" ht="13.5" thickBot="1">
      <c r="A53" s="994"/>
      <c r="B53" s="995"/>
      <c r="C53" s="155">
        <f>C52/(24*60)</f>
        <v>0.11319444444444444</v>
      </c>
      <c r="D53" s="155">
        <f>D52/(24*60*G4)</f>
        <v>7.3958333333333334E-2</v>
      </c>
      <c r="E53" s="156">
        <f>E52/(G4*24)</f>
        <v>7.3958333333333334E-2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+D34+'9'!J56</f>
        <v>8166</v>
      </c>
      <c r="K56" s="210">
        <f>J56/(J40+J56/1000)/1000</f>
        <v>1.4892844832460051E-2</v>
      </c>
    </row>
    <row r="57" spans="1:11">
      <c r="A57" s="185"/>
      <c r="I57" s="208" t="s">
        <v>88</v>
      </c>
      <c r="J57" s="209"/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C27" sqref="C27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10.5703125" style="158" bestFit="1" customWidth="1"/>
    <col min="13" max="13" width="12.140625" style="158" customWidth="1"/>
    <col min="14" max="16384" width="9.140625" style="158"/>
  </cols>
  <sheetData>
    <row r="1" spans="1:16" ht="15.75">
      <c r="A1" s="157"/>
    </row>
    <row r="2" spans="1:16" ht="15.75">
      <c r="A2" s="157" t="s">
        <v>147</v>
      </c>
    </row>
    <row r="3" spans="1:16" ht="15">
      <c r="A3" s="159"/>
    </row>
    <row r="4" spans="1:16" ht="20.25">
      <c r="A4" s="160" t="s">
        <v>3</v>
      </c>
      <c r="B4" s="161"/>
      <c r="F4" s="162" t="s">
        <v>29</v>
      </c>
      <c r="G4" s="163">
        <v>9</v>
      </c>
      <c r="H4" s="163" t="str">
        <f>+'1'!H4</f>
        <v>.11.25</v>
      </c>
    </row>
    <row r="5" spans="1:16" ht="13.5" thickBot="1">
      <c r="C5" s="164"/>
      <c r="D5" s="164"/>
    </row>
    <row r="6" spans="1:16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233+257+213</f>
        <v>703</v>
      </c>
    </row>
    <row r="7" spans="1:16" ht="13.5" customHeight="1" thickBot="1">
      <c r="A7" s="1002" t="s">
        <v>448</v>
      </c>
      <c r="B7" s="224" t="s">
        <v>519</v>
      </c>
      <c r="C7" s="225">
        <v>16662</v>
      </c>
      <c r="D7" s="226"/>
      <c r="E7" s="227"/>
      <c r="F7" s="236"/>
      <c r="G7" s="237" t="s">
        <v>11</v>
      </c>
      <c r="H7" s="238" t="s">
        <v>434</v>
      </c>
      <c r="I7" s="1005" t="s">
        <v>589</v>
      </c>
      <c r="J7" s="223" t="str">
        <f>+'8'!J7</f>
        <v>MG 14 VP HW/OW</v>
      </c>
      <c r="K7" s="246"/>
      <c r="L7" s="250"/>
      <c r="M7" s="126">
        <f>+K7+'8'!M7+L7</f>
        <v>143496</v>
      </c>
    </row>
    <row r="8" spans="1:16" ht="13.5" thickBot="1">
      <c r="A8" s="1003"/>
      <c r="B8" s="224"/>
      <c r="C8" s="225"/>
      <c r="D8" s="226"/>
      <c r="E8" s="228"/>
      <c r="F8" s="239">
        <v>5</v>
      </c>
      <c r="G8" s="240" t="s">
        <v>11</v>
      </c>
      <c r="H8" s="238" t="s">
        <v>587</v>
      </c>
      <c r="I8" s="1006"/>
      <c r="J8" s="223" t="str">
        <f>+'8'!J8</f>
        <v>MG 16,5 VP HW</v>
      </c>
      <c r="K8" s="247"/>
      <c r="L8" s="247"/>
      <c r="M8" s="126">
        <f>+K8+'8'!M8+L8</f>
        <v>93365</v>
      </c>
      <c r="N8" s="158">
        <v>1580</v>
      </c>
      <c r="O8" s="158">
        <f>+N8-N8*0.16</f>
        <v>1327.2</v>
      </c>
      <c r="P8" s="158">
        <f>480+386</f>
        <v>866</v>
      </c>
    </row>
    <row r="9" spans="1:16" ht="13.5" thickBot="1">
      <c r="A9" s="1003"/>
      <c r="B9" s="224"/>
      <c r="C9" s="225"/>
      <c r="D9" s="226"/>
      <c r="E9" s="229"/>
      <c r="F9" s="236">
        <v>9</v>
      </c>
      <c r="G9" s="240" t="s">
        <v>11</v>
      </c>
      <c r="H9" s="582" t="s">
        <v>428</v>
      </c>
      <c r="I9" s="1006"/>
      <c r="J9" s="223" t="str">
        <f>+'8'!J9</f>
        <v>MG 30 VP HW</v>
      </c>
      <c r="K9" s="247"/>
      <c r="L9" s="247"/>
      <c r="M9" s="126">
        <f>+K9+'8'!M9+L9</f>
        <v>4193</v>
      </c>
    </row>
    <row r="10" spans="1:16" ht="13.5" thickBot="1">
      <c r="A10" s="1003"/>
      <c r="B10" s="224"/>
      <c r="C10" s="225"/>
      <c r="D10" s="226"/>
      <c r="E10" s="228"/>
      <c r="F10" s="236"/>
      <c r="G10" s="240"/>
      <c r="H10" s="582" t="s">
        <v>580</v>
      </c>
      <c r="I10" s="1006"/>
      <c r="J10" s="223" t="str">
        <f>+'8'!J10</f>
        <v>MG 17 VP HW</v>
      </c>
      <c r="K10" s="247"/>
      <c r="L10" s="247"/>
      <c r="M10" s="126">
        <f>+K10+'8'!M10+L10</f>
        <v>18114</v>
      </c>
    </row>
    <row r="11" spans="1:16" ht="13.5" thickBot="1">
      <c r="A11" s="1003"/>
      <c r="B11" s="224"/>
      <c r="C11" s="225"/>
      <c r="D11" s="226"/>
      <c r="E11" s="228"/>
      <c r="F11" s="236"/>
      <c r="G11" s="240"/>
      <c r="H11" s="241" t="s">
        <v>577</v>
      </c>
      <c r="I11" s="1006"/>
      <c r="J11" s="223" t="str">
        <f>+'8'!J11</f>
        <v>MG 18 VP HW</v>
      </c>
      <c r="K11" s="247"/>
      <c r="L11" s="247"/>
      <c r="M11" s="126">
        <f>+K11+'8'!M11+L11</f>
        <v>25394</v>
      </c>
    </row>
    <row r="12" spans="1:16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+'8'!J12</f>
        <v>MG 21,5 VP HW</v>
      </c>
      <c r="K12" s="247"/>
      <c r="L12" s="247"/>
      <c r="M12" s="126">
        <f>+K12+'8'!M12+L12</f>
        <v>987</v>
      </c>
    </row>
    <row r="13" spans="1:16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+'8'!J13</f>
        <v>F 10,3 VP OW</v>
      </c>
      <c r="K13" s="247">
        <f>+C7+C16+C25</f>
        <v>37961</v>
      </c>
      <c r="L13" s="247"/>
      <c r="M13" s="126">
        <f>+K13+'8'!M13+L13</f>
        <v>115938</v>
      </c>
    </row>
    <row r="14" spans="1:16" ht="13.5" thickBot="1">
      <c r="A14" s="1004"/>
      <c r="B14" s="174" t="s">
        <v>2</v>
      </c>
      <c r="C14" s="108">
        <f>SUM(C7:C13)</f>
        <v>16662</v>
      </c>
      <c r="D14" s="120">
        <f>SUM(D7:D13)</f>
        <v>0</v>
      </c>
      <c r="E14" s="121">
        <f>SUM(E5:E13)</f>
        <v>0</v>
      </c>
      <c r="F14" s="125">
        <f>SUM(F7:F13)</f>
        <v>14</v>
      </c>
      <c r="G14" s="168"/>
      <c r="H14" s="175"/>
      <c r="I14" s="176"/>
      <c r="J14" s="223" t="str">
        <f>+'8'!J14</f>
        <v>F 12 VP OW</v>
      </c>
      <c r="K14" s="247"/>
      <c r="L14" s="247"/>
      <c r="M14" s="126">
        <f>+K14+'8'!M14+L14</f>
        <v>47497</v>
      </c>
    </row>
    <row r="15" spans="1:16" ht="13.5" customHeight="1" thickBot="1">
      <c r="A15" s="1002" t="s">
        <v>449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588</v>
      </c>
      <c r="J15" s="223" t="str">
        <f>+'8'!J15</f>
        <v>F 13 VP OW</v>
      </c>
      <c r="K15" s="247"/>
      <c r="L15" s="247"/>
      <c r="M15" s="126">
        <f>+K15+'8'!M15+L15</f>
        <v>32631</v>
      </c>
    </row>
    <row r="16" spans="1:16" ht="13.5" thickBot="1">
      <c r="A16" s="1008"/>
      <c r="B16" s="224" t="s">
        <v>519</v>
      </c>
      <c r="C16" s="230">
        <v>16759</v>
      </c>
      <c r="D16" s="231"/>
      <c r="E16" s="232"/>
      <c r="F16" s="236">
        <v>4</v>
      </c>
      <c r="G16" s="240" t="s">
        <v>11</v>
      </c>
      <c r="H16" s="238" t="s">
        <v>568</v>
      </c>
      <c r="I16" s="1006"/>
      <c r="J16" s="223" t="s">
        <v>598</v>
      </c>
      <c r="K16" s="247">
        <f>+C26</f>
        <v>15151</v>
      </c>
      <c r="L16" s="247"/>
      <c r="M16" s="126">
        <f>+K16+'8'!M16+L16</f>
        <v>15151</v>
      </c>
    </row>
    <row r="17" spans="1:18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463</v>
      </c>
      <c r="I17" s="1006"/>
      <c r="J17" s="223">
        <f>+'8'!J17</f>
        <v>0</v>
      </c>
      <c r="K17" s="247"/>
      <c r="L17" s="247"/>
      <c r="M17" s="126">
        <f>+K17+'8'!M17+L17</f>
        <v>0</v>
      </c>
      <c r="N17" s="158">
        <v>1580</v>
      </c>
      <c r="O17" s="158">
        <f>+N17-N17*0.16</f>
        <v>1327.2</v>
      </c>
      <c r="P17" s="158">
        <f>360+26</f>
        <v>386</v>
      </c>
      <c r="Q17" s="158">
        <f>+N17*P17</f>
        <v>609880</v>
      </c>
      <c r="R17" s="158">
        <f>+O17*P17</f>
        <v>512299.2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578</v>
      </c>
      <c r="I18" s="1006"/>
      <c r="J18" s="223">
        <f>+'8'!J18</f>
        <v>0</v>
      </c>
      <c r="K18" s="247"/>
      <c r="L18" s="247"/>
      <c r="M18" s="126">
        <f>+K18+'8'!M18+L18</f>
        <v>0</v>
      </c>
      <c r="N18" s="158">
        <v>1580</v>
      </c>
      <c r="O18" s="158">
        <f>+N18-N18*0.24</f>
        <v>1200.8</v>
      </c>
      <c r="P18" s="158">
        <f>120-26</f>
        <v>94</v>
      </c>
      <c r="Q18" s="158">
        <f>+N18*P18</f>
        <v>148520</v>
      </c>
      <c r="R18" s="158">
        <f>+O18*P18</f>
        <v>112875.2</v>
      </c>
    </row>
    <row r="19" spans="1:18" ht="13.5" thickBot="1">
      <c r="A19" s="1008"/>
      <c r="B19" s="224"/>
      <c r="C19" s="225"/>
      <c r="D19" s="226"/>
      <c r="E19" s="233"/>
      <c r="F19" s="243"/>
      <c r="G19" s="240"/>
      <c r="H19" s="241" t="s">
        <v>581</v>
      </c>
      <c r="I19" s="1006"/>
      <c r="J19" s="223">
        <f>+'8'!J19</f>
        <v>0</v>
      </c>
      <c r="K19" s="247"/>
      <c r="L19" s="247"/>
      <c r="M19" s="126">
        <f>+K19+'8'!M19+L19</f>
        <v>0</v>
      </c>
      <c r="P19" s="158">
        <f>SUM(P17:P18)</f>
        <v>480</v>
      </c>
      <c r="Q19" s="158">
        <f t="shared" ref="Q19:R19" si="0">SUM(Q17:Q18)</f>
        <v>758400</v>
      </c>
      <c r="R19" s="158">
        <f t="shared" si="0"/>
        <v>625174.4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 t="s">
        <v>560</v>
      </c>
      <c r="I20" s="1006"/>
      <c r="J20" s="223">
        <f>+'8'!J20</f>
        <v>0</v>
      </c>
      <c r="K20" s="247"/>
      <c r="L20" s="247"/>
      <c r="M20" s="126">
        <f>+K20+'8'!M20+L20</f>
        <v>0</v>
      </c>
      <c r="Q20" s="158">
        <f>+Q19/P19</f>
        <v>1580</v>
      </c>
      <c r="R20" s="158">
        <f>+R19/P19</f>
        <v>1302.4466666666667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+'8'!J21</f>
        <v>0</v>
      </c>
      <c r="K21" s="247"/>
      <c r="L21" s="247"/>
      <c r="M21" s="126">
        <f>+K21+'8'!M21+L21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+'8'!J22</f>
        <v>0</v>
      </c>
      <c r="K22" s="247"/>
      <c r="L22" s="247"/>
      <c r="M22" s="126">
        <f>+K22+'8'!M22+L22</f>
        <v>0</v>
      </c>
    </row>
    <row r="23" spans="1:18" ht="13.5" thickBot="1">
      <c r="A23" s="1009"/>
      <c r="B23" s="177" t="s">
        <v>2</v>
      </c>
      <c r="C23" s="109">
        <f>SUM(C16:C22)</f>
        <v>16759</v>
      </c>
      <c r="D23" s="120">
        <f>SUM(D16:D22)</f>
        <v>0</v>
      </c>
      <c r="E23" s="121">
        <f>SUM(E18:E22)</f>
        <v>0</v>
      </c>
      <c r="F23" s="125">
        <f>SUM(F15:F22)</f>
        <v>14</v>
      </c>
      <c r="G23" s="168"/>
      <c r="H23" s="175" t="s">
        <v>234</v>
      </c>
      <c r="I23" s="178"/>
      <c r="J23" s="223">
        <f>+'8'!J23</f>
        <v>0</v>
      </c>
      <c r="K23" s="247"/>
      <c r="L23" s="247"/>
      <c r="M23" s="126">
        <f>+K23+'8'!M23+L23</f>
        <v>0</v>
      </c>
    </row>
    <row r="24" spans="1:18" ht="13.5" customHeight="1" thickBot="1">
      <c r="A24" s="1002" t="s">
        <v>447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590</v>
      </c>
      <c r="J24" s="223">
        <f>+'8'!J24</f>
        <v>0</v>
      </c>
      <c r="K24" s="247"/>
      <c r="L24" s="247"/>
      <c r="M24" s="126">
        <f>+K24+'8'!M24+L24</f>
        <v>0</v>
      </c>
    </row>
    <row r="25" spans="1:18" ht="13.5" thickBot="1">
      <c r="A25" s="1008"/>
      <c r="B25" s="224" t="s">
        <v>519</v>
      </c>
      <c r="C25" s="234">
        <v>4540</v>
      </c>
      <c r="D25" s="226">
        <v>0</v>
      </c>
      <c r="E25" s="233"/>
      <c r="F25" s="239">
        <v>5</v>
      </c>
      <c r="G25" s="240" t="s">
        <v>11</v>
      </c>
      <c r="H25" s="238" t="s">
        <v>433</v>
      </c>
      <c r="I25" s="1006"/>
      <c r="J25" s="223">
        <f>+'8'!J25</f>
        <v>0</v>
      </c>
      <c r="K25" s="247"/>
      <c r="L25" s="247"/>
      <c r="M25" s="126">
        <f>+K25+'8'!M25+L25</f>
        <v>0</v>
      </c>
    </row>
    <row r="26" spans="1:18" ht="13.5" thickBot="1">
      <c r="A26" s="1008"/>
      <c r="B26" s="224" t="s">
        <v>598</v>
      </c>
      <c r="C26" s="234">
        <f>7887+3480+3784</f>
        <v>15151</v>
      </c>
      <c r="D26" s="226">
        <v>408</v>
      </c>
      <c r="E26" s="235"/>
      <c r="F26" s="239">
        <v>10</v>
      </c>
      <c r="G26" s="240" t="s">
        <v>11</v>
      </c>
      <c r="H26" s="582" t="s">
        <v>463</v>
      </c>
      <c r="I26" s="1006"/>
      <c r="J26" s="223">
        <f>+'8'!J26</f>
        <v>0</v>
      </c>
      <c r="K26" s="247"/>
      <c r="L26" s="247"/>
      <c r="M26" s="126">
        <f>+K26+'8'!M26+L26</f>
        <v>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582</v>
      </c>
      <c r="I27" s="1006"/>
      <c r="J27" s="223">
        <f>+'8'!J27</f>
        <v>0</v>
      </c>
      <c r="K27" s="247"/>
      <c r="L27" s="247"/>
      <c r="M27" s="126">
        <f>+K27+'8'!M27+L27</f>
        <v>0</v>
      </c>
      <c r="N27" s="158">
        <v>1580</v>
      </c>
      <c r="O27" s="158">
        <f>+N27-N27*0.24</f>
        <v>1200.8</v>
      </c>
      <c r="P27" s="158">
        <f>120-26+480</f>
        <v>574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 t="s">
        <v>560</v>
      </c>
      <c r="I28" s="1006"/>
      <c r="J28" s="223">
        <f>+'8'!J28</f>
        <v>0</v>
      </c>
      <c r="K28" s="247"/>
      <c r="L28" s="247"/>
      <c r="M28" s="126">
        <f>+K28+'8'!M28+L28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+'8'!J29</f>
        <v>0</v>
      </c>
      <c r="K29" s="247"/>
      <c r="L29" s="247"/>
      <c r="M29" s="126">
        <f>+K29+'8'!M29+L29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+'8'!J30</f>
        <v>0</v>
      </c>
      <c r="K30" s="247"/>
      <c r="L30" s="247"/>
      <c r="M30" s="126">
        <f>+K30+'8'!M30+L30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+'8'!J31</f>
        <v>0</v>
      </c>
      <c r="K31" s="247"/>
      <c r="L31" s="247"/>
      <c r="M31" s="126">
        <f>+K31+'8'!M31+L31</f>
        <v>0</v>
      </c>
    </row>
    <row r="32" spans="1:18" ht="13.5" thickBot="1">
      <c r="A32" s="1009"/>
      <c r="B32" s="174" t="s">
        <v>2</v>
      </c>
      <c r="C32" s="108">
        <f>SUM(C25:C31)</f>
        <v>19691</v>
      </c>
      <c r="D32" s="109">
        <f>SUM(D25:D31)</f>
        <v>408</v>
      </c>
      <c r="E32" s="110">
        <f>SUM(E25:E31)</f>
        <v>0</v>
      </c>
      <c r="F32" s="111">
        <f>SUM(F24:F31)</f>
        <v>15</v>
      </c>
      <c r="G32" s="180"/>
      <c r="H32" s="181"/>
      <c r="I32" s="178"/>
      <c r="J32" s="223">
        <f>+'8'!J32</f>
        <v>0</v>
      </c>
      <c r="K32" s="249"/>
      <c r="L32" s="251"/>
      <c r="M32" s="126">
        <f>+K32+'8'!M32+L32</f>
        <v>0</v>
      </c>
    </row>
    <row r="33" spans="1:14" ht="13.5" thickBot="1">
      <c r="A33" s="182"/>
      <c r="B33" s="183"/>
      <c r="C33" s="112">
        <f>C32/($C$32+$D$32+$E$32)</f>
        <v>0.97970048261107523</v>
      </c>
      <c r="D33" s="113">
        <f>D32/($C$32+$D$32+$E$32)</f>
        <v>2.0299517388924822E-2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53112</v>
      </c>
      <c r="D34" s="116">
        <f>D14+D23+D32</f>
        <v>408</v>
      </c>
      <c r="E34" s="116">
        <f>E14+E23+E32</f>
        <v>0</v>
      </c>
      <c r="F34" s="117">
        <f>F14+F23+F32</f>
        <v>43</v>
      </c>
      <c r="H34" s="187"/>
      <c r="I34" s="187"/>
      <c r="J34" s="132" t="s">
        <v>27</v>
      </c>
      <c r="K34" s="133">
        <f>SUM(K7:K32)</f>
        <v>53112</v>
      </c>
      <c r="L34" s="221">
        <f>SUM(L7:L32)</f>
        <v>0</v>
      </c>
      <c r="M34" s="129">
        <f>SUM(M7:M32)</f>
        <v>496766</v>
      </c>
      <c r="N34" s="164"/>
    </row>
    <row r="35" spans="1:14" ht="13.5" thickBot="1">
      <c r="A35" s="188"/>
      <c r="B35" s="189"/>
      <c r="C35" s="113">
        <f>C34/($C$34+$D$34+$E$34)</f>
        <v>0.99237668161434978</v>
      </c>
      <c r="D35" s="113">
        <f>D34/($C$34+$D$34+$E$34)</f>
        <v>7.623318385650224E-3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(10.3*866+12.5*574)/1440*G42*2.77*1440/1000000</f>
        <v>56.923752079848882</v>
      </c>
      <c r="J37" s="134">
        <f>+I37+'8'!J37</f>
        <v>580.2812574701361</v>
      </c>
      <c r="K37" s="135" t="s">
        <v>62</v>
      </c>
      <c r="N37" s="556">
        <f>+I38-N38</f>
        <v>33.324999999999996</v>
      </c>
    </row>
    <row r="38" spans="1:14" ht="17.45" customHeight="1">
      <c r="A38" s="1000" t="s">
        <v>11</v>
      </c>
      <c r="B38" s="1001"/>
      <c r="C38" s="173">
        <f>SUMIF($G$7:$G$31,"Process",$F$7:$F$31)</f>
        <v>43</v>
      </c>
      <c r="D38" s="127">
        <f>+C38+'8'!D38</f>
        <v>682</v>
      </c>
      <c r="E38" s="152">
        <f t="shared" ref="E38:E51" si="1">D38/60</f>
        <v>11.366666666666667</v>
      </c>
      <c r="F38" s="337">
        <v>1580</v>
      </c>
      <c r="G38" s="337">
        <f>+F38-F38*0.16</f>
        <v>1327.2</v>
      </c>
      <c r="H38" s="196" t="s">
        <v>63</v>
      </c>
      <c r="I38" s="549">
        <f>17.506+18.264+18.859</f>
        <v>54.628999999999998</v>
      </c>
      <c r="J38" s="136">
        <f>+I38+'8'!J38</f>
        <v>519.12</v>
      </c>
      <c r="K38" s="137" t="s">
        <v>62</v>
      </c>
      <c r="N38" s="556">
        <f>2.445+18.859</f>
        <v>21.304000000000002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+C39+'8'!D39</f>
        <v>0</v>
      </c>
      <c r="E39" s="152">
        <f t="shared" si="1"/>
        <v>0</v>
      </c>
      <c r="F39" s="337">
        <v>1580</v>
      </c>
      <c r="G39" s="337">
        <v>1302.4466666666667</v>
      </c>
      <c r="H39" s="196" t="s">
        <v>64</v>
      </c>
      <c r="I39" s="151"/>
      <c r="J39" s="138">
        <f>J37/G4</f>
        <v>64.475695274459568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+C40+'8'!D40</f>
        <v>140</v>
      </c>
      <c r="E40" s="152">
        <f t="shared" si="1"/>
        <v>2.3333333333333335</v>
      </c>
      <c r="F40" s="337">
        <v>1580</v>
      </c>
      <c r="G40" s="337">
        <f>+F40-F40*0.24</f>
        <v>1200.8</v>
      </c>
      <c r="H40" s="196" t="s">
        <v>66</v>
      </c>
      <c r="I40" s="127">
        <f>(K34+L34)/1000</f>
        <v>53.112000000000002</v>
      </c>
      <c r="J40" s="140">
        <f>+I40+'8'!J40</f>
        <v>496.76600000000002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+C41+'8'!D41</f>
        <v>80</v>
      </c>
      <c r="E41" s="152">
        <f t="shared" si="1"/>
        <v>1.3333333333333333</v>
      </c>
      <c r="F41" s="337"/>
      <c r="G41" s="337"/>
      <c r="H41" s="196" t="s">
        <v>68</v>
      </c>
      <c r="I41" s="151"/>
      <c r="J41" s="138">
        <f>J40/G4</f>
        <v>55.196222222222225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+C42+'8'!D42</f>
        <v>0</v>
      </c>
      <c r="E42" s="152">
        <f t="shared" si="1"/>
        <v>0</v>
      </c>
      <c r="F42" s="337">
        <f>+(F38*480+F39*480+F40*480)/1440</f>
        <v>1580</v>
      </c>
      <c r="G42" s="337">
        <f>+(G38*480+G39*480+G40*480)/1440</f>
        <v>1276.8155555555554</v>
      </c>
      <c r="H42" s="196" t="s">
        <v>69</v>
      </c>
      <c r="I42" s="254" t="s">
        <v>591</v>
      </c>
      <c r="J42" s="141"/>
      <c r="K42" s="139" t="s">
        <v>70</v>
      </c>
    </row>
    <row r="43" spans="1:14" ht="17.45" customHeight="1">
      <c r="A43" s="996" t="s">
        <v>236</v>
      </c>
      <c r="B43" s="997"/>
      <c r="C43" s="173">
        <f>SUMIF($G$7:$G$31,"Change GRade",$F$7:$F$31)</f>
        <v>0</v>
      </c>
      <c r="D43" s="127">
        <f>+C43+'8'!D43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+Report1!T17</f>
        <v>117.13600000000001</v>
      </c>
      <c r="J43" s="142">
        <f>+I43+'8'!J43</f>
        <v>1206.8420000000001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+C44+'8'!D44</f>
        <v>0</v>
      </c>
      <c r="E44" s="152">
        <f t="shared" si="1"/>
        <v>0</v>
      </c>
      <c r="F44" s="337"/>
      <c r="G44" s="338"/>
      <c r="H44" s="197" t="s">
        <v>73</v>
      </c>
      <c r="I44" s="127">
        <f>I43/I38</f>
        <v>2.1442091196983291</v>
      </c>
      <c r="J44" s="143">
        <f>J43/J38</f>
        <v>2.3247842502696874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+C45+'8'!D45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2.205452628407893</v>
      </c>
      <c r="J45" s="143">
        <f>J43/J40</f>
        <v>2.4293973420081088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+C46+'8'!D46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+SUMIF(Listrik!AR16,"&gt;0")</f>
        <v>55397.940000000832</v>
      </c>
      <c r="J46" s="144">
        <f>+I46+'8'!J46</f>
        <v>479506.7799999998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+C47+'8'!D47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1014.0756740925302</v>
      </c>
      <c r="J47" s="144">
        <f>J46/J38</f>
        <v>923.69159346586491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+C48+'8'!D48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1043.03999096251</v>
      </c>
      <c r="J48" s="144">
        <f>J46/J40</f>
        <v>965.2568412491994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+C49+'8'!D49</f>
        <v>0</v>
      </c>
      <c r="E49" s="152">
        <f t="shared" si="1"/>
        <v>0</v>
      </c>
      <c r="F49" s="194"/>
      <c r="H49" s="197" t="s">
        <v>184</v>
      </c>
      <c r="I49" s="127">
        <v>0</v>
      </c>
      <c r="J49" s="144">
        <f>+I49+'8'!J49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+C50+'8'!D50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+C51+'8'!D51</f>
        <v>0</v>
      </c>
      <c r="E51" s="152">
        <f t="shared" si="1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43</v>
      </c>
      <c r="D52" s="153">
        <f>SUM(D38:D51)</f>
        <v>902</v>
      </c>
      <c r="E52" s="154">
        <f>SUM(E38:E51)</f>
        <v>15.033333333333335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2.9861111111111113E-2</v>
      </c>
      <c r="D53" s="155">
        <f>D52/(24*60*G4)</f>
        <v>6.9598765432098766E-2</v>
      </c>
      <c r="E53" s="156">
        <f>E52/(G4*24)</f>
        <v>6.9598765432098766E-2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+D34+'8'!J56</f>
        <v>6927</v>
      </c>
      <c r="K56" s="210">
        <f>J56/(J40+J56/1000)/1000</f>
        <v>1.3752424591963753E-2</v>
      </c>
    </row>
    <row r="57" spans="1:11">
      <c r="A57" s="185"/>
      <c r="I57" s="208" t="s">
        <v>88</v>
      </c>
      <c r="J57" s="209">
        <f>+E34+'8'!J57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K14" sqref="K14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13.7109375" style="158" bestFit="1" customWidth="1"/>
    <col min="13" max="13" width="15" style="158" bestFit="1" customWidth="1"/>
    <col min="14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29</v>
      </c>
      <c r="G4" s="163">
        <v>8</v>
      </c>
      <c r="H4" s="163" t="str">
        <f>+'1'!H4</f>
        <v>.11.25</v>
      </c>
    </row>
    <row r="5" spans="1:15" ht="13.5" thickBot="1">
      <c r="C5" s="164"/>
      <c r="D5" s="164"/>
    </row>
    <row r="6" spans="1:15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218+237+218</f>
        <v>673</v>
      </c>
    </row>
    <row r="7" spans="1:15" ht="13.5" customHeight="1" thickBot="1">
      <c r="A7" s="1002" t="s">
        <v>448</v>
      </c>
      <c r="B7" s="224" t="s">
        <v>519</v>
      </c>
      <c r="C7" s="225">
        <v>14209</v>
      </c>
      <c r="D7" s="226"/>
      <c r="E7" s="227"/>
      <c r="F7" s="236"/>
      <c r="G7" s="237" t="s">
        <v>11</v>
      </c>
      <c r="H7" s="238" t="s">
        <v>434</v>
      </c>
      <c r="I7" s="1005" t="s">
        <v>584</v>
      </c>
      <c r="J7" s="223" t="str">
        <f>+'7'!J7</f>
        <v>MG 14 VP HW/OW</v>
      </c>
      <c r="K7" s="246"/>
      <c r="L7" s="250"/>
      <c r="M7" s="126">
        <f>+K7+'7'!M7+L7</f>
        <v>143496</v>
      </c>
    </row>
    <row r="8" spans="1:15" ht="13.5" thickBot="1">
      <c r="A8" s="1003"/>
      <c r="B8" s="224"/>
      <c r="C8" s="225"/>
      <c r="D8" s="226"/>
      <c r="E8" s="228"/>
      <c r="F8" s="239">
        <v>5</v>
      </c>
      <c r="G8" s="240" t="s">
        <v>11</v>
      </c>
      <c r="H8" s="238" t="s">
        <v>569</v>
      </c>
      <c r="I8" s="1006"/>
      <c r="J8" s="223" t="str">
        <f>+'7'!J8</f>
        <v>MG 16,5 VP HW</v>
      </c>
      <c r="K8" s="247"/>
      <c r="L8" s="247"/>
      <c r="M8" s="126">
        <f>+K8+'7'!M8+L8</f>
        <v>93365</v>
      </c>
      <c r="N8" s="158">
        <v>1550</v>
      </c>
      <c r="O8" s="158">
        <f>+N8-N8*0.16</f>
        <v>1302</v>
      </c>
    </row>
    <row r="9" spans="1:15" ht="13.5" thickBot="1">
      <c r="A9" s="1003"/>
      <c r="B9" s="224"/>
      <c r="C9" s="225"/>
      <c r="D9" s="226"/>
      <c r="E9" s="229"/>
      <c r="F9" s="236">
        <v>8</v>
      </c>
      <c r="G9" s="240" t="s">
        <v>11</v>
      </c>
      <c r="H9" s="582" t="s">
        <v>546</v>
      </c>
      <c r="I9" s="1006"/>
      <c r="J9" s="223" t="str">
        <f>+'7'!J9</f>
        <v>MG 30 VP HW</v>
      </c>
      <c r="K9" s="247"/>
      <c r="L9" s="247"/>
      <c r="M9" s="126">
        <f>+K9+'7'!M9+L9</f>
        <v>4193</v>
      </c>
    </row>
    <row r="10" spans="1:15" ht="13.5" thickBot="1">
      <c r="A10" s="1003"/>
      <c r="B10" s="224"/>
      <c r="C10" s="225"/>
      <c r="D10" s="226"/>
      <c r="E10" s="228"/>
      <c r="F10" s="236"/>
      <c r="G10" s="240"/>
      <c r="H10" s="582" t="s">
        <v>583</v>
      </c>
      <c r="I10" s="1006"/>
      <c r="J10" s="223" t="str">
        <f>+'7'!J10</f>
        <v>MG 17 VP HW</v>
      </c>
      <c r="K10" s="247"/>
      <c r="L10" s="247"/>
      <c r="M10" s="126">
        <f>+K10+'7'!M10+L10</f>
        <v>18114</v>
      </c>
    </row>
    <row r="11" spans="1:15" ht="13.5" thickBot="1">
      <c r="A11" s="1003"/>
      <c r="B11" s="224"/>
      <c r="C11" s="225"/>
      <c r="D11" s="226"/>
      <c r="E11" s="228"/>
      <c r="F11" s="236"/>
      <c r="G11" s="240"/>
      <c r="H11" s="241" t="s">
        <v>577</v>
      </c>
      <c r="I11" s="1006"/>
      <c r="J11" s="223" t="str">
        <f>+'7'!J11</f>
        <v>MG 18 VP HW</v>
      </c>
      <c r="K11" s="247"/>
      <c r="L11" s="247"/>
      <c r="M11" s="126">
        <f>+K11+'7'!M11+L11</f>
        <v>25394</v>
      </c>
    </row>
    <row r="12" spans="1:15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+'7'!J12</f>
        <v>MG 21,5 VP HW</v>
      </c>
      <c r="K12" s="247"/>
      <c r="L12" s="247"/>
      <c r="M12" s="126">
        <f>+K12+'7'!M12+L12</f>
        <v>987</v>
      </c>
    </row>
    <row r="13" spans="1:15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+'7'!J13</f>
        <v>F 10,3 VP OW</v>
      </c>
      <c r="K13" s="247">
        <f>+C34</f>
        <v>47743</v>
      </c>
      <c r="L13" s="247"/>
      <c r="M13" s="126">
        <f>+K13+'7'!M13+L13</f>
        <v>77977</v>
      </c>
    </row>
    <row r="14" spans="1:15" ht="13.5" thickBot="1">
      <c r="A14" s="1004"/>
      <c r="B14" s="174" t="s">
        <v>2</v>
      </c>
      <c r="C14" s="108">
        <f>SUM(C7:C13)</f>
        <v>14209</v>
      </c>
      <c r="D14" s="120">
        <f>SUM(D7:D13)</f>
        <v>0</v>
      </c>
      <c r="E14" s="121">
        <f>SUM(E5:E13)</f>
        <v>0</v>
      </c>
      <c r="F14" s="125">
        <f>SUM(F7:F13)</f>
        <v>13</v>
      </c>
      <c r="G14" s="168"/>
      <c r="H14" s="175"/>
      <c r="I14" s="176"/>
      <c r="J14" s="223" t="str">
        <f>+'7'!J14</f>
        <v>F 12 VP OW</v>
      </c>
      <c r="K14" s="247"/>
      <c r="L14" s="247"/>
      <c r="M14" s="126">
        <f>+K14+'7'!M14+L14</f>
        <v>47497</v>
      </c>
    </row>
    <row r="15" spans="1:15" ht="13.5" customHeight="1" thickBot="1">
      <c r="A15" s="1002" t="s">
        <v>449</v>
      </c>
      <c r="B15" s="174"/>
      <c r="C15" s="122"/>
      <c r="D15" s="123"/>
      <c r="E15" s="124"/>
      <c r="F15" s="236">
        <v>25</v>
      </c>
      <c r="G15" s="237" t="s">
        <v>11</v>
      </c>
      <c r="H15" s="238" t="s">
        <v>443</v>
      </c>
      <c r="I15" s="1005" t="s">
        <v>585</v>
      </c>
      <c r="J15" s="223" t="str">
        <f>+'7'!J15</f>
        <v>F 13 VP OW</v>
      </c>
      <c r="K15" s="247"/>
      <c r="L15" s="247"/>
      <c r="M15" s="126">
        <f>+K15+'7'!M15+L15</f>
        <v>32631</v>
      </c>
    </row>
    <row r="16" spans="1:15" ht="13.5" thickBot="1">
      <c r="A16" s="1008"/>
      <c r="B16" s="224" t="s">
        <v>519</v>
      </c>
      <c r="C16" s="230">
        <v>15283</v>
      </c>
      <c r="D16" s="231"/>
      <c r="E16" s="232"/>
      <c r="F16" s="236">
        <v>8</v>
      </c>
      <c r="G16" s="240" t="s">
        <v>11</v>
      </c>
      <c r="H16" s="238" t="s">
        <v>587</v>
      </c>
      <c r="I16" s="1006"/>
      <c r="J16" s="223">
        <f>+'7'!J16</f>
        <v>0</v>
      </c>
      <c r="K16" s="247"/>
      <c r="L16" s="247"/>
      <c r="M16" s="126">
        <f>+K16+'7'!M16+L16</f>
        <v>0</v>
      </c>
      <c r="N16" s="158">
        <v>1560</v>
      </c>
      <c r="O16" s="158">
        <f>+N16-N16*0.16</f>
        <v>1310.4000000000001</v>
      </c>
    </row>
    <row r="17" spans="1:14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546</v>
      </c>
      <c r="I17" s="1006"/>
      <c r="J17" s="223">
        <f>+'7'!J17</f>
        <v>0</v>
      </c>
      <c r="K17" s="247"/>
      <c r="L17" s="247"/>
      <c r="M17" s="126">
        <f>+K17+'7'!M17+L17</f>
        <v>0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578</v>
      </c>
      <c r="I18" s="1006"/>
      <c r="J18" s="223">
        <f>+'7'!J18</f>
        <v>0</v>
      </c>
      <c r="K18" s="247"/>
      <c r="L18" s="247"/>
      <c r="M18" s="126">
        <f>+K18+'7'!M18+L18</f>
        <v>0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 t="s">
        <v>560</v>
      </c>
      <c r="I19" s="1006"/>
      <c r="J19" s="223">
        <f>+'7'!J19</f>
        <v>0</v>
      </c>
      <c r="K19" s="247"/>
      <c r="L19" s="247"/>
      <c r="M19" s="126">
        <f>+K19+'7'!M19+L19</f>
        <v>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+'7'!J20</f>
        <v>0</v>
      </c>
      <c r="K20" s="247"/>
      <c r="L20" s="247"/>
      <c r="M20" s="126">
        <f>+K20+'7'!M20+L20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+'7'!J21</f>
        <v>0</v>
      </c>
      <c r="K21" s="247"/>
      <c r="L21" s="247"/>
      <c r="M21" s="126">
        <f>+K21+'7'!M21+L21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+'7'!J22</f>
        <v>0</v>
      </c>
      <c r="K22" s="247"/>
      <c r="L22" s="247"/>
      <c r="M22" s="126">
        <f>+K22+'7'!M22+L22</f>
        <v>0</v>
      </c>
    </row>
    <row r="23" spans="1:14" ht="13.5" thickBot="1">
      <c r="A23" s="1009"/>
      <c r="B23" s="177" t="s">
        <v>2</v>
      </c>
      <c r="C23" s="109">
        <f>SUM(C16:C22)</f>
        <v>15283</v>
      </c>
      <c r="D23" s="120">
        <f>SUM(D16:D22)</f>
        <v>0</v>
      </c>
      <c r="E23" s="121">
        <f>SUM(E18:E22)</f>
        <v>0</v>
      </c>
      <c r="F23" s="125">
        <f>SUM(F15:F22)</f>
        <v>43</v>
      </c>
      <c r="G23" s="168"/>
      <c r="H23" s="175" t="s">
        <v>234</v>
      </c>
      <c r="I23" s="178"/>
      <c r="J23" s="223">
        <f>+'7'!J23</f>
        <v>0</v>
      </c>
      <c r="K23" s="247"/>
      <c r="L23" s="247"/>
      <c r="M23" s="126">
        <f>+K23+'7'!M23+L23</f>
        <v>0</v>
      </c>
    </row>
    <row r="24" spans="1:14" ht="13.5" customHeight="1" thickBot="1">
      <c r="A24" s="1002" t="s">
        <v>465</v>
      </c>
      <c r="B24" s="179"/>
      <c r="C24" s="122"/>
      <c r="D24" s="123"/>
      <c r="E24" s="124"/>
      <c r="F24" s="244"/>
      <c r="G24" s="237" t="s">
        <v>11</v>
      </c>
      <c r="H24" s="238" t="s">
        <v>434</v>
      </c>
      <c r="I24" s="1005" t="s">
        <v>584</v>
      </c>
      <c r="J24" s="223">
        <f>+'7'!J24</f>
        <v>0</v>
      </c>
      <c r="K24" s="247"/>
      <c r="L24" s="247"/>
      <c r="M24" s="126">
        <f>+K24+'7'!M24+L24</f>
        <v>0</v>
      </c>
    </row>
    <row r="25" spans="1:14" ht="13.5" thickBot="1">
      <c r="A25" s="1008"/>
      <c r="B25" s="224" t="s">
        <v>519</v>
      </c>
      <c r="C25" s="234">
        <v>18251</v>
      </c>
      <c r="D25" s="226"/>
      <c r="E25" s="233"/>
      <c r="F25" s="239">
        <v>5</v>
      </c>
      <c r="G25" s="240" t="s">
        <v>11</v>
      </c>
      <c r="H25" s="238" t="s">
        <v>433</v>
      </c>
      <c r="I25" s="1006"/>
      <c r="J25" s="223">
        <f>+'7'!J25</f>
        <v>0</v>
      </c>
      <c r="K25" s="247"/>
      <c r="L25" s="247"/>
      <c r="M25" s="126">
        <f>+K25+'7'!M25+L25</f>
        <v>0</v>
      </c>
    </row>
    <row r="26" spans="1:14" ht="13.5" thickBot="1">
      <c r="A26" s="1008"/>
      <c r="B26" s="224"/>
      <c r="C26" s="234"/>
      <c r="D26" s="226"/>
      <c r="E26" s="235"/>
      <c r="F26" s="239">
        <v>8</v>
      </c>
      <c r="G26" s="240" t="s">
        <v>11</v>
      </c>
      <c r="H26" s="582" t="s">
        <v>512</v>
      </c>
      <c r="I26" s="1006"/>
      <c r="J26" s="223">
        <f>+'7'!J26</f>
        <v>0</v>
      </c>
      <c r="K26" s="247"/>
      <c r="L26" s="247"/>
      <c r="M26" s="126">
        <f>+K26+'7'!M26+L26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583</v>
      </c>
      <c r="I27" s="1006"/>
      <c r="J27" s="223">
        <f>+'7'!J27</f>
        <v>0</v>
      </c>
      <c r="K27" s="247"/>
      <c r="L27" s="247"/>
      <c r="M27" s="126">
        <f>+K27+'7'!M27+L27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 t="s">
        <v>579</v>
      </c>
      <c r="I28" s="1006"/>
      <c r="J28" s="223">
        <f>+'7'!J28</f>
        <v>0</v>
      </c>
      <c r="K28" s="247"/>
      <c r="L28" s="247"/>
      <c r="M28" s="126">
        <f>+K28+'7'!M28+L28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+'7'!J29</f>
        <v>0</v>
      </c>
      <c r="K29" s="247"/>
      <c r="L29" s="247"/>
      <c r="M29" s="126">
        <f>+K29+'7'!M29+L29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+'7'!J30</f>
        <v>0</v>
      </c>
      <c r="K30" s="247"/>
      <c r="L30" s="247"/>
      <c r="M30" s="126">
        <f>+K30+'7'!M30+L30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+'7'!J31</f>
        <v>0</v>
      </c>
      <c r="K31" s="247"/>
      <c r="L31" s="247"/>
      <c r="M31" s="126">
        <f>+K31+'7'!M31+L31</f>
        <v>0</v>
      </c>
    </row>
    <row r="32" spans="1:14" ht="13.5" thickBot="1">
      <c r="A32" s="1009"/>
      <c r="B32" s="174" t="s">
        <v>2</v>
      </c>
      <c r="C32" s="108">
        <f>SUM(C25:C31)</f>
        <v>18251</v>
      </c>
      <c r="D32" s="109">
        <f>SUM(D25:D31)</f>
        <v>0</v>
      </c>
      <c r="E32" s="110">
        <f>SUM(E25:E31)</f>
        <v>0</v>
      </c>
      <c r="F32" s="111">
        <f>SUM(F24:F31)</f>
        <v>13</v>
      </c>
      <c r="G32" s="180"/>
      <c r="H32" s="181"/>
      <c r="I32" s="178"/>
      <c r="J32" s="223">
        <f>+'7'!J32</f>
        <v>0</v>
      </c>
      <c r="K32" s="249"/>
      <c r="L32" s="251"/>
      <c r="M32" s="126">
        <f>+K32+'7'!M32+L32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47743</v>
      </c>
      <c r="D34" s="116">
        <f>D14+D23+D32</f>
        <v>0</v>
      </c>
      <c r="E34" s="116">
        <f>E14+E23+E32</f>
        <v>0</v>
      </c>
      <c r="F34" s="117">
        <f>F14+F23+F32</f>
        <v>69</v>
      </c>
      <c r="H34" s="187"/>
      <c r="I34" s="187"/>
      <c r="J34" s="132" t="s">
        <v>27</v>
      </c>
      <c r="K34" s="133">
        <f>SUM(K7:K32)</f>
        <v>47743</v>
      </c>
      <c r="L34" s="221">
        <f>SUM(L7:L32)</f>
        <v>0</v>
      </c>
      <c r="M34" s="129">
        <f>SUM(M7:M32)</f>
        <v>443654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(10.3*1440)/1440*G42*2.77*1440/1000000</f>
        <v>53.607238271999996</v>
      </c>
      <c r="J37" s="134">
        <f>+I37+'7'!J37</f>
        <v>523.3575053902872</v>
      </c>
      <c r="K37" s="135" t="s">
        <v>62</v>
      </c>
      <c r="N37" s="556"/>
    </row>
    <row r="38" spans="1:14" ht="17.45" customHeight="1">
      <c r="A38" s="1000" t="s">
        <v>11</v>
      </c>
      <c r="B38" s="1001"/>
      <c r="C38" s="173">
        <f>SUMIF($G$7:$G$31,"Process",$F$7:$F$31)</f>
        <v>69</v>
      </c>
      <c r="D38" s="127">
        <f>+C38+'7'!D38</f>
        <v>639</v>
      </c>
      <c r="E38" s="152">
        <f t="shared" ref="E38:E51" si="0">D38/60</f>
        <v>10.65</v>
      </c>
      <c r="F38" s="337">
        <v>1550</v>
      </c>
      <c r="G38" s="337">
        <f>+F38-F38*0.16</f>
        <v>1302</v>
      </c>
      <c r="H38" s="196" t="s">
        <v>63</v>
      </c>
      <c r="I38" s="549">
        <f>14.297+15.587+16.842</f>
        <v>46.725999999999999</v>
      </c>
      <c r="J38" s="136">
        <f>+I38+'7'!J38</f>
        <v>464.49100000000004</v>
      </c>
      <c r="K38" s="137" t="s">
        <v>62</v>
      </c>
      <c r="N38" s="556"/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+C39+'7'!D39</f>
        <v>0</v>
      </c>
      <c r="E39" s="152">
        <f t="shared" si="0"/>
        <v>0</v>
      </c>
      <c r="F39" s="337">
        <v>1560</v>
      </c>
      <c r="G39" s="337">
        <f>+F39-F39*0.16</f>
        <v>1310.4000000000001</v>
      </c>
      <c r="H39" s="196" t="s">
        <v>64</v>
      </c>
      <c r="I39" s="151"/>
      <c r="J39" s="138">
        <f>J37/G4</f>
        <v>65.4196881737859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+C40+'7'!D40</f>
        <v>140</v>
      </c>
      <c r="E40" s="152">
        <f t="shared" si="0"/>
        <v>2.3333333333333335</v>
      </c>
      <c r="F40" s="337">
        <v>1550</v>
      </c>
      <c r="G40" s="337">
        <f>+F40-F40*0.16</f>
        <v>1302</v>
      </c>
      <c r="H40" s="196" t="s">
        <v>66</v>
      </c>
      <c r="I40" s="127">
        <f>(K34+L34)/1000</f>
        <v>47.743000000000002</v>
      </c>
      <c r="J40" s="140">
        <f>+I40+'7'!J40</f>
        <v>443.654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+C41+'7'!D41</f>
        <v>80</v>
      </c>
      <c r="E41" s="152">
        <f t="shared" si="0"/>
        <v>1.3333333333333333</v>
      </c>
      <c r="F41" s="337"/>
      <c r="G41" s="337"/>
      <c r="H41" s="196" t="s">
        <v>68</v>
      </c>
      <c r="I41" s="151"/>
      <c r="J41" s="138">
        <f>J40/G4</f>
        <v>55.45675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+C42+'7'!D42</f>
        <v>0</v>
      </c>
      <c r="E42" s="152">
        <f t="shared" si="0"/>
        <v>0</v>
      </c>
      <c r="F42" s="337">
        <f>+(F38*480+F39*480+F40*480)/1440</f>
        <v>1553.3333333333333</v>
      </c>
      <c r="G42" s="337">
        <f>+(G38*480+G39*480+G40*480)/1440</f>
        <v>1304.8</v>
      </c>
      <c r="H42" s="196" t="s">
        <v>69</v>
      </c>
      <c r="I42" s="254" t="s">
        <v>586</v>
      </c>
      <c r="J42" s="141"/>
      <c r="K42" s="139" t="s">
        <v>70</v>
      </c>
    </row>
    <row r="43" spans="1:14" ht="17.45" customHeight="1">
      <c r="A43" s="996" t="s">
        <v>202</v>
      </c>
      <c r="B43" s="997"/>
      <c r="C43" s="173">
        <f>SUMIF($G$7:$G$31,"Change Grade",$F$7:$F$31)</f>
        <v>0</v>
      </c>
      <c r="D43" s="127">
        <f>+C43+'7'!D43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+Report1!T16</f>
        <v>113.193</v>
      </c>
      <c r="J43" s="142">
        <f>+I43+'7'!J43</f>
        <v>1089.7060000000001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+C44+'7'!D44</f>
        <v>0</v>
      </c>
      <c r="E44" s="152">
        <f t="shared" si="0"/>
        <v>0</v>
      </c>
      <c r="F44" s="337"/>
      <c r="G44" s="338"/>
      <c r="H44" s="197" t="s">
        <v>73</v>
      </c>
      <c r="I44" s="127">
        <f>I43/I38</f>
        <v>2.4224842699995719</v>
      </c>
      <c r="J44" s="143">
        <f>J43/J38</f>
        <v>2.3460217743723777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+C45+'7'!D45</f>
        <v>0</v>
      </c>
      <c r="E45" s="152">
        <f t="shared" si="0"/>
        <v>0</v>
      </c>
      <c r="F45" s="337"/>
      <c r="G45" s="340"/>
      <c r="H45" s="197" t="s">
        <v>74</v>
      </c>
      <c r="I45" s="127">
        <f>I43/I40</f>
        <v>2.3708815952076741</v>
      </c>
      <c r="J45" s="143">
        <f>J43/J40</f>
        <v>2.4562068639074597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+C46+'7'!D46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+SUMIF(Listrik!AR15,"&gt;0")</f>
        <v>56198.499999998363</v>
      </c>
      <c r="J46" s="144">
        <f>+I46+'7'!J46</f>
        <v>424108.83999999898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+C47+'7'!D47</f>
        <v>0</v>
      </c>
      <c r="E47" s="152">
        <f t="shared" si="0"/>
        <v>0</v>
      </c>
      <c r="F47" s="337"/>
      <c r="G47" s="338"/>
      <c r="H47" s="197" t="s">
        <v>79</v>
      </c>
      <c r="I47" s="127">
        <f>I46/I38</f>
        <v>1202.724393271377</v>
      </c>
      <c r="J47" s="144">
        <f>J46/J38</f>
        <v>913.06148020090586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+C48+'7'!D48</f>
        <v>0</v>
      </c>
      <c r="E48" s="152">
        <f t="shared" si="0"/>
        <v>0</v>
      </c>
      <c r="F48" s="337"/>
      <c r="G48" s="338"/>
      <c r="H48" s="197" t="s">
        <v>80</v>
      </c>
      <c r="I48" s="127">
        <f>I46/I40</f>
        <v>1177.1044969942893</v>
      </c>
      <c r="J48" s="144">
        <f>J46/J40</f>
        <v>955.9450382505263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+C49+'7'!D49</f>
        <v>0</v>
      </c>
      <c r="E49" s="152">
        <f t="shared" si="0"/>
        <v>0</v>
      </c>
      <c r="F49" s="194"/>
      <c r="H49" s="197" t="s">
        <v>184</v>
      </c>
      <c r="I49" s="127">
        <v>0</v>
      </c>
      <c r="J49" s="144">
        <f>+I49+'7'!J49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+C50+'7'!D50</f>
        <v>0</v>
      </c>
      <c r="E50" s="152">
        <f t="shared" si="0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+C51+'7'!D51</f>
        <v>0</v>
      </c>
      <c r="E51" s="152">
        <f t="shared" si="0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69</v>
      </c>
      <c r="D52" s="153">
        <f>SUM(D38:D51)</f>
        <v>859</v>
      </c>
      <c r="E52" s="154">
        <f>SUM(E38:E51)</f>
        <v>14.316666666666668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4.791666666666667E-2</v>
      </c>
      <c r="D53" s="155">
        <f>D52/(24*60*G4)</f>
        <v>7.4565972222222221E-2</v>
      </c>
      <c r="E53" s="156">
        <f>E52/(G4*24)</f>
        <v>7.4565972222222235E-2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+D34+'7'!J56</f>
        <v>6519</v>
      </c>
      <c r="K56" s="210">
        <f>J56/(J40+J56/1000)/1000</f>
        <v>1.4481099488418896E-2</v>
      </c>
    </row>
    <row r="57" spans="1:11">
      <c r="A57" s="185"/>
      <c r="I57" s="208" t="s">
        <v>88</v>
      </c>
      <c r="J57" s="209">
        <f>+E34+'7'!J57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7109375" style="158" bestFit="1" customWidth="1"/>
    <col min="5" max="5" width="13.85546875" style="158" bestFit="1" customWidth="1"/>
    <col min="6" max="6" width="12.7109375" style="119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3.28515625" style="158" bestFit="1" customWidth="1"/>
    <col min="12" max="12" width="12" style="158" bestFit="1" customWidth="1"/>
    <col min="13" max="13" width="15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7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207+229+205</f>
        <v>641</v>
      </c>
    </row>
    <row r="7" spans="1:18" ht="13.5" customHeight="1" thickBot="1">
      <c r="A7" s="1002" t="s">
        <v>448</v>
      </c>
      <c r="B7" s="224" t="s">
        <v>552</v>
      </c>
      <c r="C7" s="225">
        <f>11400+634</f>
        <v>12034</v>
      </c>
      <c r="D7" s="226"/>
      <c r="E7" s="227"/>
      <c r="F7" s="236">
        <v>20</v>
      </c>
      <c r="G7" s="237" t="s">
        <v>11</v>
      </c>
      <c r="H7" s="238" t="s">
        <v>439</v>
      </c>
      <c r="I7" s="1005" t="s">
        <v>542</v>
      </c>
      <c r="J7" s="223" t="str">
        <f>+'6'!J7</f>
        <v>MG 14 VP HW/OW</v>
      </c>
      <c r="K7" s="246"/>
      <c r="L7" s="250"/>
      <c r="M7" s="126">
        <f>+K7+'6'!M7+L7</f>
        <v>143496</v>
      </c>
    </row>
    <row r="8" spans="1:18" ht="13.5" thickBot="1">
      <c r="A8" s="1003"/>
      <c r="B8" s="224" t="s">
        <v>551</v>
      </c>
      <c r="C8" s="225">
        <v>4445</v>
      </c>
      <c r="D8" s="226"/>
      <c r="E8" s="228"/>
      <c r="F8" s="239">
        <v>6</v>
      </c>
      <c r="G8" s="240" t="s">
        <v>11</v>
      </c>
      <c r="H8" s="238" t="s">
        <v>568</v>
      </c>
      <c r="I8" s="1006"/>
      <c r="J8" s="223" t="str">
        <f>+'6'!J8</f>
        <v>MG 16,5 VP HW</v>
      </c>
      <c r="K8" s="247"/>
      <c r="L8" s="247"/>
      <c r="M8" s="126">
        <f>+K8+'6'!M8+L8</f>
        <v>93365</v>
      </c>
      <c r="N8" s="158">
        <v>1600</v>
      </c>
      <c r="O8" s="158">
        <f>+N8-N8*0.24</f>
        <v>1216</v>
      </c>
      <c r="P8" s="158">
        <f>480+385</f>
        <v>865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463</v>
      </c>
      <c r="I9" s="1006"/>
      <c r="J9" s="223" t="str">
        <f>+'6'!J9</f>
        <v>MG 30 VP HW</v>
      </c>
      <c r="K9" s="247"/>
      <c r="L9" s="247"/>
      <c r="M9" s="126">
        <f>+K9+'6'!M9+L9</f>
        <v>4193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559</v>
      </c>
      <c r="I10" s="1006"/>
      <c r="J10" s="223" t="str">
        <f>+'6'!J10</f>
        <v>MG 17 VP HW</v>
      </c>
      <c r="K10" s="247"/>
      <c r="L10" s="247"/>
      <c r="M10" s="126">
        <f>+K10+'6'!M10+L10</f>
        <v>18114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241"/>
      <c r="I11" s="1006"/>
      <c r="J11" s="223" t="str">
        <f>+'6'!J11</f>
        <v>MG 18 VP HW</v>
      </c>
      <c r="K11" s="247"/>
      <c r="L11" s="247"/>
      <c r="M11" s="126">
        <f>+K11+'6'!M11+L11</f>
        <v>25394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+'6'!J12</f>
        <v>MG 21,5 VP HW</v>
      </c>
      <c r="K12" s="247"/>
      <c r="L12" s="247"/>
      <c r="M12" s="126">
        <f>+K12+'6'!M12+L12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+'6'!J13</f>
        <v>F 10,3 VP OW</v>
      </c>
      <c r="K13" s="247">
        <f>+C26</f>
        <v>11616</v>
      </c>
      <c r="L13" s="247"/>
      <c r="M13" s="126">
        <f>+K13+'6'!M13+L13</f>
        <v>30234</v>
      </c>
    </row>
    <row r="14" spans="1:18" ht="13.5" thickBot="1">
      <c r="A14" s="1004"/>
      <c r="B14" s="174" t="s">
        <v>2</v>
      </c>
      <c r="C14" s="108">
        <f>SUM(C7:C13)</f>
        <v>16479</v>
      </c>
      <c r="D14" s="120">
        <f>SUM(D7:D13)</f>
        <v>0</v>
      </c>
      <c r="E14" s="121">
        <f>SUM(E5:E13)</f>
        <v>0</v>
      </c>
      <c r="F14" s="125">
        <f>SUM(F7:F13)</f>
        <v>36</v>
      </c>
      <c r="G14" s="168"/>
      <c r="H14" s="175"/>
      <c r="I14" s="176"/>
      <c r="J14" s="223" t="str">
        <f>+'6'!J14</f>
        <v>F 12 VP OW</v>
      </c>
      <c r="K14" s="247">
        <f>+C8</f>
        <v>4445</v>
      </c>
      <c r="L14" s="247"/>
      <c r="M14" s="126">
        <f>+K14+'6'!M14+L14</f>
        <v>47497</v>
      </c>
    </row>
    <row r="15" spans="1:18" ht="13.5" customHeight="1" thickBot="1">
      <c r="A15" s="1002" t="s">
        <v>449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571</v>
      </c>
      <c r="J15" s="223" t="str">
        <f>+'6'!J15</f>
        <v>F 13 VP OW</v>
      </c>
      <c r="K15" s="247">
        <f>+C7+C16+C25</f>
        <v>32631</v>
      </c>
      <c r="L15" s="247"/>
      <c r="M15" s="126">
        <f>+K15+'6'!M15+L15</f>
        <v>32631</v>
      </c>
    </row>
    <row r="16" spans="1:18" ht="13.5" thickBot="1">
      <c r="A16" s="1008"/>
      <c r="B16" s="224" t="s">
        <v>552</v>
      </c>
      <c r="C16" s="230">
        <v>18923</v>
      </c>
      <c r="D16" s="231"/>
      <c r="E16" s="232"/>
      <c r="F16" s="236">
        <v>7</v>
      </c>
      <c r="G16" s="240" t="s">
        <v>11</v>
      </c>
      <c r="H16" s="238" t="s">
        <v>569</v>
      </c>
      <c r="I16" s="1006"/>
      <c r="J16" s="223">
        <f>+'6'!J16</f>
        <v>0</v>
      </c>
      <c r="K16" s="237"/>
      <c r="L16" s="237"/>
      <c r="M16" s="126">
        <f>+K16+'6'!M16+L16</f>
        <v>0</v>
      </c>
      <c r="N16" s="158">
        <v>1600</v>
      </c>
      <c r="O16" s="158">
        <f t="shared" ref="O16" si="0">+N16-N16*0.24</f>
        <v>1216</v>
      </c>
      <c r="P16" s="158">
        <f>360+25</f>
        <v>385</v>
      </c>
      <c r="Q16" s="158">
        <f>+N16*P16</f>
        <v>616000</v>
      </c>
      <c r="R16" s="158">
        <f>+O16*P16</f>
        <v>468160</v>
      </c>
    </row>
    <row r="17" spans="1:18" ht="13.5" thickBot="1">
      <c r="A17" s="1008"/>
      <c r="B17" s="224"/>
      <c r="C17" s="225"/>
      <c r="D17" s="226"/>
      <c r="E17" s="233"/>
      <c r="F17" s="236">
        <v>10</v>
      </c>
      <c r="G17" s="240" t="s">
        <v>11</v>
      </c>
      <c r="H17" s="582" t="s">
        <v>463</v>
      </c>
      <c r="I17" s="1006"/>
      <c r="J17" s="223">
        <f>+'6'!J17</f>
        <v>0</v>
      </c>
      <c r="K17" s="237"/>
      <c r="L17" s="237"/>
      <c r="M17" s="126">
        <f>+K17+'6'!M17+L17</f>
        <v>0</v>
      </c>
      <c r="N17" s="158">
        <v>1630</v>
      </c>
      <c r="O17" s="158">
        <f>+N17-N17*0.16</f>
        <v>1369.2</v>
      </c>
      <c r="P17" s="158">
        <v>95</v>
      </c>
      <c r="Q17" s="158">
        <f>+N17*P17</f>
        <v>154850</v>
      </c>
      <c r="R17" s="158">
        <f>+O17*P17</f>
        <v>130074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559</v>
      </c>
      <c r="I18" s="1006"/>
      <c r="J18" s="223">
        <f>+'6'!J18</f>
        <v>0</v>
      </c>
      <c r="K18" s="247"/>
      <c r="L18" s="247"/>
      <c r="M18" s="126">
        <f>+K18+'6'!M18+L18</f>
        <v>0</v>
      </c>
      <c r="P18" s="158">
        <f>SUM(P16:P17)</f>
        <v>480</v>
      </c>
      <c r="Q18" s="158">
        <f t="shared" ref="Q18:R18" si="1">SUM(Q16:Q17)</f>
        <v>770850</v>
      </c>
      <c r="R18" s="158">
        <f t="shared" si="1"/>
        <v>598234</v>
      </c>
    </row>
    <row r="19" spans="1:18" ht="13.5" thickBot="1">
      <c r="A19" s="1008"/>
      <c r="B19" s="224"/>
      <c r="C19" s="225"/>
      <c r="D19" s="226"/>
      <c r="E19" s="233"/>
      <c r="F19" s="243"/>
      <c r="G19" s="240"/>
      <c r="H19" s="241" t="s">
        <v>561</v>
      </c>
      <c r="I19" s="1006"/>
      <c r="J19" s="223">
        <f>+'6'!J19</f>
        <v>0</v>
      </c>
      <c r="K19" s="247"/>
      <c r="L19" s="247"/>
      <c r="M19" s="126">
        <f>+K19+'6'!M19+L19</f>
        <v>0</v>
      </c>
      <c r="Q19" s="158">
        <f>+Q18/P18</f>
        <v>1605.9375</v>
      </c>
      <c r="R19" s="158">
        <f>+R18/P18</f>
        <v>1246.3208333333334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 t="s">
        <v>560</v>
      </c>
      <c r="I20" s="1006"/>
      <c r="J20" s="223">
        <f>+'6'!J20</f>
        <v>0</v>
      </c>
      <c r="K20" s="248"/>
      <c r="L20" s="248"/>
      <c r="M20" s="126">
        <f>+K20+'6'!M20+L20</f>
        <v>0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+'6'!J21</f>
        <v>0</v>
      </c>
      <c r="K21" s="247"/>
      <c r="L21" s="247"/>
      <c r="M21" s="126">
        <f>+K21+'6'!M21+L21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+'6'!J22</f>
        <v>0</v>
      </c>
      <c r="K22" s="247"/>
      <c r="L22" s="247"/>
      <c r="M22" s="126">
        <f>+K22+'6'!M22+L22</f>
        <v>0</v>
      </c>
    </row>
    <row r="23" spans="1:18" ht="13.5" thickBot="1">
      <c r="A23" s="1009"/>
      <c r="B23" s="177" t="s">
        <v>2</v>
      </c>
      <c r="C23" s="109">
        <f>SUM(C16:C22)</f>
        <v>18923</v>
      </c>
      <c r="D23" s="120">
        <f>SUM(D16:D22)</f>
        <v>0</v>
      </c>
      <c r="E23" s="121">
        <f>SUM(E18:E22)</f>
        <v>0</v>
      </c>
      <c r="F23" s="125">
        <f>SUM(F15:F22)</f>
        <v>17</v>
      </c>
      <c r="G23" s="168"/>
      <c r="H23" s="175" t="s">
        <v>234</v>
      </c>
      <c r="I23" s="178"/>
      <c r="J23" s="223">
        <f>+'6'!J23</f>
        <v>0</v>
      </c>
      <c r="K23" s="247"/>
      <c r="L23" s="247"/>
      <c r="M23" s="126">
        <f>+K23+'6'!M23+L23</f>
        <v>0</v>
      </c>
    </row>
    <row r="24" spans="1:18" ht="13.5" customHeight="1" thickBot="1">
      <c r="A24" s="1002" t="s">
        <v>465</v>
      </c>
      <c r="B24" s="179"/>
      <c r="C24" s="122"/>
      <c r="D24" s="123"/>
      <c r="E24" s="124"/>
      <c r="F24" s="244">
        <v>70</v>
      </c>
      <c r="G24" s="237" t="s">
        <v>11</v>
      </c>
      <c r="H24" s="238" t="s">
        <v>570</v>
      </c>
      <c r="I24" s="1005" t="s">
        <v>572</v>
      </c>
      <c r="J24" s="223">
        <f>+'6'!J24</f>
        <v>0</v>
      </c>
      <c r="K24" s="247"/>
      <c r="L24" s="247"/>
      <c r="M24" s="126">
        <f>+K24+'6'!M24+L24</f>
        <v>0</v>
      </c>
    </row>
    <row r="25" spans="1:18" ht="13.5" thickBot="1">
      <c r="A25" s="1008"/>
      <c r="B25" s="224" t="s">
        <v>552</v>
      </c>
      <c r="C25" s="234">
        <f>1582+92</f>
        <v>1674</v>
      </c>
      <c r="D25" s="226"/>
      <c r="E25" s="233"/>
      <c r="F25" s="239"/>
      <c r="G25" s="240" t="s">
        <v>11</v>
      </c>
      <c r="H25" s="238" t="s">
        <v>427</v>
      </c>
      <c r="I25" s="1006"/>
      <c r="J25" s="223">
        <f>+'6'!J25</f>
        <v>0</v>
      </c>
      <c r="K25" s="247"/>
      <c r="L25" s="247"/>
      <c r="M25" s="126">
        <f>+K25+'6'!M25+L25</f>
        <v>0</v>
      </c>
    </row>
    <row r="26" spans="1:18" ht="13.5" thickBot="1">
      <c r="A26" s="1008"/>
      <c r="B26" s="224" t="s">
        <v>519</v>
      </c>
      <c r="C26" s="234">
        <v>11616</v>
      </c>
      <c r="D26" s="226"/>
      <c r="E26" s="235"/>
      <c r="F26" s="239">
        <v>6</v>
      </c>
      <c r="G26" s="240" t="s">
        <v>11</v>
      </c>
      <c r="H26" s="582" t="s">
        <v>546</v>
      </c>
      <c r="I26" s="1006"/>
      <c r="J26" s="223">
        <f>+'6'!J26</f>
        <v>0</v>
      </c>
      <c r="K26" s="247"/>
      <c r="L26" s="247"/>
      <c r="M26" s="126">
        <f>+K26+'6'!M26+L26</f>
        <v>0</v>
      </c>
      <c r="N26" s="158">
        <v>1630</v>
      </c>
      <c r="O26" s="158">
        <f t="shared" ref="O26:O27" si="2">+N26-N26*0.16</f>
        <v>1369.2</v>
      </c>
      <c r="P26" s="158">
        <f>330+95</f>
        <v>425</v>
      </c>
      <c r="Q26" s="158">
        <f>+N26*P26</f>
        <v>692750</v>
      </c>
      <c r="R26" s="158">
        <f>+O26*P26</f>
        <v>581910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562</v>
      </c>
      <c r="I27" s="1006"/>
      <c r="J27" s="223">
        <f>+'6'!J27</f>
        <v>0</v>
      </c>
      <c r="K27" s="247"/>
      <c r="L27" s="247"/>
      <c r="M27" s="126">
        <f>+K27+'6'!M27+L27</f>
        <v>0</v>
      </c>
      <c r="N27" s="158">
        <v>1550</v>
      </c>
      <c r="O27" s="158">
        <f t="shared" si="2"/>
        <v>1302</v>
      </c>
      <c r="P27" s="158">
        <v>150</v>
      </c>
      <c r="Q27" s="158">
        <f>+N27*P27</f>
        <v>232500</v>
      </c>
      <c r="R27" s="158">
        <f>+O27*P27</f>
        <v>195300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 t="s">
        <v>564</v>
      </c>
      <c r="I28" s="1006"/>
      <c r="J28" s="223">
        <f>+'6'!J28</f>
        <v>0</v>
      </c>
      <c r="K28" s="247"/>
      <c r="L28" s="247"/>
      <c r="M28" s="126">
        <f>+K28+'6'!M28+L28</f>
        <v>0</v>
      </c>
      <c r="P28" s="158">
        <f>SUM(P26:P27)</f>
        <v>575</v>
      </c>
      <c r="Q28" s="158">
        <f t="shared" ref="Q28" si="3">SUM(Q26:Q27)</f>
        <v>925250</v>
      </c>
      <c r="R28" s="158">
        <f t="shared" ref="R28" si="4">SUM(R26:R27)</f>
        <v>777210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 t="s">
        <v>565</v>
      </c>
      <c r="I29" s="1006"/>
      <c r="J29" s="223">
        <f>+'6'!J29</f>
        <v>0</v>
      </c>
      <c r="K29" s="247"/>
      <c r="L29" s="247"/>
      <c r="M29" s="126">
        <f>+K29+'6'!M29+L29</f>
        <v>0</v>
      </c>
      <c r="Q29" s="158">
        <f>+Q28/P28</f>
        <v>1609.1304347826087</v>
      </c>
      <c r="R29" s="158">
        <f>+R28/P28</f>
        <v>1351.6695652173912</v>
      </c>
    </row>
    <row r="30" spans="1:18" ht="26.25" thickBot="1">
      <c r="A30" s="1008"/>
      <c r="B30" s="224"/>
      <c r="C30" s="234"/>
      <c r="D30" s="226"/>
      <c r="E30" s="233"/>
      <c r="F30" s="244"/>
      <c r="G30" s="240"/>
      <c r="H30" s="241" t="s">
        <v>566</v>
      </c>
      <c r="I30" s="1006"/>
      <c r="J30" s="223">
        <f>+'6'!J30</f>
        <v>0</v>
      </c>
      <c r="K30" s="247"/>
      <c r="L30" s="247"/>
      <c r="M30" s="126">
        <f>+K30+'6'!M30+L30</f>
        <v>0</v>
      </c>
      <c r="N30" s="164"/>
    </row>
    <row r="31" spans="1:18" ht="26.25" thickBot="1">
      <c r="A31" s="1008"/>
      <c r="B31" s="224"/>
      <c r="C31" s="234"/>
      <c r="D31" s="226"/>
      <c r="E31" s="233"/>
      <c r="F31" s="244"/>
      <c r="G31" s="245"/>
      <c r="H31" s="460" t="s">
        <v>563</v>
      </c>
      <c r="I31" s="1007"/>
      <c r="J31" s="223">
        <f>+'6'!J31</f>
        <v>0</v>
      </c>
      <c r="K31" s="247"/>
      <c r="L31" s="247"/>
      <c r="M31" s="126">
        <f>+K31+'6'!M31+L31</f>
        <v>0</v>
      </c>
    </row>
    <row r="32" spans="1:18" ht="13.5" thickBot="1">
      <c r="A32" s="1009"/>
      <c r="B32" s="174" t="s">
        <v>2</v>
      </c>
      <c r="C32" s="108">
        <f>SUM(C25:C31)</f>
        <v>13290</v>
      </c>
      <c r="D32" s="109">
        <f>SUM(D25:D31)</f>
        <v>0</v>
      </c>
      <c r="E32" s="110">
        <f>SUM(E25:E31)</f>
        <v>0</v>
      </c>
      <c r="F32" s="111">
        <f>SUM(F24:F31)</f>
        <v>76</v>
      </c>
      <c r="G32" s="180"/>
      <c r="H32" s="181"/>
      <c r="I32" s="178"/>
      <c r="J32" s="223">
        <f>+'6'!J32</f>
        <v>0</v>
      </c>
      <c r="K32" s="249"/>
      <c r="L32" s="251"/>
      <c r="M32" s="126">
        <f>+K32+'6'!M32+L32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48692</v>
      </c>
      <c r="D34" s="116">
        <f>D14+D23+D32</f>
        <v>0</v>
      </c>
      <c r="E34" s="116">
        <f>E14+E23+E32</f>
        <v>0</v>
      </c>
      <c r="F34" s="117">
        <f>F14+F23+F32</f>
        <v>129</v>
      </c>
      <c r="H34" s="187"/>
      <c r="I34" s="187"/>
      <c r="J34" s="132" t="s">
        <v>27</v>
      </c>
      <c r="K34" s="133">
        <f>SUM(K7:K32)</f>
        <v>48692</v>
      </c>
      <c r="L34" s="221">
        <f>SUM(L7:L32)</f>
        <v>0</v>
      </c>
      <c r="M34" s="129">
        <f>SUM(M7:M32)</f>
        <v>395911</v>
      </c>
      <c r="N34" s="164"/>
    </row>
    <row r="35" spans="1:14" ht="13.5" thickBot="1">
      <c r="A35" s="188"/>
      <c r="B35" s="189"/>
      <c r="C35" s="113">
        <f>C34/($C$34+$D$34+$E$34)</f>
        <v>1</v>
      </c>
      <c r="D35" s="113">
        <f>D34/($C$34+$D$34+$E$34)</f>
        <v>0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(13*865+10.3*575)/1440*G42*2.77*1440/1000000</f>
        <v>57.957397739062493</v>
      </c>
      <c r="J37" s="134">
        <f>+I37+'6'!J37</f>
        <v>469.75026711828724</v>
      </c>
      <c r="K37" s="135" t="s">
        <v>62</v>
      </c>
      <c r="N37" s="556">
        <f>+I38-N38</f>
        <v>35.566000000000003</v>
      </c>
    </row>
    <row r="38" spans="1:14" ht="17.45" customHeight="1">
      <c r="A38" s="1000" t="s">
        <v>11</v>
      </c>
      <c r="B38" s="1001"/>
      <c r="C38" s="173">
        <f>SUMIF($G$7:$G$31,"Process",$F$7:$F$31)</f>
        <v>129</v>
      </c>
      <c r="D38" s="127">
        <f>+C38+'6'!D38</f>
        <v>570</v>
      </c>
      <c r="E38" s="152">
        <f t="shared" ref="E38:E51" si="5">D38/60</f>
        <v>9.5</v>
      </c>
      <c r="F38" s="337">
        <v>1600</v>
      </c>
      <c r="G38" s="337">
        <f>+F38-F38*0.24</f>
        <v>1216</v>
      </c>
      <c r="H38" s="196" t="s">
        <v>63</v>
      </c>
      <c r="I38" s="549">
        <f>19.023+18.186+13.997</f>
        <v>51.206000000000003</v>
      </c>
      <c r="J38" s="136">
        <f>+I38+'6'!J38</f>
        <v>417.76500000000004</v>
      </c>
      <c r="K38" s="137" t="s">
        <v>62</v>
      </c>
      <c r="N38" s="158">
        <f>1.643+13.997</f>
        <v>15.64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+C39+'6'!D39</f>
        <v>0</v>
      </c>
      <c r="E39" s="152">
        <f t="shared" si="5"/>
        <v>0</v>
      </c>
      <c r="F39" s="337">
        <v>1605.9375</v>
      </c>
      <c r="G39" s="337">
        <v>1220.5125</v>
      </c>
      <c r="H39" s="196" t="s">
        <v>64</v>
      </c>
      <c r="I39" s="151"/>
      <c r="J39" s="138">
        <f>J37/G4</f>
        <v>67.107181016898181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+C40+'6'!D40</f>
        <v>140</v>
      </c>
      <c r="E40" s="152">
        <f t="shared" si="5"/>
        <v>2.3333333333333335</v>
      </c>
      <c r="F40" s="337">
        <v>1605</v>
      </c>
      <c r="G40" s="337">
        <v>1219.8</v>
      </c>
      <c r="H40" s="196" t="s">
        <v>66</v>
      </c>
      <c r="I40" s="127">
        <f>(K34+L34)/1000</f>
        <v>48.692</v>
      </c>
      <c r="J40" s="140">
        <f>+I40+'6'!J40</f>
        <v>395.911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+C41+'6'!D41</f>
        <v>80</v>
      </c>
      <c r="E41" s="152">
        <f t="shared" si="5"/>
        <v>1.3333333333333333</v>
      </c>
      <c r="F41" s="337"/>
      <c r="G41" s="337"/>
      <c r="H41" s="196" t="s">
        <v>68</v>
      </c>
      <c r="I41" s="151"/>
      <c r="J41" s="138">
        <f>J40/G4</f>
        <v>56.558714285714288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+C42+'6'!D42</f>
        <v>0</v>
      </c>
      <c r="E42" s="152">
        <f t="shared" si="5"/>
        <v>0</v>
      </c>
      <c r="F42" s="337">
        <f>+(F38*480+F39*480+F40*480)/1440</f>
        <v>1603.6458333333333</v>
      </c>
      <c r="G42" s="337">
        <f>+(G38*480+G39*480+G40*480)/1440</f>
        <v>1218.7708333333333</v>
      </c>
      <c r="H42" s="196" t="s">
        <v>69</v>
      </c>
      <c r="I42" s="254" t="s">
        <v>567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+C43+'6'!D43</f>
        <v>0</v>
      </c>
      <c r="E43" s="152">
        <f t="shared" si="5"/>
        <v>0</v>
      </c>
      <c r="F43" s="337"/>
      <c r="G43" s="338"/>
      <c r="H43" s="197" t="s">
        <v>72</v>
      </c>
      <c r="I43" s="127">
        <f>+Report1!T15</f>
        <v>118.98599999999999</v>
      </c>
      <c r="J43" s="142">
        <f>+I43+'6'!J43</f>
        <v>976.51300000000003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+C44+'6'!D44</f>
        <v>0</v>
      </c>
      <c r="E44" s="152">
        <f t="shared" si="5"/>
        <v>0</v>
      </c>
      <c r="F44" s="337"/>
      <c r="G44" s="338"/>
      <c r="H44" s="197" t="s">
        <v>73</v>
      </c>
      <c r="I44" s="127">
        <f>I43/I38</f>
        <v>2.3236730070694835</v>
      </c>
      <c r="J44" s="143">
        <f>J43/J38</f>
        <v>2.3374696300551743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+C45+'6'!D45</f>
        <v>0</v>
      </c>
      <c r="E45" s="152">
        <f t="shared" si="5"/>
        <v>0</v>
      </c>
      <c r="F45" s="337"/>
      <c r="G45" s="340"/>
      <c r="H45" s="197" t="s">
        <v>74</v>
      </c>
      <c r="I45" s="127">
        <f>I43/I40</f>
        <v>2.443645773433007</v>
      </c>
      <c r="J45" s="143">
        <f>J43/J40</f>
        <v>2.4664962579973784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+C46+'6'!D46</f>
        <v>0</v>
      </c>
      <c r="E46" s="152">
        <f t="shared" si="5"/>
        <v>0</v>
      </c>
      <c r="F46" s="337"/>
      <c r="G46" s="338"/>
      <c r="H46" s="197" t="s">
        <v>76</v>
      </c>
      <c r="I46" s="149">
        <f>+SUMIF(Listrik!AR14,"&gt;0")</f>
        <v>51276.100000000777</v>
      </c>
      <c r="J46" s="144">
        <f>+I46+'6'!J46</f>
        <v>367910.34000000061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+C47+'6'!D47</f>
        <v>0</v>
      </c>
      <c r="E47" s="152">
        <f t="shared" si="5"/>
        <v>0</v>
      </c>
      <c r="F47" s="337"/>
      <c r="G47" s="338"/>
      <c r="H47" s="197" t="s">
        <v>79</v>
      </c>
      <c r="I47" s="127">
        <f>I46/I38</f>
        <v>1001.3689801976482</v>
      </c>
      <c r="J47" s="144">
        <f>J46/J38</f>
        <v>880.66338731104941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+C48+'6'!D48</f>
        <v>0</v>
      </c>
      <c r="E48" s="152">
        <f t="shared" si="5"/>
        <v>0</v>
      </c>
      <c r="F48" s="337"/>
      <c r="G48" s="338"/>
      <c r="H48" s="197" t="s">
        <v>80</v>
      </c>
      <c r="I48" s="127">
        <f>I46/I40</f>
        <v>1053.0703195596973</v>
      </c>
      <c r="J48" s="144">
        <f>J46/J40</f>
        <v>929.27536744369468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+C49+'6'!D49</f>
        <v>0</v>
      </c>
      <c r="E49" s="152">
        <f t="shared" si="5"/>
        <v>0</v>
      </c>
      <c r="F49" s="194"/>
      <c r="H49" s="197" t="s">
        <v>184</v>
      </c>
      <c r="I49" s="127">
        <v>0</v>
      </c>
      <c r="J49" s="144">
        <f>+I49+'6'!J49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+C50+'6'!D50</f>
        <v>0</v>
      </c>
      <c r="E50" s="152">
        <f t="shared" si="5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+C51+'6'!D51</f>
        <v>0</v>
      </c>
      <c r="E51" s="152">
        <f t="shared" si="5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129</v>
      </c>
      <c r="D52" s="153">
        <f>SUM(D38:D51)</f>
        <v>790</v>
      </c>
      <c r="E52" s="154">
        <f>SUM(E38:E51)</f>
        <v>13.166666666666668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8.9583333333333334E-2</v>
      </c>
      <c r="D53" s="155">
        <f>D52/(24*60*G4)</f>
        <v>7.8373015873015872E-2</v>
      </c>
      <c r="E53" s="156">
        <f>E52/(G4*24)</f>
        <v>7.8373015873015886E-2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+D34+'6'!J56</f>
        <v>6519</v>
      </c>
      <c r="K56" s="210">
        <f>J56/(J40+J56/1000)/1000</f>
        <v>1.6199090525060258E-2</v>
      </c>
    </row>
    <row r="57" spans="1:11">
      <c r="A57" s="185"/>
      <c r="I57" s="208" t="s">
        <v>88</v>
      </c>
      <c r="J57" s="209">
        <f>+E34+'6'!J57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85546875" style="158" bestFit="1" customWidth="1"/>
    <col min="12" max="12" width="8.28515625" style="158" customWidth="1"/>
    <col min="13" max="13" width="14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6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179+256+197</f>
        <v>632</v>
      </c>
    </row>
    <row r="7" spans="1:18" ht="13.5" customHeight="1" thickBot="1">
      <c r="A7" s="1002" t="s">
        <v>447</v>
      </c>
      <c r="B7" s="224" t="s">
        <v>551</v>
      </c>
      <c r="C7" s="225">
        <f>4259+5337</f>
        <v>9596</v>
      </c>
      <c r="D7" s="226"/>
      <c r="E7" s="227"/>
      <c r="F7" s="236">
        <v>5</v>
      </c>
      <c r="G7" s="237" t="s">
        <v>11</v>
      </c>
      <c r="H7" s="238" t="s">
        <v>438</v>
      </c>
      <c r="I7" s="1005" t="s">
        <v>539</v>
      </c>
      <c r="J7" s="223" t="str">
        <f>+'5'!J7</f>
        <v>MG 14 VP HW/OW</v>
      </c>
      <c r="K7" s="246"/>
      <c r="L7" s="250"/>
      <c r="M7" s="126">
        <f>+K7+'5'!M7+L7</f>
        <v>143496</v>
      </c>
    </row>
    <row r="8" spans="1:18" ht="13.5" thickBot="1">
      <c r="A8" s="1003"/>
      <c r="B8" s="224" t="s">
        <v>519</v>
      </c>
      <c r="C8" s="225">
        <f>394+907</f>
        <v>1301</v>
      </c>
      <c r="D8" s="226">
        <v>350</v>
      </c>
      <c r="E8" s="228"/>
      <c r="F8" s="239"/>
      <c r="G8" s="240" t="s">
        <v>11</v>
      </c>
      <c r="H8" s="238" t="s">
        <v>427</v>
      </c>
      <c r="I8" s="1006"/>
      <c r="J8" s="223" t="str">
        <f>+'5'!J8</f>
        <v>MG 16,5 VP HW</v>
      </c>
      <c r="K8" s="247"/>
      <c r="L8" s="247"/>
      <c r="M8" s="126">
        <f>+K8+'5'!M8+L8</f>
        <v>93365</v>
      </c>
      <c r="N8" s="158">
        <v>1520</v>
      </c>
      <c r="O8" s="158">
        <f>+N8-N8*0.24</f>
        <v>1155.2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544</v>
      </c>
      <c r="I9" s="1006"/>
      <c r="J9" s="223" t="str">
        <f>+'5'!J9</f>
        <v>MG 30 VP HW</v>
      </c>
      <c r="K9" s="247"/>
      <c r="L9" s="247"/>
      <c r="M9" s="126">
        <f>+K9+'5'!M9+L9</f>
        <v>4193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534</v>
      </c>
      <c r="I10" s="1006"/>
      <c r="J10" s="223" t="str">
        <f>+'5'!J10</f>
        <v>MG 17 VP HW</v>
      </c>
      <c r="K10" s="247"/>
      <c r="L10" s="247"/>
      <c r="M10" s="126">
        <f>+K10+'5'!M10+L10</f>
        <v>18114</v>
      </c>
    </row>
    <row r="11" spans="1:18" ht="13.5" thickBot="1">
      <c r="A11" s="1003"/>
      <c r="B11" s="224"/>
      <c r="C11" s="225"/>
      <c r="D11" s="226"/>
      <c r="E11" s="228"/>
      <c r="F11" s="236">
        <v>20</v>
      </c>
      <c r="G11" s="240" t="s">
        <v>67</v>
      </c>
      <c r="H11" s="241" t="s">
        <v>532</v>
      </c>
      <c r="I11" s="1006"/>
      <c r="J11" s="223" t="str">
        <f>+'5'!J11</f>
        <v>MG 18 VP HW</v>
      </c>
      <c r="K11" s="247"/>
      <c r="L11" s="247"/>
      <c r="M11" s="126">
        <f>+K11+'5'!M11+L11</f>
        <v>25394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533</v>
      </c>
      <c r="I12" s="1006"/>
      <c r="J12" s="223" t="str">
        <f>+'5'!J12</f>
        <v>MG 21,5 VP HW</v>
      </c>
      <c r="K12" s="247"/>
      <c r="L12" s="247"/>
      <c r="M12" s="126">
        <f>+K12+'5'!M12+L12</f>
        <v>987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+'5'!J13</f>
        <v>F 10,3 VP OW</v>
      </c>
      <c r="K13" s="247">
        <f>+C8</f>
        <v>1301</v>
      </c>
      <c r="L13" s="247"/>
      <c r="M13" s="126">
        <f>+K13+'5'!M13+L13</f>
        <v>18618</v>
      </c>
    </row>
    <row r="14" spans="1:18" ht="13.5" thickBot="1">
      <c r="A14" s="1004"/>
      <c r="B14" s="174" t="s">
        <v>2</v>
      </c>
      <c r="C14" s="108">
        <f>SUM(C7:C13)</f>
        <v>10897</v>
      </c>
      <c r="D14" s="120">
        <f>SUM(D7:D13)</f>
        <v>350</v>
      </c>
      <c r="E14" s="121">
        <f>SUM(E5:E13)</f>
        <v>0</v>
      </c>
      <c r="F14" s="125">
        <f>SUM(F7:F13)</f>
        <v>35</v>
      </c>
      <c r="G14" s="168"/>
      <c r="H14" s="175"/>
      <c r="I14" s="176"/>
      <c r="J14" s="223" t="s">
        <v>551</v>
      </c>
      <c r="K14" s="247">
        <f>+C7+C16+C25</f>
        <v>43052</v>
      </c>
      <c r="L14" s="247"/>
      <c r="M14" s="126">
        <f>+K14+'5'!M14+L14</f>
        <v>43052</v>
      </c>
    </row>
    <row r="15" spans="1:18" ht="13.5" customHeight="1" thickBot="1">
      <c r="A15" s="1002" t="s">
        <v>449</v>
      </c>
      <c r="B15" s="174"/>
      <c r="C15" s="122"/>
      <c r="D15" s="123"/>
      <c r="E15" s="124"/>
      <c r="F15" s="236">
        <v>45</v>
      </c>
      <c r="G15" s="237" t="s">
        <v>11</v>
      </c>
      <c r="H15" s="238" t="s">
        <v>545</v>
      </c>
      <c r="I15" s="1005" t="s">
        <v>540</v>
      </c>
      <c r="J15" s="223" t="s">
        <v>552</v>
      </c>
      <c r="K15" s="247">
        <v>0</v>
      </c>
      <c r="L15" s="247"/>
      <c r="M15" s="126">
        <f>+K15+'5'!M15+L15</f>
        <v>0</v>
      </c>
    </row>
    <row r="16" spans="1:18" ht="13.5" thickBot="1">
      <c r="A16" s="1008"/>
      <c r="B16" s="224" t="s">
        <v>551</v>
      </c>
      <c r="C16" s="230">
        <v>15572</v>
      </c>
      <c r="D16" s="231"/>
      <c r="E16" s="232"/>
      <c r="F16" s="236"/>
      <c r="G16" s="240" t="s">
        <v>11</v>
      </c>
      <c r="H16" s="238" t="s">
        <v>427</v>
      </c>
      <c r="I16" s="1006"/>
      <c r="J16" s="223">
        <f>+'5'!J16</f>
        <v>0</v>
      </c>
      <c r="K16" s="247"/>
      <c r="L16" s="237"/>
      <c r="M16" s="126">
        <f>+K16+'5'!M16+L16</f>
        <v>0</v>
      </c>
      <c r="N16" s="158">
        <v>1520</v>
      </c>
      <c r="O16" s="158">
        <f>+N16-N16*0.24</f>
        <v>1155.2</v>
      </c>
      <c r="P16" s="158">
        <f>105+460</f>
        <v>565</v>
      </c>
      <c r="Q16" s="158">
        <f>+N16*P16</f>
        <v>858800</v>
      </c>
      <c r="R16" s="158">
        <f>+O16*P16</f>
        <v>652688</v>
      </c>
    </row>
    <row r="17" spans="1:18" ht="13.5" thickBot="1">
      <c r="A17" s="1008"/>
      <c r="B17" s="224"/>
      <c r="C17" s="225"/>
      <c r="D17" s="226"/>
      <c r="E17" s="233"/>
      <c r="F17" s="236">
        <v>8</v>
      </c>
      <c r="G17" s="240" t="s">
        <v>11</v>
      </c>
      <c r="H17" s="582" t="s">
        <v>463</v>
      </c>
      <c r="I17" s="1006"/>
      <c r="J17" s="223">
        <f>+'5'!J17</f>
        <v>0</v>
      </c>
      <c r="K17" s="237"/>
      <c r="L17" s="237"/>
      <c r="M17" s="126">
        <f>+K17+'5'!M17+L17</f>
        <v>0</v>
      </c>
      <c r="N17" s="158">
        <v>1600</v>
      </c>
      <c r="O17" s="158">
        <f>+N17-N17*0.24</f>
        <v>1216</v>
      </c>
      <c r="P17" s="158">
        <f>375+465</f>
        <v>840</v>
      </c>
      <c r="Q17" s="158">
        <f>+N17*P17</f>
        <v>1344000</v>
      </c>
      <c r="R17" s="158">
        <f>+O17*P17</f>
        <v>1021440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534</v>
      </c>
      <c r="I18" s="1006"/>
      <c r="J18" s="223">
        <f>+'5'!J18</f>
        <v>0</v>
      </c>
      <c r="K18" s="247"/>
      <c r="L18" s="247"/>
      <c r="M18" s="126">
        <f>+K18+'5'!M18+L18</f>
        <v>0</v>
      </c>
      <c r="P18" s="158">
        <f>SUM(P16:P17)</f>
        <v>1405</v>
      </c>
      <c r="Q18" s="158">
        <f t="shared" ref="Q18:R18" si="0">SUM(Q16:Q17)</f>
        <v>2202800</v>
      </c>
      <c r="R18" s="158">
        <f t="shared" si="0"/>
        <v>1674128</v>
      </c>
    </row>
    <row r="19" spans="1:18" ht="13.5" thickBot="1">
      <c r="A19" s="1008"/>
      <c r="B19" s="224"/>
      <c r="C19" s="225"/>
      <c r="D19" s="226"/>
      <c r="E19" s="233"/>
      <c r="F19" s="243"/>
      <c r="G19" s="240"/>
      <c r="H19" s="241" t="s">
        <v>535</v>
      </c>
      <c r="I19" s="1006"/>
      <c r="J19" s="223">
        <f>+'5'!J19</f>
        <v>0</v>
      </c>
      <c r="K19" s="247"/>
      <c r="L19" s="247"/>
      <c r="M19" s="126">
        <f>+K19+'5'!M19+L19</f>
        <v>0</v>
      </c>
      <c r="Q19" s="158">
        <f>+Q18/P18</f>
        <v>1567.829181494662</v>
      </c>
      <c r="R19" s="158">
        <f>+R18/P18</f>
        <v>1191.5501779359431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 t="s">
        <v>536</v>
      </c>
      <c r="I20" s="1006"/>
      <c r="J20" s="223">
        <f>+'5'!J20</f>
        <v>0</v>
      </c>
      <c r="K20" s="248"/>
      <c r="L20" s="248"/>
      <c r="M20" s="126">
        <f>+K20+'5'!M20+L20</f>
        <v>0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 t="s">
        <v>537</v>
      </c>
      <c r="I21" s="1006"/>
      <c r="J21" s="223">
        <f>+'5'!J21</f>
        <v>0</v>
      </c>
      <c r="K21" s="247"/>
      <c r="L21" s="247"/>
      <c r="M21" s="126">
        <f>+K21+'5'!M21+L21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+'5'!J22</f>
        <v>0</v>
      </c>
      <c r="K22" s="247"/>
      <c r="L22" s="247"/>
      <c r="M22" s="126">
        <f>+K22+'5'!M22+L22</f>
        <v>0</v>
      </c>
    </row>
    <row r="23" spans="1:18" ht="13.5" thickBot="1">
      <c r="A23" s="1009"/>
      <c r="B23" s="177" t="s">
        <v>2</v>
      </c>
      <c r="C23" s="109">
        <f>SUM(C16:C22)</f>
        <v>15572</v>
      </c>
      <c r="D23" s="120">
        <f>SUM(D16:D22)</f>
        <v>0</v>
      </c>
      <c r="E23" s="121">
        <f>SUM(E18:E22)</f>
        <v>0</v>
      </c>
      <c r="F23" s="125">
        <f>SUM(F15:F22)</f>
        <v>53</v>
      </c>
      <c r="G23" s="168"/>
      <c r="H23" s="175" t="s">
        <v>234</v>
      </c>
      <c r="I23" s="178"/>
      <c r="J23" s="223">
        <f>+'5'!J23</f>
        <v>0</v>
      </c>
      <c r="K23" s="247"/>
      <c r="L23" s="247"/>
      <c r="M23" s="126">
        <f>+K23+'5'!M23+L23</f>
        <v>0</v>
      </c>
    </row>
    <row r="24" spans="1:18" ht="13.5" customHeight="1" thickBot="1">
      <c r="A24" s="1002" t="s">
        <v>465</v>
      </c>
      <c r="B24" s="179"/>
      <c r="C24" s="122"/>
      <c r="D24" s="123"/>
      <c r="E24" s="124"/>
      <c r="F24" s="244">
        <v>35</v>
      </c>
      <c r="G24" s="237" t="s">
        <v>11</v>
      </c>
      <c r="H24" s="238" t="s">
        <v>490</v>
      </c>
      <c r="I24" s="1005" t="s">
        <v>542</v>
      </c>
      <c r="J24" s="223">
        <f>+'5'!J24</f>
        <v>0</v>
      </c>
      <c r="K24" s="247"/>
      <c r="L24" s="247"/>
      <c r="M24" s="126">
        <f>+K24+'5'!M24+L24</f>
        <v>0</v>
      </c>
    </row>
    <row r="25" spans="1:18" ht="13.5" thickBot="1">
      <c r="A25" s="1008"/>
      <c r="B25" s="224" t="s">
        <v>551</v>
      </c>
      <c r="C25" s="234">
        <v>17884</v>
      </c>
      <c r="D25" s="226"/>
      <c r="E25" s="233"/>
      <c r="F25" s="239"/>
      <c r="G25" s="240" t="s">
        <v>11</v>
      </c>
      <c r="H25" s="238" t="s">
        <v>427</v>
      </c>
      <c r="I25" s="1006"/>
      <c r="J25" s="223">
        <f>+'5'!J25</f>
        <v>0</v>
      </c>
      <c r="K25" s="247"/>
      <c r="L25" s="247"/>
      <c r="M25" s="126">
        <f>+K25+'5'!M25+L25</f>
        <v>0</v>
      </c>
    </row>
    <row r="26" spans="1:18" ht="13.5" thickBot="1">
      <c r="A26" s="1008"/>
      <c r="B26" s="224" t="s">
        <v>552</v>
      </c>
      <c r="C26" s="234"/>
      <c r="D26" s="226"/>
      <c r="E26" s="235"/>
      <c r="F26" s="239">
        <v>9</v>
      </c>
      <c r="G26" s="240" t="s">
        <v>11</v>
      </c>
      <c r="H26" s="582" t="s">
        <v>546</v>
      </c>
      <c r="I26" s="1006"/>
      <c r="J26" s="223">
        <f>+'5'!J26</f>
        <v>0</v>
      </c>
      <c r="K26" s="247"/>
      <c r="L26" s="247"/>
      <c r="M26" s="126">
        <f>+K26+'5'!M26+L26</f>
        <v>0</v>
      </c>
      <c r="N26" s="158">
        <v>1600</v>
      </c>
      <c r="O26" s="158">
        <f>+N26-N26*0.24</f>
        <v>1216</v>
      </c>
      <c r="P26" s="158">
        <f>480-15</f>
        <v>465</v>
      </c>
      <c r="Q26" s="158">
        <f>+N26*P26</f>
        <v>744000</v>
      </c>
      <c r="R26" s="158">
        <f>+O26*P26</f>
        <v>565440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541</v>
      </c>
      <c r="I27" s="1006"/>
      <c r="J27" s="223">
        <f>+'5'!J27</f>
        <v>0</v>
      </c>
      <c r="K27" s="247"/>
      <c r="L27" s="247"/>
      <c r="M27" s="126">
        <f>+K27+'5'!M27+L27</f>
        <v>0</v>
      </c>
      <c r="N27" s="158">
        <v>1600</v>
      </c>
      <c r="O27" s="158">
        <f>+N27-N27*0.24</f>
        <v>1216</v>
      </c>
      <c r="P27" s="158">
        <v>15</v>
      </c>
      <c r="Q27" s="158">
        <f>+N27*P27</f>
        <v>24000</v>
      </c>
      <c r="R27" s="158">
        <f>+O27*P27</f>
        <v>18240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 t="s">
        <v>538</v>
      </c>
      <c r="I28" s="1006"/>
      <c r="J28" s="223">
        <f>+'5'!J28</f>
        <v>0</v>
      </c>
      <c r="K28" s="247"/>
      <c r="L28" s="247"/>
      <c r="M28" s="126">
        <f>+K28+'5'!M28+L28</f>
        <v>0</v>
      </c>
      <c r="P28" s="158">
        <f>SUM(P26:P27)</f>
        <v>480</v>
      </c>
      <c r="Q28" s="158">
        <f t="shared" ref="Q28" si="1">SUM(Q26:Q27)</f>
        <v>768000</v>
      </c>
      <c r="R28" s="158">
        <f t="shared" ref="R28" si="2">SUM(R26:R27)</f>
        <v>583680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+'5'!J29</f>
        <v>0</v>
      </c>
      <c r="K29" s="247"/>
      <c r="L29" s="247"/>
      <c r="M29" s="126">
        <f>+K29+'5'!M29+L29</f>
        <v>0</v>
      </c>
      <c r="Q29" s="158">
        <f>+Q28/P28</f>
        <v>1600</v>
      </c>
      <c r="R29" s="158">
        <f>+R28/P28</f>
        <v>1216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+'5'!J30</f>
        <v>0</v>
      </c>
      <c r="K30" s="247"/>
      <c r="L30" s="247"/>
      <c r="M30" s="126">
        <f>+K30+'5'!M30+L30</f>
        <v>0</v>
      </c>
    </row>
    <row r="31" spans="1:18" ht="13.5" thickBot="1">
      <c r="A31" s="1008"/>
      <c r="B31" s="224"/>
      <c r="C31" s="234"/>
      <c r="D31" s="226"/>
      <c r="E31" s="233"/>
      <c r="F31" s="244"/>
      <c r="G31" s="245"/>
      <c r="H31" s="460"/>
      <c r="I31" s="1007"/>
      <c r="J31" s="223">
        <f>+'5'!J31</f>
        <v>0</v>
      </c>
      <c r="K31" s="247"/>
      <c r="L31" s="247"/>
      <c r="M31" s="126">
        <f>+K31+'5'!M31+L31</f>
        <v>0</v>
      </c>
      <c r="N31" s="164"/>
    </row>
    <row r="32" spans="1:18" ht="13.5" thickBot="1">
      <c r="A32" s="1009"/>
      <c r="B32" s="174" t="s">
        <v>2</v>
      </c>
      <c r="C32" s="108">
        <f>SUM(C25:C31)</f>
        <v>17884</v>
      </c>
      <c r="D32" s="109">
        <f>SUM(D25:D31)</f>
        <v>0</v>
      </c>
      <c r="E32" s="110">
        <f>SUM(E25:E31)</f>
        <v>0</v>
      </c>
      <c r="F32" s="111">
        <f>SUM(F24:F31)</f>
        <v>44</v>
      </c>
      <c r="G32" s="180"/>
      <c r="H32" s="181"/>
      <c r="I32" s="178"/>
      <c r="J32" s="223">
        <f>+'5'!J32</f>
        <v>0</v>
      </c>
      <c r="K32" s="249"/>
      <c r="L32" s="251"/>
      <c r="M32" s="126">
        <f>+K32+'5'!M32+L32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44353</v>
      </c>
      <c r="D34" s="116">
        <f>D14+D23+D32</f>
        <v>350</v>
      </c>
      <c r="E34" s="116">
        <f>E14+E23+E32</f>
        <v>0</v>
      </c>
      <c r="F34" s="117">
        <f>F14+F23+F32</f>
        <v>132</v>
      </c>
      <c r="H34" s="187"/>
      <c r="I34" s="187"/>
      <c r="J34" s="132" t="s">
        <v>27</v>
      </c>
      <c r="K34" s="133">
        <f>SUM(K7:K32)</f>
        <v>44353</v>
      </c>
      <c r="L34" s="221">
        <f>SUM(L7:L32)</f>
        <v>0</v>
      </c>
      <c r="M34" s="129">
        <f>SUM(M7:M32)</f>
        <v>347219</v>
      </c>
    </row>
    <row r="35" spans="1:14" ht="13.5" thickBot="1">
      <c r="A35" s="188"/>
      <c r="B35" s="189"/>
      <c r="C35" s="113">
        <f>C34/($C$34+$D$34+$E$34)</f>
        <v>0.99217054783795267</v>
      </c>
      <c r="D35" s="113">
        <f>D34/($C$34+$D$34+$E$34)</f>
        <v>7.8294521620472894E-3</v>
      </c>
      <c r="E35" s="118">
        <f>E34/($C$34+$D$34+$E$34)</f>
        <v>0</v>
      </c>
      <c r="K35" s="164"/>
      <c r="N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(12*1405+13*15)/1420*G42*2.77*1420/1000000</f>
        <v>56.303831961126761</v>
      </c>
      <c r="J37" s="134">
        <f>+I37+'5'!J37</f>
        <v>411.79286937922473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112</v>
      </c>
      <c r="D38" s="127">
        <f>+C38+'5'!D38</f>
        <v>441</v>
      </c>
      <c r="E38" s="152">
        <f t="shared" ref="E38:E51" si="3">D38/60</f>
        <v>7.35</v>
      </c>
      <c r="F38" s="337">
        <v>1520</v>
      </c>
      <c r="G38" s="337">
        <v>1155.2</v>
      </c>
      <c r="H38" s="196" t="s">
        <v>63</v>
      </c>
      <c r="I38" s="549">
        <f>17.806+15.906+16.961</f>
        <v>50.673000000000002</v>
      </c>
      <c r="J38" s="136">
        <f>+I38+'5'!J38</f>
        <v>366.55900000000003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+C39+'5'!D39</f>
        <v>0</v>
      </c>
      <c r="E39" s="152">
        <f t="shared" si="3"/>
        <v>0</v>
      </c>
      <c r="F39" s="337">
        <v>1582.5</v>
      </c>
      <c r="G39" s="337">
        <v>1202.7</v>
      </c>
      <c r="H39" s="196" t="s">
        <v>64</v>
      </c>
      <c r="I39" s="151"/>
      <c r="J39" s="138">
        <f>J37/G4</f>
        <v>68.632144896537454</v>
      </c>
      <c r="K39" s="139" t="s">
        <v>62</v>
      </c>
      <c r="N39" s="556"/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+C40+'5'!D40</f>
        <v>140</v>
      </c>
      <c r="E40" s="152">
        <f t="shared" si="3"/>
        <v>2.3333333333333335</v>
      </c>
      <c r="F40" s="337">
        <v>1600</v>
      </c>
      <c r="G40" s="337">
        <v>1216</v>
      </c>
      <c r="H40" s="196" t="s">
        <v>66</v>
      </c>
      <c r="I40" s="127">
        <f>(K34+L34)/1000</f>
        <v>44.353000000000002</v>
      </c>
      <c r="J40" s="140">
        <f>+I40+'5'!J40</f>
        <v>347.21899999999999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20</v>
      </c>
      <c r="D41" s="127">
        <f>+C41+'5'!D41</f>
        <v>80</v>
      </c>
      <c r="E41" s="152">
        <f t="shared" si="3"/>
        <v>1.3333333333333333</v>
      </c>
      <c r="F41" s="337"/>
      <c r="G41" s="337"/>
      <c r="H41" s="196" t="s">
        <v>68</v>
      </c>
      <c r="I41" s="151"/>
      <c r="J41" s="138">
        <f>J40/G4</f>
        <v>57.869833333333332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+C42+'5'!D42</f>
        <v>0</v>
      </c>
      <c r="E42" s="152">
        <f t="shared" si="3"/>
        <v>0</v>
      </c>
      <c r="F42" s="337">
        <f>+(F38*460+F39*480+F40*480)/1420</f>
        <v>1568.1690140845071</v>
      </c>
      <c r="G42" s="337">
        <f>+(G38*460+G39*480+G40*480)/1420</f>
        <v>1191.8084507042254</v>
      </c>
      <c r="H42" s="196" t="s">
        <v>69</v>
      </c>
      <c r="I42" s="254" t="s">
        <v>543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+C43+'5'!D43</f>
        <v>0</v>
      </c>
      <c r="E43" s="152">
        <f t="shared" si="3"/>
        <v>0</v>
      </c>
      <c r="F43" s="337"/>
      <c r="G43" s="338"/>
      <c r="H43" s="197" t="s">
        <v>72</v>
      </c>
      <c r="I43" s="127">
        <f>+Report1!T14</f>
        <v>116.557</v>
      </c>
      <c r="J43" s="142">
        <f>+I43+'5'!J43</f>
        <v>857.52700000000004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+C44+'5'!D44</f>
        <v>0</v>
      </c>
      <c r="E44" s="152">
        <f t="shared" si="3"/>
        <v>0</v>
      </c>
      <c r="F44" s="337"/>
      <c r="G44" s="338"/>
      <c r="H44" s="197" t="s">
        <v>73</v>
      </c>
      <c r="I44" s="127">
        <f>I43/I38</f>
        <v>2.3001795828153058</v>
      </c>
      <c r="J44" s="143">
        <f>J43/J38</f>
        <v>2.3393969320082171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+C45+'5'!D45</f>
        <v>0</v>
      </c>
      <c r="E45" s="152">
        <f t="shared" si="3"/>
        <v>0</v>
      </c>
      <c r="F45" s="337"/>
      <c r="G45" s="340"/>
      <c r="H45" s="197" t="s">
        <v>74</v>
      </c>
      <c r="I45" s="127">
        <f>I43/I40</f>
        <v>2.6279394854913987</v>
      </c>
      <c r="J45" s="143">
        <f>J43/J40</f>
        <v>2.4697006788222997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+C46+'5'!D46</f>
        <v>0</v>
      </c>
      <c r="E46" s="152">
        <f t="shared" si="3"/>
        <v>0</v>
      </c>
      <c r="F46" s="337"/>
      <c r="G46" s="338"/>
      <c r="H46" s="197" t="s">
        <v>76</v>
      </c>
      <c r="I46" s="149">
        <f>+SUMIF(Listrik!AR13,"&gt;0")</f>
        <v>54529.780000000268</v>
      </c>
      <c r="J46" s="144">
        <f>+I46+'5'!J46</f>
        <v>316634.23999999982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+C47+'5'!D47</f>
        <v>0</v>
      </c>
      <c r="E47" s="152">
        <f t="shared" si="3"/>
        <v>0</v>
      </c>
      <c r="F47" s="337"/>
      <c r="G47" s="338"/>
      <c r="H47" s="197" t="s">
        <v>79</v>
      </c>
      <c r="I47" s="127">
        <f>I46/I38</f>
        <v>1076.1111440017419</v>
      </c>
      <c r="J47" s="144">
        <f>J46/J38</f>
        <v>863.80157082488711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+C48+'5'!D48</f>
        <v>0</v>
      </c>
      <c r="E48" s="152">
        <f t="shared" si="3"/>
        <v>0</v>
      </c>
      <c r="F48" s="337"/>
      <c r="G48" s="338"/>
      <c r="H48" s="197" t="s">
        <v>80</v>
      </c>
      <c r="I48" s="127">
        <f>I46/I40</f>
        <v>1229.4496426397372</v>
      </c>
      <c r="J48" s="144">
        <f>J46/J40</f>
        <v>911.91507377188407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+C49+'5'!D49</f>
        <v>0</v>
      </c>
      <c r="E49" s="152">
        <f t="shared" si="3"/>
        <v>0</v>
      </c>
      <c r="F49" s="194"/>
      <c r="H49" s="197" t="s">
        <v>184</v>
      </c>
      <c r="I49" s="127">
        <v>0</v>
      </c>
      <c r="J49" s="144">
        <f>+I49+'5'!J49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+C50+'5'!D50</f>
        <v>0</v>
      </c>
      <c r="E50" s="152">
        <f t="shared" si="3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+C51+'5'!D51</f>
        <v>0</v>
      </c>
      <c r="E51" s="152">
        <f t="shared" si="3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132</v>
      </c>
      <c r="D52" s="153">
        <f>SUM(D38:D51)</f>
        <v>661</v>
      </c>
      <c r="E52" s="154">
        <f>SUM(E38:E51)</f>
        <v>11.016666666666667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9.166666666666666E-2</v>
      </c>
      <c r="D53" s="155">
        <f>D52/(24*60*G4)</f>
        <v>7.6504629629629631E-2</v>
      </c>
      <c r="E53" s="156">
        <f>E52/(G4*24)</f>
        <v>7.6504629629629631E-2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+D34+'5'!J56</f>
        <v>6519</v>
      </c>
      <c r="K56" s="210">
        <f>J56/(J40+J56/1000)/1000</f>
        <v>1.8428893700987735E-2</v>
      </c>
    </row>
    <row r="57" spans="1:11">
      <c r="A57" s="185"/>
      <c r="I57" s="208" t="s">
        <v>88</v>
      </c>
      <c r="J57" s="209">
        <f>+E34+'5'!J57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customWidth="1"/>
    <col min="12" max="12" width="8.28515625" style="158" customWidth="1"/>
    <col min="13" max="13" width="15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5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168+202+115</f>
        <v>485</v>
      </c>
    </row>
    <row r="7" spans="1:18" ht="13.5" customHeight="1" thickBot="1">
      <c r="A7" s="1002" t="s">
        <v>447</v>
      </c>
      <c r="B7" s="224" t="s">
        <v>484</v>
      </c>
      <c r="C7" s="225">
        <f>4333+6216</f>
        <v>10549</v>
      </c>
      <c r="D7" s="226"/>
      <c r="E7" s="227"/>
      <c r="F7" s="236">
        <v>10</v>
      </c>
      <c r="G7" s="237" t="s">
        <v>11</v>
      </c>
      <c r="H7" s="238" t="s">
        <v>414</v>
      </c>
      <c r="I7" s="1005" t="s">
        <v>515</v>
      </c>
      <c r="J7" s="223" t="str">
        <f>+'4'!J7</f>
        <v>MG 14 VP HW/OW</v>
      </c>
      <c r="K7" s="246">
        <f>+C7+C16+C25</f>
        <v>29161</v>
      </c>
      <c r="L7" s="250"/>
      <c r="M7" s="126">
        <f>+K7+'4'!M7+L7</f>
        <v>143496</v>
      </c>
      <c r="N7" s="158">
        <v>1180</v>
      </c>
      <c r="O7" s="158">
        <f>+N7-N7*0.0035</f>
        <v>1175.8699999999999</v>
      </c>
      <c r="P7" s="158">
        <f>240+30+30+60+10</f>
        <v>370</v>
      </c>
      <c r="Q7" s="158">
        <f>+N7*P7</f>
        <v>436600</v>
      </c>
      <c r="R7" s="158">
        <f>+O7*P7</f>
        <v>435071.89999999997</v>
      </c>
    </row>
    <row r="8" spans="1:18" ht="13.5" thickBot="1">
      <c r="A8" s="1003"/>
      <c r="B8" s="224" t="s">
        <v>528</v>
      </c>
      <c r="C8" s="225">
        <f>680+8018</f>
        <v>8698</v>
      </c>
      <c r="D8" s="226">
        <v>489</v>
      </c>
      <c r="E8" s="228"/>
      <c r="F8" s="239"/>
      <c r="G8" s="240" t="s">
        <v>11</v>
      </c>
      <c r="H8" s="238" t="s">
        <v>427</v>
      </c>
      <c r="I8" s="1006"/>
      <c r="J8" s="223" t="str">
        <f>+'4'!J8</f>
        <v>MG 16,5 VP HW</v>
      </c>
      <c r="K8" s="247"/>
      <c r="L8" s="247"/>
      <c r="M8" s="126">
        <f>+K8+'4'!M8+L8</f>
        <v>93365</v>
      </c>
      <c r="N8" s="158">
        <v>1720</v>
      </c>
      <c r="O8" s="158">
        <f>+N8-N8*0.16</f>
        <v>1444.8</v>
      </c>
      <c r="P8" s="158">
        <v>50</v>
      </c>
      <c r="Q8" s="158">
        <f>+N8*P8</f>
        <v>86000</v>
      </c>
      <c r="R8" s="158">
        <f>+O8*P8</f>
        <v>72240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428</v>
      </c>
      <c r="I9" s="1006"/>
      <c r="J9" s="223" t="str">
        <f>+'4'!J9</f>
        <v>MG 30 VP HW</v>
      </c>
      <c r="K9" s="247"/>
      <c r="L9" s="247"/>
      <c r="M9" s="126">
        <f>+K9+'4'!M9+L9</f>
        <v>4193</v>
      </c>
      <c r="P9" s="158">
        <f>+P7+P8</f>
        <v>420</v>
      </c>
      <c r="Q9" s="158">
        <f t="shared" ref="Q9:R9" si="0">+Q7+Q8</f>
        <v>522600</v>
      </c>
      <c r="R9" s="158">
        <f t="shared" si="0"/>
        <v>507311.89999999997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504</v>
      </c>
      <c r="I10" s="1006"/>
      <c r="J10" s="223" t="str">
        <f>+'4'!J10</f>
        <v>MG 17 VP HW</v>
      </c>
      <c r="K10" s="247"/>
      <c r="L10" s="247"/>
      <c r="M10" s="126">
        <f>+K10+'4'!M10+L10</f>
        <v>18114</v>
      </c>
      <c r="Q10" s="158">
        <f>+Q9/P9</f>
        <v>1244.2857142857142</v>
      </c>
      <c r="R10" s="158">
        <f>+R9/P9</f>
        <v>1207.8854761904761</v>
      </c>
    </row>
    <row r="11" spans="1:18" ht="13.5" thickBot="1">
      <c r="A11" s="1003"/>
      <c r="B11" s="224"/>
      <c r="C11" s="225"/>
      <c r="D11" s="226"/>
      <c r="E11" s="228"/>
      <c r="F11" s="236">
        <v>60</v>
      </c>
      <c r="G11" s="240" t="s">
        <v>67</v>
      </c>
      <c r="H11" s="241" t="s">
        <v>525</v>
      </c>
      <c r="I11" s="1006"/>
      <c r="J11" s="223" t="str">
        <f>+'4'!J11</f>
        <v>MG 18 VP HW</v>
      </c>
      <c r="K11" s="247">
        <f>+C8</f>
        <v>8698</v>
      </c>
      <c r="L11" s="247"/>
      <c r="M11" s="126">
        <f>+K11+'4'!M11+L11</f>
        <v>25394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 t="s">
        <v>505</v>
      </c>
      <c r="I12" s="1006"/>
      <c r="J12" s="223" t="str">
        <f>+'4'!J12</f>
        <v>MG 21,5 VP HW</v>
      </c>
      <c r="K12" s="247"/>
      <c r="L12" s="247"/>
      <c r="M12" s="126">
        <f>+K12+'4'!M12+L12</f>
        <v>987</v>
      </c>
    </row>
    <row r="13" spans="1:18" ht="26.25" thickBot="1">
      <c r="A13" s="1003"/>
      <c r="B13" s="224"/>
      <c r="C13" s="225"/>
      <c r="D13" s="225"/>
      <c r="E13" s="228"/>
      <c r="F13" s="236"/>
      <c r="G13" s="240"/>
      <c r="H13" s="241" t="s">
        <v>506</v>
      </c>
      <c r="I13" s="1007"/>
      <c r="J13" s="223" t="s">
        <v>519</v>
      </c>
      <c r="K13" s="247">
        <f>+C17+C26</f>
        <v>17317</v>
      </c>
      <c r="L13" s="247"/>
      <c r="M13" s="126">
        <f>+K13+'4'!M13+L13</f>
        <v>17317</v>
      </c>
    </row>
    <row r="14" spans="1:18" ht="13.5" thickBot="1">
      <c r="A14" s="1004"/>
      <c r="B14" s="174" t="s">
        <v>2</v>
      </c>
      <c r="C14" s="108">
        <f>SUM(C7:C13)</f>
        <v>19247</v>
      </c>
      <c r="D14" s="120">
        <f>SUM(D7:D13)</f>
        <v>489</v>
      </c>
      <c r="E14" s="121">
        <f>SUM(E5:E13)</f>
        <v>0</v>
      </c>
      <c r="F14" s="125">
        <f>SUM(F7:F13)</f>
        <v>80</v>
      </c>
      <c r="G14" s="168"/>
      <c r="H14" s="175"/>
      <c r="I14" s="176"/>
      <c r="J14" s="223">
        <f>+'4'!J14</f>
        <v>0</v>
      </c>
      <c r="K14" s="247"/>
      <c r="L14" s="247"/>
      <c r="M14" s="126">
        <f>+K14+'4'!M14+L14</f>
        <v>0</v>
      </c>
    </row>
    <row r="15" spans="1:18" ht="13.5" customHeight="1" thickBot="1">
      <c r="A15" s="1002" t="s">
        <v>449</v>
      </c>
      <c r="B15" s="174"/>
      <c r="C15" s="122"/>
      <c r="D15" s="123"/>
      <c r="E15" s="124"/>
      <c r="F15" s="236">
        <v>20</v>
      </c>
      <c r="G15" s="237" t="s">
        <v>11</v>
      </c>
      <c r="H15" s="238" t="s">
        <v>439</v>
      </c>
      <c r="I15" s="1005" t="s">
        <v>516</v>
      </c>
      <c r="J15" s="223">
        <f>+'4'!J15</f>
        <v>0</v>
      </c>
      <c r="K15" s="247"/>
      <c r="L15" s="247"/>
      <c r="M15" s="126">
        <f>+K15+'4'!M15+L15</f>
        <v>0</v>
      </c>
    </row>
    <row r="16" spans="1:18" ht="13.5" thickBot="1">
      <c r="A16" s="1008"/>
      <c r="B16" s="224" t="s">
        <v>484</v>
      </c>
      <c r="C16" s="230">
        <f>5575+7416</f>
        <v>12991</v>
      </c>
      <c r="D16" s="231">
        <v>444</v>
      </c>
      <c r="E16" s="232"/>
      <c r="F16" s="236"/>
      <c r="G16" s="240" t="s">
        <v>11</v>
      </c>
      <c r="H16" s="238" t="s">
        <v>427</v>
      </c>
      <c r="I16" s="1006"/>
      <c r="J16" s="223">
        <f>+'4'!J16</f>
        <v>0</v>
      </c>
      <c r="K16" s="247"/>
      <c r="L16" s="237"/>
      <c r="M16" s="126">
        <f>+K16+'4'!M16+L16</f>
        <v>0</v>
      </c>
      <c r="N16" s="158">
        <v>1720</v>
      </c>
      <c r="O16" s="158">
        <f>+N16-N16*0.16</f>
        <v>1444.8</v>
      </c>
      <c r="P16" s="158">
        <v>50</v>
      </c>
      <c r="Q16" s="158">
        <f>+N16*P16</f>
        <v>86000</v>
      </c>
      <c r="R16" s="158">
        <f>+O16*P16</f>
        <v>72240</v>
      </c>
    </row>
    <row r="17" spans="1:18" ht="13.5" thickBot="1">
      <c r="A17" s="1008"/>
      <c r="B17" s="224" t="s">
        <v>519</v>
      </c>
      <c r="C17" s="225">
        <f>1544+1759</f>
        <v>3303</v>
      </c>
      <c r="D17" s="226"/>
      <c r="E17" s="233"/>
      <c r="F17" s="236">
        <v>4</v>
      </c>
      <c r="G17" s="240" t="s">
        <v>11</v>
      </c>
      <c r="H17" s="582" t="s">
        <v>512</v>
      </c>
      <c r="I17" s="1006"/>
      <c r="J17" s="223">
        <f>+'4'!J17</f>
        <v>0</v>
      </c>
      <c r="K17" s="247"/>
      <c r="L17" s="237"/>
      <c r="M17" s="126">
        <f>+K17+'4'!M17+L17</f>
        <v>0</v>
      </c>
      <c r="N17" s="158">
        <v>1600</v>
      </c>
      <c r="O17" s="158">
        <f>+N17-N17*0.16</f>
        <v>1344</v>
      </c>
      <c r="P17" s="158">
        <f>960-140</f>
        <v>820</v>
      </c>
      <c r="Q17" s="158">
        <f>+N17*P17</f>
        <v>1312000</v>
      </c>
      <c r="R17" s="158">
        <f>+O17*P17</f>
        <v>1102080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514</v>
      </c>
      <c r="I18" s="1006"/>
      <c r="J18" s="223">
        <f>+'4'!J18</f>
        <v>0</v>
      </c>
      <c r="K18" s="247"/>
      <c r="L18" s="247"/>
      <c r="M18" s="126">
        <f>+K18+'4'!M18+L18</f>
        <v>0</v>
      </c>
      <c r="P18" s="158">
        <f>+P16+P17</f>
        <v>870</v>
      </c>
      <c r="Q18" s="158">
        <f t="shared" ref="Q18" si="1">+Q16+Q17</f>
        <v>1398000</v>
      </c>
      <c r="R18" s="158">
        <f t="shared" ref="R18" si="2">+R16+R17</f>
        <v>1174320</v>
      </c>
    </row>
    <row r="19" spans="1:18" ht="26.25" thickBot="1">
      <c r="A19" s="1008"/>
      <c r="B19" s="224"/>
      <c r="C19" s="225"/>
      <c r="D19" s="226"/>
      <c r="E19" s="233"/>
      <c r="F19" s="243"/>
      <c r="G19" s="240"/>
      <c r="H19" s="241" t="s">
        <v>508</v>
      </c>
      <c r="I19" s="1006"/>
      <c r="J19" s="223">
        <f>+'4'!J19</f>
        <v>0</v>
      </c>
      <c r="K19" s="247"/>
      <c r="L19" s="247"/>
      <c r="M19" s="126">
        <f>+K19+'4'!M19+L19</f>
        <v>0</v>
      </c>
      <c r="Q19" s="158">
        <f>+Q18/P18</f>
        <v>1606.8965517241379</v>
      </c>
      <c r="R19" s="158">
        <f>+R18/P18</f>
        <v>1349.7931034482758</v>
      </c>
    </row>
    <row r="20" spans="1:18" ht="26.25" thickBot="1">
      <c r="A20" s="1008"/>
      <c r="B20" s="224"/>
      <c r="C20" s="225"/>
      <c r="D20" s="226"/>
      <c r="E20" s="233"/>
      <c r="F20" s="236"/>
      <c r="G20" s="240"/>
      <c r="H20" s="241" t="s">
        <v>509</v>
      </c>
      <c r="I20" s="1006"/>
      <c r="J20" s="223">
        <f>+'4'!J20</f>
        <v>0</v>
      </c>
      <c r="K20" s="248"/>
      <c r="L20" s="248"/>
      <c r="M20" s="126">
        <f>+K20+'4'!M20+L20</f>
        <v>0</v>
      </c>
    </row>
    <row r="21" spans="1:18" ht="13.5" customHeight="1" thickBot="1">
      <c r="A21" s="1008"/>
      <c r="B21" s="224"/>
      <c r="C21" s="225"/>
      <c r="D21" s="226"/>
      <c r="E21" s="233"/>
      <c r="F21" s="239"/>
      <c r="G21" s="240"/>
      <c r="H21" s="498" t="s">
        <v>507</v>
      </c>
      <c r="I21" s="1006"/>
      <c r="J21" s="223">
        <f>+'4'!J21</f>
        <v>0</v>
      </c>
      <c r="K21" s="247"/>
      <c r="L21" s="247"/>
      <c r="M21" s="126">
        <f>+K21+'4'!M21+L21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+'4'!J22</f>
        <v>0</v>
      </c>
      <c r="K22" s="247"/>
      <c r="L22" s="247"/>
      <c r="M22" s="126">
        <f>+K22+'4'!M22+L22</f>
        <v>0</v>
      </c>
    </row>
    <row r="23" spans="1:18" ht="13.5" thickBot="1">
      <c r="A23" s="1009"/>
      <c r="B23" s="177" t="s">
        <v>2</v>
      </c>
      <c r="C23" s="109">
        <f>SUM(C16:C22)</f>
        <v>16294</v>
      </c>
      <c r="D23" s="120">
        <f>SUM(D16:D22)</f>
        <v>444</v>
      </c>
      <c r="E23" s="121">
        <f>SUM(E18:E22)</f>
        <v>0</v>
      </c>
      <c r="F23" s="125">
        <f>SUM(F15:F22)</f>
        <v>24</v>
      </c>
      <c r="G23" s="168"/>
      <c r="H23" s="175" t="s">
        <v>234</v>
      </c>
      <c r="I23" s="178"/>
      <c r="J23" s="223">
        <f>+'4'!J23</f>
        <v>0</v>
      </c>
      <c r="K23" s="247"/>
      <c r="L23" s="247"/>
      <c r="M23" s="126">
        <f>+K23+'4'!M23+L23</f>
        <v>0</v>
      </c>
    </row>
    <row r="24" spans="1:18" ht="13.5" customHeight="1" thickBot="1">
      <c r="A24" s="1002" t="s">
        <v>465</v>
      </c>
      <c r="B24" s="179"/>
      <c r="C24" s="122"/>
      <c r="D24" s="123"/>
      <c r="E24" s="124"/>
      <c r="F24" s="244">
        <v>20</v>
      </c>
      <c r="G24" s="237" t="s">
        <v>11</v>
      </c>
      <c r="H24" s="238" t="s">
        <v>439</v>
      </c>
      <c r="I24" s="1005" t="s">
        <v>516</v>
      </c>
      <c r="J24" s="223">
        <f>+'4'!J24</f>
        <v>0</v>
      </c>
      <c r="K24" s="247"/>
      <c r="L24" s="247"/>
      <c r="M24" s="126">
        <f>+K24+'4'!M24+L24</f>
        <v>0</v>
      </c>
    </row>
    <row r="25" spans="1:18" ht="13.5" thickBot="1">
      <c r="A25" s="1008"/>
      <c r="B25" s="224" t="s">
        <v>484</v>
      </c>
      <c r="C25" s="234">
        <f>2300+3321</f>
        <v>5621</v>
      </c>
      <c r="D25" s="226"/>
      <c r="E25" s="233"/>
      <c r="F25" s="239"/>
      <c r="G25" s="240" t="s">
        <v>11</v>
      </c>
      <c r="H25" s="238" t="s">
        <v>427</v>
      </c>
      <c r="I25" s="1006"/>
      <c r="J25" s="223">
        <f>+'4'!J25</f>
        <v>0</v>
      </c>
      <c r="K25" s="247"/>
      <c r="L25" s="247"/>
      <c r="M25" s="126">
        <f>+K25+'4'!M25+L25</f>
        <v>0</v>
      </c>
    </row>
    <row r="26" spans="1:18" ht="13.5" thickBot="1">
      <c r="A26" s="1008"/>
      <c r="B26" s="224" t="s">
        <v>519</v>
      </c>
      <c r="C26" s="234">
        <f>6556+7458</f>
        <v>14014</v>
      </c>
      <c r="D26" s="226"/>
      <c r="E26" s="235"/>
      <c r="F26" s="239">
        <v>5</v>
      </c>
      <c r="G26" s="240" t="s">
        <v>11</v>
      </c>
      <c r="H26" s="582" t="s">
        <v>513</v>
      </c>
      <c r="I26" s="1006"/>
      <c r="J26" s="223">
        <f>+'4'!J26</f>
        <v>0</v>
      </c>
      <c r="K26" s="247"/>
      <c r="L26" s="247"/>
      <c r="M26" s="126">
        <f>+K26+'4'!M26+L26</f>
        <v>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514</v>
      </c>
      <c r="I27" s="1006"/>
      <c r="J27" s="223">
        <f>+'4'!J27</f>
        <v>0</v>
      </c>
      <c r="K27" s="247"/>
      <c r="L27" s="247"/>
      <c r="M27" s="126">
        <f>+K27+'4'!M27+L27</f>
        <v>0</v>
      </c>
    </row>
    <row r="28" spans="1:18" ht="26.25" thickBot="1">
      <c r="A28" s="1008"/>
      <c r="B28" s="224"/>
      <c r="C28" s="225"/>
      <c r="D28" s="226"/>
      <c r="E28" s="233"/>
      <c r="F28" s="239">
        <v>140</v>
      </c>
      <c r="G28" s="240" t="s">
        <v>65</v>
      </c>
      <c r="H28" s="241" t="s">
        <v>524</v>
      </c>
      <c r="I28" s="1006"/>
      <c r="J28" s="223">
        <f>+'4'!J28</f>
        <v>0</v>
      </c>
      <c r="K28" s="247"/>
      <c r="L28" s="247"/>
      <c r="M28" s="126">
        <f>+K28+'4'!M28+L28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 t="s">
        <v>510</v>
      </c>
      <c r="I29" s="1006"/>
      <c r="J29" s="223">
        <f>+'4'!J29</f>
        <v>0</v>
      </c>
      <c r="K29" s="247"/>
      <c r="L29" s="247"/>
      <c r="M29" s="126">
        <f>+K29+'4'!M29+L29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 t="s">
        <v>511</v>
      </c>
      <c r="I30" s="1006"/>
      <c r="J30" s="223">
        <f>+'4'!J30</f>
        <v>0</v>
      </c>
      <c r="K30" s="247"/>
      <c r="L30" s="247"/>
      <c r="M30" s="126">
        <f>+K30+'4'!M30+L30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460"/>
      <c r="I31" s="1007"/>
      <c r="J31" s="223">
        <f>+'4'!J31</f>
        <v>0</v>
      </c>
      <c r="K31" s="247"/>
      <c r="L31" s="247"/>
      <c r="M31" s="126">
        <f>+K31+'4'!M31+L31</f>
        <v>0</v>
      </c>
    </row>
    <row r="32" spans="1:18" ht="13.5" thickBot="1">
      <c r="A32" s="1009"/>
      <c r="B32" s="174" t="s">
        <v>2</v>
      </c>
      <c r="C32" s="108">
        <f>SUM(C25:C31)</f>
        <v>19635</v>
      </c>
      <c r="D32" s="109">
        <f>SUM(D25:D31)</f>
        <v>0</v>
      </c>
      <c r="E32" s="110">
        <f>SUM(E25:E31)</f>
        <v>0</v>
      </c>
      <c r="F32" s="111">
        <f>SUM(F24:F31)</f>
        <v>165</v>
      </c>
      <c r="G32" s="180"/>
      <c r="H32" s="181"/>
      <c r="I32" s="178"/>
      <c r="J32" s="223">
        <f>+'4'!J32</f>
        <v>0</v>
      </c>
      <c r="K32" s="249"/>
      <c r="L32" s="251"/>
      <c r="M32" s="126">
        <f>+K32+'4'!M32+L32</f>
        <v>0</v>
      </c>
    </row>
    <row r="33" spans="1:14" ht="13.5" thickBot="1">
      <c r="A33" s="182"/>
      <c r="B33" s="183"/>
      <c r="C33" s="112">
        <f>C32/($C$32+$D$32+$E$32)</f>
        <v>1</v>
      </c>
      <c r="D33" s="113">
        <f>D32/($C$32+$D$32+$E$32)</f>
        <v>0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55176</v>
      </c>
      <c r="D34" s="116">
        <f>D14+D23+D32</f>
        <v>933</v>
      </c>
      <c r="E34" s="116">
        <f>E14+E23+E32</f>
        <v>0</v>
      </c>
      <c r="F34" s="117">
        <f>F14+F23+F32</f>
        <v>269</v>
      </c>
      <c r="H34" s="187"/>
      <c r="I34" s="187"/>
      <c r="J34" s="132" t="s">
        <v>27</v>
      </c>
      <c r="K34" s="133">
        <f>SUM(K7:K32)</f>
        <v>55176</v>
      </c>
      <c r="L34" s="221">
        <f>SUM(L7:L32)</f>
        <v>0</v>
      </c>
      <c r="M34" s="129">
        <f>SUM(M7:M32)</f>
        <v>302866</v>
      </c>
      <c r="N34" s="164"/>
    </row>
    <row r="35" spans="1:14" ht="13.5" thickBot="1">
      <c r="A35" s="188"/>
      <c r="B35" s="189"/>
      <c r="C35" s="113">
        <f>C34/($C$34+$D$34+$E$34)</f>
        <v>0.98337165160669415</v>
      </c>
      <c r="D35" s="113">
        <f>D34/($C$34+$D$34+$E$34)</f>
        <v>1.6628348393305886E-2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(14*370+10.3*820)/1240*G42*2.77*1240/1000000</f>
        <v>48.987838759224189</v>
      </c>
      <c r="J37" s="134">
        <f>+I37+'4'!J37</f>
        <v>355.48903741809795</v>
      </c>
      <c r="K37" s="135" t="s">
        <v>62</v>
      </c>
      <c r="N37" s="158">
        <f>17.453-1.5</f>
        <v>15.952999999999999</v>
      </c>
    </row>
    <row r="38" spans="1:14" ht="17.45" customHeight="1">
      <c r="A38" s="1000" t="s">
        <v>11</v>
      </c>
      <c r="B38" s="1001"/>
      <c r="C38" s="173">
        <f>SUMIF($G$7:$G$31,"Process",$F$7:$F$31)</f>
        <v>69</v>
      </c>
      <c r="D38" s="127">
        <f>+C38+'4'!D38</f>
        <v>329</v>
      </c>
      <c r="E38" s="152">
        <f t="shared" ref="E38:E51" si="3">D38/60</f>
        <v>5.4833333333333334</v>
      </c>
      <c r="F38" s="337">
        <v>1244.2857142857142</v>
      </c>
      <c r="G38" s="337">
        <v>1207.8854761904761</v>
      </c>
      <c r="H38" s="196" t="s">
        <v>63</v>
      </c>
      <c r="I38" s="549">
        <f>17.453+14.098+14.298</f>
        <v>45.849000000000004</v>
      </c>
      <c r="J38" s="136">
        <f>+I38+'4'!J38</f>
        <v>315.88600000000002</v>
      </c>
      <c r="K38" s="137" t="s">
        <v>62</v>
      </c>
      <c r="N38" s="556">
        <f>+I38-N37</f>
        <v>29.896000000000004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+C39+'4'!D39</f>
        <v>0</v>
      </c>
      <c r="E39" s="152">
        <f t="shared" si="3"/>
        <v>0</v>
      </c>
      <c r="F39" s="337">
        <v>1600</v>
      </c>
      <c r="G39" s="337">
        <f t="shared" ref="G39:G40" si="4">+F39-F39*0.16</f>
        <v>1344</v>
      </c>
      <c r="H39" s="196" t="s">
        <v>64</v>
      </c>
      <c r="I39" s="151"/>
      <c r="J39" s="138">
        <f>J37/G4</f>
        <v>71.09780748361959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140</v>
      </c>
      <c r="D40" s="127">
        <f>+C40+'4'!D40</f>
        <v>140</v>
      </c>
      <c r="E40" s="152">
        <f t="shared" si="3"/>
        <v>2.3333333333333335</v>
      </c>
      <c r="F40" s="337">
        <v>1600</v>
      </c>
      <c r="G40" s="337">
        <f t="shared" si="4"/>
        <v>1344</v>
      </c>
      <c r="H40" s="196" t="s">
        <v>66</v>
      </c>
      <c r="I40" s="127">
        <f>(K34+L34)/1000</f>
        <v>55.176000000000002</v>
      </c>
      <c r="J40" s="140">
        <f>+I40+'4'!J40</f>
        <v>302.86599999999999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60</v>
      </c>
      <c r="D41" s="127">
        <f>+C41+'4'!D41</f>
        <v>60</v>
      </c>
      <c r="E41" s="152">
        <f t="shared" si="3"/>
        <v>1</v>
      </c>
      <c r="F41" s="337"/>
      <c r="G41" s="337"/>
      <c r="H41" s="196" t="s">
        <v>68</v>
      </c>
      <c r="I41" s="151"/>
      <c r="J41" s="138">
        <f>J40/G4</f>
        <v>60.5732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+C42+'4'!D42</f>
        <v>0</v>
      </c>
      <c r="E42" s="152">
        <f t="shared" si="3"/>
        <v>0</v>
      </c>
      <c r="F42" s="337">
        <f>+(F38*420+F39*480+F40*340)/1240</f>
        <v>1479.516129032258</v>
      </c>
      <c r="G42" s="337">
        <f>+(G38*420+G39*480+G40*340)/1240</f>
        <v>1297.896693548387</v>
      </c>
      <c r="H42" s="196" t="s">
        <v>69</v>
      </c>
      <c r="I42" s="254" t="s">
        <v>518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+C43+'4'!D43</f>
        <v>0</v>
      </c>
      <c r="E43" s="152">
        <f t="shared" si="3"/>
        <v>0</v>
      </c>
      <c r="F43" s="337"/>
      <c r="G43" s="338"/>
      <c r="H43" s="197" t="s">
        <v>72</v>
      </c>
      <c r="I43" s="127">
        <f>+Report1!T13</f>
        <v>115.56500000000001</v>
      </c>
      <c r="J43" s="142">
        <f>+I43+'4'!J43</f>
        <v>740.97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+C44+'4'!D44</f>
        <v>0</v>
      </c>
      <c r="E44" s="152">
        <f t="shared" si="3"/>
        <v>0</v>
      </c>
      <c r="F44" s="337"/>
      <c r="G44" s="338"/>
      <c r="H44" s="197" t="s">
        <v>73</v>
      </c>
      <c r="I44" s="127">
        <f>I43/I38</f>
        <v>2.5205566097406704</v>
      </c>
      <c r="J44" s="143">
        <f>J43/J38</f>
        <v>2.345688001367582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+C45+'4'!D45</f>
        <v>0</v>
      </c>
      <c r="E45" s="152">
        <f t="shared" si="3"/>
        <v>0</v>
      </c>
      <c r="F45" s="337"/>
      <c r="G45" s="340"/>
      <c r="H45" s="197" t="s">
        <v>74</v>
      </c>
      <c r="I45" s="127">
        <f>I43/I40</f>
        <v>2.0944794838335508</v>
      </c>
      <c r="J45" s="143">
        <f>J43/J40</f>
        <v>2.4465275072144119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+C46+'4'!D46</f>
        <v>0</v>
      </c>
      <c r="E46" s="152">
        <f t="shared" si="3"/>
        <v>0</v>
      </c>
      <c r="F46" s="337"/>
      <c r="G46" s="338"/>
      <c r="H46" s="197" t="s">
        <v>76</v>
      </c>
      <c r="I46" s="149">
        <f>+SUMIF(Listrik!AR12,"&gt;0")</f>
        <v>49114.560000000522</v>
      </c>
      <c r="J46" s="144">
        <f>+I46+'4'!J46</f>
        <v>262104.45999999956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+C47+'4'!D47</f>
        <v>0</v>
      </c>
      <c r="E47" s="152">
        <f t="shared" si="3"/>
        <v>0</v>
      </c>
      <c r="F47" s="337"/>
      <c r="G47" s="338"/>
      <c r="H47" s="197" t="s">
        <v>79</v>
      </c>
      <c r="I47" s="127">
        <f>I46/I38</f>
        <v>1071.224236079315</v>
      </c>
      <c r="J47" s="144">
        <f>J46/J38</f>
        <v>829.7438316354619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+C48+'4'!D48</f>
        <v>0</v>
      </c>
      <c r="E48" s="152">
        <f t="shared" si="3"/>
        <v>0</v>
      </c>
      <c r="F48" s="337"/>
      <c r="G48" s="338"/>
      <c r="H48" s="197" t="s">
        <v>80</v>
      </c>
      <c r="I48" s="127">
        <f>I46/I40</f>
        <v>890.14354066986584</v>
      </c>
      <c r="J48" s="144">
        <f>J46/J40</f>
        <v>865.41394544121681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+C49+'4'!D49</f>
        <v>0</v>
      </c>
      <c r="E49" s="152">
        <f t="shared" si="3"/>
        <v>0</v>
      </c>
      <c r="F49" s="194"/>
      <c r="H49" s="197" t="s">
        <v>184</v>
      </c>
      <c r="I49" s="127">
        <v>0</v>
      </c>
      <c r="J49" s="144">
        <f>+I49+'4'!J49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+C50+'4'!D50</f>
        <v>0</v>
      </c>
      <c r="E50" s="152">
        <f t="shared" si="3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+C51+'4'!D51</f>
        <v>0</v>
      </c>
      <c r="E51" s="152">
        <f t="shared" si="3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269</v>
      </c>
      <c r="D52" s="153">
        <f>SUM(D38:D51)</f>
        <v>529</v>
      </c>
      <c r="E52" s="154">
        <f>SUM(E38:E51)</f>
        <v>8.8166666666666664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0.18680555555555556</v>
      </c>
      <c r="D53" s="155">
        <f>D52/(24*60*G4)</f>
        <v>7.3472222222222217E-2</v>
      </c>
      <c r="E53" s="156">
        <f>E52/(G4*24)</f>
        <v>7.3472222222222217E-2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+D34+'4'!J56</f>
        <v>6169</v>
      </c>
      <c r="K56" s="210">
        <f>J56/(J40+J56/1000)/1000</f>
        <v>1.9962140210655753E-2</v>
      </c>
    </row>
    <row r="57" spans="1:11">
      <c r="A57" s="185"/>
      <c r="I57" s="208" t="s">
        <v>88</v>
      </c>
      <c r="J57" s="209">
        <f>+E34+'4'!J57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4027777777777778" header="0" footer="0"/>
  <pageSetup paperSize="9" scale="60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4.5703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4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135+179+155</f>
        <v>469</v>
      </c>
    </row>
    <row r="7" spans="1:18" ht="13.5" customHeight="1" thickBot="1">
      <c r="A7" s="1002" t="s">
        <v>447</v>
      </c>
      <c r="B7" s="224" t="s">
        <v>454</v>
      </c>
      <c r="C7" s="225">
        <f>4239+14073</f>
        <v>18312</v>
      </c>
      <c r="D7" s="226"/>
      <c r="E7" s="227"/>
      <c r="F7" s="236">
        <v>5</v>
      </c>
      <c r="G7" s="237" t="s">
        <v>11</v>
      </c>
      <c r="H7" s="238" t="s">
        <v>438</v>
      </c>
      <c r="I7" s="1005" t="s">
        <v>479</v>
      </c>
      <c r="J7" s="223" t="s">
        <v>485</v>
      </c>
      <c r="K7" s="246">
        <f>+C27</f>
        <v>658</v>
      </c>
      <c r="L7" s="250"/>
      <c r="M7" s="126">
        <f>+K7+'3'!M7+L7</f>
        <v>114335</v>
      </c>
    </row>
    <row r="8" spans="1:18" ht="13.5" thickBot="1">
      <c r="A8" s="1003"/>
      <c r="B8" s="224" t="s">
        <v>482</v>
      </c>
      <c r="C8" s="225">
        <f>370+1236</f>
        <v>1606</v>
      </c>
      <c r="D8" s="226"/>
      <c r="E8" s="228"/>
      <c r="F8" s="239"/>
      <c r="G8" s="240" t="s">
        <v>11</v>
      </c>
      <c r="H8" s="238" t="s">
        <v>427</v>
      </c>
      <c r="I8" s="1006"/>
      <c r="J8" s="223" t="str">
        <f>+'3'!J8</f>
        <v>MG 16,5 VP HW</v>
      </c>
      <c r="K8" s="247">
        <f>+C7+C16</f>
        <v>19001</v>
      </c>
      <c r="L8" s="247"/>
      <c r="M8" s="126">
        <f>+K8+'3'!M8+L8</f>
        <v>93365</v>
      </c>
      <c r="N8" s="158">
        <v>1160</v>
      </c>
      <c r="O8" s="158">
        <f>+N8-N8*0.0035</f>
        <v>1155.94</v>
      </c>
      <c r="P8" s="158">
        <f>180+35</f>
        <v>215</v>
      </c>
      <c r="Q8" s="158">
        <f>+N8*P8</f>
        <v>249400</v>
      </c>
      <c r="R8" s="158">
        <f>+O8*P8</f>
        <v>248527.1</v>
      </c>
    </row>
    <row r="9" spans="1:18" ht="13.5" thickBot="1">
      <c r="A9" s="1003"/>
      <c r="B9" s="224" t="s">
        <v>503</v>
      </c>
      <c r="C9" s="225">
        <v>987</v>
      </c>
      <c r="D9" s="226"/>
      <c r="E9" s="229"/>
      <c r="F9" s="236">
        <v>11</v>
      </c>
      <c r="G9" s="240" t="s">
        <v>11</v>
      </c>
      <c r="H9" s="582" t="s">
        <v>463</v>
      </c>
      <c r="I9" s="1006"/>
      <c r="J9" s="223" t="s">
        <v>481</v>
      </c>
      <c r="K9" s="247">
        <f>+C18</f>
        <v>4193</v>
      </c>
      <c r="L9" s="247"/>
      <c r="M9" s="126">
        <f>+K9+'3'!M9+L9</f>
        <v>4193</v>
      </c>
      <c r="N9" s="158">
        <v>700</v>
      </c>
      <c r="O9" s="158">
        <f>+N9-N9*0.0035</f>
        <v>697.55</v>
      </c>
      <c r="P9" s="158">
        <f>25+60+40</f>
        <v>125</v>
      </c>
      <c r="Q9" s="158">
        <f>+N9*P9</f>
        <v>87500</v>
      </c>
      <c r="R9" s="158">
        <f>+O9*P9</f>
        <v>87193.75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457</v>
      </c>
      <c r="I10" s="1006"/>
      <c r="J10" s="223" t="s">
        <v>482</v>
      </c>
      <c r="K10" s="247">
        <f>+C8+C17+C26</f>
        <v>18114</v>
      </c>
      <c r="L10" s="247"/>
      <c r="M10" s="126">
        <f>+K10+'3'!M10+L10</f>
        <v>18114</v>
      </c>
      <c r="N10" s="158">
        <v>1200</v>
      </c>
      <c r="O10" s="158">
        <f>+N10-N10*0.0035</f>
        <v>1195.8</v>
      </c>
      <c r="P10" s="158">
        <f>20+120</f>
        <v>140</v>
      </c>
      <c r="Q10" s="158">
        <f>+N10*P10</f>
        <v>168000</v>
      </c>
      <c r="R10" s="158">
        <f>+O10*P10</f>
        <v>167412</v>
      </c>
    </row>
    <row r="11" spans="1:18" ht="13.5" thickBot="1">
      <c r="A11" s="1003"/>
      <c r="B11" s="224"/>
      <c r="C11" s="225"/>
      <c r="D11" s="226"/>
      <c r="E11" s="228"/>
      <c r="F11" s="236">
        <v>8</v>
      </c>
      <c r="G11" s="240" t="s">
        <v>11</v>
      </c>
      <c r="H11" s="241" t="s">
        <v>473</v>
      </c>
      <c r="I11" s="1006"/>
      <c r="J11" s="223" t="s">
        <v>483</v>
      </c>
      <c r="K11" s="247">
        <f>+C19+C25</f>
        <v>16696</v>
      </c>
      <c r="L11" s="247"/>
      <c r="M11" s="126">
        <f>+K11+'3'!M11+L11</f>
        <v>16696</v>
      </c>
      <c r="P11" s="158">
        <f>SUM(P8:P10)</f>
        <v>480</v>
      </c>
      <c r="Q11" s="158">
        <f t="shared" ref="Q11:R11" si="0">SUM(Q8:Q10)</f>
        <v>504900</v>
      </c>
      <c r="R11" s="158">
        <f t="shared" si="0"/>
        <v>503132.85</v>
      </c>
    </row>
    <row r="12" spans="1:18" ht="13.5" thickBot="1">
      <c r="A12" s="1003"/>
      <c r="B12" s="224"/>
      <c r="C12" s="225"/>
      <c r="D12" s="226"/>
      <c r="E12" s="228"/>
      <c r="F12" s="236">
        <v>10</v>
      </c>
      <c r="G12" s="240" t="s">
        <v>11</v>
      </c>
      <c r="H12" s="241" t="s">
        <v>474</v>
      </c>
      <c r="I12" s="1006"/>
      <c r="J12" s="223" t="s">
        <v>503</v>
      </c>
      <c r="K12" s="247">
        <f>+C9</f>
        <v>987</v>
      </c>
      <c r="L12" s="247"/>
      <c r="M12" s="126">
        <f>+K12+'3'!M12+L12</f>
        <v>987</v>
      </c>
      <c r="Q12" s="158">
        <f>+Q11/P11</f>
        <v>1051.875</v>
      </c>
      <c r="R12" s="158">
        <f>+R11/P11</f>
        <v>1048.1934374999998</v>
      </c>
    </row>
    <row r="13" spans="1:18" ht="39" thickBot="1">
      <c r="A13" s="1003"/>
      <c r="B13" s="224"/>
      <c r="C13" s="225"/>
      <c r="D13" s="225"/>
      <c r="E13" s="228"/>
      <c r="F13" s="236"/>
      <c r="G13" s="240"/>
      <c r="H13" s="241" t="s">
        <v>475</v>
      </c>
      <c r="I13" s="1007"/>
      <c r="J13" s="223">
        <f>+'3'!J13</f>
        <v>0</v>
      </c>
      <c r="K13" s="247"/>
      <c r="L13" s="247"/>
      <c r="M13" s="126">
        <f>+K13+'3'!M13+L13</f>
        <v>0</v>
      </c>
    </row>
    <row r="14" spans="1:18" ht="13.5" thickBot="1">
      <c r="A14" s="1004"/>
      <c r="B14" s="174" t="s">
        <v>2</v>
      </c>
      <c r="C14" s="108">
        <f>SUM(C7:C13)</f>
        <v>20905</v>
      </c>
      <c r="D14" s="120">
        <f>SUM(D7:D13)</f>
        <v>0</v>
      </c>
      <c r="E14" s="121">
        <f>SUM(E5:E13)</f>
        <v>0</v>
      </c>
      <c r="F14" s="125">
        <f>SUM(F7:F13)</f>
        <v>34</v>
      </c>
      <c r="G14" s="168"/>
      <c r="H14" s="175"/>
      <c r="I14" s="176"/>
      <c r="J14" s="223">
        <f>+'3'!J14</f>
        <v>0</v>
      </c>
      <c r="K14" s="247"/>
      <c r="L14" s="247"/>
      <c r="M14" s="126">
        <f>+K14+'3'!M14+L14</f>
        <v>0</v>
      </c>
    </row>
    <row r="15" spans="1:18" ht="13.5" customHeight="1" thickBot="1">
      <c r="A15" s="1002" t="s">
        <v>448</v>
      </c>
      <c r="B15" s="174"/>
      <c r="C15" s="122"/>
      <c r="D15" s="123"/>
      <c r="E15" s="124"/>
      <c r="F15" s="236">
        <v>8</v>
      </c>
      <c r="G15" s="237" t="s">
        <v>11</v>
      </c>
      <c r="H15" s="238" t="s">
        <v>414</v>
      </c>
      <c r="I15" s="1005" t="s">
        <v>487</v>
      </c>
      <c r="J15" s="223">
        <f>+'3'!J15</f>
        <v>0</v>
      </c>
      <c r="K15" s="247"/>
      <c r="L15" s="247"/>
      <c r="M15" s="126">
        <f>+K15+'3'!M15+L15</f>
        <v>0</v>
      </c>
      <c r="N15" s="158">
        <v>1170</v>
      </c>
      <c r="O15" s="158">
        <f>+N15-N15*0.0035</f>
        <v>1165.905</v>
      </c>
      <c r="P15" s="158">
        <v>330</v>
      </c>
      <c r="Q15" s="158">
        <f>+N15*P15</f>
        <v>386100</v>
      </c>
      <c r="R15" s="158">
        <f>+O15*P15</f>
        <v>384748.64999999997</v>
      </c>
    </row>
    <row r="16" spans="1:18" ht="13.5" thickBot="1">
      <c r="A16" s="1008"/>
      <c r="B16" s="224" t="s">
        <v>454</v>
      </c>
      <c r="C16" s="230">
        <f>160+529</f>
        <v>689</v>
      </c>
      <c r="D16" s="231"/>
      <c r="E16" s="232"/>
      <c r="F16" s="236"/>
      <c r="G16" s="240" t="s">
        <v>11</v>
      </c>
      <c r="H16" s="238" t="s">
        <v>427</v>
      </c>
      <c r="I16" s="1006"/>
      <c r="J16" s="223">
        <f>+'3'!J16</f>
        <v>0</v>
      </c>
      <c r="K16" s="237"/>
      <c r="L16" s="237"/>
      <c r="M16" s="126">
        <f>+K16+'3'!M16+L16</f>
        <v>0</v>
      </c>
      <c r="N16" s="158">
        <v>1140</v>
      </c>
      <c r="O16" s="158">
        <f>+N16-N16*0.0035</f>
        <v>1136.01</v>
      </c>
      <c r="P16" s="158">
        <f>30+120</f>
        <v>150</v>
      </c>
      <c r="Q16" s="158">
        <f>+N16*P16</f>
        <v>171000</v>
      </c>
      <c r="R16" s="158">
        <f>+O16*P16</f>
        <v>170401.5</v>
      </c>
    </row>
    <row r="17" spans="1:18" ht="13.5" thickBot="1">
      <c r="A17" s="1008"/>
      <c r="B17" s="224" t="s">
        <v>482</v>
      </c>
      <c r="C17" s="225">
        <f>1276+6760</f>
        <v>8036</v>
      </c>
      <c r="D17" s="226">
        <v>724</v>
      </c>
      <c r="E17" s="233"/>
      <c r="F17" s="236">
        <v>8</v>
      </c>
      <c r="G17" s="240" t="s">
        <v>11</v>
      </c>
      <c r="H17" s="582" t="s">
        <v>428</v>
      </c>
      <c r="I17" s="1006"/>
      <c r="J17" s="223">
        <f>+'3'!J17</f>
        <v>0</v>
      </c>
      <c r="K17" s="237"/>
      <c r="L17" s="237"/>
      <c r="M17" s="126">
        <f>+K17+'3'!M17+L17</f>
        <v>0</v>
      </c>
      <c r="N17" s="158">
        <v>1160</v>
      </c>
      <c r="O17" s="158">
        <f>+N17-N17*0.0035</f>
        <v>1155.94</v>
      </c>
      <c r="P17" s="158">
        <v>60</v>
      </c>
      <c r="Q17" s="158">
        <f>+N17*P17</f>
        <v>69600</v>
      </c>
      <c r="R17" s="158">
        <f>+O17*P17</f>
        <v>69356.400000000009</v>
      </c>
    </row>
    <row r="18" spans="1:18" ht="13.5" thickBot="1">
      <c r="A18" s="1008"/>
      <c r="B18" s="224" t="s">
        <v>481</v>
      </c>
      <c r="C18" s="225">
        <f>1871+2322</f>
        <v>4193</v>
      </c>
      <c r="D18" s="226">
        <v>998</v>
      </c>
      <c r="E18" s="233"/>
      <c r="F18" s="236"/>
      <c r="G18" s="240"/>
      <c r="H18" s="582" t="s">
        <v>486</v>
      </c>
      <c r="I18" s="1006"/>
      <c r="J18" s="223">
        <f>+'3'!J18</f>
        <v>0</v>
      </c>
      <c r="K18" s="247"/>
      <c r="L18" s="247"/>
      <c r="M18" s="126">
        <f>+K18+'3'!M18+L18</f>
        <v>0</v>
      </c>
      <c r="P18" s="158">
        <f>SUM(P15:P17)</f>
        <v>540</v>
      </c>
      <c r="Q18" s="158">
        <f t="shared" ref="Q18" si="1">SUM(Q15:Q17)</f>
        <v>626700</v>
      </c>
      <c r="R18" s="158">
        <f t="shared" ref="R18" si="2">SUM(R15:R17)</f>
        <v>624506.54999999993</v>
      </c>
    </row>
    <row r="19" spans="1:18" ht="26.25" thickBot="1">
      <c r="A19" s="1008"/>
      <c r="B19" s="224" t="s">
        <v>483</v>
      </c>
      <c r="C19" s="225">
        <f>4643+410</f>
        <v>5053</v>
      </c>
      <c r="D19" s="226">
        <v>372</v>
      </c>
      <c r="E19" s="233"/>
      <c r="F19" s="243"/>
      <c r="G19" s="240"/>
      <c r="H19" s="241" t="s">
        <v>477</v>
      </c>
      <c r="I19" s="1006"/>
      <c r="J19" s="223">
        <f>+'3'!J19</f>
        <v>0</v>
      </c>
      <c r="K19" s="247"/>
      <c r="L19" s="247"/>
      <c r="M19" s="126">
        <f>+K19+'3'!M19+L19</f>
        <v>0</v>
      </c>
      <c r="Q19" s="158">
        <f>+Q18/P18</f>
        <v>1160.5555555555557</v>
      </c>
      <c r="R19" s="158">
        <f>+R18/P18</f>
        <v>1156.493611111111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+'3'!J20</f>
        <v>0</v>
      </c>
      <c r="K20" s="248"/>
      <c r="L20" s="248"/>
      <c r="M20" s="126">
        <f>+K20+'3'!M20+L20</f>
        <v>0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+'3'!J21</f>
        <v>0</v>
      </c>
      <c r="K21" s="247"/>
      <c r="L21" s="247"/>
      <c r="M21" s="126">
        <f>+K21+'3'!M21+L21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+'3'!J22</f>
        <v>0</v>
      </c>
      <c r="K22" s="247"/>
      <c r="L22" s="247"/>
      <c r="M22" s="126">
        <f>+K22+'3'!M22+L22</f>
        <v>0</v>
      </c>
    </row>
    <row r="23" spans="1:18" ht="13.5" thickBot="1">
      <c r="A23" s="1009"/>
      <c r="B23" s="177" t="s">
        <v>2</v>
      </c>
      <c r="C23" s="109">
        <f>SUM(C16:C22)</f>
        <v>17971</v>
      </c>
      <c r="D23" s="120">
        <f>SUM(D16:D22)</f>
        <v>2094</v>
      </c>
      <c r="E23" s="121">
        <f>SUM(E18:E22)</f>
        <v>0</v>
      </c>
      <c r="F23" s="125">
        <f>SUM(F15:F22)</f>
        <v>16</v>
      </c>
      <c r="G23" s="168"/>
      <c r="H23" s="175" t="s">
        <v>234</v>
      </c>
      <c r="I23" s="178"/>
      <c r="J23" s="223">
        <f>+'3'!J23</f>
        <v>0</v>
      </c>
      <c r="K23" s="247"/>
      <c r="L23" s="247"/>
      <c r="M23" s="126">
        <f>+K23+'3'!M23+L23</f>
        <v>0</v>
      </c>
    </row>
    <row r="24" spans="1:18" ht="13.5" customHeight="1" thickBot="1">
      <c r="A24" s="1002" t="s">
        <v>465</v>
      </c>
      <c r="B24" s="179"/>
      <c r="C24" s="122"/>
      <c r="D24" s="123"/>
      <c r="E24" s="124"/>
      <c r="F24" s="244">
        <v>20</v>
      </c>
      <c r="G24" s="237" t="s">
        <v>11</v>
      </c>
      <c r="H24" s="238" t="s">
        <v>439</v>
      </c>
      <c r="I24" s="1005" t="s">
        <v>480</v>
      </c>
      <c r="J24" s="223">
        <f>+'3'!J24</f>
        <v>0</v>
      </c>
      <c r="K24" s="247"/>
      <c r="L24" s="247"/>
      <c r="M24" s="126">
        <f>+K24+'3'!M24+L24</f>
        <v>0</v>
      </c>
      <c r="N24" s="158">
        <v>1160</v>
      </c>
      <c r="O24" s="158">
        <f>+N24-N24*0.0035</f>
        <v>1155.94</v>
      </c>
      <c r="P24" s="158">
        <v>60</v>
      </c>
      <c r="Q24" s="158">
        <f>+N24*P24</f>
        <v>69600</v>
      </c>
      <c r="R24" s="158">
        <f>+O24*P24</f>
        <v>69356.400000000009</v>
      </c>
    </row>
    <row r="25" spans="1:18" ht="13.5" thickBot="1">
      <c r="A25" s="1008"/>
      <c r="B25" s="224" t="s">
        <v>483</v>
      </c>
      <c r="C25" s="234">
        <f>910+10733</f>
        <v>11643</v>
      </c>
      <c r="D25" s="226">
        <v>192</v>
      </c>
      <c r="E25" s="233"/>
      <c r="F25" s="239"/>
      <c r="G25" s="240" t="s">
        <v>11</v>
      </c>
      <c r="H25" s="238" t="s">
        <v>427</v>
      </c>
      <c r="I25" s="1006"/>
      <c r="J25" s="223">
        <f>+'3'!J25</f>
        <v>0</v>
      </c>
      <c r="K25" s="247"/>
      <c r="L25" s="247"/>
      <c r="M25" s="126">
        <f>+K25+'3'!M25+L25</f>
        <v>0</v>
      </c>
      <c r="N25" s="158">
        <v>1270</v>
      </c>
      <c r="O25" s="158">
        <f>+N25-N25*0.0035</f>
        <v>1265.5550000000001</v>
      </c>
      <c r="P25" s="158">
        <v>420</v>
      </c>
      <c r="Q25" s="158">
        <f>+N25*P25</f>
        <v>533400</v>
      </c>
      <c r="R25" s="158">
        <f>+O25*P25</f>
        <v>531533.1</v>
      </c>
    </row>
    <row r="26" spans="1:18" ht="13.5" thickBot="1">
      <c r="A26" s="1008"/>
      <c r="B26" s="224" t="s">
        <v>482</v>
      </c>
      <c r="C26" s="234">
        <f>694+7778</f>
        <v>8472</v>
      </c>
      <c r="D26" s="226"/>
      <c r="E26" s="235"/>
      <c r="F26" s="239">
        <v>10</v>
      </c>
      <c r="G26" s="240" t="s">
        <v>11</v>
      </c>
      <c r="H26" s="582" t="s">
        <v>428</v>
      </c>
      <c r="I26" s="1006"/>
      <c r="J26" s="223">
        <f>+'3'!J26</f>
        <v>0</v>
      </c>
      <c r="K26" s="247"/>
      <c r="L26" s="247"/>
      <c r="M26" s="126">
        <f>+K26+'3'!M26+L26</f>
        <v>0</v>
      </c>
    </row>
    <row r="27" spans="1:18" ht="13.5" thickBot="1">
      <c r="A27" s="1008"/>
      <c r="B27" s="224" t="s">
        <v>484</v>
      </c>
      <c r="C27" s="225">
        <f>274+384</f>
        <v>658</v>
      </c>
      <c r="D27" s="226">
        <v>273</v>
      </c>
      <c r="E27" s="233"/>
      <c r="F27" s="239"/>
      <c r="G27" s="240"/>
      <c r="H27" s="582" t="s">
        <v>476</v>
      </c>
      <c r="I27" s="1006"/>
      <c r="J27" s="223">
        <f>+'3'!J27</f>
        <v>0</v>
      </c>
      <c r="K27" s="247"/>
      <c r="L27" s="247"/>
      <c r="M27" s="126">
        <f>+K27+'3'!M27+L27</f>
        <v>0</v>
      </c>
      <c r="P27" s="158">
        <f>SUM(P24:P26)</f>
        <v>480</v>
      </c>
      <c r="Q27" s="158">
        <f t="shared" ref="Q27" si="3">SUM(Q24:Q26)</f>
        <v>603000</v>
      </c>
      <c r="R27" s="158">
        <f t="shared" ref="R27" si="4">SUM(R24:R26)</f>
        <v>600889.5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241" t="s">
        <v>478</v>
      </c>
      <c r="I28" s="1006"/>
      <c r="J28" s="223">
        <f>+'3'!J28</f>
        <v>0</v>
      </c>
      <c r="K28" s="247"/>
      <c r="L28" s="247"/>
      <c r="M28" s="126">
        <f>+K28+'3'!M28+L28</f>
        <v>0</v>
      </c>
      <c r="Q28" s="158">
        <f>+Q27/P27</f>
        <v>1256.25</v>
      </c>
      <c r="R28" s="158">
        <f>+R27/P27</f>
        <v>1251.8531250000001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 t="s">
        <v>0</v>
      </c>
      <c r="I29" s="1006"/>
      <c r="J29" s="223">
        <f>+'3'!J29</f>
        <v>0</v>
      </c>
      <c r="K29" s="247"/>
      <c r="L29" s="247"/>
      <c r="M29" s="126">
        <f>+K29+'3'!M29+L29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+'3'!J30</f>
        <v>0</v>
      </c>
      <c r="K30" s="247"/>
      <c r="L30" s="247"/>
      <c r="M30" s="126">
        <f>+K30+'3'!M30+L30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460"/>
      <c r="I31" s="1007"/>
      <c r="J31" s="223">
        <f>+'3'!J31</f>
        <v>0</v>
      </c>
      <c r="K31" s="247"/>
      <c r="L31" s="247"/>
      <c r="M31" s="126">
        <f>+K31+'3'!M31+L31</f>
        <v>0</v>
      </c>
    </row>
    <row r="32" spans="1:18" ht="13.5" thickBot="1">
      <c r="A32" s="1009"/>
      <c r="B32" s="174" t="s">
        <v>2</v>
      </c>
      <c r="C32" s="108">
        <f>SUM(C25:C31)</f>
        <v>20773</v>
      </c>
      <c r="D32" s="109">
        <f>SUM(D25:D31)</f>
        <v>465</v>
      </c>
      <c r="E32" s="110">
        <f>SUM(E25:E31)</f>
        <v>0</v>
      </c>
      <c r="F32" s="111">
        <f>SUM(F24:F31)</f>
        <v>30</v>
      </c>
      <c r="G32" s="180"/>
      <c r="H32" s="181"/>
      <c r="I32" s="178"/>
      <c r="J32" s="223">
        <f>+'3'!J32</f>
        <v>0</v>
      </c>
      <c r="K32" s="249"/>
      <c r="L32" s="251"/>
      <c r="M32" s="126">
        <f>+K32+'3'!M32+L32</f>
        <v>0</v>
      </c>
    </row>
    <row r="33" spans="1:14" ht="13.5" thickBot="1">
      <c r="A33" s="182"/>
      <c r="B33" s="183"/>
      <c r="C33" s="112">
        <f>C32/($C$32+$D$32+$E$32)</f>
        <v>0.97810528298333177</v>
      </c>
      <c r="D33" s="113">
        <f>D32/($C$32+$D$32+$E$32)</f>
        <v>2.1894717016668237E-2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59649</v>
      </c>
      <c r="D34" s="116">
        <f>D14+D23+D32</f>
        <v>2559</v>
      </c>
      <c r="E34" s="116">
        <f>E14+E23+E32</f>
        <v>0</v>
      </c>
      <c r="F34" s="117">
        <f>F14+F23+F32</f>
        <v>80</v>
      </c>
      <c r="H34" s="187"/>
      <c r="I34" s="187"/>
      <c r="J34" s="132" t="s">
        <v>27</v>
      </c>
      <c r="K34" s="133">
        <f>SUM(K7:K32)</f>
        <v>59649</v>
      </c>
      <c r="L34" s="221">
        <f>SUM(L7:L32)</f>
        <v>0</v>
      </c>
      <c r="M34" s="129">
        <f>SUM(M7:M32)</f>
        <v>247690</v>
      </c>
      <c r="N34" s="164"/>
    </row>
    <row r="35" spans="1:14" ht="13.5" thickBot="1">
      <c r="A35" s="188"/>
      <c r="B35" s="189"/>
      <c r="C35" s="113">
        <f>C34/($C$34+$D$34+$E$34)</f>
        <v>0.95886381172839508</v>
      </c>
      <c r="D35" s="113">
        <f>D34/($C$34+$D$34+$E$34)</f>
        <v>4.1136188271604937E-2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(16.5*215+30*125+17*140+18*540+14*420)/1440*G42*2.77*1440/1000000</f>
        <v>80.662600348184881</v>
      </c>
      <c r="J37" s="134">
        <f>+I37+'3'!J37</f>
        <v>306.50119865887376</v>
      </c>
      <c r="K37" s="135" t="s">
        <v>62</v>
      </c>
      <c r="N37" s="593">
        <f>+I38-N38-N39-N40-N41</f>
        <v>10.956000000000007</v>
      </c>
    </row>
    <row r="38" spans="1:14" ht="17.45" customHeight="1">
      <c r="A38" s="1000" t="s">
        <v>11</v>
      </c>
      <c r="B38" s="1001"/>
      <c r="C38" s="173">
        <f>SUMIF($G$7:$G$31,"Process",$F$7:$F$31)</f>
        <v>80</v>
      </c>
      <c r="D38" s="127">
        <f>+C38+'3'!D38</f>
        <v>260</v>
      </c>
      <c r="E38" s="152">
        <f t="shared" ref="E38:E51" si="5">D38/60</f>
        <v>4.333333333333333</v>
      </c>
      <c r="F38" s="337">
        <v>1051.875</v>
      </c>
      <c r="G38" s="337">
        <v>1048.1934374999998</v>
      </c>
      <c r="H38" s="196" t="s">
        <v>63</v>
      </c>
      <c r="I38" s="549">
        <f>22.215+23.902+22.209</f>
        <v>68.326000000000008</v>
      </c>
      <c r="J38" s="136">
        <f>+I38+'3'!J38</f>
        <v>270.03700000000003</v>
      </c>
      <c r="K38" s="137" t="s">
        <v>62</v>
      </c>
      <c r="N38" s="556">
        <f>1.041+2.473+1.822</f>
        <v>5.3360000000000003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+C39+'3'!D39</f>
        <v>0</v>
      </c>
      <c r="E39" s="152">
        <f t="shared" si="5"/>
        <v>0</v>
      </c>
      <c r="F39" s="337">
        <v>1160</v>
      </c>
      <c r="G39" s="337">
        <v>1156</v>
      </c>
      <c r="H39" s="196" t="s">
        <v>64</v>
      </c>
      <c r="I39" s="151"/>
      <c r="J39" s="138">
        <f>J37/G4</f>
        <v>76.62529966471844</v>
      </c>
      <c r="K39" s="139" t="s">
        <v>62</v>
      </c>
      <c r="N39" s="158">
        <f>2.85+3.073</f>
        <v>5.923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+C40+'3'!D40</f>
        <v>0</v>
      </c>
      <c r="E40" s="152">
        <f t="shared" si="5"/>
        <v>0</v>
      </c>
      <c r="F40" s="337">
        <v>1256.25</v>
      </c>
      <c r="G40" s="337">
        <v>1251.8531250000001</v>
      </c>
      <c r="H40" s="196" t="s">
        <v>66</v>
      </c>
      <c r="I40" s="127">
        <f>(K34+L34)/1000</f>
        <v>59.649000000000001</v>
      </c>
      <c r="J40" s="140">
        <f>+I40+'3'!J40</f>
        <v>247.69</v>
      </c>
      <c r="K40" s="139" t="s">
        <v>62</v>
      </c>
      <c r="N40" s="158">
        <f>23.902+3.598+2.105</f>
        <v>29.605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+C41+'3'!D41</f>
        <v>0</v>
      </c>
      <c r="E41" s="152">
        <f t="shared" si="5"/>
        <v>0</v>
      </c>
      <c r="F41" s="337"/>
      <c r="G41" s="337"/>
      <c r="H41" s="196" t="s">
        <v>68</v>
      </c>
      <c r="I41" s="151"/>
      <c r="J41" s="138">
        <f>J40/G4</f>
        <v>61.922499999999999</v>
      </c>
      <c r="K41" s="139" t="s">
        <v>62</v>
      </c>
      <c r="N41" s="158">
        <f>22.209-3.598-2.105</f>
        <v>16.506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+C42+'3'!D42</f>
        <v>0</v>
      </c>
      <c r="E42" s="152">
        <f t="shared" si="5"/>
        <v>0</v>
      </c>
      <c r="F42" s="337">
        <f>+(F38*480+F39*480+F40*480)/1440</f>
        <v>1156.0416666666667</v>
      </c>
      <c r="G42" s="337">
        <f>+(G38*480+G39*480+G40*480)/1440</f>
        <v>1152.0155208333333</v>
      </c>
      <c r="H42" s="196" t="s">
        <v>69</v>
      </c>
      <c r="I42" s="254" t="s">
        <v>488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+C43+'3'!D43</f>
        <v>0</v>
      </c>
      <c r="E43" s="152">
        <f t="shared" si="5"/>
        <v>0</v>
      </c>
      <c r="F43" s="337"/>
      <c r="G43" s="338"/>
      <c r="H43" s="197" t="s">
        <v>72</v>
      </c>
      <c r="I43" s="127">
        <f>+Report1!T12</f>
        <v>147.04700000000003</v>
      </c>
      <c r="J43" s="142">
        <f>+I43+'3'!J43</f>
        <v>625.40499999999997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+C44+'3'!D44</f>
        <v>0</v>
      </c>
      <c r="E44" s="152">
        <f t="shared" si="5"/>
        <v>0</v>
      </c>
      <c r="F44" s="337"/>
      <c r="G44" s="338"/>
      <c r="H44" s="197" t="s">
        <v>73</v>
      </c>
      <c r="I44" s="127">
        <f>+Report1!T12</f>
        <v>147.04700000000003</v>
      </c>
      <c r="J44" s="143">
        <f>J43/J38</f>
        <v>2.3159974373882095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+C45+'3'!D45</f>
        <v>0</v>
      </c>
      <c r="E45" s="152">
        <f t="shared" si="5"/>
        <v>0</v>
      </c>
      <c r="F45" s="337"/>
      <c r="G45" s="340"/>
      <c r="H45" s="197" t="s">
        <v>74</v>
      </c>
      <c r="I45" s="127">
        <f>I43/I40</f>
        <v>2.4652047813039619</v>
      </c>
      <c r="J45" s="143">
        <f>J43/J40</f>
        <v>2.5249505430174812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+C46+'3'!D46</f>
        <v>0</v>
      </c>
      <c r="E46" s="152">
        <f t="shared" si="5"/>
        <v>0</v>
      </c>
      <c r="F46" s="337"/>
      <c r="G46" s="338"/>
      <c r="H46" s="197" t="s">
        <v>76</v>
      </c>
      <c r="I46" s="149">
        <f>+SUMIF(Listrik!AR11,"&gt;0")</f>
        <v>53471.739999997553</v>
      </c>
      <c r="J46" s="144">
        <f>+I46+'3'!J46</f>
        <v>212989.89999999903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+C47+'3'!D47</f>
        <v>0</v>
      </c>
      <c r="E47" s="152">
        <f t="shared" si="5"/>
        <v>0</v>
      </c>
      <c r="F47" s="337"/>
      <c r="G47" s="338"/>
      <c r="H47" s="197" t="s">
        <v>79</v>
      </c>
      <c r="I47" s="127">
        <f>I46/I38</f>
        <v>782.59725433945414</v>
      </c>
      <c r="J47" s="144">
        <f>J46/J38</f>
        <v>788.74339442372343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+C48+'3'!D48</f>
        <v>0</v>
      </c>
      <c r="E48" s="152">
        <f t="shared" si="5"/>
        <v>0</v>
      </c>
      <c r="F48" s="337"/>
      <c r="G48" s="338"/>
      <c r="H48" s="197" t="s">
        <v>80</v>
      </c>
      <c r="I48" s="127">
        <f>I46/I40</f>
        <v>896.43983972904073</v>
      </c>
      <c r="J48" s="144">
        <f>J46/J40</f>
        <v>859.90512333965455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+C49+'3'!D49</f>
        <v>0</v>
      </c>
      <c r="E49" s="152">
        <f t="shared" si="5"/>
        <v>0</v>
      </c>
      <c r="F49" s="194"/>
      <c r="H49" s="197" t="s">
        <v>184</v>
      </c>
      <c r="I49" s="127">
        <v>0</v>
      </c>
      <c r="J49" s="144">
        <f>+I49+'3'!J49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+C50+'3'!D50</f>
        <v>0</v>
      </c>
      <c r="E50" s="152">
        <f t="shared" si="5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+C51+'3'!D51</f>
        <v>0</v>
      </c>
      <c r="E51" s="152">
        <f t="shared" si="5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80</v>
      </c>
      <c r="D52" s="153">
        <f>SUM(D38:D51)</f>
        <v>260</v>
      </c>
      <c r="E52" s="154">
        <f>SUM(E38:E51)</f>
        <v>4.333333333333333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5.5555555555555552E-2</v>
      </c>
      <c r="D53" s="155">
        <f>D52/(24*60*G4)</f>
        <v>4.5138888888888888E-2</v>
      </c>
      <c r="E53" s="156">
        <f>E52/(G4*24)</f>
        <v>4.5138888888888888E-2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+D34+'3'!J56</f>
        <v>5236</v>
      </c>
      <c r="K56" s="210">
        <f>J56/(J40+J56/1000)/1000</f>
        <v>2.0701707218712194E-2</v>
      </c>
    </row>
    <row r="57" spans="1:11">
      <c r="A57" s="185"/>
      <c r="I57" s="208" t="s">
        <v>88</v>
      </c>
      <c r="J57" s="209">
        <f>+E34+'3'!J57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zoomScale="80" zoomScaleNormal="75" zoomScaleSheetLayoutView="80" workbookViewId="0">
      <selection activeCell="J8" sqref="J8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710937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3.7109375" style="158" bestFit="1" customWidth="1"/>
    <col min="12" max="12" width="8.28515625" style="158" customWidth="1"/>
    <col min="13" max="13" width="14.5703125" style="158" bestFit="1" customWidth="1"/>
    <col min="14" max="16384" width="9.140625" style="158"/>
  </cols>
  <sheetData>
    <row r="1" spans="1:24" ht="15.75">
      <c r="A1" s="157"/>
    </row>
    <row r="2" spans="1:24" ht="15.75">
      <c r="A2" s="157" t="s">
        <v>147</v>
      </c>
    </row>
    <row r="3" spans="1:24" ht="15">
      <c r="A3" s="159"/>
    </row>
    <row r="4" spans="1:24" ht="20.25">
      <c r="A4" s="160" t="s">
        <v>3</v>
      </c>
      <c r="B4" s="161"/>
      <c r="F4" s="162" t="s">
        <v>29</v>
      </c>
      <c r="G4" s="163">
        <v>3</v>
      </c>
      <c r="H4" s="163" t="str">
        <f>+'1'!H4</f>
        <v>.11.25</v>
      </c>
    </row>
    <row r="5" spans="1:24" ht="13.5" thickBot="1">
      <c r="C5" s="164"/>
      <c r="D5" s="164"/>
    </row>
    <row r="6" spans="1:24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147+191+168</f>
        <v>506</v>
      </c>
    </row>
    <row r="7" spans="1:24" ht="13.5" customHeight="1" thickBot="1">
      <c r="A7" s="1002" t="s">
        <v>447</v>
      </c>
      <c r="B7" s="224" t="s">
        <v>454</v>
      </c>
      <c r="C7" s="225">
        <f>6687+624+2211+9973</f>
        <v>19495</v>
      </c>
      <c r="D7" s="226">
        <v>128</v>
      </c>
      <c r="E7" s="227"/>
      <c r="F7" s="236"/>
      <c r="G7" s="237" t="s">
        <v>11</v>
      </c>
      <c r="H7" s="238" t="s">
        <v>434</v>
      </c>
      <c r="I7" s="1005" t="s">
        <v>436</v>
      </c>
      <c r="J7" s="223" t="str">
        <f>+'2'!J7</f>
        <v>MG 14 VP HW</v>
      </c>
      <c r="K7" s="246">
        <f>+C8</f>
        <v>2429</v>
      </c>
      <c r="L7" s="250"/>
      <c r="M7" s="126">
        <f>+K7+'2'!M7+L7</f>
        <v>113677</v>
      </c>
    </row>
    <row r="8" spans="1:24" ht="13.5" thickBot="1">
      <c r="A8" s="1003"/>
      <c r="B8" s="224" t="s">
        <v>435</v>
      </c>
      <c r="C8" s="225">
        <f>1885+544</f>
        <v>2429</v>
      </c>
      <c r="D8" s="226"/>
      <c r="E8" s="228"/>
      <c r="F8" s="239"/>
      <c r="G8" s="240" t="s">
        <v>11</v>
      </c>
      <c r="H8" s="238" t="s">
        <v>427</v>
      </c>
      <c r="I8" s="1006"/>
      <c r="J8" s="223" t="str">
        <f>+'2'!J8</f>
        <v>MG 16,5 VP HW</v>
      </c>
      <c r="K8" s="247">
        <f>+C7+C16+C25</f>
        <v>63193</v>
      </c>
      <c r="L8" s="247"/>
      <c r="M8" s="126">
        <f>+K8+'2'!M8+L8</f>
        <v>74364</v>
      </c>
      <c r="N8" s="158">
        <v>1200</v>
      </c>
      <c r="O8" s="158">
        <f>+N8-N8*0.0035</f>
        <v>1195.8</v>
      </c>
    </row>
    <row r="9" spans="1:24" ht="13.5" thickBot="1">
      <c r="A9" s="1003"/>
      <c r="B9" s="224"/>
      <c r="C9" s="225"/>
      <c r="D9" s="226"/>
      <c r="E9" s="229"/>
      <c r="F9" s="236">
        <v>12</v>
      </c>
      <c r="G9" s="240" t="s">
        <v>11</v>
      </c>
      <c r="H9" s="582" t="s">
        <v>428</v>
      </c>
      <c r="I9" s="1006"/>
      <c r="J9" s="223">
        <f>+'2'!J9</f>
        <v>0</v>
      </c>
      <c r="K9" s="247"/>
      <c r="L9" s="247"/>
      <c r="M9" s="126">
        <f>+K9+'2'!M9+L9</f>
        <v>0</v>
      </c>
    </row>
    <row r="10" spans="1:24" ht="13.5" thickBot="1">
      <c r="A10" s="1003"/>
      <c r="B10" s="224"/>
      <c r="C10" s="225"/>
      <c r="D10" s="226"/>
      <c r="E10" s="228"/>
      <c r="F10" s="236"/>
      <c r="G10" s="240"/>
      <c r="H10" s="582" t="s">
        <v>430</v>
      </c>
      <c r="I10" s="1006"/>
      <c r="J10" s="223">
        <f>+'2'!J10</f>
        <v>0</v>
      </c>
      <c r="K10" s="247"/>
      <c r="L10" s="247"/>
      <c r="M10" s="126">
        <f>+K10+'2'!M10+L10</f>
        <v>0</v>
      </c>
    </row>
    <row r="11" spans="1:24" ht="13.5" customHeight="1" thickBot="1">
      <c r="A11" s="1003"/>
      <c r="B11" s="224"/>
      <c r="C11" s="225"/>
      <c r="D11" s="226"/>
      <c r="E11" s="228"/>
      <c r="F11" s="236"/>
      <c r="G11" s="240"/>
      <c r="H11" s="582"/>
      <c r="I11" s="1006"/>
      <c r="J11" s="223">
        <f>+'2'!J11</f>
        <v>0</v>
      </c>
      <c r="K11" s="247"/>
      <c r="L11" s="247"/>
      <c r="M11" s="126">
        <f>+K11+'2'!M11+L11</f>
        <v>0</v>
      </c>
    </row>
    <row r="12" spans="1:24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>
        <f>+'2'!J12</f>
        <v>0</v>
      </c>
      <c r="K12" s="247"/>
      <c r="L12" s="247"/>
      <c r="M12" s="126">
        <f>+K12+'2'!M12+L12</f>
        <v>0</v>
      </c>
    </row>
    <row r="13" spans="1:24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>
        <f>+'2'!J13</f>
        <v>0</v>
      </c>
      <c r="K13" s="247"/>
      <c r="L13" s="247"/>
      <c r="M13" s="126">
        <f>+K13+'2'!M13+L13</f>
        <v>0</v>
      </c>
    </row>
    <row r="14" spans="1:24" ht="13.5" thickBot="1">
      <c r="A14" s="1004"/>
      <c r="B14" s="174" t="s">
        <v>2</v>
      </c>
      <c r="C14" s="108">
        <f>SUM(C7:C13)</f>
        <v>21924</v>
      </c>
      <c r="D14" s="120">
        <f>SUM(D7:D13)</f>
        <v>128</v>
      </c>
      <c r="E14" s="121">
        <f>SUM(E5:E13)</f>
        <v>0</v>
      </c>
      <c r="F14" s="125">
        <f>SUM(F7:F13)</f>
        <v>12</v>
      </c>
      <c r="G14" s="168"/>
      <c r="H14" s="175"/>
      <c r="I14" s="176"/>
      <c r="J14" s="223">
        <f>+'2'!J14</f>
        <v>0</v>
      </c>
      <c r="K14" s="247"/>
      <c r="L14" s="247"/>
      <c r="M14" s="126">
        <f>+K14+'2'!M14+L14</f>
        <v>0</v>
      </c>
      <c r="T14" s="158">
        <v>1450</v>
      </c>
      <c r="U14" s="158">
        <f>+T14-T14*0.21</f>
        <v>1145.5</v>
      </c>
      <c r="V14" s="158">
        <f>480-55</f>
        <v>425</v>
      </c>
      <c r="W14" s="158">
        <f>+T14*V14</f>
        <v>616250</v>
      </c>
      <c r="X14" s="158">
        <f>+U14*V14</f>
        <v>486837.5</v>
      </c>
    </row>
    <row r="15" spans="1:24" ht="13.5" customHeight="1" thickBot="1">
      <c r="A15" s="1002" t="s">
        <v>448</v>
      </c>
      <c r="B15" s="174"/>
      <c r="C15" s="122"/>
      <c r="D15" s="123"/>
      <c r="E15" s="124"/>
      <c r="F15" s="236"/>
      <c r="G15" s="237" t="s">
        <v>11</v>
      </c>
      <c r="H15" s="238" t="s">
        <v>434</v>
      </c>
      <c r="I15" s="1005" t="s">
        <v>460</v>
      </c>
      <c r="J15" s="223">
        <f>+'2'!J15</f>
        <v>0</v>
      </c>
      <c r="K15" s="247"/>
      <c r="L15" s="247"/>
      <c r="M15" s="126">
        <f>+K15+'2'!M15+L15</f>
        <v>0</v>
      </c>
      <c r="T15" s="158">
        <v>1650</v>
      </c>
      <c r="U15" s="158">
        <f>+T15-T15*0.2</f>
        <v>1320</v>
      </c>
      <c r="V15" s="158">
        <v>470</v>
      </c>
      <c r="W15" s="158">
        <f>+T15*V15</f>
        <v>775500</v>
      </c>
      <c r="X15" s="158">
        <f>+U15*V15</f>
        <v>620400</v>
      </c>
    </row>
    <row r="16" spans="1:24" ht="13.5" thickBot="1">
      <c r="A16" s="1008"/>
      <c r="B16" s="224" t="s">
        <v>454</v>
      </c>
      <c r="C16" s="230">
        <v>22723</v>
      </c>
      <c r="D16" s="231">
        <v>555</v>
      </c>
      <c r="E16" s="232"/>
      <c r="F16" s="236"/>
      <c r="G16" s="240" t="s">
        <v>11</v>
      </c>
      <c r="H16" s="238" t="s">
        <v>427</v>
      </c>
      <c r="I16" s="1006"/>
      <c r="J16" s="223">
        <f>+'2'!J16</f>
        <v>0</v>
      </c>
      <c r="K16" s="237"/>
      <c r="L16" s="237"/>
      <c r="M16" s="126">
        <f>+K16+'2'!M16+L16</f>
        <v>0</v>
      </c>
      <c r="N16" s="158">
        <v>1200</v>
      </c>
      <c r="O16" s="158">
        <f>+N16-N16*0.0035</f>
        <v>1195.8</v>
      </c>
      <c r="P16" s="158">
        <f>300+22</f>
        <v>322</v>
      </c>
      <c r="Q16" s="158">
        <f>+N16*P16</f>
        <v>386400</v>
      </c>
      <c r="R16" s="158">
        <f>+O16*P16</f>
        <v>385047.6</v>
      </c>
      <c r="T16" s="158">
        <v>1700</v>
      </c>
      <c r="U16" s="158">
        <f>+T16-T16*0.2</f>
        <v>1360</v>
      </c>
      <c r="V16" s="158">
        <v>480</v>
      </c>
      <c r="W16" s="158">
        <f>+T16*V16</f>
        <v>816000</v>
      </c>
      <c r="X16" s="158">
        <f>+U16*V16</f>
        <v>652800</v>
      </c>
    </row>
    <row r="17" spans="1:24" ht="13.5" thickBot="1">
      <c r="A17" s="1008"/>
      <c r="B17" s="224"/>
      <c r="C17" s="225"/>
      <c r="D17" s="226"/>
      <c r="E17" s="233"/>
      <c r="F17" s="236">
        <v>11</v>
      </c>
      <c r="G17" s="240" t="s">
        <v>11</v>
      </c>
      <c r="H17" s="582" t="s">
        <v>463</v>
      </c>
      <c r="I17" s="1006"/>
      <c r="J17" s="223">
        <f>+'2'!J17</f>
        <v>0</v>
      </c>
      <c r="K17" s="237"/>
      <c r="L17" s="237"/>
      <c r="M17" s="126">
        <f>+K17+'2'!M17+L17</f>
        <v>0</v>
      </c>
      <c r="N17" s="158">
        <v>1180</v>
      </c>
      <c r="O17" s="158">
        <f>+N17-N17*0.0035</f>
        <v>1175.8699999999999</v>
      </c>
      <c r="P17" s="158">
        <v>8</v>
      </c>
      <c r="Q17" s="158">
        <f>+N17*P17</f>
        <v>9440</v>
      </c>
      <c r="R17" s="158">
        <f>+O17*P17</f>
        <v>9406.9599999999991</v>
      </c>
      <c r="V17" s="158">
        <f>SUM(V14:V16)</f>
        <v>1375</v>
      </c>
      <c r="W17" s="158">
        <f>SUM(W14:W16)</f>
        <v>2207750</v>
      </c>
      <c r="X17" s="158">
        <f>SUM(X14:X16)</f>
        <v>1760037.5</v>
      </c>
    </row>
    <row r="18" spans="1:24" ht="13.5" thickBot="1">
      <c r="A18" s="1008"/>
      <c r="B18" s="224"/>
      <c r="C18" s="225"/>
      <c r="D18" s="226"/>
      <c r="E18" s="233"/>
      <c r="F18" s="236"/>
      <c r="G18" s="240"/>
      <c r="H18" s="582" t="s">
        <v>430</v>
      </c>
      <c r="I18" s="1006"/>
      <c r="J18" s="223">
        <f>+'2'!J18</f>
        <v>0</v>
      </c>
      <c r="K18" s="247"/>
      <c r="L18" s="247"/>
      <c r="M18" s="126">
        <f>+K18+'2'!M18+L18</f>
        <v>0</v>
      </c>
      <c r="N18" s="158">
        <v>1160</v>
      </c>
      <c r="O18" s="158">
        <f>+N18-N18*0.0035</f>
        <v>1155.94</v>
      </c>
      <c r="P18" s="158">
        <v>150</v>
      </c>
      <c r="Q18" s="158">
        <f>+N18*P18</f>
        <v>174000</v>
      </c>
      <c r="R18" s="158">
        <f>+O18*P18</f>
        <v>173391</v>
      </c>
      <c r="W18" s="158">
        <f>+W17/V17</f>
        <v>1605.6363636363637</v>
      </c>
      <c r="X18" s="158">
        <f>+X17/V17</f>
        <v>1280.0272727272727</v>
      </c>
    </row>
    <row r="19" spans="1:24" ht="39" thickBot="1">
      <c r="A19" s="1008"/>
      <c r="B19" s="224"/>
      <c r="C19" s="225"/>
      <c r="D19" s="226"/>
      <c r="E19" s="233"/>
      <c r="F19" s="243">
        <v>10</v>
      </c>
      <c r="G19" s="240" t="s">
        <v>11</v>
      </c>
      <c r="H19" s="582" t="s">
        <v>456</v>
      </c>
      <c r="I19" s="1006"/>
      <c r="J19" s="223">
        <f>+'2'!J19</f>
        <v>0</v>
      </c>
      <c r="K19" s="247"/>
      <c r="L19" s="247"/>
      <c r="M19" s="126">
        <f>+K19+'2'!M19+L19</f>
        <v>0</v>
      </c>
      <c r="P19" s="158">
        <f>SUM(P16:P18)</f>
        <v>480</v>
      </c>
      <c r="Q19" s="158">
        <f t="shared" ref="Q19:R19" si="0">SUM(Q16:Q18)</f>
        <v>569840</v>
      </c>
      <c r="R19" s="158">
        <f t="shared" si="0"/>
        <v>567845.56000000006</v>
      </c>
    </row>
    <row r="20" spans="1:24" ht="13.5" thickBot="1">
      <c r="A20" s="1008"/>
      <c r="B20" s="224"/>
      <c r="C20" s="225"/>
      <c r="D20" s="226"/>
      <c r="E20" s="233"/>
      <c r="F20" s="236"/>
      <c r="G20" s="240"/>
      <c r="H20" s="241" t="s">
        <v>459</v>
      </c>
      <c r="I20" s="1006"/>
      <c r="J20" s="223">
        <f>+'2'!J20</f>
        <v>0</v>
      </c>
      <c r="K20" s="248"/>
      <c r="L20" s="248"/>
      <c r="M20" s="126">
        <f>+K20+'2'!M20+L20</f>
        <v>0</v>
      </c>
      <c r="Q20" s="158">
        <f>+Q19/P19</f>
        <v>1187.1666666666667</v>
      </c>
      <c r="R20" s="158">
        <f>+R19/P19</f>
        <v>1183.0115833333334</v>
      </c>
    </row>
    <row r="21" spans="1:2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+'2'!J21</f>
        <v>0</v>
      </c>
      <c r="K21" s="247"/>
      <c r="L21" s="247"/>
      <c r="M21" s="126">
        <f>+K21+'2'!M21+L21</f>
        <v>0</v>
      </c>
      <c r="T21" s="158">
        <v>1400</v>
      </c>
      <c r="U21" s="158">
        <f>+T21-T21*0.175</f>
        <v>1155</v>
      </c>
      <c r="V21" s="158">
        <v>55</v>
      </c>
      <c r="W21" s="158">
        <f>+T21*V21</f>
        <v>77000</v>
      </c>
      <c r="X21" s="158">
        <f>+U21*V21</f>
        <v>63525</v>
      </c>
    </row>
    <row r="22" spans="1:2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+'2'!J22</f>
        <v>0</v>
      </c>
      <c r="K22" s="247"/>
      <c r="L22" s="247"/>
      <c r="M22" s="126">
        <f>+K22+'2'!M22+L22</f>
        <v>0</v>
      </c>
      <c r="T22" s="158">
        <v>1400</v>
      </c>
      <c r="U22" s="158">
        <f>+T22-T22*0.17</f>
        <v>1162</v>
      </c>
      <c r="V22" s="158">
        <v>10</v>
      </c>
      <c r="W22" s="158">
        <f>+T22*V22</f>
        <v>14000</v>
      </c>
      <c r="X22" s="158">
        <f>+U22*V22</f>
        <v>11620</v>
      </c>
    </row>
    <row r="23" spans="1:24" ht="13.5" thickBot="1">
      <c r="A23" s="1009"/>
      <c r="B23" s="177" t="s">
        <v>2</v>
      </c>
      <c r="C23" s="109">
        <f>SUM(C16:C22)</f>
        <v>22723</v>
      </c>
      <c r="D23" s="120">
        <f>SUM(D16:D22)</f>
        <v>555</v>
      </c>
      <c r="E23" s="121">
        <f>SUM(E18:E22)</f>
        <v>0</v>
      </c>
      <c r="F23" s="125">
        <f>SUM(F15:F22)</f>
        <v>21</v>
      </c>
      <c r="G23" s="168"/>
      <c r="H23" s="175" t="s">
        <v>234</v>
      </c>
      <c r="I23" s="178"/>
      <c r="J23" s="223">
        <f>+'2'!J23</f>
        <v>0</v>
      </c>
      <c r="K23" s="247"/>
      <c r="L23" s="247"/>
      <c r="M23" s="126">
        <f>+K23+'2'!M23+L23</f>
        <v>0</v>
      </c>
      <c r="V23" s="158">
        <f>+V21+V22</f>
        <v>65</v>
      </c>
      <c r="W23" s="158">
        <f>+W21+W22</f>
        <v>91000</v>
      </c>
      <c r="X23" s="158">
        <f>+X21+X22</f>
        <v>75145</v>
      </c>
    </row>
    <row r="24" spans="1:24" ht="13.5" customHeight="1" thickBot="1">
      <c r="A24" s="1002" t="s">
        <v>465</v>
      </c>
      <c r="B24" s="179"/>
      <c r="C24" s="122"/>
      <c r="D24" s="123"/>
      <c r="E24" s="124"/>
      <c r="F24" s="244">
        <v>30</v>
      </c>
      <c r="G24" s="237" t="s">
        <v>11</v>
      </c>
      <c r="H24" s="238" t="s">
        <v>464</v>
      </c>
      <c r="I24" s="1005" t="s">
        <v>461</v>
      </c>
      <c r="J24" s="223">
        <f>+'2'!J24</f>
        <v>0</v>
      </c>
      <c r="K24" s="247"/>
      <c r="L24" s="247"/>
      <c r="M24" s="126">
        <f>+K24+'2'!M24+L24</f>
        <v>0</v>
      </c>
      <c r="W24" s="158">
        <f>+W23/V23</f>
        <v>1400</v>
      </c>
      <c r="X24" s="158">
        <f>+X23/V23</f>
        <v>1156.0769230769231</v>
      </c>
    </row>
    <row r="25" spans="1:24" ht="13.5" thickBot="1">
      <c r="A25" s="1008"/>
      <c r="B25" s="224" t="s">
        <v>454</v>
      </c>
      <c r="C25" s="234">
        <v>20975</v>
      </c>
      <c r="D25" s="226">
        <v>165</v>
      </c>
      <c r="E25" s="233"/>
      <c r="F25" s="239"/>
      <c r="G25" s="240" t="s">
        <v>11</v>
      </c>
      <c r="H25" s="238" t="s">
        <v>427</v>
      </c>
      <c r="I25" s="1006"/>
      <c r="J25" s="223">
        <f>+'2'!J25</f>
        <v>0</v>
      </c>
      <c r="K25" s="247"/>
      <c r="L25" s="247"/>
      <c r="M25" s="126">
        <f>+K25+'2'!M25+L25</f>
        <v>0</v>
      </c>
      <c r="N25" s="158">
        <v>1160</v>
      </c>
      <c r="O25" s="158">
        <f>+N25-N25*0.0035</f>
        <v>1155.94</v>
      </c>
      <c r="P25" s="158">
        <v>480</v>
      </c>
    </row>
    <row r="26" spans="1:24" ht="13.5" thickBot="1">
      <c r="A26" s="1008"/>
      <c r="B26" s="224"/>
      <c r="C26" s="234"/>
      <c r="D26" s="226"/>
      <c r="E26" s="235"/>
      <c r="F26" s="239">
        <v>8</v>
      </c>
      <c r="G26" s="240" t="s">
        <v>11</v>
      </c>
      <c r="H26" s="582" t="s">
        <v>428</v>
      </c>
      <c r="I26" s="1006"/>
      <c r="J26" s="223">
        <f>+'2'!J26</f>
        <v>0</v>
      </c>
      <c r="K26" s="247"/>
      <c r="L26" s="247"/>
      <c r="M26" s="126">
        <f>+K26+'2'!M26+L26</f>
        <v>0</v>
      </c>
    </row>
    <row r="27" spans="1:24" ht="13.5" thickBot="1">
      <c r="A27" s="1008"/>
      <c r="B27" s="224"/>
      <c r="C27" s="225"/>
      <c r="D27" s="226"/>
      <c r="E27" s="233"/>
      <c r="F27" s="239"/>
      <c r="G27" s="240"/>
      <c r="H27" s="582" t="s">
        <v>457</v>
      </c>
      <c r="I27" s="1006"/>
      <c r="J27" s="223">
        <f>+'2'!J27</f>
        <v>0</v>
      </c>
      <c r="K27" s="247"/>
      <c r="L27" s="247"/>
      <c r="M27" s="126">
        <f>+K27+'2'!M27+L27</f>
        <v>0</v>
      </c>
    </row>
    <row r="28" spans="1:24" ht="26.25" thickBot="1">
      <c r="A28" s="1008"/>
      <c r="B28" s="224"/>
      <c r="C28" s="225"/>
      <c r="D28" s="226"/>
      <c r="E28" s="233"/>
      <c r="F28" s="239"/>
      <c r="G28" s="240"/>
      <c r="H28" s="582" t="s">
        <v>458</v>
      </c>
      <c r="I28" s="1006"/>
      <c r="J28" s="223">
        <f>+'2'!J28</f>
        <v>0</v>
      </c>
      <c r="K28" s="247"/>
      <c r="L28" s="247"/>
      <c r="M28" s="126">
        <f>+K28+'2'!M28+L28</f>
        <v>0</v>
      </c>
    </row>
    <row r="29" spans="1:24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+'2'!J29</f>
        <v>0</v>
      </c>
      <c r="K29" s="247"/>
      <c r="L29" s="247"/>
      <c r="M29" s="126">
        <f>+K29+'2'!M29+L29</f>
        <v>0</v>
      </c>
    </row>
    <row r="30" spans="1:2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+'2'!J30</f>
        <v>0</v>
      </c>
      <c r="K30" s="247"/>
      <c r="L30" s="247"/>
      <c r="M30" s="126">
        <f>+K30+'2'!M30+L30</f>
        <v>0</v>
      </c>
      <c r="N30" s="164"/>
    </row>
    <row r="31" spans="1:24" ht="13.5" thickBot="1">
      <c r="A31" s="1008"/>
      <c r="B31" s="224"/>
      <c r="C31" s="234"/>
      <c r="D31" s="226"/>
      <c r="E31" s="233"/>
      <c r="F31" s="244"/>
      <c r="G31" s="245"/>
      <c r="H31" s="460"/>
      <c r="I31" s="1007"/>
      <c r="J31" s="223">
        <f>+'2'!J31</f>
        <v>0</v>
      </c>
      <c r="K31" s="247"/>
      <c r="L31" s="247"/>
      <c r="M31" s="126">
        <f>+K31+'2'!M31+L31</f>
        <v>0</v>
      </c>
    </row>
    <row r="32" spans="1:24" ht="13.5" thickBot="1">
      <c r="A32" s="1009"/>
      <c r="B32" s="174" t="s">
        <v>2</v>
      </c>
      <c r="C32" s="108">
        <f>SUM(C25:C31)</f>
        <v>20975</v>
      </c>
      <c r="D32" s="109">
        <f>SUM(D25:D31)</f>
        <v>165</v>
      </c>
      <c r="E32" s="110">
        <f>SUM(E25:E31)</f>
        <v>0</v>
      </c>
      <c r="F32" s="111">
        <f>SUM(F24:F31)</f>
        <v>38</v>
      </c>
      <c r="G32" s="180"/>
      <c r="H32" s="181"/>
      <c r="I32" s="178"/>
      <c r="J32" s="223">
        <f>+'2'!J32</f>
        <v>0</v>
      </c>
      <c r="K32" s="249"/>
      <c r="L32" s="251"/>
      <c r="M32" s="126">
        <f>+K32+'2'!M32+L32</f>
        <v>0</v>
      </c>
    </row>
    <row r="33" spans="1:14" ht="13.5" thickBot="1">
      <c r="A33" s="182"/>
      <c r="B33" s="183"/>
      <c r="C33" s="112">
        <f>C32/($C$32+$D$32+$E$32)</f>
        <v>0.99219489120151372</v>
      </c>
      <c r="D33" s="113">
        <f>D32/($C$32+$D$32+$E$32)</f>
        <v>7.8051087984862821E-3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65622</v>
      </c>
      <c r="D34" s="116">
        <f>D14+D23+D32</f>
        <v>848</v>
      </c>
      <c r="E34" s="116">
        <f>E14+E23+E32</f>
        <v>0</v>
      </c>
      <c r="F34" s="117">
        <f>F14+F23+F32</f>
        <v>71</v>
      </c>
      <c r="H34" s="187"/>
      <c r="I34" s="187"/>
      <c r="J34" s="132" t="s">
        <v>27</v>
      </c>
      <c r="K34" s="133">
        <f>SUM(K7:K32)</f>
        <v>65622</v>
      </c>
      <c r="L34" s="221">
        <f>SUM(L7:L32)</f>
        <v>0</v>
      </c>
      <c r="M34" s="129">
        <f>SUM(M7:M32)</f>
        <v>188041</v>
      </c>
      <c r="N34" s="164"/>
    </row>
    <row r="35" spans="1:14" ht="13.5" thickBot="1">
      <c r="A35" s="188"/>
      <c r="B35" s="189"/>
      <c r="C35" s="113">
        <f>C34/($C$34+$D$34+$E$34)</f>
        <v>0.98724236497668116</v>
      </c>
      <c r="D35" s="113">
        <f>D34/($C$34+$D$34+$E$34)</f>
        <v>1.2757635023318791E-2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  <c r="N36" s="556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7"/>
      <c r="H37" s="195" t="s">
        <v>61</v>
      </c>
      <c r="I37" s="252">
        <f>(16.5*1440)/1440*G42*2.77*1440/1000000</f>
        <v>77.546794135799999</v>
      </c>
      <c r="J37" s="134">
        <f>+I37+'2'!J37</f>
        <v>225.83859831068889</v>
      </c>
      <c r="K37" s="135" t="s">
        <v>62</v>
      </c>
      <c r="N37" s="556"/>
    </row>
    <row r="38" spans="1:14" ht="17.45" customHeight="1">
      <c r="A38" s="1000" t="s">
        <v>11</v>
      </c>
      <c r="B38" s="1001"/>
      <c r="C38" s="173">
        <f>SUMIF($G$7:$G$31,"Process",$F$7:$F$31)</f>
        <v>71</v>
      </c>
      <c r="D38" s="127">
        <f>+C38+'2'!D38</f>
        <v>180</v>
      </c>
      <c r="E38" s="152">
        <f t="shared" ref="E38:E51" si="1">D38/60</f>
        <v>3</v>
      </c>
      <c r="F38" s="337">
        <v>1200</v>
      </c>
      <c r="G38" s="337">
        <f>+F38-F38*0.0035</f>
        <v>1195.8</v>
      </c>
      <c r="H38" s="196" t="s">
        <v>63</v>
      </c>
      <c r="I38" s="549">
        <f>24.341+23.434+22.282</f>
        <v>70.057000000000002</v>
      </c>
      <c r="J38" s="136">
        <f>+I38+'2'!J38</f>
        <v>201.71100000000001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+C39+'2'!D39</f>
        <v>0</v>
      </c>
      <c r="E39" s="152">
        <f t="shared" si="1"/>
        <v>0</v>
      </c>
      <c r="F39" s="337">
        <v>1187.1666666666667</v>
      </c>
      <c r="G39" s="337">
        <v>1183.0115833333334</v>
      </c>
      <c r="H39" s="196" t="s">
        <v>64</v>
      </c>
      <c r="I39" s="151"/>
      <c r="J39" s="138">
        <f>J37/G4</f>
        <v>75.279532770229636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+C40+'2'!D40</f>
        <v>0</v>
      </c>
      <c r="E40" s="152">
        <f t="shared" si="1"/>
        <v>0</v>
      </c>
      <c r="F40" s="337">
        <v>1160</v>
      </c>
      <c r="G40" s="337">
        <f>+F40-F40*0.0035</f>
        <v>1155.94</v>
      </c>
      <c r="H40" s="196" t="s">
        <v>66</v>
      </c>
      <c r="I40" s="127">
        <f>(K34+L34)/1000</f>
        <v>65.622</v>
      </c>
      <c r="J40" s="140">
        <f>+I40+'2'!J40</f>
        <v>188.041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+C41+'2'!D41</f>
        <v>0</v>
      </c>
      <c r="E41" s="152">
        <f t="shared" si="1"/>
        <v>0</v>
      </c>
      <c r="F41" s="337"/>
      <c r="G41" s="337"/>
      <c r="H41" s="196" t="s">
        <v>68</v>
      </c>
      <c r="I41" s="151"/>
      <c r="J41" s="138">
        <f>J40/G4</f>
        <v>62.68033333333333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+C42+'2'!D42</f>
        <v>0</v>
      </c>
      <c r="E42" s="152">
        <f t="shared" si="1"/>
        <v>0</v>
      </c>
      <c r="F42" s="337">
        <f>+(F38*480+F39*480+F40*480)/1440</f>
        <v>1182.3888888888889</v>
      </c>
      <c r="G42" s="337">
        <f>+(G38*480+G39*480+G40*480)/1440</f>
        <v>1178.250527777778</v>
      </c>
      <c r="H42" s="196" t="s">
        <v>69</v>
      </c>
      <c r="I42" s="254" t="s">
        <v>462</v>
      </c>
      <c r="J42" s="141"/>
      <c r="K42" s="139" t="s">
        <v>70</v>
      </c>
    </row>
    <row r="43" spans="1:14" ht="17.45" customHeight="1">
      <c r="A43" s="996" t="s">
        <v>202</v>
      </c>
      <c r="B43" s="997"/>
      <c r="C43" s="173">
        <f>SUMIF($G$7:$G$31,"Change Grade",$F$7:$F$31)</f>
        <v>0</v>
      </c>
      <c r="D43" s="127">
        <f>+C43+'2'!D43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+Report1!T11</f>
        <v>167.041</v>
      </c>
      <c r="J43" s="142">
        <f>+I43+'2'!J43</f>
        <v>478.358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+C44+'2'!D44</f>
        <v>0</v>
      </c>
      <c r="E44" s="152">
        <f t="shared" si="1"/>
        <v>0</v>
      </c>
      <c r="F44" s="337"/>
      <c r="G44" s="338"/>
      <c r="H44" s="197" t="s">
        <v>73</v>
      </c>
      <c r="I44" s="127">
        <f>I43/I38</f>
        <v>2.3843584509756339</v>
      </c>
      <c r="J44" s="143">
        <f>J43/J38</f>
        <v>2.3715018020831784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+C45+'2'!D45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2.5455030325195818</v>
      </c>
      <c r="J45" s="143">
        <f>J43/J40</f>
        <v>2.5439026595263798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+C46+'2'!D46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+SUMIF(Listrik!AR10,"&gt;0")</f>
        <v>50077.080000000555</v>
      </c>
      <c r="J46" s="144">
        <f>+I46+'2'!J46</f>
        <v>159518.16000000149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+C47+'2'!D47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714.80480180425297</v>
      </c>
      <c r="J47" s="144">
        <f>J46/J38</f>
        <v>790.8252896470766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+C48+'2'!D48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763.11419950627158</v>
      </c>
      <c r="J48" s="144">
        <f>J46/J40</f>
        <v>848.31584601231373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+C49+'2'!D49</f>
        <v>0</v>
      </c>
      <c r="E49" s="152">
        <f t="shared" si="1"/>
        <v>0</v>
      </c>
      <c r="F49" s="194"/>
      <c r="H49" s="197" t="s">
        <v>184</v>
      </c>
      <c r="I49" s="127">
        <v>0</v>
      </c>
      <c r="J49" s="144">
        <f>+I49+'2'!J49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+C50+'2'!D50</f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+C51+'2'!D51</f>
        <v>0</v>
      </c>
      <c r="E51" s="152">
        <f t="shared" si="1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71</v>
      </c>
      <c r="D52" s="153">
        <f>SUM(D38:D51)</f>
        <v>180</v>
      </c>
      <c r="E52" s="154">
        <f>SUM(E38:E51)</f>
        <v>3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4.9305555555555554E-2</v>
      </c>
      <c r="D53" s="155">
        <f>D52/(24*60*G4)</f>
        <v>4.1666666666666664E-2</v>
      </c>
      <c r="E53" s="156">
        <f>E52/(G4*24)</f>
        <v>4.1666666666666664E-2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+D34+'2'!J56</f>
        <v>2677</v>
      </c>
      <c r="K56" s="210">
        <f>J56/(J40+J56/1000)/1000</f>
        <v>1.4036430751161401E-2</v>
      </c>
    </row>
    <row r="57" spans="1:11">
      <c r="A57" s="185"/>
      <c r="I57" s="208" t="s">
        <v>88</v>
      </c>
      <c r="J57" s="209">
        <f>+E34+'2'!J57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J9" sqref="J9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4" style="119" bestFit="1" customWidth="1"/>
    <col min="7" max="7" width="15.140625" style="158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4.42578125" style="158" bestFit="1" customWidth="1"/>
    <col min="14" max="16384" width="9.140625" style="158"/>
  </cols>
  <sheetData>
    <row r="1" spans="1:18" ht="15.75">
      <c r="A1" s="157"/>
    </row>
    <row r="2" spans="1:18" ht="15.75">
      <c r="A2" s="157" t="s">
        <v>147</v>
      </c>
    </row>
    <row r="3" spans="1:18" ht="15">
      <c r="A3" s="159"/>
    </row>
    <row r="4" spans="1:18" ht="20.25">
      <c r="A4" s="160" t="s">
        <v>3</v>
      </c>
      <c r="B4" s="161"/>
      <c r="F4" s="162" t="s">
        <v>29</v>
      </c>
      <c r="G4" s="163">
        <v>2</v>
      </c>
      <c r="H4" s="163" t="str">
        <f>+'1'!H4</f>
        <v>.11.25</v>
      </c>
    </row>
    <row r="5" spans="1:18" ht="13.5" thickBot="1">
      <c r="C5" s="164"/>
      <c r="D5" s="164"/>
    </row>
    <row r="6" spans="1:18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182+228+249</f>
        <v>659</v>
      </c>
    </row>
    <row r="7" spans="1:18" ht="13.5" customHeight="1" thickBot="1">
      <c r="A7" s="1002" t="s">
        <v>447</v>
      </c>
      <c r="B7" s="224" t="s">
        <v>435</v>
      </c>
      <c r="C7" s="225">
        <v>20084</v>
      </c>
      <c r="D7" s="226">
        <v>464</v>
      </c>
      <c r="E7" s="227"/>
      <c r="F7" s="236"/>
      <c r="G7" s="237" t="s">
        <v>11</v>
      </c>
      <c r="H7" s="238" t="s">
        <v>434</v>
      </c>
      <c r="I7" s="1005" t="s">
        <v>432</v>
      </c>
      <c r="J7" s="223" t="str">
        <f>+'1'!J7</f>
        <v>MG 14 VP HW</v>
      </c>
      <c r="K7" s="246">
        <f>+C7+C16+C25</f>
        <v>51575</v>
      </c>
      <c r="L7" s="250"/>
      <c r="M7" s="126">
        <f>+K7+'1'!M7+L7</f>
        <v>111248</v>
      </c>
    </row>
    <row r="8" spans="1:18" ht="13.5" thickBot="1">
      <c r="A8" s="1003"/>
      <c r="B8" s="224"/>
      <c r="C8" s="225"/>
      <c r="D8" s="226"/>
      <c r="E8" s="228"/>
      <c r="F8" s="239">
        <v>2</v>
      </c>
      <c r="G8" s="240" t="s">
        <v>11</v>
      </c>
      <c r="H8" s="238" t="s">
        <v>433</v>
      </c>
      <c r="I8" s="1006"/>
      <c r="J8" s="223" t="s">
        <v>454</v>
      </c>
      <c r="K8" s="247">
        <f>+C26</f>
        <v>11171</v>
      </c>
      <c r="L8" s="247"/>
      <c r="M8" s="126">
        <f>+K8+'1'!M8+L8</f>
        <v>11171</v>
      </c>
      <c r="N8" s="158">
        <v>1290</v>
      </c>
      <c r="O8" s="158">
        <f>+N8-N8*0.0035</f>
        <v>1285.4849999999999</v>
      </c>
    </row>
    <row r="9" spans="1:18" ht="13.5" thickBot="1">
      <c r="A9" s="1003"/>
      <c r="B9" s="224"/>
      <c r="C9" s="225"/>
      <c r="D9" s="226"/>
      <c r="E9" s="229"/>
      <c r="F9" s="236">
        <v>10</v>
      </c>
      <c r="G9" s="240" t="s">
        <v>11</v>
      </c>
      <c r="H9" s="582" t="s">
        <v>428</v>
      </c>
      <c r="I9" s="1006"/>
      <c r="J9" s="223">
        <f>+'1'!J9</f>
        <v>0</v>
      </c>
      <c r="K9" s="247"/>
      <c r="L9" s="247"/>
      <c r="M9" s="126">
        <f>+K9+'1'!M9+L9</f>
        <v>0</v>
      </c>
    </row>
    <row r="10" spans="1:18" ht="13.5" thickBot="1">
      <c r="A10" s="1003"/>
      <c r="B10" s="224"/>
      <c r="C10" s="225"/>
      <c r="D10" s="226"/>
      <c r="E10" s="228"/>
      <c r="F10" s="236"/>
      <c r="G10" s="240"/>
      <c r="H10" s="582" t="s">
        <v>429</v>
      </c>
      <c r="I10" s="1006"/>
      <c r="J10" s="223">
        <f>+'1'!J10</f>
        <v>0</v>
      </c>
      <c r="K10" s="247"/>
      <c r="L10" s="247"/>
      <c r="M10" s="126">
        <f>+K10+'1'!M10+L10</f>
        <v>0</v>
      </c>
    </row>
    <row r="11" spans="1:18" ht="13.5" thickBot="1">
      <c r="A11" s="1003"/>
      <c r="B11" s="224"/>
      <c r="C11" s="225"/>
      <c r="D11" s="226"/>
      <c r="E11" s="228"/>
      <c r="F11" s="236"/>
      <c r="G11" s="240"/>
      <c r="H11" s="582"/>
      <c r="I11" s="1006"/>
      <c r="J11" s="223">
        <f>+'1'!J11</f>
        <v>0</v>
      </c>
      <c r="K11" s="247"/>
      <c r="L11" s="247"/>
      <c r="M11" s="126">
        <f>+K11+'1'!M11+L11</f>
        <v>0</v>
      </c>
    </row>
    <row r="12" spans="1:18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>
        <f>+'1'!J12</f>
        <v>0</v>
      </c>
      <c r="K12" s="247"/>
      <c r="L12" s="247"/>
      <c r="M12" s="126">
        <f>+K12+'1'!M12+L12</f>
        <v>0</v>
      </c>
    </row>
    <row r="13" spans="1:18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>
        <f>+'1'!J13</f>
        <v>0</v>
      </c>
      <c r="K13" s="247"/>
      <c r="L13" s="247"/>
      <c r="M13" s="126">
        <f>+K13+'1'!M13+L13</f>
        <v>0</v>
      </c>
    </row>
    <row r="14" spans="1:18" ht="13.5" thickBot="1">
      <c r="A14" s="1004"/>
      <c r="B14" s="174" t="s">
        <v>2</v>
      </c>
      <c r="C14" s="108">
        <f>SUM(C7:C13)</f>
        <v>20084</v>
      </c>
      <c r="D14" s="120">
        <f>SUM(D7:D13)</f>
        <v>464</v>
      </c>
      <c r="E14" s="121">
        <f>SUM(E5:E13)</f>
        <v>0</v>
      </c>
      <c r="F14" s="125">
        <f>SUM(F7:F13)</f>
        <v>12</v>
      </c>
      <c r="G14" s="168"/>
      <c r="H14" s="175"/>
      <c r="I14" s="176"/>
      <c r="J14" s="223">
        <f>+'1'!J14</f>
        <v>0</v>
      </c>
      <c r="K14" s="247"/>
      <c r="L14" s="247"/>
      <c r="M14" s="126">
        <f>+K14+'1'!M14+L14</f>
        <v>0</v>
      </c>
    </row>
    <row r="15" spans="1:18" ht="13.5" customHeight="1" thickBot="1">
      <c r="A15" s="1002" t="s">
        <v>448</v>
      </c>
      <c r="B15" s="174"/>
      <c r="C15" s="122"/>
      <c r="D15" s="123"/>
      <c r="E15" s="124"/>
      <c r="F15" s="236">
        <v>5</v>
      </c>
      <c r="G15" s="237" t="s">
        <v>11</v>
      </c>
      <c r="H15" s="238" t="s">
        <v>438</v>
      </c>
      <c r="I15" s="1005" t="s">
        <v>441</v>
      </c>
      <c r="J15" s="223">
        <f>+'1'!J15</f>
        <v>0</v>
      </c>
      <c r="K15" s="247"/>
      <c r="L15" s="247"/>
      <c r="M15" s="126">
        <f>+K15+'1'!M15+L15</f>
        <v>0</v>
      </c>
    </row>
    <row r="16" spans="1:18" ht="13.5" thickBot="1">
      <c r="A16" s="1008"/>
      <c r="B16" s="224" t="s">
        <v>435</v>
      </c>
      <c r="C16" s="230">
        <v>20000</v>
      </c>
      <c r="D16" s="231">
        <v>253</v>
      </c>
      <c r="E16" s="232"/>
      <c r="F16" s="236"/>
      <c r="G16" s="240" t="s">
        <v>11</v>
      </c>
      <c r="H16" s="238" t="s">
        <v>427</v>
      </c>
      <c r="I16" s="1006"/>
      <c r="J16" s="223">
        <f>+'1'!J16</f>
        <v>0</v>
      </c>
      <c r="K16" s="237"/>
      <c r="L16" s="237"/>
      <c r="M16" s="126">
        <f>+K16+'1'!M16+L16</f>
        <v>0</v>
      </c>
      <c r="N16" s="158">
        <v>1290</v>
      </c>
      <c r="O16" s="158">
        <f>+N16-N16*0.0035</f>
        <v>1285.4849999999999</v>
      </c>
      <c r="P16" s="158">
        <f>360+40</f>
        <v>400</v>
      </c>
      <c r="Q16" s="158">
        <f>+N16*P16</f>
        <v>516000</v>
      </c>
      <c r="R16" s="158">
        <f>+O16*P16</f>
        <v>514193.99999999994</v>
      </c>
    </row>
    <row r="17" spans="1:18" ht="13.5" thickBot="1">
      <c r="A17" s="1008"/>
      <c r="B17" s="224"/>
      <c r="C17" s="225"/>
      <c r="D17" s="226"/>
      <c r="E17" s="233"/>
      <c r="F17" s="236">
        <v>9</v>
      </c>
      <c r="G17" s="240" t="s">
        <v>11</v>
      </c>
      <c r="H17" s="582" t="s">
        <v>428</v>
      </c>
      <c r="I17" s="1006"/>
      <c r="J17" s="223">
        <f>+'1'!J17</f>
        <v>0</v>
      </c>
      <c r="K17" s="237"/>
      <c r="L17" s="237"/>
      <c r="M17" s="126">
        <f>+K17+'1'!M17+L17</f>
        <v>0</v>
      </c>
      <c r="N17" s="158">
        <v>1200</v>
      </c>
      <c r="O17" s="158">
        <f>+N17-N17*0.0035</f>
        <v>1195.8</v>
      </c>
      <c r="P17" s="158">
        <f>20+60</f>
        <v>80</v>
      </c>
      <c r="Q17" s="158">
        <f>+N17*P17</f>
        <v>96000</v>
      </c>
      <c r="R17" s="158">
        <f>+O17*P17</f>
        <v>95664</v>
      </c>
    </row>
    <row r="18" spans="1:18" ht="13.5" thickBot="1">
      <c r="A18" s="1008"/>
      <c r="B18" s="224"/>
      <c r="C18" s="225"/>
      <c r="D18" s="226"/>
      <c r="E18" s="233"/>
      <c r="F18" s="236"/>
      <c r="G18" s="240"/>
      <c r="H18" s="582" t="s">
        <v>429</v>
      </c>
      <c r="I18" s="1006"/>
      <c r="J18" s="223">
        <f>+'1'!J18</f>
        <v>0</v>
      </c>
      <c r="K18" s="247"/>
      <c r="L18" s="247"/>
      <c r="M18" s="126">
        <f>+K18+'1'!M18+L18</f>
        <v>0</v>
      </c>
      <c r="P18" s="158">
        <f>SUM(P16:P17)</f>
        <v>480</v>
      </c>
      <c r="Q18" s="158">
        <f t="shared" ref="Q18:R18" si="0">SUM(Q16:Q17)</f>
        <v>612000</v>
      </c>
      <c r="R18" s="158">
        <f t="shared" si="0"/>
        <v>609858</v>
      </c>
    </row>
    <row r="19" spans="1:18" ht="13.5" thickBot="1">
      <c r="A19" s="1008"/>
      <c r="B19" s="224"/>
      <c r="C19" s="225"/>
      <c r="D19" s="226"/>
      <c r="E19" s="233"/>
      <c r="F19" s="243">
        <v>10</v>
      </c>
      <c r="G19" s="240" t="s">
        <v>11</v>
      </c>
      <c r="H19" s="582" t="s">
        <v>431</v>
      </c>
      <c r="I19" s="1006"/>
      <c r="J19" s="223">
        <f>+'1'!J19</f>
        <v>0</v>
      </c>
      <c r="K19" s="247"/>
      <c r="L19" s="247"/>
      <c r="M19" s="126">
        <f>+K19+'1'!M19+L19</f>
        <v>0</v>
      </c>
      <c r="Q19" s="158">
        <f>+Q18/P18</f>
        <v>1275</v>
      </c>
      <c r="R19" s="158">
        <f>+R18/P18</f>
        <v>1270.5374999999999</v>
      </c>
    </row>
    <row r="20" spans="1:18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+'1'!J20</f>
        <v>0</v>
      </c>
      <c r="K20" s="248"/>
      <c r="L20" s="248"/>
      <c r="M20" s="126">
        <f>+K20+'1'!M20+L20</f>
        <v>0</v>
      </c>
    </row>
    <row r="21" spans="1:18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+'1'!J21</f>
        <v>0</v>
      </c>
      <c r="K21" s="247"/>
      <c r="L21" s="247"/>
      <c r="M21" s="126">
        <f>+K21+'1'!M21+L21</f>
        <v>0</v>
      </c>
    </row>
    <row r="22" spans="1:18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+'1'!J22</f>
        <v>0</v>
      </c>
      <c r="K22" s="247"/>
      <c r="L22" s="247"/>
      <c r="M22" s="126">
        <f>+K22+'1'!M22+L22</f>
        <v>0</v>
      </c>
    </row>
    <row r="23" spans="1:18" ht="13.5" thickBot="1">
      <c r="A23" s="1009"/>
      <c r="B23" s="177" t="s">
        <v>2</v>
      </c>
      <c r="C23" s="109">
        <f>SUM(C16:C22)</f>
        <v>20000</v>
      </c>
      <c r="D23" s="120">
        <f>SUM(D16:D22)</f>
        <v>253</v>
      </c>
      <c r="E23" s="121">
        <f>SUM(E18:E22)</f>
        <v>0</v>
      </c>
      <c r="F23" s="125">
        <f>SUM(F15:F22)</f>
        <v>24</v>
      </c>
      <c r="G23" s="168"/>
      <c r="H23" s="175" t="s">
        <v>234</v>
      </c>
      <c r="I23" s="178"/>
      <c r="J23" s="223">
        <f>+'1'!J23</f>
        <v>0</v>
      </c>
      <c r="K23" s="247"/>
      <c r="L23" s="247"/>
      <c r="M23" s="126">
        <f>+K23+'1'!M23+L23</f>
        <v>0</v>
      </c>
    </row>
    <row r="24" spans="1:18" ht="13.5" customHeight="1" thickBot="1">
      <c r="A24" s="1002" t="s">
        <v>449</v>
      </c>
      <c r="B24" s="179"/>
      <c r="C24" s="122"/>
      <c r="D24" s="123"/>
      <c r="E24" s="124"/>
      <c r="F24" s="244">
        <v>20</v>
      </c>
      <c r="G24" s="237" t="s">
        <v>11</v>
      </c>
      <c r="H24" s="238" t="s">
        <v>439</v>
      </c>
      <c r="I24" s="1005" t="s">
        <v>436</v>
      </c>
      <c r="J24" s="223">
        <f>+'1'!J24</f>
        <v>0</v>
      </c>
      <c r="K24" s="247"/>
      <c r="L24" s="247"/>
      <c r="M24" s="126">
        <f>+K24+'1'!M24+L24</f>
        <v>0</v>
      </c>
    </row>
    <row r="25" spans="1:18" ht="13.5" thickBot="1">
      <c r="A25" s="1008"/>
      <c r="B25" s="224" t="s">
        <v>435</v>
      </c>
      <c r="C25" s="234">
        <f>8858+2633</f>
        <v>11491</v>
      </c>
      <c r="D25" s="226">
        <v>250</v>
      </c>
      <c r="E25" s="233"/>
      <c r="F25" s="239"/>
      <c r="G25" s="240" t="s">
        <v>11</v>
      </c>
      <c r="H25" s="238" t="s">
        <v>427</v>
      </c>
      <c r="I25" s="1006"/>
      <c r="J25" s="223">
        <f>+'1'!J25</f>
        <v>0</v>
      </c>
      <c r="K25" s="247"/>
      <c r="L25" s="247"/>
      <c r="M25" s="126">
        <f>+K25+'1'!M25+L25</f>
        <v>0</v>
      </c>
    </row>
    <row r="26" spans="1:18" ht="13.5" thickBot="1">
      <c r="A26" s="1008"/>
      <c r="B26" s="224" t="s">
        <v>454</v>
      </c>
      <c r="C26" s="234">
        <f>8654+2517</f>
        <v>11171</v>
      </c>
      <c r="D26" s="226"/>
      <c r="E26" s="235"/>
      <c r="F26" s="239">
        <v>6</v>
      </c>
      <c r="G26" s="240" t="s">
        <v>11</v>
      </c>
      <c r="H26" s="582" t="s">
        <v>428</v>
      </c>
      <c r="I26" s="1006"/>
      <c r="J26" s="223">
        <f>+'1'!J26</f>
        <v>0</v>
      </c>
      <c r="K26" s="247"/>
      <c r="L26" s="247"/>
      <c r="M26" s="126">
        <f>+K26+'1'!M26+L26</f>
        <v>0</v>
      </c>
    </row>
    <row r="27" spans="1:18" ht="13.5" thickBot="1">
      <c r="A27" s="1008"/>
      <c r="B27" s="224"/>
      <c r="C27" s="225"/>
      <c r="D27" s="226"/>
      <c r="E27" s="233"/>
      <c r="F27" s="239"/>
      <c r="G27" s="240"/>
      <c r="H27" s="582" t="s">
        <v>430</v>
      </c>
      <c r="I27" s="1006"/>
      <c r="J27" s="223">
        <f>+'1'!J27</f>
        <v>0</v>
      </c>
      <c r="K27" s="247"/>
      <c r="L27" s="247"/>
      <c r="M27" s="126">
        <f>+K27+'1'!M27+L27</f>
        <v>0</v>
      </c>
    </row>
    <row r="28" spans="1:18" ht="13.5" thickBot="1">
      <c r="A28" s="1008"/>
      <c r="B28" s="224"/>
      <c r="C28" s="225"/>
      <c r="D28" s="226"/>
      <c r="E28" s="233"/>
      <c r="F28" s="239"/>
      <c r="G28" s="240"/>
      <c r="H28" s="582"/>
      <c r="I28" s="1006"/>
      <c r="J28" s="223">
        <f>+'1'!J28</f>
        <v>0</v>
      </c>
      <c r="K28" s="247"/>
      <c r="L28" s="247"/>
      <c r="M28" s="126">
        <f>+K28+'1'!M28+L28</f>
        <v>0</v>
      </c>
    </row>
    <row r="29" spans="1:18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+'1'!J29</f>
        <v>0</v>
      </c>
      <c r="K29" s="247"/>
      <c r="L29" s="247"/>
      <c r="M29" s="126">
        <f>+K29+'1'!M29+L29</f>
        <v>0</v>
      </c>
    </row>
    <row r="30" spans="1:18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+'1'!J30</f>
        <v>0</v>
      </c>
      <c r="K30" s="247"/>
      <c r="L30" s="247"/>
      <c r="M30" s="126">
        <f>+K30+'1'!M30+L30</f>
        <v>0</v>
      </c>
      <c r="N30" s="164"/>
    </row>
    <row r="31" spans="1:18" ht="13.5" thickBot="1">
      <c r="A31" s="1008"/>
      <c r="B31" s="224"/>
      <c r="C31" s="234"/>
      <c r="D31" s="226"/>
      <c r="E31" s="233"/>
      <c r="F31" s="244"/>
      <c r="G31" s="245"/>
      <c r="H31" s="460"/>
      <c r="I31" s="1007"/>
      <c r="J31" s="223">
        <f>+'1'!J31</f>
        <v>0</v>
      </c>
      <c r="K31" s="247"/>
      <c r="L31" s="247"/>
      <c r="M31" s="126">
        <f>+K31+'1'!M31+L31</f>
        <v>0</v>
      </c>
    </row>
    <row r="32" spans="1:18" ht="13.5" thickBot="1">
      <c r="A32" s="1009"/>
      <c r="B32" s="174" t="s">
        <v>2</v>
      </c>
      <c r="C32" s="108">
        <f>SUM(C25:C31)</f>
        <v>22662</v>
      </c>
      <c r="D32" s="109">
        <f>SUM(D25:D31)</f>
        <v>250</v>
      </c>
      <c r="E32" s="110">
        <f>SUM(E25:E31)</f>
        <v>0</v>
      </c>
      <c r="F32" s="111">
        <f>SUM(F24:F31)</f>
        <v>26</v>
      </c>
      <c r="G32" s="180"/>
      <c r="H32" s="181"/>
      <c r="I32" s="178"/>
      <c r="J32" s="223">
        <f>+'1'!J32</f>
        <v>0</v>
      </c>
      <c r="K32" s="249"/>
      <c r="L32" s="251"/>
      <c r="M32" s="126">
        <f>+K32+'1'!M32+L32</f>
        <v>0</v>
      </c>
    </row>
    <row r="33" spans="1:14" ht="13.5" thickBot="1">
      <c r="A33" s="182"/>
      <c r="B33" s="183"/>
      <c r="C33" s="112">
        <f>C32/($C$32+$D$32+$E$32)</f>
        <v>0.98908868715083798</v>
      </c>
      <c r="D33" s="113">
        <f>D32/($C$32+$D$32+$E$32)</f>
        <v>1.0911312849162011E-2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62746</v>
      </c>
      <c r="D34" s="116">
        <f>D14+D23+D32</f>
        <v>967</v>
      </c>
      <c r="E34" s="116">
        <f>E14+E23+E32</f>
        <v>0</v>
      </c>
      <c r="F34" s="117">
        <f>F14+F23+F32</f>
        <v>62</v>
      </c>
      <c r="H34" s="187"/>
      <c r="I34" s="187"/>
      <c r="J34" s="132" t="s">
        <v>27</v>
      </c>
      <c r="K34" s="133">
        <f>SUM(K7:K32)</f>
        <v>62746</v>
      </c>
      <c r="L34" s="221">
        <f>SUM(L7:L32)</f>
        <v>0</v>
      </c>
      <c r="M34" s="129">
        <f>SUM(M7:M32)</f>
        <v>122419</v>
      </c>
      <c r="N34" s="164"/>
    </row>
    <row r="35" spans="1:14" ht="13.5" thickBot="1">
      <c r="A35" s="188"/>
      <c r="B35" s="189"/>
      <c r="C35" s="113">
        <f>C34/($C$34+$D$34+$E$34)</f>
        <v>0.98482256368402055</v>
      </c>
      <c r="D35" s="113">
        <f>D34/($C$34+$D$34+$E$34)</f>
        <v>1.5177436315979471E-2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(14*880+16.5*560)/1440*G42*2.77*1440/1000000</f>
        <v>76.506208222888887</v>
      </c>
      <c r="J37" s="134">
        <f>+I37+'1'!J37</f>
        <v>148.29180417488888</v>
      </c>
      <c r="K37" s="135" t="s">
        <v>62</v>
      </c>
      <c r="N37" s="556">
        <f>+I38-N38</f>
        <v>39.418999999999997</v>
      </c>
    </row>
    <row r="38" spans="1:14" ht="17.45" customHeight="1">
      <c r="A38" s="1000" t="s">
        <v>11</v>
      </c>
      <c r="B38" s="1001"/>
      <c r="C38" s="173">
        <f>SUMIF($G$7:$G$31,"Process",$F$7:$F$31)</f>
        <v>62</v>
      </c>
      <c r="D38" s="127">
        <f>+C38+'1'!D38</f>
        <v>109</v>
      </c>
      <c r="E38" s="152">
        <f t="shared" ref="E38:E51" si="1">D38/60</f>
        <v>1.8166666666666667</v>
      </c>
      <c r="F38" s="337">
        <v>1290</v>
      </c>
      <c r="G38" s="337">
        <v>1285.4849999999999</v>
      </c>
      <c r="H38" s="196" t="s">
        <v>63</v>
      </c>
      <c r="I38" s="549">
        <f>21.435+21.595+22.797</f>
        <v>65.826999999999998</v>
      </c>
      <c r="J38" s="136">
        <f>+I38+'1'!J38</f>
        <v>131.654</v>
      </c>
      <c r="K38" s="137" t="s">
        <v>62</v>
      </c>
      <c r="N38" s="556">
        <f>2.355+24.053</f>
        <v>26.408000000000001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+C39+'1'!D39</f>
        <v>0</v>
      </c>
      <c r="E39" s="152">
        <f t="shared" si="1"/>
        <v>0</v>
      </c>
      <c r="F39" s="337">
        <v>1283.3333333333333</v>
      </c>
      <c r="G39" s="337">
        <v>1278.8416666666667</v>
      </c>
      <c r="H39" s="196" t="s">
        <v>64</v>
      </c>
      <c r="I39" s="151"/>
      <c r="J39" s="138">
        <f>J37/G4</f>
        <v>74.145902087444441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+C40+'1'!D40</f>
        <v>0</v>
      </c>
      <c r="E40" s="152">
        <f t="shared" si="1"/>
        <v>0</v>
      </c>
      <c r="F40" s="337">
        <v>1283.3333333333333</v>
      </c>
      <c r="G40" s="337">
        <v>1278.8416666666667</v>
      </c>
      <c r="H40" s="196" t="s">
        <v>66</v>
      </c>
      <c r="I40" s="127">
        <f>(K34+L34)/1000</f>
        <v>62.746000000000002</v>
      </c>
      <c r="J40" s="140">
        <f>+I40+'1'!J40</f>
        <v>122.41900000000001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+C41+'1'!D41</f>
        <v>0</v>
      </c>
      <c r="E41" s="152">
        <f t="shared" si="1"/>
        <v>0</v>
      </c>
      <c r="F41" s="337"/>
      <c r="G41" s="337"/>
      <c r="H41" s="196" t="s">
        <v>68</v>
      </c>
      <c r="I41" s="151"/>
      <c r="J41" s="138">
        <f>J40/G4</f>
        <v>61.209500000000006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+C42+'1'!D42</f>
        <v>0</v>
      </c>
      <c r="E42" s="152">
        <f t="shared" si="1"/>
        <v>0</v>
      </c>
      <c r="F42" s="337">
        <f>+(F38*480+F39*480+F40*480)/1440</f>
        <v>1285.5555555555557</v>
      </c>
      <c r="G42" s="337">
        <f>+(G38*480+G39*480+G40*480)/1440</f>
        <v>1281.056111111111</v>
      </c>
      <c r="H42" s="196" t="s">
        <v>69</v>
      </c>
      <c r="I42" s="254" t="s">
        <v>437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+C43+'1'!D43</f>
        <v>0</v>
      </c>
      <c r="E43" s="152">
        <f t="shared" si="1"/>
        <v>0</v>
      </c>
      <c r="F43" s="337"/>
      <c r="G43" s="338"/>
      <c r="H43" s="197" t="s">
        <v>72</v>
      </c>
      <c r="I43" s="127">
        <f>+Report1!T10</f>
        <v>158.39499999999998</v>
      </c>
      <c r="J43" s="142">
        <f>+I43+'1'!J43</f>
        <v>311.31700000000001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+C44+'1'!D44</f>
        <v>0</v>
      </c>
      <c r="E44" s="152">
        <f t="shared" si="1"/>
        <v>0</v>
      </c>
      <c r="F44" s="337"/>
      <c r="G44" s="338"/>
      <c r="H44" s="197" t="s">
        <v>73</v>
      </c>
      <c r="I44" s="127">
        <f>I43/I38</f>
        <v>2.4062314855606362</v>
      </c>
      <c r="J44" s="143">
        <f>J43/J38</f>
        <v>2.3646603977091467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+C45+'1'!D45</f>
        <v>0</v>
      </c>
      <c r="E45" s="152">
        <f t="shared" si="1"/>
        <v>0</v>
      </c>
      <c r="F45" s="337"/>
      <c r="G45" s="340"/>
      <c r="H45" s="197" t="s">
        <v>74</v>
      </c>
      <c r="I45" s="127">
        <f>I43/I40</f>
        <v>2.5243840244796476</v>
      </c>
      <c r="J45" s="143">
        <f>J43/J40</f>
        <v>2.5430447887991243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+C46+'1'!D46</f>
        <v>0</v>
      </c>
      <c r="E46" s="152">
        <f t="shared" si="1"/>
        <v>0</v>
      </c>
      <c r="F46" s="337"/>
      <c r="G46" s="338"/>
      <c r="H46" s="197" t="s">
        <v>76</v>
      </c>
      <c r="I46" s="149">
        <f>+SUMIF(Listrik!AR9,"&gt;0")</f>
        <v>58627.779999999519</v>
      </c>
      <c r="J46" s="144">
        <f>+I46+'1'!J46</f>
        <v>109441.08000000092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+C47+'1'!D47</f>
        <v>0</v>
      </c>
      <c r="E47" s="152">
        <f t="shared" si="1"/>
        <v>0</v>
      </c>
      <c r="F47" s="337"/>
      <c r="G47" s="338"/>
      <c r="H47" s="197" t="s">
        <v>79</v>
      </c>
      <c r="I47" s="127">
        <f>I46/I38</f>
        <v>890.63423823050607</v>
      </c>
      <c r="J47" s="144">
        <f>J46/J38</f>
        <v>831.27804700199704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+C48+'1'!D48</f>
        <v>0</v>
      </c>
      <c r="E48" s="152">
        <f t="shared" si="1"/>
        <v>0</v>
      </c>
      <c r="F48" s="337"/>
      <c r="G48" s="338"/>
      <c r="H48" s="197" t="s">
        <v>80</v>
      </c>
      <c r="I48" s="127">
        <f>I46/I40</f>
        <v>934.36681222706648</v>
      </c>
      <c r="J48" s="144">
        <f>J46/J40</f>
        <v>893.98769798806484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+C49+'1'!D49</f>
        <v>0</v>
      </c>
      <c r="E49" s="152">
        <f t="shared" si="1"/>
        <v>0</v>
      </c>
      <c r="F49" s="194"/>
      <c r="H49" s="197" t="s">
        <v>184</v>
      </c>
      <c r="I49" s="127">
        <v>0</v>
      </c>
      <c r="J49" s="144">
        <f>+I49+'1'!J49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+C50+'1'!D50</f>
        <v>0</v>
      </c>
      <c r="E50" s="152">
        <f t="shared" si="1"/>
        <v>0</v>
      </c>
      <c r="F50" s="194"/>
      <c r="H50" s="197" t="s">
        <v>83</v>
      </c>
      <c r="I50" s="149"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+C51+'1'!D51</f>
        <v>0</v>
      </c>
      <c r="E51" s="152">
        <f t="shared" si="1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62</v>
      </c>
      <c r="D52" s="153">
        <f>SUM(D38:D51)</f>
        <v>109</v>
      </c>
      <c r="E52" s="154">
        <f>SUM(E38:E51)</f>
        <v>1.8166666666666667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4.3055555555555555E-2</v>
      </c>
      <c r="D53" s="155">
        <f>D52/(24*60*G4)</f>
        <v>3.784722222222222E-2</v>
      </c>
      <c r="E53" s="156">
        <f>E52/(G4*24)</f>
        <v>3.784722222222222E-2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+D34+'1'!J56</f>
        <v>1829</v>
      </c>
      <c r="K56" s="210">
        <f>J56/(J40+J56/1000)/1000</f>
        <v>1.4720558882235528E-2</v>
      </c>
    </row>
    <row r="57" spans="1:11">
      <c r="A57" s="185"/>
      <c r="I57" s="208" t="s">
        <v>88</v>
      </c>
      <c r="J57" s="209">
        <f>+E34+'1'!J57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A13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710937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4" style="158" bestFit="1" customWidth="1"/>
    <col min="12" max="12" width="8.28515625" style="158" customWidth="1"/>
    <col min="13" max="13" width="14.42578125" style="158" bestFit="1" customWidth="1"/>
    <col min="14" max="14" width="9.140625" style="158" bestFit="1"/>
    <col min="15" max="16384" width="9.140625" style="158"/>
  </cols>
  <sheetData>
    <row r="1" spans="1:15" ht="15.75">
      <c r="A1" s="157"/>
    </row>
    <row r="2" spans="1:15" ht="15.75">
      <c r="A2" s="157" t="s">
        <v>147</v>
      </c>
    </row>
    <row r="3" spans="1:15" ht="15">
      <c r="A3" s="159"/>
    </row>
    <row r="4" spans="1:15" ht="20.25">
      <c r="A4" s="160" t="s">
        <v>3</v>
      </c>
      <c r="B4" s="161"/>
      <c r="F4" s="162" t="s">
        <v>29</v>
      </c>
      <c r="G4" s="163">
        <v>1</v>
      </c>
      <c r="H4" s="163" t="s">
        <v>425</v>
      </c>
    </row>
    <row r="5" spans="1:15" ht="13.5" thickBot="1">
      <c r="C5" s="164"/>
      <c r="D5" s="164"/>
    </row>
    <row r="6" spans="1:15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  <c r="N6" s="158">
        <f>160+182+233</f>
        <v>575</v>
      </c>
    </row>
    <row r="7" spans="1:15" ht="13.5" customHeight="1" thickBot="1">
      <c r="A7" s="1002" t="s">
        <v>447</v>
      </c>
      <c r="B7" s="224" t="s">
        <v>435</v>
      </c>
      <c r="C7" s="225">
        <v>18761</v>
      </c>
      <c r="D7" s="226">
        <v>349</v>
      </c>
      <c r="E7" s="227"/>
      <c r="F7" s="236"/>
      <c r="G7" s="237" t="s">
        <v>11</v>
      </c>
      <c r="H7" s="238" t="s">
        <v>434</v>
      </c>
      <c r="I7" s="1005" t="s">
        <v>432</v>
      </c>
      <c r="J7" s="258" t="s">
        <v>435</v>
      </c>
      <c r="K7" s="246">
        <f>+C34</f>
        <v>59673</v>
      </c>
      <c r="L7" s="250"/>
      <c r="M7" s="126">
        <f>+K7+L7</f>
        <v>59673</v>
      </c>
    </row>
    <row r="8" spans="1:15" ht="13.5" thickBot="1">
      <c r="A8" s="1003"/>
      <c r="B8" s="224"/>
      <c r="C8" s="225"/>
      <c r="D8" s="226"/>
      <c r="E8" s="228"/>
      <c r="F8" s="239">
        <v>3</v>
      </c>
      <c r="G8" s="240" t="s">
        <v>11</v>
      </c>
      <c r="H8" s="238" t="s">
        <v>433</v>
      </c>
      <c r="I8" s="1006"/>
      <c r="J8" s="258"/>
      <c r="K8" s="247"/>
      <c r="L8" s="247"/>
      <c r="M8" s="126">
        <f t="shared" ref="M8:M32" si="0">+K8+L8</f>
        <v>0</v>
      </c>
      <c r="N8" s="158">
        <v>1290</v>
      </c>
      <c r="O8" s="158">
        <f>+N8-N8*0.0035</f>
        <v>1285.4849999999999</v>
      </c>
    </row>
    <row r="9" spans="1:15" ht="13.5" thickBot="1">
      <c r="A9" s="1003"/>
      <c r="B9" s="224"/>
      <c r="C9" s="225"/>
      <c r="D9" s="226"/>
      <c r="E9" s="229"/>
      <c r="F9" s="236">
        <v>8</v>
      </c>
      <c r="G9" s="240" t="s">
        <v>11</v>
      </c>
      <c r="H9" s="582" t="s">
        <v>428</v>
      </c>
      <c r="I9" s="1006"/>
      <c r="J9" s="259"/>
      <c r="K9" s="247"/>
      <c r="L9" s="247"/>
      <c r="M9" s="126">
        <f t="shared" si="0"/>
        <v>0</v>
      </c>
    </row>
    <row r="10" spans="1:15" ht="13.5" thickBot="1">
      <c r="A10" s="1003"/>
      <c r="B10" s="224"/>
      <c r="C10" s="225"/>
      <c r="D10" s="226"/>
      <c r="E10" s="228"/>
      <c r="F10" s="236"/>
      <c r="G10" s="240"/>
      <c r="H10" s="582" t="s">
        <v>429</v>
      </c>
      <c r="I10" s="1006"/>
      <c r="J10" s="258"/>
      <c r="K10" s="247"/>
      <c r="L10" s="247"/>
      <c r="M10" s="126">
        <f t="shared" si="0"/>
        <v>0</v>
      </c>
    </row>
    <row r="11" spans="1:15" ht="13.5" thickBot="1">
      <c r="A11" s="1003"/>
      <c r="B11" s="224"/>
      <c r="C11" s="225"/>
      <c r="D11" s="226"/>
      <c r="E11" s="228"/>
      <c r="F11" s="236"/>
      <c r="G11" s="240"/>
      <c r="H11" s="582" t="s">
        <v>440</v>
      </c>
      <c r="I11" s="1006"/>
      <c r="J11" s="258"/>
      <c r="K11" s="247"/>
      <c r="L11" s="247"/>
      <c r="M11" s="126">
        <f t="shared" si="0"/>
        <v>0</v>
      </c>
    </row>
    <row r="12" spans="1:15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58"/>
      <c r="K12" s="247"/>
      <c r="L12" s="247"/>
      <c r="M12" s="126">
        <f t="shared" si="0"/>
        <v>0</v>
      </c>
    </row>
    <row r="13" spans="1:15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58"/>
      <c r="K13" s="247"/>
      <c r="L13" s="247"/>
      <c r="M13" s="126">
        <f t="shared" si="0"/>
        <v>0</v>
      </c>
    </row>
    <row r="14" spans="1:15" ht="13.5" thickBot="1">
      <c r="A14" s="1004"/>
      <c r="B14" s="174" t="s">
        <v>2</v>
      </c>
      <c r="C14" s="108">
        <f>SUM(C7:C13)</f>
        <v>18761</v>
      </c>
      <c r="D14" s="120">
        <f>SUM(D7:D13)</f>
        <v>349</v>
      </c>
      <c r="E14" s="121">
        <f>SUM(E5:E13)</f>
        <v>0</v>
      </c>
      <c r="F14" s="125">
        <f>SUM(F7:F13)</f>
        <v>11</v>
      </c>
      <c r="G14" s="168"/>
      <c r="H14" s="175"/>
      <c r="I14" s="176"/>
      <c r="J14" s="258"/>
      <c r="K14" s="247"/>
      <c r="L14" s="247"/>
      <c r="M14" s="126">
        <f t="shared" si="0"/>
        <v>0</v>
      </c>
    </row>
    <row r="15" spans="1:15" ht="13.5" customHeight="1" thickBot="1">
      <c r="A15" s="1002" t="s">
        <v>448</v>
      </c>
      <c r="B15" s="174"/>
      <c r="C15" s="122"/>
      <c r="D15" s="123"/>
      <c r="E15" s="124"/>
      <c r="F15" s="236">
        <v>10</v>
      </c>
      <c r="G15" s="237" t="s">
        <v>11</v>
      </c>
      <c r="H15" s="238" t="s">
        <v>414</v>
      </c>
      <c r="I15" s="1005" t="s">
        <v>432</v>
      </c>
      <c r="J15" s="258"/>
      <c r="K15" s="247"/>
      <c r="L15" s="247"/>
      <c r="M15" s="126">
        <f t="shared" si="0"/>
        <v>0</v>
      </c>
    </row>
    <row r="16" spans="1:15" ht="13.5" thickBot="1">
      <c r="A16" s="1008"/>
      <c r="B16" s="224" t="s">
        <v>435</v>
      </c>
      <c r="C16" s="230">
        <v>21021</v>
      </c>
      <c r="D16" s="231">
        <v>343</v>
      </c>
      <c r="E16" s="232"/>
      <c r="F16" s="236"/>
      <c r="G16" s="240" t="s">
        <v>11</v>
      </c>
      <c r="H16" s="238" t="s">
        <v>427</v>
      </c>
      <c r="I16" s="1006"/>
      <c r="J16" s="258"/>
      <c r="K16" s="237"/>
      <c r="L16" s="237"/>
      <c r="M16" s="126">
        <f t="shared" si="0"/>
        <v>0</v>
      </c>
    </row>
    <row r="17" spans="1:14" ht="13.5" thickBot="1">
      <c r="A17" s="1008"/>
      <c r="B17" s="224"/>
      <c r="C17" s="225"/>
      <c r="D17" s="226"/>
      <c r="E17" s="233"/>
      <c r="F17" s="236">
        <v>8</v>
      </c>
      <c r="G17" s="240" t="s">
        <v>11</v>
      </c>
      <c r="H17" s="582" t="s">
        <v>428</v>
      </c>
      <c r="I17" s="1006"/>
      <c r="J17" s="258"/>
      <c r="K17" s="237"/>
      <c r="L17" s="237"/>
      <c r="M17" s="126">
        <f t="shared" si="0"/>
        <v>0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582" t="s">
        <v>429</v>
      </c>
      <c r="I18" s="1006"/>
      <c r="J18" s="258"/>
      <c r="K18" s="247"/>
      <c r="L18" s="247"/>
      <c r="M18" s="126">
        <f t="shared" si="0"/>
        <v>0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582"/>
      <c r="I19" s="1006"/>
      <c r="J19" s="258"/>
      <c r="K19" s="247"/>
      <c r="L19" s="247"/>
      <c r="M19" s="126">
        <f t="shared" si="0"/>
        <v>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58"/>
      <c r="K20" s="248"/>
      <c r="L20" s="248"/>
      <c r="M20" s="126">
        <f t="shared" si="0"/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58"/>
      <c r="K21" s="247"/>
      <c r="L21" s="247"/>
      <c r="M21" s="126">
        <f t="shared" si="0"/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58"/>
      <c r="K22" s="247"/>
      <c r="L22" s="247"/>
      <c r="M22" s="126">
        <f t="shared" si="0"/>
        <v>0</v>
      </c>
    </row>
    <row r="23" spans="1:14" ht="13.5" thickBot="1">
      <c r="A23" s="1009"/>
      <c r="B23" s="177" t="s">
        <v>2</v>
      </c>
      <c r="C23" s="109">
        <f>SUM(C16:C22)</f>
        <v>21021</v>
      </c>
      <c r="D23" s="120">
        <f>SUM(D16:D22)</f>
        <v>343</v>
      </c>
      <c r="E23" s="121">
        <f>SUM(E18:E22)</f>
        <v>0</v>
      </c>
      <c r="F23" s="125">
        <f>SUM(F15:F22)</f>
        <v>18</v>
      </c>
      <c r="G23" s="168"/>
      <c r="H23" s="175" t="s">
        <v>234</v>
      </c>
      <c r="I23" s="178"/>
      <c r="J23" s="258"/>
      <c r="K23" s="247"/>
      <c r="L23" s="247"/>
      <c r="M23" s="126">
        <f t="shared" si="0"/>
        <v>0</v>
      </c>
    </row>
    <row r="24" spans="1:14" ht="13.5" customHeight="1" thickBot="1">
      <c r="A24" s="1002" t="s">
        <v>449</v>
      </c>
      <c r="B24" s="179"/>
      <c r="C24" s="122"/>
      <c r="D24" s="123"/>
      <c r="E24" s="124"/>
      <c r="F24" s="244">
        <v>10</v>
      </c>
      <c r="G24" s="237" t="s">
        <v>11</v>
      </c>
      <c r="H24" s="238" t="s">
        <v>414</v>
      </c>
      <c r="I24" s="1005" t="s">
        <v>432</v>
      </c>
      <c r="J24" s="258"/>
      <c r="K24" s="247"/>
      <c r="L24" s="247"/>
      <c r="M24" s="126">
        <f t="shared" si="0"/>
        <v>0</v>
      </c>
    </row>
    <row r="25" spans="1:14" ht="13.5" thickBot="1">
      <c r="A25" s="1008"/>
      <c r="B25" s="224" t="s">
        <v>435</v>
      </c>
      <c r="C25" s="234">
        <v>19891</v>
      </c>
      <c r="D25" s="226">
        <v>170</v>
      </c>
      <c r="E25" s="233"/>
      <c r="F25" s="239"/>
      <c r="G25" s="240" t="s">
        <v>11</v>
      </c>
      <c r="H25" s="238" t="s">
        <v>427</v>
      </c>
      <c r="I25" s="1006"/>
      <c r="J25" s="258"/>
      <c r="K25" s="247"/>
      <c r="L25" s="247"/>
      <c r="M25" s="126">
        <f t="shared" si="0"/>
        <v>0</v>
      </c>
    </row>
    <row r="26" spans="1:14" ht="13.5" thickBot="1">
      <c r="A26" s="1008"/>
      <c r="B26" s="224"/>
      <c r="C26" s="234"/>
      <c r="D26" s="226"/>
      <c r="E26" s="235"/>
      <c r="F26" s="239">
        <v>8</v>
      </c>
      <c r="G26" s="240" t="s">
        <v>11</v>
      </c>
      <c r="H26" s="582" t="s">
        <v>428</v>
      </c>
      <c r="I26" s="1006"/>
      <c r="J26" s="258"/>
      <c r="K26" s="247"/>
      <c r="L26" s="247"/>
      <c r="M26" s="126">
        <f t="shared" si="0"/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582" t="s">
        <v>429</v>
      </c>
      <c r="I27" s="1006"/>
      <c r="J27" s="258"/>
      <c r="K27" s="247"/>
      <c r="L27" s="247"/>
      <c r="M27" s="126">
        <f t="shared" si="0"/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582"/>
      <c r="I28" s="1006"/>
      <c r="J28" s="258"/>
      <c r="K28" s="247"/>
      <c r="L28" s="247"/>
      <c r="M28" s="126">
        <f t="shared" si="0"/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58"/>
      <c r="K29" s="247"/>
      <c r="L29" s="247"/>
      <c r="M29" s="126">
        <f t="shared" si="0"/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58"/>
      <c r="K30" s="247"/>
      <c r="L30" s="247"/>
      <c r="M30" s="126">
        <f t="shared" si="0"/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58"/>
      <c r="K31" s="247"/>
      <c r="L31" s="247"/>
      <c r="M31" s="126">
        <f t="shared" si="0"/>
        <v>0</v>
      </c>
    </row>
    <row r="32" spans="1:14" ht="13.5" thickBot="1">
      <c r="A32" s="1009"/>
      <c r="B32" s="174" t="s">
        <v>2</v>
      </c>
      <c r="C32" s="108">
        <f>SUM(C25:C31)</f>
        <v>19891</v>
      </c>
      <c r="D32" s="109">
        <f>SUM(D25:D31)</f>
        <v>170</v>
      </c>
      <c r="E32" s="110">
        <f>SUM(E25:E31)</f>
        <v>0</v>
      </c>
      <c r="F32" s="111">
        <f>SUM(F24:F31)</f>
        <v>18</v>
      </c>
      <c r="G32" s="180"/>
      <c r="H32" s="181"/>
      <c r="I32" s="178"/>
      <c r="J32" s="260"/>
      <c r="K32" s="249"/>
      <c r="L32" s="251"/>
      <c r="M32" s="126">
        <f t="shared" si="0"/>
        <v>0</v>
      </c>
    </row>
    <row r="33" spans="1:14" ht="13.5" thickBot="1">
      <c r="A33" s="182"/>
      <c r="B33" s="183"/>
      <c r="C33" s="112">
        <f>C32/($C$32+$D$32+$E$32)</f>
        <v>0.99152584616918404</v>
      </c>
      <c r="D33" s="113">
        <f>D32/($C$32+$D$32+$E$32)</f>
        <v>8.4741538308160114E-3</v>
      </c>
      <c r="E33" s="114">
        <f>E32/($C$32+$D$32+$E$32)</f>
        <v>0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59673</v>
      </c>
      <c r="D34" s="116">
        <f>D14+D23+D32</f>
        <v>862</v>
      </c>
      <c r="E34" s="116">
        <f>E14+E23+E32</f>
        <v>0</v>
      </c>
      <c r="F34" s="117">
        <f>F14+F23+F32</f>
        <v>47</v>
      </c>
      <c r="H34" s="187"/>
      <c r="I34" s="187"/>
      <c r="J34" s="132" t="s">
        <v>27</v>
      </c>
      <c r="K34" s="133">
        <f>SUM(K7:K32)</f>
        <v>59673</v>
      </c>
      <c r="L34" s="221">
        <f>SUM(L7:L32)</f>
        <v>0</v>
      </c>
      <c r="M34" s="129">
        <f>SUM(M7:M32)</f>
        <v>59673</v>
      </c>
      <c r="N34" s="164"/>
    </row>
    <row r="35" spans="1:14" ht="13.5" thickBot="1">
      <c r="A35" s="188"/>
      <c r="B35" s="189"/>
      <c r="C35" s="113">
        <f>C34/($C$34+$D$34+$E$34)</f>
        <v>0.98576030395638892</v>
      </c>
      <c r="D35" s="113">
        <f>D34/($C$34+$D$34+$E$34)</f>
        <v>1.4239696043611133E-2</v>
      </c>
      <c r="E35" s="118">
        <f>E34/($C$34+$D$34+$E$34)</f>
        <v>0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194"/>
      <c r="G37" s="164"/>
      <c r="H37" s="195" t="s">
        <v>61</v>
      </c>
      <c r="I37" s="252">
        <f>(14*1440)/1440*G42*2.77*1440/1000000</f>
        <v>71.785595951999994</v>
      </c>
      <c r="J37" s="134">
        <f>I37</f>
        <v>71.785595951999994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47</v>
      </c>
      <c r="D38" s="127">
        <f>C38</f>
        <v>47</v>
      </c>
      <c r="E38" s="152">
        <f t="shared" ref="E38:E51" si="1">D38/60</f>
        <v>0.78333333333333333</v>
      </c>
      <c r="F38" s="194">
        <v>1290</v>
      </c>
      <c r="G38" s="194">
        <f>+F38-F38*0.0035</f>
        <v>1285.4849999999999</v>
      </c>
      <c r="H38" s="196" t="s">
        <v>63</v>
      </c>
      <c r="I38" s="549">
        <f>21.435+21.595+22.797</f>
        <v>65.826999999999998</v>
      </c>
      <c r="J38" s="136">
        <f>I38</f>
        <v>65.826999999999998</v>
      </c>
      <c r="K38" s="137" t="s">
        <v>62</v>
      </c>
      <c r="N38" s="556"/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C39</f>
        <v>0</v>
      </c>
      <c r="E39" s="152">
        <f t="shared" si="1"/>
        <v>0</v>
      </c>
      <c r="F39" s="194">
        <v>1290</v>
      </c>
      <c r="G39" s="194">
        <v>1285.4849999999999</v>
      </c>
      <c r="H39" s="196" t="s">
        <v>64</v>
      </c>
      <c r="I39" s="151"/>
      <c r="J39" s="138">
        <f>J37/G4</f>
        <v>71.785595951999994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 t="shared" ref="D40:D51" si="2">C40</f>
        <v>0</v>
      </c>
      <c r="E40" s="152">
        <f t="shared" si="1"/>
        <v>0</v>
      </c>
      <c r="F40" s="194">
        <v>1290</v>
      </c>
      <c r="G40" s="194">
        <v>1285.4849999999999</v>
      </c>
      <c r="H40" s="196" t="s">
        <v>66</v>
      </c>
      <c r="I40" s="127">
        <f>(K34+L34)/1000</f>
        <v>59.673000000000002</v>
      </c>
      <c r="J40" s="140">
        <f>M34/1000</f>
        <v>59.673000000000002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 t="shared" si="2"/>
        <v>0</v>
      </c>
      <c r="E41" s="152">
        <f t="shared" si="1"/>
        <v>0</v>
      </c>
      <c r="F41" s="194"/>
      <c r="G41" s="194"/>
      <c r="H41" s="196" t="s">
        <v>68</v>
      </c>
      <c r="I41" s="151"/>
      <c r="J41" s="138">
        <f>J40/G4</f>
        <v>59.673000000000002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 t="shared" si="2"/>
        <v>0</v>
      </c>
      <c r="E42" s="152">
        <f t="shared" si="1"/>
        <v>0</v>
      </c>
      <c r="F42" s="194">
        <f>+(F38*480+F39*480+F40*480)/1440</f>
        <v>1290</v>
      </c>
      <c r="G42" s="194">
        <f>+(G38*480+G39*480+G40*480)/1440</f>
        <v>1285.4849999999999</v>
      </c>
      <c r="H42" s="196" t="s">
        <v>69</v>
      </c>
      <c r="I42" s="254" t="s">
        <v>432</v>
      </c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 t="shared" si="2"/>
        <v>0</v>
      </c>
      <c r="E43" s="152">
        <f t="shared" si="1"/>
        <v>0</v>
      </c>
      <c r="F43" s="194"/>
      <c r="H43" s="197" t="s">
        <v>72</v>
      </c>
      <c r="I43" s="127">
        <f>+Report1!T9</f>
        <v>152.922</v>
      </c>
      <c r="J43" s="142">
        <f>I43</f>
        <v>152.922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C44</f>
        <v>0</v>
      </c>
      <c r="E44" s="152">
        <f t="shared" si="1"/>
        <v>0</v>
      </c>
      <c r="F44" s="194"/>
      <c r="H44" s="197" t="s">
        <v>73</v>
      </c>
      <c r="I44" s="127">
        <f>I43/I38</f>
        <v>2.3230893098576573</v>
      </c>
      <c r="J44" s="143">
        <f>J43/J38</f>
        <v>2.3230893098576573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 t="shared" si="2"/>
        <v>0</v>
      </c>
      <c r="E45" s="152">
        <f t="shared" si="1"/>
        <v>0</v>
      </c>
      <c r="F45" s="194"/>
      <c r="G45" s="185"/>
      <c r="H45" s="197" t="s">
        <v>74</v>
      </c>
      <c r="I45" s="127">
        <f>I43/I40</f>
        <v>2.5626665326026843</v>
      </c>
      <c r="J45" s="143">
        <f>J43/J40</f>
        <v>2.5626665326026843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 t="shared" si="2"/>
        <v>0</v>
      </c>
      <c r="E46" s="152">
        <f t="shared" si="1"/>
        <v>0</v>
      </c>
      <c r="F46" s="194"/>
      <c r="H46" s="197" t="s">
        <v>76</v>
      </c>
      <c r="I46" s="149">
        <f>+SUMIF(Listrik!AR8,"&gt;0")</f>
        <v>50813.300000001393</v>
      </c>
      <c r="J46" s="144">
        <f>I46</f>
        <v>50813.300000001393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 t="shared" si="2"/>
        <v>0</v>
      </c>
      <c r="E47" s="152">
        <f t="shared" si="1"/>
        <v>0</v>
      </c>
      <c r="F47" s="194"/>
      <c r="H47" s="197" t="s">
        <v>79</v>
      </c>
      <c r="I47" s="127">
        <f>I46/I38</f>
        <v>771.92185577348801</v>
      </c>
      <c r="J47" s="144">
        <f>J46/J38</f>
        <v>771.92185577348801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 t="shared" si="2"/>
        <v>0</v>
      </c>
      <c r="E48" s="152">
        <f t="shared" si="1"/>
        <v>0</v>
      </c>
      <c r="F48" s="194"/>
      <c r="H48" s="197" t="s">
        <v>80</v>
      </c>
      <c r="I48" s="127">
        <f>I46/I40</f>
        <v>851.52916729511492</v>
      </c>
      <c r="J48" s="144">
        <f>J46/J40</f>
        <v>851.52916729511492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 t="shared" si="2"/>
        <v>0</v>
      </c>
      <c r="E49" s="152">
        <f t="shared" si="1"/>
        <v>0</v>
      </c>
      <c r="F49" s="194"/>
      <c r="H49" s="197" t="s">
        <v>184</v>
      </c>
      <c r="I49" s="127"/>
      <c r="J49" s="144">
        <f>I49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 t="shared" si="2"/>
        <v>0</v>
      </c>
      <c r="E50" s="152">
        <f t="shared" si="1"/>
        <v>0</v>
      </c>
      <c r="F50" s="194"/>
      <c r="H50" s="197" t="s">
        <v>83</v>
      </c>
      <c r="I50" s="149">
        <f>I49/I38</f>
        <v>0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 t="shared" si="2"/>
        <v>0</v>
      </c>
      <c r="E51" s="152">
        <f t="shared" si="1"/>
        <v>0</v>
      </c>
      <c r="F51" s="194"/>
      <c r="H51" s="199" t="s">
        <v>85</v>
      </c>
      <c r="I51" s="150">
        <f>I49/I40</f>
        <v>0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47</v>
      </c>
      <c r="D52" s="153">
        <f>SUM(D38:D51)</f>
        <v>47</v>
      </c>
      <c r="E52" s="154">
        <f>SUM(E38:E51)</f>
        <v>0.78333333333333333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3.2638888888888891E-2</v>
      </c>
      <c r="D53" s="155">
        <f>D52/(24*60*G4)</f>
        <v>3.2638888888888891E-2</v>
      </c>
      <c r="E53" s="156">
        <f>E52/(G4*24)</f>
        <v>3.2638888888888891E-2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D34</f>
        <v>862</v>
      </c>
      <c r="K56" s="210">
        <f>J56/(J40+J56/1000)/1000</f>
        <v>1.4239696043611133E-2</v>
      </c>
    </row>
    <row r="57" spans="1:11">
      <c r="A57" s="185"/>
      <c r="I57" s="208" t="s">
        <v>88</v>
      </c>
      <c r="J57" s="209">
        <f>+E34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2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19" zoomScale="80" zoomScaleNormal="80" workbookViewId="0">
      <selection activeCell="A6" sqref="A6:I35"/>
    </sheetView>
  </sheetViews>
  <sheetFormatPr defaultColWidth="9.140625" defaultRowHeight="12.75"/>
  <cols>
    <col min="1" max="1" width="8" style="158" customWidth="1"/>
    <col min="2" max="2" width="7" style="158" bestFit="1" customWidth="1"/>
    <col min="3" max="3" width="14.85546875" style="158" bestFit="1" customWidth="1"/>
    <col min="4" max="4" width="12.5703125" style="158" bestFit="1" customWidth="1"/>
    <col min="5" max="5" width="13.85546875" style="158" bestFit="1" customWidth="1"/>
    <col min="6" max="6" width="12.140625" style="119" bestFit="1" customWidth="1"/>
    <col min="7" max="7" width="11.42578125" style="158" bestFit="1" customWidth="1"/>
    <col min="8" max="8" width="64.85546875" style="158" customWidth="1"/>
    <col min="9" max="9" width="14.7109375" style="158" bestFit="1" customWidth="1"/>
    <col min="10" max="10" width="14.7109375" style="158" customWidth="1"/>
    <col min="11" max="11" width="12.5703125" style="158" bestFit="1" customWidth="1"/>
    <col min="12" max="12" width="8.28515625" style="158" customWidth="1"/>
    <col min="13" max="13" width="14.42578125" style="158" customWidth="1"/>
    <col min="14" max="16384" width="9.140625" style="158"/>
  </cols>
  <sheetData>
    <row r="1" spans="1:13" ht="15.75">
      <c r="A1" s="157"/>
    </row>
    <row r="2" spans="1:13" ht="15.75">
      <c r="A2" s="157" t="s">
        <v>147</v>
      </c>
    </row>
    <row r="3" spans="1:13" ht="15">
      <c r="A3" s="159"/>
    </row>
    <row r="4" spans="1:13" ht="20.25">
      <c r="A4" s="160" t="s">
        <v>3</v>
      </c>
      <c r="B4" s="161"/>
      <c r="F4" s="162" t="s">
        <v>29</v>
      </c>
      <c r="G4" s="163">
        <v>31</v>
      </c>
      <c r="H4" s="163" t="str">
        <f>+'1'!H4</f>
        <v>.11.25</v>
      </c>
    </row>
    <row r="5" spans="1:13" ht="13.5" thickBot="1">
      <c r="C5" s="164"/>
      <c r="D5" s="164"/>
    </row>
    <row r="6" spans="1:13" ht="26.25" thickBot="1">
      <c r="A6" s="165" t="s">
        <v>46</v>
      </c>
      <c r="B6" s="166" t="s">
        <v>8</v>
      </c>
      <c r="C6" s="166" t="s">
        <v>47</v>
      </c>
      <c r="D6" s="166" t="s">
        <v>48</v>
      </c>
      <c r="E6" s="167" t="s">
        <v>49</v>
      </c>
      <c r="F6" s="111" t="s">
        <v>50</v>
      </c>
      <c r="G6" s="166" t="s">
        <v>51</v>
      </c>
      <c r="H6" s="168" t="s">
        <v>52</v>
      </c>
      <c r="I6" s="169" t="s">
        <v>53</v>
      </c>
      <c r="J6" s="170" t="s">
        <v>8</v>
      </c>
      <c r="K6" s="171" t="s">
        <v>54</v>
      </c>
      <c r="L6" s="219" t="s">
        <v>141</v>
      </c>
      <c r="M6" s="172" t="s">
        <v>55</v>
      </c>
    </row>
    <row r="7" spans="1:13" ht="13.5" customHeight="1" thickBot="1">
      <c r="A7" s="1002"/>
      <c r="B7" s="224"/>
      <c r="C7" s="225"/>
      <c r="D7" s="226"/>
      <c r="E7" s="227"/>
      <c r="F7" s="236"/>
      <c r="G7" s="237"/>
      <c r="H7" s="238"/>
      <c r="I7" s="1005"/>
      <c r="J7" s="223" t="str">
        <f>+'30'!J7</f>
        <v>MG 14 VP HW/OW</v>
      </c>
      <c r="K7" s="246"/>
      <c r="L7" s="250"/>
      <c r="M7" s="126">
        <f>+L7+'30'!M7+K7</f>
        <v>143496</v>
      </c>
    </row>
    <row r="8" spans="1:13" ht="13.5" thickBot="1">
      <c r="A8" s="1003"/>
      <c r="B8" s="224"/>
      <c r="C8" s="225"/>
      <c r="D8" s="226"/>
      <c r="E8" s="228"/>
      <c r="F8" s="239"/>
      <c r="G8" s="240"/>
      <c r="H8" s="238"/>
      <c r="I8" s="1006"/>
      <c r="J8" s="223" t="str">
        <f>+'30'!J8</f>
        <v>MG 16,5 VP HW</v>
      </c>
      <c r="K8" s="247"/>
      <c r="L8" s="247"/>
      <c r="M8" s="126">
        <f>+L8+'30'!M8+K8</f>
        <v>93365</v>
      </c>
    </row>
    <row r="9" spans="1:13" ht="13.5" thickBot="1">
      <c r="A9" s="1003"/>
      <c r="B9" s="224"/>
      <c r="C9" s="225"/>
      <c r="D9" s="226"/>
      <c r="E9" s="229"/>
      <c r="F9" s="236"/>
      <c r="G9" s="240"/>
      <c r="H9" s="241"/>
      <c r="I9" s="1006"/>
      <c r="J9" s="223" t="str">
        <f>+'30'!J9</f>
        <v>MG 30 VP HW</v>
      </c>
      <c r="K9" s="247"/>
      <c r="L9" s="247"/>
      <c r="M9" s="126">
        <f>+L9+'30'!M9+K9</f>
        <v>4193</v>
      </c>
    </row>
    <row r="10" spans="1:13" ht="13.5" thickBot="1">
      <c r="A10" s="1003"/>
      <c r="B10" s="224"/>
      <c r="C10" s="225"/>
      <c r="D10" s="226"/>
      <c r="E10" s="228"/>
      <c r="F10" s="236"/>
      <c r="G10" s="240"/>
      <c r="H10" s="241"/>
      <c r="I10" s="1006"/>
      <c r="J10" s="223" t="str">
        <f>+'30'!J10</f>
        <v>MG 17 VP HW</v>
      </c>
      <c r="K10" s="247"/>
      <c r="L10" s="247"/>
      <c r="M10" s="126">
        <f>+L10+'30'!M10+K10</f>
        <v>18114</v>
      </c>
    </row>
    <row r="11" spans="1:13" ht="13.5" thickBot="1">
      <c r="A11" s="1003"/>
      <c r="B11" s="224"/>
      <c r="C11" s="225"/>
      <c r="D11" s="226"/>
      <c r="E11" s="228"/>
      <c r="F11" s="236"/>
      <c r="G11" s="240"/>
      <c r="H11" s="241"/>
      <c r="I11" s="1006"/>
      <c r="J11" s="223" t="str">
        <f>+'30'!J11</f>
        <v>MG 18 VP HW</v>
      </c>
      <c r="K11" s="247"/>
      <c r="L11" s="247"/>
      <c r="M11" s="126">
        <f>+L11+'30'!M11+K11</f>
        <v>25394</v>
      </c>
    </row>
    <row r="12" spans="1:13" ht="13.5" thickBot="1">
      <c r="A12" s="1003"/>
      <c r="B12" s="224"/>
      <c r="C12" s="225"/>
      <c r="D12" s="226"/>
      <c r="E12" s="228"/>
      <c r="F12" s="236"/>
      <c r="G12" s="240"/>
      <c r="H12" s="241"/>
      <c r="I12" s="1006"/>
      <c r="J12" s="223" t="str">
        <f>+'30'!J12</f>
        <v>MG 21,5 VP HW</v>
      </c>
      <c r="K12" s="247"/>
      <c r="L12" s="247"/>
      <c r="M12" s="126">
        <f>+L12+'30'!M12+K12</f>
        <v>987</v>
      </c>
    </row>
    <row r="13" spans="1:13" ht="13.5" thickBot="1">
      <c r="A13" s="1003"/>
      <c r="B13" s="224"/>
      <c r="C13" s="225"/>
      <c r="D13" s="225"/>
      <c r="E13" s="228"/>
      <c r="F13" s="236"/>
      <c r="G13" s="240"/>
      <c r="H13" s="241"/>
      <c r="I13" s="1007"/>
      <c r="J13" s="223" t="str">
        <f>+'30'!J13</f>
        <v>F 10,3 VP OW</v>
      </c>
      <c r="K13" s="247"/>
      <c r="L13" s="247"/>
      <c r="M13" s="126">
        <f>+L13+'30'!M13+K13</f>
        <v>279659</v>
      </c>
    </row>
    <row r="14" spans="1:13" ht="13.5" thickBot="1">
      <c r="A14" s="1004"/>
      <c r="B14" s="174" t="s">
        <v>2</v>
      </c>
      <c r="C14" s="108">
        <f>SUM(C7:C13)</f>
        <v>0</v>
      </c>
      <c r="D14" s="120">
        <f>SUM(D7:D13)</f>
        <v>0</v>
      </c>
      <c r="E14" s="121">
        <f>SUM(E5:E13)</f>
        <v>0</v>
      </c>
      <c r="F14" s="125">
        <f>SUM(F7:F13)</f>
        <v>0</v>
      </c>
      <c r="G14" s="168"/>
      <c r="H14" s="175"/>
      <c r="I14" s="176"/>
      <c r="J14" s="223" t="str">
        <f>+'30'!J14</f>
        <v>F 12 VP OW</v>
      </c>
      <c r="K14" s="247"/>
      <c r="L14" s="247"/>
      <c r="M14" s="126">
        <f>+L14+'30'!M14+K14</f>
        <v>273558</v>
      </c>
    </row>
    <row r="15" spans="1:13" ht="13.5" customHeight="1" thickBot="1">
      <c r="A15" s="1002"/>
      <c r="B15" s="174"/>
      <c r="C15" s="122"/>
      <c r="D15" s="123"/>
      <c r="E15" s="124"/>
      <c r="F15" s="236"/>
      <c r="G15" s="237"/>
      <c r="H15" s="238"/>
      <c r="I15" s="1005"/>
      <c r="J15" s="223" t="str">
        <f>+'30'!J15</f>
        <v>F 13 VP OW</v>
      </c>
      <c r="K15" s="247"/>
      <c r="L15" s="247"/>
      <c r="M15" s="126">
        <f>+L15+'30'!M15+K15</f>
        <v>507856</v>
      </c>
    </row>
    <row r="16" spans="1:13" ht="13.5" thickBot="1">
      <c r="A16" s="1008"/>
      <c r="B16" s="224"/>
      <c r="C16" s="230"/>
      <c r="D16" s="231"/>
      <c r="E16" s="232"/>
      <c r="F16" s="236"/>
      <c r="G16" s="240"/>
      <c r="H16" s="238"/>
      <c r="I16" s="1006"/>
      <c r="J16" s="223" t="str">
        <f>+'30'!J16</f>
        <v>F 12,5 VP OW</v>
      </c>
      <c r="K16" s="237"/>
      <c r="L16" s="237"/>
      <c r="M16" s="126">
        <f>+L16+'30'!M16+K16</f>
        <v>91232</v>
      </c>
    </row>
    <row r="17" spans="1:14" ht="13.5" thickBot="1">
      <c r="A17" s="1008"/>
      <c r="B17" s="224"/>
      <c r="C17" s="225"/>
      <c r="D17" s="226"/>
      <c r="E17" s="233"/>
      <c r="F17" s="236"/>
      <c r="G17" s="240"/>
      <c r="H17" s="241"/>
      <c r="I17" s="1006"/>
      <c r="J17" s="223" t="str">
        <f>+'30'!J17</f>
        <v>SN 13 VP OW</v>
      </c>
      <c r="K17" s="237"/>
      <c r="L17" s="237"/>
      <c r="M17" s="126">
        <f>+L17+'30'!M17+K17</f>
        <v>112808</v>
      </c>
    </row>
    <row r="18" spans="1:14" ht="13.5" thickBot="1">
      <c r="A18" s="1008"/>
      <c r="B18" s="224"/>
      <c r="C18" s="225"/>
      <c r="D18" s="226"/>
      <c r="E18" s="233"/>
      <c r="F18" s="236"/>
      <c r="G18" s="240"/>
      <c r="H18" s="241"/>
      <c r="I18" s="1006"/>
      <c r="J18" s="223" t="str">
        <f>+'30'!J18</f>
        <v>SN 14 VP OW</v>
      </c>
      <c r="K18" s="247"/>
      <c r="L18" s="247"/>
      <c r="M18" s="126">
        <f>+L18+'30'!M18+K18</f>
        <v>16454</v>
      </c>
    </row>
    <row r="19" spans="1:14" ht="13.5" thickBot="1">
      <c r="A19" s="1008"/>
      <c r="B19" s="224"/>
      <c r="C19" s="225"/>
      <c r="D19" s="226"/>
      <c r="E19" s="233"/>
      <c r="F19" s="243"/>
      <c r="G19" s="240"/>
      <c r="H19" s="241"/>
      <c r="I19" s="1006"/>
      <c r="J19" s="223" t="str">
        <f>+'30'!J19</f>
        <v>SN 15 VP OW</v>
      </c>
      <c r="K19" s="247"/>
      <c r="L19" s="247"/>
      <c r="M19" s="126">
        <f>+L19+'30'!M19+K19</f>
        <v>27940</v>
      </c>
    </row>
    <row r="20" spans="1:14" ht="13.5" thickBot="1">
      <c r="A20" s="1008"/>
      <c r="B20" s="224"/>
      <c r="C20" s="225"/>
      <c r="D20" s="226"/>
      <c r="E20" s="233"/>
      <c r="F20" s="236"/>
      <c r="G20" s="240"/>
      <c r="H20" s="241"/>
      <c r="I20" s="1006"/>
      <c r="J20" s="223">
        <f>+'30'!J20</f>
        <v>0</v>
      </c>
      <c r="K20" s="248"/>
      <c r="L20" s="248"/>
      <c r="M20" s="126">
        <f>+L20+'30'!M20+K20</f>
        <v>0</v>
      </c>
    </row>
    <row r="21" spans="1:14" ht="13.5" thickBot="1">
      <c r="A21" s="1008"/>
      <c r="B21" s="224"/>
      <c r="C21" s="225"/>
      <c r="D21" s="226"/>
      <c r="E21" s="233"/>
      <c r="F21" s="239"/>
      <c r="G21" s="240"/>
      <c r="H21" s="498"/>
      <c r="I21" s="1006"/>
      <c r="J21" s="223">
        <f>+'30'!J21</f>
        <v>0</v>
      </c>
      <c r="K21" s="247"/>
      <c r="L21" s="247"/>
      <c r="M21" s="126">
        <f>+L21+'30'!M21+K21</f>
        <v>0</v>
      </c>
    </row>
    <row r="22" spans="1:14" ht="13.5" thickBot="1">
      <c r="A22" s="1008"/>
      <c r="B22" s="224"/>
      <c r="C22" s="225"/>
      <c r="D22" s="226"/>
      <c r="E22" s="233"/>
      <c r="F22" s="244"/>
      <c r="G22" s="240"/>
      <c r="H22" s="241"/>
      <c r="I22" s="1007"/>
      <c r="J22" s="223">
        <f>+'30'!J22</f>
        <v>0</v>
      </c>
      <c r="K22" s="247"/>
      <c r="L22" s="247"/>
      <c r="M22" s="126">
        <f>+L22+'30'!M22+K22</f>
        <v>0</v>
      </c>
    </row>
    <row r="23" spans="1:14" ht="13.5" thickBot="1">
      <c r="A23" s="1009"/>
      <c r="B23" s="177" t="s">
        <v>2</v>
      </c>
      <c r="C23" s="109">
        <f>SUM(C16:C22)</f>
        <v>0</v>
      </c>
      <c r="D23" s="120">
        <f>SUM(D16:D22)</f>
        <v>0</v>
      </c>
      <c r="E23" s="121">
        <f>SUM(E18:E22)</f>
        <v>0</v>
      </c>
      <c r="F23" s="125">
        <f>SUM(F15:F22)</f>
        <v>0</v>
      </c>
      <c r="G23" s="168"/>
      <c r="H23" s="175" t="s">
        <v>234</v>
      </c>
      <c r="I23" s="178"/>
      <c r="J23" s="223">
        <f>+'30'!J23</f>
        <v>0</v>
      </c>
      <c r="K23" s="247"/>
      <c r="L23" s="247"/>
      <c r="M23" s="126">
        <f>+L23+'30'!M23+K23</f>
        <v>0</v>
      </c>
    </row>
    <row r="24" spans="1:14" ht="13.5" customHeight="1" thickBot="1">
      <c r="A24" s="1002"/>
      <c r="B24" s="179"/>
      <c r="C24" s="122"/>
      <c r="D24" s="123"/>
      <c r="E24" s="124"/>
      <c r="F24" s="244"/>
      <c r="G24" s="237"/>
      <c r="H24" s="238"/>
      <c r="I24" s="1005"/>
      <c r="J24" s="223">
        <f>+'30'!J24</f>
        <v>0</v>
      </c>
      <c r="K24" s="247"/>
      <c r="L24" s="247"/>
      <c r="M24" s="126">
        <f>+L24+'30'!M24+K24</f>
        <v>0</v>
      </c>
    </row>
    <row r="25" spans="1:14" ht="13.5" thickBot="1">
      <c r="A25" s="1008"/>
      <c r="B25" s="224"/>
      <c r="C25" s="234"/>
      <c r="D25" s="226"/>
      <c r="E25" s="233"/>
      <c r="F25" s="239"/>
      <c r="G25" s="240"/>
      <c r="H25" s="238"/>
      <c r="I25" s="1006"/>
      <c r="J25" s="223">
        <f>+'30'!J25</f>
        <v>0</v>
      </c>
      <c r="K25" s="247"/>
      <c r="L25" s="247"/>
      <c r="M25" s="126">
        <f>+L25+'30'!M25+K25</f>
        <v>0</v>
      </c>
    </row>
    <row r="26" spans="1:14" ht="13.5" thickBot="1">
      <c r="A26" s="1008"/>
      <c r="B26" s="224"/>
      <c r="C26" s="234"/>
      <c r="D26" s="226"/>
      <c r="E26" s="235"/>
      <c r="F26" s="239"/>
      <c r="G26" s="240"/>
      <c r="H26" s="241"/>
      <c r="I26" s="1006"/>
      <c r="J26" s="223">
        <f>+'30'!J26</f>
        <v>0</v>
      </c>
      <c r="K26" s="247"/>
      <c r="L26" s="247"/>
      <c r="M26" s="126">
        <f>+L26+'30'!M26+K26</f>
        <v>0</v>
      </c>
    </row>
    <row r="27" spans="1:14" ht="13.5" thickBot="1">
      <c r="A27" s="1008"/>
      <c r="B27" s="224"/>
      <c r="C27" s="225"/>
      <c r="D27" s="226"/>
      <c r="E27" s="233"/>
      <c r="F27" s="239"/>
      <c r="G27" s="240"/>
      <c r="H27" s="241"/>
      <c r="I27" s="1006"/>
      <c r="J27" s="223">
        <f>+'30'!J27</f>
        <v>0</v>
      </c>
      <c r="K27" s="247"/>
      <c r="L27" s="247"/>
      <c r="M27" s="126">
        <f>+L27+'30'!M27+K27</f>
        <v>0</v>
      </c>
    </row>
    <row r="28" spans="1:14" ht="13.5" thickBot="1">
      <c r="A28" s="1008"/>
      <c r="B28" s="224"/>
      <c r="C28" s="225"/>
      <c r="D28" s="226"/>
      <c r="E28" s="233"/>
      <c r="F28" s="239"/>
      <c r="G28" s="240"/>
      <c r="H28" s="241"/>
      <c r="I28" s="1006"/>
      <c r="J28" s="223">
        <f>+'30'!J28</f>
        <v>0</v>
      </c>
      <c r="K28" s="247"/>
      <c r="L28" s="247"/>
      <c r="M28" s="126">
        <f>+L28+'30'!M28+K28</f>
        <v>0</v>
      </c>
    </row>
    <row r="29" spans="1:14" ht="13.5" thickBot="1">
      <c r="A29" s="1008"/>
      <c r="B29" s="224"/>
      <c r="C29" s="225"/>
      <c r="D29" s="226"/>
      <c r="E29" s="233"/>
      <c r="F29" s="244"/>
      <c r="G29" s="240"/>
      <c r="H29" s="241"/>
      <c r="I29" s="1006"/>
      <c r="J29" s="223">
        <f>+'30'!J29</f>
        <v>0</v>
      </c>
      <c r="K29" s="247"/>
      <c r="L29" s="247"/>
      <c r="M29" s="126">
        <f>+L29+'30'!M29+K29</f>
        <v>0</v>
      </c>
    </row>
    <row r="30" spans="1:14" ht="13.5" thickBot="1">
      <c r="A30" s="1008"/>
      <c r="B30" s="224"/>
      <c r="C30" s="234"/>
      <c r="D30" s="226"/>
      <c r="E30" s="233"/>
      <c r="F30" s="244"/>
      <c r="G30" s="240"/>
      <c r="H30" s="241"/>
      <c r="I30" s="1006"/>
      <c r="J30" s="223">
        <f>+'30'!J30</f>
        <v>0</v>
      </c>
      <c r="K30" s="247"/>
      <c r="L30" s="247"/>
      <c r="M30" s="126">
        <f>+L30+'30'!M30+K30</f>
        <v>0</v>
      </c>
      <c r="N30" s="164"/>
    </row>
    <row r="31" spans="1:14" ht="13.5" thickBot="1">
      <c r="A31" s="1008"/>
      <c r="B31" s="224"/>
      <c r="C31" s="234"/>
      <c r="D31" s="226"/>
      <c r="E31" s="233"/>
      <c r="F31" s="244"/>
      <c r="G31" s="245"/>
      <c r="H31" s="242"/>
      <c r="I31" s="1007"/>
      <c r="J31" s="223">
        <f>+'30'!J31</f>
        <v>0</v>
      </c>
      <c r="K31" s="247"/>
      <c r="L31" s="247"/>
      <c r="M31" s="126">
        <f>+L31+'30'!M31+K31</f>
        <v>0</v>
      </c>
    </row>
    <row r="32" spans="1:14" ht="13.5" thickBot="1">
      <c r="A32" s="1009"/>
      <c r="B32" s="174" t="s">
        <v>2</v>
      </c>
      <c r="C32" s="108">
        <f>SUM(C25:C31)</f>
        <v>0</v>
      </c>
      <c r="D32" s="109">
        <f>SUM(D25:D31)</f>
        <v>0</v>
      </c>
      <c r="E32" s="110">
        <f>SUM(E25:E31)</f>
        <v>0</v>
      </c>
      <c r="F32" s="111">
        <f>SUM(F24:F31)</f>
        <v>0</v>
      </c>
      <c r="G32" s="180"/>
      <c r="H32" s="181"/>
      <c r="I32" s="178"/>
      <c r="J32" s="223">
        <f>+'30'!J32</f>
        <v>0</v>
      </c>
      <c r="K32" s="249"/>
      <c r="L32" s="251"/>
      <c r="M32" s="126">
        <f>+L32+'30'!M32+K32</f>
        <v>0</v>
      </c>
    </row>
    <row r="33" spans="1:14" ht="13.5" thickBot="1">
      <c r="A33" s="182"/>
      <c r="B33" s="183"/>
      <c r="C33" s="112" t="e">
        <f>C32/($C$32+$D$32+$E$32)</f>
        <v>#DIV/0!</v>
      </c>
      <c r="D33" s="113" t="e">
        <f>D32/($C$32+$D$32+$E$32)</f>
        <v>#DIV/0!</v>
      </c>
      <c r="E33" s="114" t="e">
        <f>E32/($C$32+$D$32+$E$32)</f>
        <v>#DIV/0!</v>
      </c>
      <c r="F33" s="115"/>
      <c r="G33" s="184"/>
      <c r="H33" s="185"/>
      <c r="I33" s="186"/>
      <c r="J33" s="130"/>
      <c r="K33" s="131"/>
      <c r="L33" s="222"/>
      <c r="M33" s="128"/>
    </row>
    <row r="34" spans="1:14" ht="13.5" thickBot="1">
      <c r="A34" s="1010" t="s">
        <v>56</v>
      </c>
      <c r="B34" s="1011"/>
      <c r="C34" s="116">
        <f>C14+C23+C32</f>
        <v>0</v>
      </c>
      <c r="D34" s="116">
        <f>D14+D23+D32</f>
        <v>0</v>
      </c>
      <c r="E34" s="116">
        <f>E14+E23+E32</f>
        <v>0</v>
      </c>
      <c r="F34" s="117">
        <f>F14+F23+F32</f>
        <v>0</v>
      </c>
      <c r="H34" s="187"/>
      <c r="I34" s="187"/>
      <c r="J34" s="132" t="s">
        <v>27</v>
      </c>
      <c r="K34" s="133">
        <f>SUM(K7:K32)</f>
        <v>0</v>
      </c>
      <c r="L34" s="221">
        <f>SUM(L7:L32)</f>
        <v>0</v>
      </c>
      <c r="M34" s="129">
        <f>SUM(M7:M32)</f>
        <v>1595056</v>
      </c>
      <c r="N34" s="164"/>
    </row>
    <row r="35" spans="1:14" ht="13.5" thickBot="1">
      <c r="A35" s="188"/>
      <c r="B35" s="189"/>
      <c r="C35" s="113" t="e">
        <f>C34/($C$34+$D$34+$E$34)</f>
        <v>#DIV/0!</v>
      </c>
      <c r="D35" s="113" t="e">
        <f>D34/($C$34+$D$34+$E$34)</f>
        <v>#DIV/0!</v>
      </c>
      <c r="E35" s="118" t="e">
        <f>E34/($C$34+$D$34+$E$34)</f>
        <v>#DIV/0!</v>
      </c>
      <c r="K35" s="164"/>
    </row>
    <row r="36" spans="1:14" ht="13.5" thickBot="1">
      <c r="A36" s="187"/>
      <c r="B36" s="187"/>
      <c r="C36" s="164"/>
      <c r="D36" s="164"/>
      <c r="E36" s="164"/>
      <c r="G36" s="164"/>
      <c r="H36" s="190"/>
      <c r="I36" s="171" t="s">
        <v>36</v>
      </c>
      <c r="J36" s="171" t="s">
        <v>37</v>
      </c>
      <c r="K36" s="191"/>
    </row>
    <row r="37" spans="1:14" ht="17.45" customHeight="1" thickBot="1">
      <c r="A37" s="1012" t="s">
        <v>57</v>
      </c>
      <c r="B37" s="1013"/>
      <c r="C37" s="171" t="s">
        <v>58</v>
      </c>
      <c r="D37" s="192" t="s">
        <v>59</v>
      </c>
      <c r="E37" s="193" t="s">
        <v>60</v>
      </c>
      <c r="F37" s="337"/>
      <c r="G37" s="339"/>
      <c r="H37" s="195" t="s">
        <v>61</v>
      </c>
      <c r="I37" s="252">
        <f>(17*1440)/1440*G42*2.77*1440/1000000</f>
        <v>0</v>
      </c>
      <c r="J37" s="134">
        <f>+I37+'30'!J37</f>
        <v>1786.7706791537071</v>
      </c>
      <c r="K37" s="135" t="s">
        <v>62</v>
      </c>
    </row>
    <row r="38" spans="1:14" ht="17.45" customHeight="1">
      <c r="A38" s="1000" t="s">
        <v>11</v>
      </c>
      <c r="B38" s="1001"/>
      <c r="C38" s="173">
        <f>SUMIF($G$7:$G$31,"Process",$F$7:$F$31)</f>
        <v>0</v>
      </c>
      <c r="D38" s="127">
        <f>+C38+'30'!D38</f>
        <v>2122</v>
      </c>
      <c r="E38" s="152">
        <f t="shared" ref="E38:E51" si="0">D38/60</f>
        <v>35.366666666666667</v>
      </c>
      <c r="F38" s="337"/>
      <c r="G38" s="337"/>
      <c r="H38" s="196" t="s">
        <v>63</v>
      </c>
      <c r="I38" s="253"/>
      <c r="J38" s="136">
        <f>+I38+'30'!J38</f>
        <v>1652.454</v>
      </c>
      <c r="K38" s="137" t="s">
        <v>62</v>
      </c>
    </row>
    <row r="39" spans="1:14" ht="17.45" customHeight="1">
      <c r="A39" s="996" t="s">
        <v>12</v>
      </c>
      <c r="B39" s="997"/>
      <c r="C39" s="173">
        <f>SUMIF($G$7:$G$31,"Cleaning",$F$7:$F$31)</f>
        <v>0</v>
      </c>
      <c r="D39" s="127">
        <f>+C39+'30'!D39</f>
        <v>0</v>
      </c>
      <c r="E39" s="152">
        <f t="shared" si="0"/>
        <v>0</v>
      </c>
      <c r="F39" s="337"/>
      <c r="G39" s="337"/>
      <c r="H39" s="196" t="s">
        <v>64</v>
      </c>
      <c r="I39" s="151"/>
      <c r="J39" s="138">
        <f>J37/G4</f>
        <v>57.637763843667969</v>
      </c>
      <c r="K39" s="139" t="s">
        <v>62</v>
      </c>
    </row>
    <row r="40" spans="1:14" ht="17.45" customHeight="1">
      <c r="A40" s="996" t="s">
        <v>65</v>
      </c>
      <c r="B40" s="997"/>
      <c r="C40" s="173">
        <f>SUMIF($G$7:$G$31,"Mechanical",$F$7:$F$31)</f>
        <v>0</v>
      </c>
      <c r="D40" s="127">
        <f>+C40+'30'!D40</f>
        <v>707</v>
      </c>
      <c r="E40" s="152">
        <f t="shared" si="0"/>
        <v>11.783333333333333</v>
      </c>
      <c r="F40" s="337"/>
      <c r="G40" s="337"/>
      <c r="H40" s="196" t="s">
        <v>66</v>
      </c>
      <c r="I40" s="127">
        <f>(K34+L34)/1000</f>
        <v>0</v>
      </c>
      <c r="J40" s="140">
        <f>+I40+'30'!J40</f>
        <v>1595.0559999999998</v>
      </c>
      <c r="K40" s="139" t="s">
        <v>62</v>
      </c>
    </row>
    <row r="41" spans="1:14" ht="17.45" customHeight="1">
      <c r="A41" s="996" t="s">
        <v>67</v>
      </c>
      <c r="B41" s="997"/>
      <c r="C41" s="173">
        <f>SUMIF($G$7:$G$31,"Electrical",$F$7:$F$31)</f>
        <v>0</v>
      </c>
      <c r="D41" s="127">
        <f>+C41+'30'!D41</f>
        <v>166</v>
      </c>
      <c r="E41" s="152">
        <f t="shared" si="0"/>
        <v>2.7666666666666666</v>
      </c>
      <c r="F41" s="337"/>
      <c r="G41" s="337"/>
      <c r="H41" s="196" t="s">
        <v>68</v>
      </c>
      <c r="I41" s="151"/>
      <c r="J41" s="138">
        <f>J40/G4</f>
        <v>51.453419354838701</v>
      </c>
      <c r="K41" s="139" t="s">
        <v>62</v>
      </c>
    </row>
    <row r="42" spans="1:14" ht="17.45" customHeight="1">
      <c r="A42" s="996" t="s">
        <v>15</v>
      </c>
      <c r="B42" s="997"/>
      <c r="C42" s="173">
        <f>SUMIF($G$7:$G$31,"Instrument",$F$7:$F$31)</f>
        <v>0</v>
      </c>
      <c r="D42" s="127">
        <f>+C42+'30'!D42</f>
        <v>0</v>
      </c>
      <c r="E42" s="152">
        <f t="shared" si="0"/>
        <v>0</v>
      </c>
      <c r="F42" s="337"/>
      <c r="G42" s="337">
        <f>+(G38*480+G39*480+G40*480)/1440</f>
        <v>0</v>
      </c>
      <c r="H42" s="196" t="s">
        <v>69</v>
      </c>
      <c r="I42" s="254"/>
      <c r="J42" s="141"/>
      <c r="K42" s="139" t="s">
        <v>70</v>
      </c>
    </row>
    <row r="43" spans="1:14" ht="17.45" customHeight="1">
      <c r="A43" s="996" t="s">
        <v>71</v>
      </c>
      <c r="B43" s="997"/>
      <c r="C43" s="173">
        <f>SUMIF($G$7:$G$31,"Water",$F$7:$F$31)</f>
        <v>0</v>
      </c>
      <c r="D43" s="127">
        <f>+C43+'30'!D43</f>
        <v>0</v>
      </c>
      <c r="E43" s="152">
        <f t="shared" si="0"/>
        <v>0</v>
      </c>
      <c r="F43" s="337"/>
      <c r="G43" s="338"/>
      <c r="H43" s="197" t="s">
        <v>72</v>
      </c>
      <c r="I43" s="127">
        <f>+Report1!T39</f>
        <v>0</v>
      </c>
      <c r="J43" s="142">
        <f>+I43+'30'!J43</f>
        <v>3798.9330000000004</v>
      </c>
      <c r="K43" s="139" t="s">
        <v>62</v>
      </c>
      <c r="L43" s="198"/>
    </row>
    <row r="44" spans="1:14" ht="17.45" customHeight="1">
      <c r="A44" s="996" t="s">
        <v>16</v>
      </c>
      <c r="B44" s="997"/>
      <c r="C44" s="173">
        <f>SUMIF($G$7:$G$31,"PLN",$F$7:$F$31)</f>
        <v>0</v>
      </c>
      <c r="D44" s="127">
        <f>+C44+'30'!D44</f>
        <v>75</v>
      </c>
      <c r="E44" s="152">
        <f t="shared" si="0"/>
        <v>1.25</v>
      </c>
      <c r="F44" s="337"/>
      <c r="G44" s="338"/>
      <c r="H44" s="197" t="s">
        <v>73</v>
      </c>
      <c r="I44" s="127" t="e">
        <f>I43/I38</f>
        <v>#DIV/0!</v>
      </c>
      <c r="J44" s="143">
        <f>J43/J38</f>
        <v>2.2989644492373165</v>
      </c>
      <c r="K44" s="139" t="s">
        <v>62</v>
      </c>
    </row>
    <row r="45" spans="1:14" ht="17.45" customHeight="1">
      <c r="A45" s="996" t="s">
        <v>17</v>
      </c>
      <c r="B45" s="997"/>
      <c r="C45" s="173">
        <f>SUMIF($G$7:$G$31,"Boiler",$F$7:$F$31)</f>
        <v>0</v>
      </c>
      <c r="D45" s="127">
        <f>+C45+'30'!D45</f>
        <v>0</v>
      </c>
      <c r="E45" s="152">
        <f t="shared" si="0"/>
        <v>0</v>
      </c>
      <c r="F45" s="337"/>
      <c r="G45" s="340"/>
      <c r="H45" s="197" t="s">
        <v>74</v>
      </c>
      <c r="I45" s="127" t="e">
        <f>I43/I40</f>
        <v>#DIV/0!</v>
      </c>
      <c r="J45" s="143">
        <f>J43/J40</f>
        <v>2.381692554994935</v>
      </c>
      <c r="K45" s="139" t="s">
        <v>62</v>
      </c>
    </row>
    <row r="46" spans="1:14" ht="17.45" customHeight="1">
      <c r="A46" s="996" t="s">
        <v>75</v>
      </c>
      <c r="B46" s="997"/>
      <c r="C46" s="173">
        <f>SUMIF($G$7:$G$31,"Gas",$F$7:$F$31)</f>
        <v>0</v>
      </c>
      <c r="D46" s="127">
        <f>+C46+'30'!D46</f>
        <v>0</v>
      </c>
      <c r="E46" s="152">
        <f t="shared" si="0"/>
        <v>0</v>
      </c>
      <c r="F46" s="337"/>
      <c r="G46" s="338"/>
      <c r="H46" s="197" t="s">
        <v>76</v>
      </c>
      <c r="I46" s="149">
        <f>+SUMIF(Listrik!AR38,"&gt;0")</f>
        <v>0</v>
      </c>
      <c r="J46" s="144">
        <f>+I46+'30'!J46</f>
        <v>1573548.1400000015</v>
      </c>
      <c r="K46" s="139" t="s">
        <v>77</v>
      </c>
    </row>
    <row r="47" spans="1:14" ht="17.45" customHeight="1">
      <c r="A47" s="996" t="s">
        <v>78</v>
      </c>
      <c r="B47" s="997"/>
      <c r="C47" s="173">
        <f>SUMIF($G$7:$G$31,"Gas",$F$7:$F$31)</f>
        <v>0</v>
      </c>
      <c r="D47" s="127">
        <f>+C47+'30'!D47</f>
        <v>0</v>
      </c>
      <c r="E47" s="152">
        <f t="shared" si="0"/>
        <v>0</v>
      </c>
      <c r="F47" s="337"/>
      <c r="G47" s="338"/>
      <c r="H47" s="197" t="s">
        <v>79</v>
      </c>
      <c r="I47" s="127" t="e">
        <f>I46/I38</f>
        <v>#DIV/0!</v>
      </c>
      <c r="J47" s="144">
        <f>J46/J38</f>
        <v>952.24928500279077</v>
      </c>
      <c r="K47" s="139" t="s">
        <v>23</v>
      </c>
    </row>
    <row r="48" spans="1:14" ht="17.45" customHeight="1">
      <c r="A48" s="996" t="s">
        <v>13</v>
      </c>
      <c r="B48" s="997"/>
      <c r="C48" s="173">
        <f>SUMIF($G$7:$G$31,"Start Up",$F$7:$F$31)</f>
        <v>0</v>
      </c>
      <c r="D48" s="127">
        <f>+C48+'30'!D48</f>
        <v>0</v>
      </c>
      <c r="E48" s="152">
        <f t="shared" si="0"/>
        <v>0</v>
      </c>
      <c r="F48" s="337"/>
      <c r="G48" s="338"/>
      <c r="H48" s="197" t="s">
        <v>80</v>
      </c>
      <c r="I48" s="127" t="e">
        <f>I46/I40</f>
        <v>#DIV/0!</v>
      </c>
      <c r="J48" s="144">
        <f>J46/J40</f>
        <v>986.51592169804803</v>
      </c>
      <c r="K48" s="139" t="s">
        <v>23</v>
      </c>
    </row>
    <row r="49" spans="1:11" ht="17.45" customHeight="1">
      <c r="A49" s="996" t="s">
        <v>19</v>
      </c>
      <c r="B49" s="997"/>
      <c r="C49" s="173">
        <f>SUMIF($G$7:$G$31,"Others",$F$7:$F$31)</f>
        <v>0</v>
      </c>
      <c r="D49" s="127">
        <f>+C49+'30'!D49</f>
        <v>0</v>
      </c>
      <c r="E49" s="152">
        <f t="shared" si="0"/>
        <v>0</v>
      </c>
      <c r="F49" s="194"/>
      <c r="H49" s="197" t="s">
        <v>81</v>
      </c>
      <c r="I49" s="127">
        <v>0</v>
      </c>
      <c r="J49" s="144">
        <f>+I49+'30'!J49</f>
        <v>0</v>
      </c>
      <c r="K49" s="139" t="s">
        <v>82</v>
      </c>
    </row>
    <row r="50" spans="1:11" ht="17.45" customHeight="1">
      <c r="A50" s="996" t="s">
        <v>18</v>
      </c>
      <c r="B50" s="997"/>
      <c r="C50" s="173">
        <f>SUMIF($G$7:$G$31,"Steam",$F$7:$F$31)</f>
        <v>0</v>
      </c>
      <c r="D50" s="127">
        <f>+C50+'30'!D50</f>
        <v>0</v>
      </c>
      <c r="E50" s="152">
        <f t="shared" si="0"/>
        <v>0</v>
      </c>
      <c r="F50" s="194"/>
      <c r="H50" s="197" t="s">
        <v>83</v>
      </c>
      <c r="I50" s="149" t="e">
        <f>I49/I38</f>
        <v>#DIV/0!</v>
      </c>
      <c r="J50" s="142">
        <f>J49/J38</f>
        <v>0</v>
      </c>
      <c r="K50" s="139" t="s">
        <v>82</v>
      </c>
    </row>
    <row r="51" spans="1:11" ht="17.45" customHeight="1" thickBot="1">
      <c r="A51" s="998" t="s">
        <v>84</v>
      </c>
      <c r="B51" s="999"/>
      <c r="C51" s="173">
        <f>SUMIF($G$7:$G$31,"Planned shut",$F$7:$F$31)</f>
        <v>0</v>
      </c>
      <c r="D51" s="127">
        <f>+C51+'30'!D51</f>
        <v>199</v>
      </c>
      <c r="E51" s="152">
        <f t="shared" si="0"/>
        <v>3.3166666666666669</v>
      </c>
      <c r="F51" s="194"/>
      <c r="H51" s="199" t="s">
        <v>85</v>
      </c>
      <c r="I51" s="150" t="e">
        <f>I49/I40</f>
        <v>#DIV/0!</v>
      </c>
      <c r="J51" s="145">
        <f>J49/J40</f>
        <v>0</v>
      </c>
      <c r="K51" s="146" t="s">
        <v>82</v>
      </c>
    </row>
    <row r="52" spans="1:11" ht="13.5" thickBot="1">
      <c r="A52" s="1000" t="s">
        <v>27</v>
      </c>
      <c r="B52" s="1001"/>
      <c r="C52" s="153">
        <f>SUM(C38:C51)</f>
        <v>0</v>
      </c>
      <c r="D52" s="153">
        <f>SUM(D38:D51)</f>
        <v>3269</v>
      </c>
      <c r="E52" s="154">
        <f>SUM(E38:E51)</f>
        <v>54.483333333333334</v>
      </c>
      <c r="F52" s="194"/>
      <c r="H52" s="200"/>
      <c r="I52" s="201"/>
      <c r="J52" s="147"/>
      <c r="K52" s="148"/>
    </row>
    <row r="53" spans="1:11" ht="13.5" thickBot="1">
      <c r="A53" s="994"/>
      <c r="B53" s="995"/>
      <c r="C53" s="155">
        <f>C52/(24*60)</f>
        <v>0</v>
      </c>
      <c r="D53" s="155">
        <f>D52/(24*60*G4)</f>
        <v>7.3230286738351261E-2</v>
      </c>
      <c r="E53" s="156">
        <f>E52/(G4*24)</f>
        <v>7.3230286738351261E-2</v>
      </c>
      <c r="F53" s="194"/>
    </row>
    <row r="54" spans="1:11">
      <c r="E54" s="202"/>
      <c r="F54" s="194"/>
    </row>
    <row r="55" spans="1:11">
      <c r="E55" s="202"/>
    </row>
    <row r="56" spans="1:11">
      <c r="A56" s="203" t="s">
        <v>86</v>
      </c>
      <c r="B56" s="204"/>
      <c r="C56" s="205"/>
      <c r="D56" s="205"/>
      <c r="E56" s="205"/>
      <c r="F56" s="206"/>
      <c r="G56" s="205"/>
      <c r="H56" s="207"/>
      <c r="I56" s="208" t="s">
        <v>87</v>
      </c>
      <c r="J56" s="209">
        <f>+D34+'30'!J56</f>
        <v>20072</v>
      </c>
      <c r="K56" s="210">
        <f>J56/(J40+J56/1000)/1000</f>
        <v>1.2427498006349964E-2</v>
      </c>
    </row>
    <row r="57" spans="1:11">
      <c r="A57" s="185"/>
      <c r="I57" s="208" t="s">
        <v>88</v>
      </c>
      <c r="J57" s="209">
        <f>+E34+'30'!J57</f>
        <v>0</v>
      </c>
      <c r="K57" s="210">
        <f>J57/(J40+J57/1000)/1000</f>
        <v>0</v>
      </c>
    </row>
    <row r="58" spans="1:11">
      <c r="A58" s="211"/>
      <c r="B58" s="212"/>
      <c r="F58" s="194"/>
      <c r="H58" s="213"/>
    </row>
    <row r="59" spans="1:11">
      <c r="A59" s="214"/>
      <c r="B59" s="185"/>
      <c r="C59" s="185"/>
      <c r="D59" s="185"/>
      <c r="E59" s="185"/>
      <c r="F59" s="198"/>
      <c r="G59" s="185"/>
      <c r="H59" s="213"/>
    </row>
    <row r="60" spans="1:11">
      <c r="H60" s="213"/>
    </row>
    <row r="61" spans="1:11">
      <c r="A61" s="215"/>
      <c r="B61" s="216"/>
      <c r="C61" s="216"/>
      <c r="D61" s="216"/>
      <c r="E61" s="216"/>
      <c r="F61" s="217"/>
      <c r="G61" s="216"/>
      <c r="H61" s="218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36</vt:i4>
      </vt:variant>
    </vt:vector>
  </HeadingPairs>
  <TitlesOfParts>
    <vt:vector size="79" baseType="lpstr">
      <vt:lpstr>eff all</vt:lpstr>
      <vt:lpstr>Report1</vt:lpstr>
      <vt:lpstr>GRAFIK</vt:lpstr>
      <vt:lpstr>Listrik</vt:lpstr>
      <vt:lpstr>Trim Rwd</vt:lpstr>
      <vt:lpstr>Efficiency1</vt:lpstr>
      <vt:lpstr>Efficiency2</vt:lpstr>
      <vt:lpstr>BB</vt:lpstr>
      <vt:lpstr>Chem</vt:lpstr>
      <vt:lpstr>RBP</vt:lpstr>
      <vt:lpstr>Sheet1</vt:lpstr>
      <vt:lpstr>summary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'eff all'!Print_Area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2025-12-01T07:30:11Z</cp:lastPrinted>
  <dcterms:created xsi:type="dcterms:W3CDTF">2007-07-30T03:52:39Z</dcterms:created>
  <dcterms:modified xsi:type="dcterms:W3CDTF">2025-12-02T02:58:16Z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